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showPivotChartFilter="1" defaultThemeVersion="124226"/>
  <bookViews>
    <workbookView xWindow="240" yWindow="150" windowWidth="15150" windowHeight="8115" tabRatio="903" activeTab="3"/>
  </bookViews>
  <sheets>
    <sheet name="Tránsito" sheetId="65" r:id="rId1"/>
    <sheet name="Espectros de Carga" sheetId="56" r:id="rId2"/>
    <sheet name="Análisis Individual" sheetId="63" state="hidden" r:id="rId3"/>
    <sheet name="Análisis Espectral" sheetId="64" r:id="rId4"/>
    <sheet name="NuevoFormatoPav" sheetId="52" state="hidden" r:id="rId5"/>
    <sheet name="avanzado" sheetId="60" state="hidden" r:id="rId6"/>
    <sheet name="Análisis probabilista" sheetId="66" r:id="rId7"/>
    <sheet name="Larguillo" sheetId="61" state="hidden" r:id="rId8"/>
    <sheet name="calculos" sheetId="58" state="hidden" r:id="rId9"/>
    <sheet name="Espectro Daño Deformacion" sheetId="42" state="hidden" r:id="rId10"/>
    <sheet name="Espectro Daño Fatiga" sheetId="43" state="hidden" r:id="rId11"/>
    <sheet name="Daño Acumulado Deformacion" sheetId="51" state="hidden" r:id="rId12"/>
    <sheet name="Daño Acumulado Fatiga" sheetId="38" state="hidden" r:id="rId13"/>
    <sheet name="factor_e_vert" sheetId="47" state="hidden" r:id="rId14"/>
    <sheet name="factor_e_rad" sheetId="49" state="hidden" r:id="rId15"/>
    <sheet name="factor_e_tan" sheetId="50" state="hidden" r:id="rId16"/>
  </sheets>
  <functionGroups builtInGroupCount="17"/>
  <externalReferences>
    <externalReference r:id="rId17"/>
    <externalReference r:id="rId18"/>
    <externalReference r:id="rId19"/>
    <externalReference r:id="rId20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8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8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8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8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8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8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8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8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8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45621"/>
</workbook>
</file>

<file path=xl/calcChain.xml><?xml version="1.0" encoding="utf-8"?>
<calcChain xmlns="http://schemas.openxmlformats.org/spreadsheetml/2006/main">
  <c r="D14" i="66" l="1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K79" i="61" l="1"/>
  <c r="CM69" i="61"/>
  <c r="CM73" i="61" s="1"/>
  <c r="CL69" i="61"/>
  <c r="CL73" i="61" s="1"/>
  <c r="CK69" i="61"/>
  <c r="CK73" i="61" s="1"/>
  <c r="CJ69" i="61"/>
  <c r="CJ73" i="61" s="1"/>
  <c r="CC38" i="6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CK76" i="61" l="1"/>
  <c r="CK82" i="61" s="1"/>
  <c r="CJ76" i="61"/>
  <c r="CK81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<sst xmlns="http://schemas.openxmlformats.org/spreadsheetml/2006/main" count="459" uniqueCount="271">
  <si>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</si>
  <si>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</si>
  <si>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</si>
  <si>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</si>
  <si>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</si>
  <si>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</si>
  <si>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</si>
  <si>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</si>
  <si>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</si>
  <si>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</si>
  <si>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</si>
  <si>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</si>
  <si>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</si>
  <si>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</si>
  <si>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</si>
  <si>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</si>
  <si>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</si>
  <si>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</si>
  <si>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</si>
  <si>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</si>
  <si>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</si>
  <si>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</si>
  <si>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</si>
  <si>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</si>
  <si>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</si>
  <si>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</si>
  <si>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</si>
  <si>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</si>
  <si>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</si>
  <si>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</si>
  <si>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</si>
  <si>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</si>
  <si>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</si>
  <si>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</si>
  <si>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</si>
  <si>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</si>
  <si>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</si>
  <si>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</si>
  <si>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</si>
  <si>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</si>
  <si>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</si>
  <si>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</si>
  <si>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</si>
  <si>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</si>
  <si>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</si>
  <si>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</si>
  <si>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</si>
  <si>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</si>
  <si>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</si>
  <si>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ESPECTRO DE DAÑO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</si>
  <si>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</si>
  <si>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</si>
  <si>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</si>
  <si>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</si>
  <si>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</si>
  <si>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</si>
  <si>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</si>
  <si>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</si>
  <si>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</si>
  <si>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</si>
  <si>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</si>
  <si>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</si>
  <si>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ESPECTRO DE DAÑO TOTAL</t>
  </si>
  <si>
    <t>DEFORMACIÓN</t>
  </si>
  <si>
    <t>FATIGA</t>
  </si>
  <si>
    <t>PERSONALIZADO</t>
  </si>
  <si>
    <t>SIMPLE  (EJES/AÑO)</t>
  </si>
  <si>
    <t>RESPUESTA EJE SIMPLE</t>
  </si>
  <si>
    <t>NÚMERO DE REPETICIONES ADMISIBLES POR TIPO DE EJE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</si>
  <si>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</si>
  <si>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</si>
  <si>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</si>
  <si>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</si>
  <si>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</si>
  <si>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</si>
  <si>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</si>
  <si>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</si>
  <si>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</si>
  <si>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</si>
  <si>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</si>
  <si>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</si>
  <si>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</si>
  <si>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</si>
  <si>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</si>
  <si>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</si>
  <si>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</si>
  <si>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</si>
  <si>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</si>
  <si>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</si>
  <si>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</si>
  <si>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</si>
  <si>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</si>
  <si>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</si>
  <si>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</si>
  <si>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</si>
  <si>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</si>
  <si>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</si>
  <si>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</si>
  <si>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</si>
  <si>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</si>
  <si>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</si>
  <si>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</si>
  <si>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</si>
  <si>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</si>
  <si>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</si>
  <si>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</si>
  <si>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</si>
  <si>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</si>
  <si>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</si>
  <si>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</si>
  <si>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</si>
  <si>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</si>
  <si>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</si>
  <si>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</si>
  <si>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</si>
  <si>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</si>
  <si>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</si>
  <si>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</si>
  <si>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</si>
  <si>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</si>
  <si>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</si>
  <si>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</si>
  <si>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</si>
  <si>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</si>
  <si>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</si>
  <si>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</si>
  <si>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</si>
  <si>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</si>
  <si>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</si>
  <si>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</si>
  <si>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</si>
  <si>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</si>
  <si>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</si>
  <si>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</si>
  <si>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</si>
  <si>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</si>
  <si>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</si>
  <si>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</si>
  <si>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</si>
  <si>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</si>
  <si>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</si>
  <si>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</si>
  <si>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</si>
  <si>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</si>
  <si>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</si>
  <si>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</si>
  <si>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</si>
  <si>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</si>
  <si>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</si>
  <si>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</si>
  <si>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</si>
  <si>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</si>
  <si>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</si>
  <si>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</si>
  <si>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ESPECTRO DE DAÑO ACUMULADO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</si>
  <si>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</si>
  <si>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</si>
  <si>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</si>
  <si>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</si>
  <si>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</si>
  <si>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</si>
  <si>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</si>
  <si>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</si>
  <si>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</si>
  <si>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</si>
  <si>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</si>
  <si>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</si>
  <si>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</si>
  <si>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</si>
  <si>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</si>
  <si>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</si>
  <si>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</si>
  <si>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</si>
  <si>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</si>
  <si>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</si>
  <si>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</si>
  <si>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</si>
  <si>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</si>
  <si>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</si>
  <si>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</si>
  <si>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</si>
  <si>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</si>
  <si>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VIDA ÚTIL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</si>
  <si>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</si>
  <si>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</si>
  <si>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</si>
  <si>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</si>
  <si>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</si>
  <si>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</si>
  <si>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</si>
  <si>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</si>
  <si>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</si>
  <si>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</si>
  <si>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</si>
  <si>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</si>
  <si>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</si>
  <si>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</si>
  <si>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</si>
  <si>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</si>
  <si>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</si>
  <si>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</si>
  <si>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</si>
  <si>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</si>
  <si>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r>
      <t xml:space="preserve">Def. tensión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t</t>
    </r>
    <r>
      <rPr>
        <sz val="11"/>
        <color theme="0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</si>
  <si>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c</t>
    </r>
    <r>
      <rPr>
        <sz val="11"/>
        <color theme="0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</si>
  <si>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color theme="0"/>
        <rFont val="Calibri"/>
        <family val="2"/>
      </rPr>
      <t xml:space="preserve">t </t>
    </r>
    <r>
      <rPr>
        <sz val="11"/>
        <color theme="0"/>
        <rFont val="Calibri"/>
        <family val="2"/>
      </rPr>
      <t>(kpa)</t>
    </r>
  </si>
  <si>
    <r>
      <t>σ</t>
    </r>
    <r>
      <rPr>
        <vertAlign val="subscript"/>
        <sz val="11"/>
        <color theme="0"/>
        <rFont val="Calibri"/>
        <family val="2"/>
      </rPr>
      <t xml:space="preserve">z </t>
    </r>
    <r>
      <rPr>
        <sz val="11"/>
        <color theme="0"/>
        <rFont val="Calibri"/>
        <family val="2"/>
      </rPr>
      <t>(kpa)</t>
    </r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</si>
  <si>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</si>
  <si>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</si>
  <si>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</si>
  <si>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</si>
  <si>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</si>
  <si>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</si>
  <si>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</si>
  <si>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</si>
  <si>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</si>
  <si>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</si>
  <si>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</si>
  <si>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</si>
  <si>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</si>
  <si>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</si>
  <si>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</si>
  <si>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</si>
  <si>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</si>
  <si>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</si>
  <si>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</si>
  <si>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</si>
  <si>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</si>
  <si>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</si>
  <si>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</si>
  <si>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</si>
  <si>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</si>
  <si>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</si>
  <si>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</si>
  <si>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</si>
  <si>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</si>
  <si>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</si>
  <si>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</si>
  <si>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</si>
  <si>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</si>
  <si>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</si>
  <si>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</si>
  <si>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</si>
  <si>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</si>
  <si>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</si>
  <si>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</si>
  <si>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</si>
  <si>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</si>
  <si>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</si>
  <si>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</si>
  <si>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</si>
  <si>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</si>
  <si>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</si>
  <si>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</si>
  <si>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</si>
  <si>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</si>
  <si>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</si>
  <si>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</si>
  <si>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</si>
  <si>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E(Vf)</t>
  </si>
  <si>
    <t>E(Vd)</t>
  </si>
  <si>
    <t>V(Vf)</t>
  </si>
  <si>
    <t>V(Vd)</t>
  </si>
  <si>
    <r>
      <t>E(V</t>
    </r>
    <r>
      <rPr>
        <vertAlign val="superscript"/>
        <sz val="11"/>
        <color theme="2" tint="-0.749992370372631"/>
        <rFont val="Calibri"/>
        <family val="2"/>
        <scheme val="minor"/>
      </rPr>
      <t>2</t>
    </r>
    <r>
      <rPr>
        <sz val="11"/>
        <color theme="2" tint="-0.749992370372631"/>
        <rFont val="Calibri"/>
        <family val="2"/>
        <scheme val="minor"/>
      </rPr>
      <t>f)</t>
    </r>
  </si>
  <si>
    <r>
      <t>E(V</t>
    </r>
    <r>
      <rPr>
        <vertAlign val="superscript"/>
        <sz val="11"/>
        <color theme="2" tint="-0.749992370372631"/>
        <rFont val="Calibri"/>
        <family val="2"/>
        <scheme val="minor"/>
      </rPr>
      <t>2</t>
    </r>
    <r>
      <rPr>
        <sz val="11"/>
        <color theme="2" tint="-0.749992370372631"/>
        <rFont val="Calibri"/>
        <family val="2"/>
        <scheme val="minor"/>
      </rPr>
      <t>d)</t>
    </r>
  </si>
  <si>
    <t>Para 75 porciento de confiabilidad</t>
  </si>
  <si>
    <t>Z =</t>
  </si>
  <si>
    <t xml:space="preserve"> &gt; 20</t>
  </si>
  <si>
    <t>Confiabilidad</t>
  </si>
  <si>
    <t>CONFIABILIDAD</t>
  </si>
  <si>
    <t>Tridem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</si>
</sst>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7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Arial Narrow"/>
      <family val="2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5"/>
      <color theme="0"/>
      <name val="Calibri"/>
      <family val="2"/>
      <scheme val="minor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0.5"/>
      <color theme="0" tint="-0.34998626667073579"/>
      <name val="Arial Narrow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3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vertAlign val="subscript"/>
      <sz val="11"/>
      <color theme="0"/>
      <name val="Calibri"/>
      <family val="2"/>
    </font>
    <font>
      <sz val="10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1"/>
      <color theme="0"/>
      <name val="Arial Narrow"/>
      <family val="2"/>
    </font>
    <font>
      <sz val="11"/>
      <color theme="0"/>
      <name val="Tahoma"/>
      <family val="2"/>
    </font>
    <font>
      <b/>
      <sz val="10.5"/>
      <color theme="0"/>
      <name val="Arial Narrow"/>
      <family val="2"/>
    </font>
    <font>
      <b/>
      <sz val="10.5"/>
      <color theme="0"/>
      <name val="Tahoma"/>
      <family val="2"/>
    </font>
    <font>
      <sz val="11"/>
      <color theme="0"/>
      <name val="Simplified Arabic Fixed"/>
      <family val="3"/>
      <charset val="178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vertAlign val="superscript"/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77" fillId="0" borderId="0" applyFont="0" applyFill="0" applyBorder="0" applyAlignment="0" applyProtection="0"/>
  </cellStyleXfs>
  <cellXfs count="40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Fill="1"/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Fill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167" fontId="10" fillId="0" borderId="1" xfId="0" applyNumberFormat="1" applyFont="1" applyFill="1" applyBorder="1" applyAlignment="1">
      <alignment horizontal="center" vertical="center"/>
    </xf>
    <xf numFmtId="0" fontId="3" fillId="0" borderId="0" xfId="0" applyFont="1"/>
    <xf numFmtId="169" fontId="10" fillId="0" borderId="1" xfId="0" applyNumberFormat="1" applyFont="1" applyFill="1" applyBorder="1" applyAlignment="1">
      <alignment horizontal="center" vertical="center"/>
    </xf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Fill="1" applyBorder="1" applyAlignment="1">
      <alignment horizontal="center"/>
    </xf>
    <xf numFmtId="0" fontId="0" fillId="0" borderId="0" xfId="0" applyBorder="1"/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0" fillId="0" borderId="0" xfId="0" applyFill="1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2" fillId="0" borderId="0" xfId="0" applyFont="1"/>
    <xf numFmtId="0" fontId="12" fillId="4" borderId="0" xfId="0" applyFont="1" applyFill="1"/>
    <xf numFmtId="0" fontId="18" fillId="0" borderId="0" xfId="0" applyFont="1" applyFill="1" applyBorder="1" applyAlignment="1">
      <alignment vertical="center"/>
    </xf>
    <xf numFmtId="0" fontId="28" fillId="0" borderId="0" xfId="0" applyFont="1" applyFill="1" applyBorder="1" applyAlignment="1">
      <alignment vertic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 applyBorder="1"/>
    <xf numFmtId="0" fontId="14" fillId="0" borderId="0" xfId="0" applyFont="1" applyBorder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1" fillId="0" borderId="0" xfId="0" applyFont="1" applyFill="1" applyBorder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5" fillId="14" borderId="41" xfId="0" applyFont="1" applyFill="1" applyBorder="1" applyAlignment="1">
      <alignment horizontal="center"/>
    </xf>
    <xf numFmtId="0" fontId="35" fillId="14" borderId="9" xfId="0" applyFont="1" applyFill="1" applyBorder="1" applyAlignment="1">
      <alignment horizontal="center"/>
    </xf>
    <xf numFmtId="0" fontId="35" fillId="14" borderId="3" xfId="0" applyFont="1" applyFill="1" applyBorder="1" applyAlignment="1">
      <alignment horizontal="center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left" vertical="center" wrapText="1"/>
    </xf>
    <xf numFmtId="0" fontId="32" fillId="14" borderId="1" xfId="0" applyFont="1" applyFill="1" applyBorder="1" applyAlignment="1">
      <alignment horizontal="center" vertical="center" wrapText="1"/>
    </xf>
    <xf numFmtId="0" fontId="32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Border="1" applyAlignment="1">
      <alignment horizontal="center"/>
    </xf>
    <xf numFmtId="169" fontId="3" fillId="0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0" fontId="0" fillId="0" borderId="0" xfId="0" applyFont="1"/>
    <xf numFmtId="11" fontId="0" fillId="0" borderId="0" xfId="0" applyNumberFormat="1" applyFont="1"/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29" fillId="0" borderId="0" xfId="0" applyFont="1" applyFill="1" applyAlignment="1">
      <alignment horizontal="center"/>
    </xf>
    <xf numFmtId="0" fontId="12" fillId="6" borderId="6" xfId="0" applyFont="1" applyFill="1" applyBorder="1" applyAlignment="1">
      <alignment horizontal="center" vertical="center" wrapText="1"/>
    </xf>
    <xf numFmtId="0" fontId="0" fillId="0" borderId="7" xfId="0" applyFont="1" applyFill="1" applyBorder="1"/>
    <xf numFmtId="0" fontId="17" fillId="0" borderId="7" xfId="0" applyFont="1" applyFill="1" applyBorder="1" applyAlignment="1">
      <alignment horizontal="center" vertical="center" wrapText="1"/>
    </xf>
    <xf numFmtId="0" fontId="0" fillId="0" borderId="13" xfId="0" applyFont="1" applyFill="1" applyBorder="1"/>
    <xf numFmtId="165" fontId="0" fillId="0" borderId="0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0" fontId="12" fillId="6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12" fillId="6" borderId="1" xfId="0" applyFont="1" applyFill="1" applyBorder="1" applyAlignment="1">
      <alignment horizontal="center" vertical="center" wrapText="1"/>
    </xf>
    <xf numFmtId="0" fontId="35" fillId="14" borderId="1" xfId="0" applyFont="1" applyFill="1" applyBorder="1" applyAlignment="1">
      <alignment horizontal="center"/>
    </xf>
    <xf numFmtId="0" fontId="30" fillId="12" borderId="4" xfId="0" applyFont="1" applyFill="1" applyBorder="1" applyAlignment="1">
      <alignment horizontal="center" vertical="center"/>
    </xf>
    <xf numFmtId="1" fontId="0" fillId="13" borderId="1" xfId="0" applyNumberFormat="1" applyFill="1" applyBorder="1" applyAlignment="1"/>
    <xf numFmtId="2" fontId="6" fillId="0" borderId="1" xfId="0" applyNumberFormat="1" applyFont="1" applyFill="1" applyBorder="1" applyAlignment="1">
      <alignment horizontal="center"/>
    </xf>
    <xf numFmtId="0" fontId="0" fillId="0" borderId="0" xfId="0" applyFill="1" applyBorder="1"/>
    <xf numFmtId="0" fontId="3" fillId="0" borderId="0" xfId="0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0" fillId="0" borderId="0" xfId="0" applyAlignment="1"/>
    <xf numFmtId="0" fontId="30" fillId="0" borderId="0" xfId="0" applyFont="1" applyFill="1" applyBorder="1" applyAlignment="1">
      <alignment vertical="center"/>
    </xf>
    <xf numFmtId="0" fontId="30" fillId="0" borderId="0" xfId="0" applyFont="1" applyFill="1" applyBorder="1" applyAlignment="1">
      <alignment horizontal="center" vertical="center"/>
    </xf>
    <xf numFmtId="11" fontId="0" fillId="0" borderId="0" xfId="0" applyNumberFormat="1" applyFill="1" applyBorder="1" applyAlignment="1">
      <alignment horizontal="center"/>
    </xf>
    <xf numFmtId="0" fontId="0" fillId="0" borderId="0" xfId="0" applyFill="1" applyBorder="1"/>
    <xf numFmtId="11" fontId="0" fillId="0" borderId="0" xfId="0" applyNumberFormat="1" applyFill="1" applyBorder="1" applyAlignment="1"/>
    <xf numFmtId="0" fontId="0" fillId="0" borderId="0" xfId="0" applyFill="1" applyAlignment="1"/>
    <xf numFmtId="0" fontId="30" fillId="12" borderId="4" xfId="0" applyFont="1" applyFill="1" applyBorder="1" applyAlignment="1">
      <alignment horizontal="center" vertical="center"/>
    </xf>
    <xf numFmtId="0" fontId="0" fillId="0" borderId="0" xfId="0" applyFill="1" applyBorder="1"/>
    <xf numFmtId="0" fontId="47" fillId="0" borderId="0" xfId="0" applyFont="1" applyFill="1" applyBorder="1" applyAlignment="1">
      <alignment horizontal="center" vertical="center" wrapText="1"/>
    </xf>
    <xf numFmtId="2" fontId="12" fillId="0" borderId="0" xfId="0" applyNumberFormat="1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11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2" fontId="0" fillId="13" borderId="1" xfId="0" applyNumberFormat="1" applyFill="1" applyBorder="1" applyAlignment="1"/>
    <xf numFmtId="0" fontId="50" fillId="0" borderId="0" xfId="0" applyFont="1" applyFill="1" applyBorder="1" applyAlignment="1">
      <alignment vertical="center"/>
    </xf>
    <xf numFmtId="0" fontId="51" fillId="0" borderId="0" xfId="0" applyFont="1"/>
    <xf numFmtId="0" fontId="52" fillId="0" borderId="0" xfId="0" applyFont="1" applyFill="1" applyBorder="1" applyAlignment="1">
      <alignment vertical="center"/>
    </xf>
    <xf numFmtId="0" fontId="51" fillId="0" borderId="0" xfId="0" applyFont="1" applyFill="1" applyBorder="1" applyAlignment="1">
      <alignment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Fill="1" applyBorder="1" applyAlignment="1">
      <alignment horizontal="right" vertical="center"/>
    </xf>
    <xf numFmtId="0" fontId="55" fillId="0" borderId="0" xfId="0" applyFont="1" applyFill="1" applyBorder="1" applyAlignment="1">
      <alignment horizontal="center" vertical="center"/>
    </xf>
    <xf numFmtId="0" fontId="55" fillId="0" borderId="0" xfId="0" applyFont="1"/>
    <xf numFmtId="0" fontId="1" fillId="0" borderId="0" xfId="0" applyFont="1" applyBorder="1"/>
    <xf numFmtId="0" fontId="55" fillId="0" borderId="41" xfId="0" applyFont="1" applyBorder="1"/>
    <xf numFmtId="0" fontId="55" fillId="0" borderId="3" xfId="0" applyFont="1" applyBorder="1"/>
    <xf numFmtId="2" fontId="10" fillId="0" borderId="0" xfId="0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70" fontId="45" fillId="0" borderId="0" xfId="1" applyNumberFormat="1" applyFont="1" applyFill="1" applyBorder="1" applyAlignment="1">
      <alignment vertical="center"/>
    </xf>
    <xf numFmtId="168" fontId="45" fillId="0" borderId="0" xfId="1" applyNumberFormat="1" applyFont="1" applyFill="1" applyBorder="1" applyAlignment="1">
      <alignment vertical="center"/>
    </xf>
    <xf numFmtId="0" fontId="8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Fill="1" applyBorder="1"/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0" fontId="0" fillId="0" borderId="0" xfId="0" applyFont="1" applyFill="1" applyBorder="1"/>
    <xf numFmtId="0" fontId="0" fillId="0" borderId="0" xfId="0" applyFill="1" applyBorder="1"/>
    <xf numFmtId="167" fontId="0" fillId="0" borderId="0" xfId="0" applyNumberFormat="1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167" fontId="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0" fillId="0" borderId="41" xfId="0" applyBorder="1"/>
    <xf numFmtId="0" fontId="0" fillId="0" borderId="9" xfId="0" applyBorder="1"/>
    <xf numFmtId="0" fontId="0" fillId="0" borderId="3" xfId="0" applyBorder="1"/>
    <xf numFmtId="0" fontId="2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58" fillId="0" borderId="0" xfId="0" applyFont="1"/>
    <xf numFmtId="1" fontId="0" fillId="0" borderId="0" xfId="0" applyNumberFormat="1"/>
    <xf numFmtId="0" fontId="4" fillId="0" borderId="0" xfId="0" applyFont="1"/>
    <xf numFmtId="0" fontId="36" fillId="14" borderId="1" xfId="0" applyFont="1" applyFill="1" applyBorder="1" applyAlignment="1">
      <alignment horizontal="center"/>
    </xf>
    <xf numFmtId="171" fontId="0" fillId="0" borderId="0" xfId="0" applyNumberFormat="1" applyBorder="1" applyAlignment="1">
      <alignment readingOrder="1"/>
    </xf>
    <xf numFmtId="171" fontId="0" fillId="0" borderId="1" xfId="0" applyNumberFormat="1" applyBorder="1" applyAlignment="1">
      <alignment readingOrder="1"/>
    </xf>
    <xf numFmtId="0" fontId="60" fillId="0" borderId="0" xfId="0" applyFont="1"/>
    <xf numFmtId="0" fontId="12" fillId="0" borderId="0" xfId="0" applyFont="1" applyFill="1" applyBorder="1" applyAlignment="1">
      <alignment horizontal="left" vertical="center"/>
    </xf>
    <xf numFmtId="0" fontId="63" fillId="0" borderId="0" xfId="0" applyFont="1"/>
    <xf numFmtId="168" fontId="0" fillId="0" borderId="1" xfId="0" applyNumberFormat="1" applyBorder="1" applyAlignment="1">
      <alignment horizontal="center"/>
    </xf>
    <xf numFmtId="0" fontId="12" fillId="16" borderId="0" xfId="0" applyFont="1" applyFill="1" applyBorder="1"/>
    <xf numFmtId="0" fontId="12" fillId="16" borderId="0" xfId="0" applyFont="1" applyFill="1" applyBorder="1" applyAlignment="1">
      <alignment horizontal="center" vertical="center" wrapText="1"/>
    </xf>
    <xf numFmtId="0" fontId="17" fillId="16" borderId="0" xfId="0" applyFont="1" applyFill="1" applyBorder="1" applyAlignment="1">
      <alignment horizontal="center"/>
    </xf>
    <xf numFmtId="0" fontId="60" fillId="16" borderId="0" xfId="0" applyFont="1" applyFill="1" applyBorder="1" applyAlignment="1">
      <alignment horizontal="center"/>
    </xf>
    <xf numFmtId="167" fontId="65" fillId="16" borderId="0" xfId="1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/>
    <xf numFmtId="0" fontId="12" fillId="0" borderId="0" xfId="0" applyFont="1" applyFill="1" applyBorder="1" applyAlignment="1">
      <alignment horizontal="center" vertical="center" wrapText="1"/>
    </xf>
    <xf numFmtId="11" fontId="12" fillId="0" borderId="0" xfId="0" applyNumberFormat="1" applyFont="1" applyFill="1" applyBorder="1" applyAlignment="1">
      <alignment horizontal="center"/>
    </xf>
    <xf numFmtId="0" fontId="12" fillId="0" borderId="0" xfId="0" applyFont="1" applyFill="1" applyBorder="1"/>
    <xf numFmtId="2" fontId="12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/>
    <xf numFmtId="0" fontId="12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68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vertical="center"/>
    </xf>
    <xf numFmtId="0" fontId="60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0" fontId="68" fillId="0" borderId="0" xfId="0" applyFont="1" applyFill="1" applyBorder="1"/>
    <xf numFmtId="11" fontId="12" fillId="0" borderId="0" xfId="0" applyNumberFormat="1" applyFont="1" applyFill="1" applyBorder="1" applyAlignment="1"/>
    <xf numFmtId="0" fontId="68" fillId="0" borderId="0" xfId="0" applyFont="1" applyFill="1" applyBorder="1" applyAlignment="1">
      <alignment horizontal="left"/>
    </xf>
    <xf numFmtId="2" fontId="12" fillId="0" borderId="0" xfId="0" applyNumberFormat="1" applyFont="1" applyFill="1" applyBorder="1" applyAlignment="1">
      <alignment horizontal="left"/>
    </xf>
    <xf numFmtId="0" fontId="69" fillId="0" borderId="0" xfId="0" applyFont="1" applyFill="1" applyBorder="1" applyAlignment="1">
      <alignment vertical="center"/>
    </xf>
    <xf numFmtId="0" fontId="70" fillId="0" borderId="0" xfId="0" applyFont="1" applyFill="1" applyBorder="1" applyAlignment="1">
      <alignment vertical="center"/>
    </xf>
    <xf numFmtId="1" fontId="12" fillId="0" borderId="0" xfId="0" applyNumberFormat="1" applyFont="1" applyFill="1" applyBorder="1" applyAlignment="1">
      <alignment horizontal="center"/>
    </xf>
    <xf numFmtId="0" fontId="66" fillId="0" borderId="0" xfId="0" applyFont="1" applyFill="1" applyBorder="1" applyAlignment="1">
      <alignment vertical="center"/>
    </xf>
    <xf numFmtId="0" fontId="71" fillId="0" borderId="0" xfId="0" applyFont="1" applyFill="1" applyBorder="1" applyAlignment="1">
      <alignment horizontal="center" vertical="center"/>
    </xf>
    <xf numFmtId="0" fontId="17" fillId="0" borderId="0" xfId="0" applyFont="1" applyFill="1" applyBorder="1"/>
    <xf numFmtId="168" fontId="11" fillId="0" borderId="0" xfId="0" applyNumberFormat="1" applyFont="1" applyFill="1" applyBorder="1" applyAlignment="1">
      <alignment horizontal="right" vertical="center"/>
    </xf>
    <xf numFmtId="168" fontId="0" fillId="0" borderId="1" xfId="0" applyNumberFormat="1" applyBorder="1"/>
    <xf numFmtId="0" fontId="0" fillId="0" borderId="0" xfId="0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73" fillId="18" borderId="8" xfId="0" applyFont="1" applyFill="1" applyBorder="1" applyAlignment="1">
      <alignment horizontal="center"/>
    </xf>
    <xf numFmtId="0" fontId="73" fillId="18" borderId="0" xfId="0" applyFont="1" applyFill="1" applyBorder="1" applyAlignment="1">
      <alignment horizontal="center"/>
    </xf>
    <xf numFmtId="0" fontId="73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0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0" fillId="0" borderId="0" xfId="0" applyBorder="1" applyAlignment="1">
      <alignment horizontal="left"/>
    </xf>
    <xf numFmtId="0" fontId="73" fillId="18" borderId="6" xfId="0" applyFont="1" applyFill="1" applyBorder="1" applyAlignment="1">
      <alignment horizontal="center"/>
    </xf>
    <xf numFmtId="0" fontId="0" fillId="22" borderId="0" xfId="0" applyFill="1"/>
    <xf numFmtId="0" fontId="28" fillId="22" borderId="0" xfId="0" applyFont="1" applyFill="1" applyBorder="1" applyAlignment="1">
      <alignment vertical="center"/>
    </xf>
    <xf numFmtId="0" fontId="27" fillId="22" borderId="0" xfId="0" applyFont="1" applyFill="1" applyBorder="1" applyAlignment="1">
      <alignment vertical="center"/>
    </xf>
    <xf numFmtId="0" fontId="42" fillId="22" borderId="0" xfId="0" applyFont="1" applyFill="1" applyBorder="1" applyAlignment="1">
      <alignment horizontal="center" vertical="center"/>
    </xf>
    <xf numFmtId="0" fontId="30" fillId="22" borderId="0" xfId="0" applyFont="1" applyFill="1" applyBorder="1" applyAlignment="1">
      <alignment horizontal="center" vertical="center" wrapText="1"/>
    </xf>
    <xf numFmtId="0" fontId="75" fillId="22" borderId="0" xfId="0" applyFont="1" applyFill="1" applyBorder="1" applyAlignment="1">
      <alignment horizontal="center" vertical="center" wrapText="1"/>
    </xf>
    <xf numFmtId="0" fontId="0" fillId="0" borderId="0" xfId="0" applyProtection="1"/>
    <xf numFmtId="0" fontId="0" fillId="0" borderId="0" xfId="0" applyFill="1" applyProtection="1"/>
    <xf numFmtId="0" fontId="11" fillId="0" borderId="0" xfId="0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46" fillId="0" borderId="7" xfId="0" applyFont="1" applyFill="1" applyBorder="1" applyAlignment="1" applyProtection="1">
      <alignment vertical="center"/>
    </xf>
    <xf numFmtId="0" fontId="12" fillId="0" borderId="0" xfId="0" applyFont="1" applyBorder="1" applyAlignment="1" applyProtection="1">
      <alignment horizontal="center" vertical="center"/>
    </xf>
    <xf numFmtId="0" fontId="3" fillId="22" borderId="1" xfId="0" applyFont="1" applyFill="1" applyBorder="1" applyAlignment="1" applyProtection="1">
      <alignment horizontal="center" vertical="center" wrapText="1"/>
    </xf>
    <xf numFmtId="0" fontId="12" fillId="0" borderId="0" xfId="0" applyFont="1" applyFill="1" applyProtection="1"/>
    <xf numFmtId="0" fontId="22" fillId="0" borderId="1" xfId="0" applyFont="1" applyBorder="1" applyAlignment="1" applyProtection="1">
      <alignment horizontal="center" vertical="center"/>
    </xf>
    <xf numFmtId="0" fontId="30" fillId="0" borderId="0" xfId="0" applyFont="1" applyFill="1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30" fillId="0" borderId="0" xfId="0" applyFont="1" applyFill="1" applyBorder="1" applyAlignment="1" applyProtection="1">
      <alignment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0" xfId="0" applyFont="1" applyFill="1" applyBorder="1" applyProtection="1"/>
    <xf numFmtId="0" fontId="72" fillId="0" borderId="0" xfId="0" applyFont="1" applyFill="1" applyAlignment="1" applyProtection="1">
      <alignment horizontal="center"/>
    </xf>
    <xf numFmtId="0" fontId="3" fillId="0" borderId="0" xfId="0" applyFont="1" applyFill="1" applyBorder="1" applyAlignment="1" applyProtection="1">
      <alignment horizontal="center" vertical="center" wrapText="1"/>
    </xf>
    <xf numFmtId="168" fontId="30" fillId="0" borderId="0" xfId="0" applyNumberFormat="1" applyFont="1" applyFill="1" applyBorder="1" applyAlignment="1" applyProtection="1">
      <alignment horizontal="center"/>
    </xf>
    <xf numFmtId="168" fontId="0" fillId="0" borderId="0" xfId="0" applyNumberFormat="1" applyProtection="1"/>
    <xf numFmtId="0" fontId="3" fillId="20" borderId="1" xfId="0" applyFont="1" applyFill="1" applyBorder="1" applyAlignment="1" applyProtection="1">
      <alignment horizontal="center" vertical="center"/>
    </xf>
    <xf numFmtId="0" fontId="75" fillId="0" borderId="0" xfId="0" applyFont="1" applyFill="1" applyBorder="1" applyAlignment="1" applyProtection="1">
      <alignment vertical="center"/>
    </xf>
    <xf numFmtId="0" fontId="0" fillId="0" borderId="47" xfId="0" applyBorder="1" applyAlignment="1" applyProtection="1">
      <alignment vertical="center"/>
    </xf>
    <xf numFmtId="0" fontId="3" fillId="0" borderId="0" xfId="0" applyFont="1" applyFill="1" applyBorder="1" applyAlignment="1" applyProtection="1">
      <alignment horizontal="center"/>
    </xf>
    <xf numFmtId="0" fontId="3" fillId="19" borderId="1" xfId="0" applyFont="1" applyFill="1" applyBorder="1" applyAlignment="1" applyProtection="1">
      <alignment horizontal="center" vertical="center" wrapText="1"/>
    </xf>
    <xf numFmtId="0" fontId="22" fillId="20" borderId="1" xfId="0" applyFont="1" applyFill="1" applyBorder="1" applyAlignment="1" applyProtection="1">
      <alignment horizontal="center" vertical="center"/>
    </xf>
    <xf numFmtId="168" fontId="3" fillId="0" borderId="0" xfId="0" applyNumberFormat="1" applyFont="1" applyFill="1" applyBorder="1" applyProtection="1"/>
    <xf numFmtId="0" fontId="72" fillId="0" borderId="0" xfId="0" applyFont="1" applyFill="1" applyProtection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76" fillId="4" borderId="0" xfId="0" applyFont="1" applyFill="1" applyProtection="1">
      <protection locked="0"/>
    </xf>
    <xf numFmtId="0" fontId="0" fillId="4" borderId="0" xfId="0" applyFill="1" applyBorder="1" applyAlignment="1" applyProtection="1">
      <alignment horizontal="center"/>
      <protection locked="0"/>
    </xf>
    <xf numFmtId="0" fontId="76" fillId="4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78" fillId="4" borderId="0" xfId="0" applyFont="1" applyFill="1" applyAlignment="1" applyProtection="1">
      <alignment horizontal="right" vertical="center"/>
      <protection locked="0"/>
    </xf>
    <xf numFmtId="9" fontId="78" fillId="4" borderId="0" xfId="2" applyFont="1" applyFill="1" applyBorder="1" applyAlignment="1" applyProtection="1">
      <alignment horizontal="center" vertical="center"/>
      <protection locked="0"/>
    </xf>
    <xf numFmtId="0" fontId="76" fillId="21" borderId="48" xfId="0" applyFont="1" applyFill="1" applyBorder="1" applyProtection="1">
      <protection locked="0"/>
    </xf>
    <xf numFmtId="0" fontId="76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72" fillId="0" borderId="0" xfId="0" applyFont="1" applyFill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Fill="1" applyBorder="1" applyAlignment="1" applyProtection="1">
      <alignment horizontal="right" vertical="center"/>
      <protection locked="0"/>
    </xf>
    <xf numFmtId="0" fontId="0" fillId="0" borderId="0" xfId="0" applyBorder="1" applyProtection="1"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72" fillId="0" borderId="0" xfId="0" applyFont="1" applyFill="1" applyProtection="1">
      <protection locked="0"/>
    </xf>
    <xf numFmtId="0" fontId="0" fillId="0" borderId="0" xfId="0" applyFill="1" applyBorder="1" applyProtection="1">
      <protection locked="0"/>
    </xf>
    <xf numFmtId="168" fontId="0" fillId="0" borderId="0" xfId="0" applyNumberFormat="1" applyFill="1" applyBorder="1" applyProtection="1">
      <protection locked="0"/>
    </xf>
    <xf numFmtId="0" fontId="73" fillId="0" borderId="0" xfId="0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2" fontId="9" fillId="0" borderId="0" xfId="0" applyNumberFormat="1" applyFont="1" applyBorder="1" applyAlignment="1" applyProtection="1">
      <alignment horizontal="center" vertical="center"/>
      <protection locked="0"/>
    </xf>
    <xf numFmtId="0" fontId="48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Fill="1" applyBorder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42" fillId="22" borderId="0" xfId="0" applyFont="1" applyFill="1" applyBorder="1" applyAlignment="1">
      <alignment horizontal="center" vertical="center"/>
    </xf>
    <xf numFmtId="168" fontId="15" fillId="0" borderId="0" xfId="1" applyNumberFormat="1" applyFont="1" applyFill="1" applyBorder="1" applyAlignment="1">
      <alignment horizontal="center" vertical="center"/>
    </xf>
    <xf numFmtId="168" fontId="57" fillId="17" borderId="0" xfId="1" applyNumberFormat="1" applyFont="1" applyFill="1" applyBorder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56" fillId="17" borderId="42" xfId="1" applyNumberFormat="1" applyFont="1" applyFill="1" applyBorder="1" applyAlignment="1">
      <alignment horizontal="center" vertical="center"/>
    </xf>
    <xf numFmtId="3" fontId="56" fillId="17" borderId="42" xfId="1" applyNumberFormat="1" applyFont="1" applyFill="1" applyBorder="1" applyAlignment="1">
      <alignment horizontal="center" vertical="center"/>
    </xf>
    <xf numFmtId="0" fontId="7" fillId="22" borderId="0" xfId="0" applyFont="1" applyFill="1" applyBorder="1" applyAlignment="1">
      <alignment horizontal="center" vertical="center"/>
    </xf>
    <xf numFmtId="0" fontId="28" fillId="22" borderId="0" xfId="0" applyFont="1" applyFill="1" applyBorder="1" applyAlignment="1">
      <alignment horizontal="center" vertical="center"/>
    </xf>
    <xf numFmtId="0" fontId="12" fillId="16" borderId="0" xfId="0" applyFont="1" applyFill="1" applyBorder="1" applyAlignment="1">
      <alignment horizontal="center" vertical="center" textRotation="90" wrapText="1"/>
    </xf>
    <xf numFmtId="0" fontId="12" fillId="16" borderId="0" xfId="0" applyFont="1" applyFill="1" applyBorder="1" applyAlignment="1">
      <alignment horizontal="center" vertical="center"/>
    </xf>
    <xf numFmtId="0" fontId="12" fillId="16" borderId="0" xfId="0" applyFont="1" applyFill="1" applyBorder="1"/>
    <xf numFmtId="171" fontId="12" fillId="0" borderId="0" xfId="0" applyNumberFormat="1" applyFont="1" applyFill="1" applyBorder="1" applyAlignment="1">
      <alignment horizontal="center" readingOrder="1"/>
    </xf>
    <xf numFmtId="0" fontId="12" fillId="0" borderId="0" xfId="0" applyFont="1" applyFill="1" applyBorder="1" applyAlignment="1">
      <alignment horizontal="center"/>
    </xf>
    <xf numFmtId="167" fontId="12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/>
    </xf>
    <xf numFmtId="168" fontId="17" fillId="0" borderId="0" xfId="0" applyNumberFormat="1" applyFont="1" applyFill="1" applyBorder="1" applyAlignment="1">
      <alignment horizontal="center"/>
    </xf>
    <xf numFmtId="0" fontId="67" fillId="0" borderId="0" xfId="0" applyFont="1" applyFill="1" applyBorder="1" applyAlignment="1">
      <alignment horizontal="center" vertical="center"/>
    </xf>
    <xf numFmtId="0" fontId="66" fillId="0" borderId="0" xfId="0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right" vertical="center"/>
    </xf>
    <xf numFmtId="0" fontId="20" fillId="0" borderId="0" xfId="0" applyFont="1" applyFill="1" applyBorder="1" applyAlignment="1" applyProtection="1">
      <alignment horizontal="center"/>
      <protection locked="0"/>
    </xf>
    <xf numFmtId="0" fontId="30" fillId="22" borderId="4" xfId="0" applyFont="1" applyFill="1" applyBorder="1" applyAlignment="1" applyProtection="1">
      <alignment horizontal="center" vertical="center"/>
    </xf>
    <xf numFmtId="0" fontId="30" fillId="22" borderId="5" xfId="0" applyFont="1" applyFill="1" applyBorder="1" applyAlignment="1" applyProtection="1">
      <alignment horizontal="center" vertical="center"/>
    </xf>
    <xf numFmtId="0" fontId="30" fillId="22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20" fillId="0" borderId="1" xfId="0" applyFont="1" applyBorder="1" applyAlignment="1" applyProtection="1">
      <alignment horizontal="center" vertical="center"/>
    </xf>
    <xf numFmtId="0" fontId="28" fillId="22" borderId="4" xfId="0" applyFont="1" applyFill="1" applyBorder="1" applyAlignment="1" applyProtection="1">
      <alignment horizontal="center" vertical="center"/>
    </xf>
    <xf numFmtId="0" fontId="28" fillId="22" borderId="5" xfId="0" applyFont="1" applyFill="1" applyBorder="1" applyAlignment="1" applyProtection="1">
      <alignment horizontal="center" vertical="center"/>
    </xf>
    <xf numFmtId="0" fontId="28" fillId="22" borderId="2" xfId="0" applyFont="1" applyFill="1" applyBorder="1" applyAlignment="1" applyProtection="1">
      <alignment horizontal="center" vertical="center"/>
    </xf>
    <xf numFmtId="0" fontId="30" fillId="22" borderId="1" xfId="0" applyFont="1" applyFill="1" applyBorder="1" applyAlignment="1" applyProtection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2" borderId="5" xfId="0" applyFont="1" applyFill="1" applyBorder="1" applyAlignment="1">
      <alignment horizontal="center" vertical="center"/>
    </xf>
    <xf numFmtId="0" fontId="28" fillId="12" borderId="2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 wrapText="1"/>
    </xf>
    <xf numFmtId="0" fontId="44" fillId="0" borderId="1" xfId="0" applyFont="1" applyBorder="1" applyAlignment="1">
      <alignment horizontal="right" vertical="center"/>
    </xf>
    <xf numFmtId="0" fontId="49" fillId="0" borderId="1" xfId="0" applyFont="1" applyBorder="1" applyAlignment="1">
      <alignment horizontal="right" vertical="center"/>
    </xf>
    <xf numFmtId="0" fontId="20" fillId="15" borderId="1" xfId="0" applyFont="1" applyFill="1" applyBorder="1" applyAlignment="1">
      <alignment horizontal="center"/>
    </xf>
    <xf numFmtId="0" fontId="30" fillId="19" borderId="1" xfId="0" applyFont="1" applyFill="1" applyBorder="1" applyAlignment="1" applyProtection="1">
      <alignment horizontal="center" vertical="center"/>
    </xf>
    <xf numFmtId="0" fontId="30" fillId="19" borderId="1" xfId="0" applyFont="1" applyFill="1" applyBorder="1" applyAlignment="1" applyProtection="1">
      <alignment horizontal="center" vertical="center" wrapText="1"/>
    </xf>
    <xf numFmtId="0" fontId="28" fillId="19" borderId="4" xfId="0" applyFont="1" applyFill="1" applyBorder="1" applyAlignment="1" applyProtection="1">
      <alignment horizontal="center" vertical="center"/>
    </xf>
    <xf numFmtId="0" fontId="28" fillId="19" borderId="5" xfId="0" applyFont="1" applyFill="1" applyBorder="1" applyAlignment="1" applyProtection="1">
      <alignment horizontal="center" vertical="center"/>
    </xf>
    <xf numFmtId="0" fontId="28" fillId="19" borderId="2" xfId="0" applyFont="1" applyFill="1" applyBorder="1" applyAlignment="1" applyProtection="1">
      <alignment horizontal="center" vertical="center"/>
    </xf>
    <xf numFmtId="0" fontId="22" fillId="19" borderId="41" xfId="0" applyFont="1" applyFill="1" applyBorder="1" applyAlignment="1" applyProtection="1">
      <alignment horizontal="center" vertical="center" wrapText="1"/>
    </xf>
    <xf numFmtId="0" fontId="22" fillId="19" borderId="3" xfId="0" applyFont="1" applyFill="1" applyBorder="1" applyAlignment="1" applyProtection="1">
      <alignment horizontal="center" vertical="center" wrapText="1"/>
    </xf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7" fillId="6" borderId="14" xfId="0" applyFont="1" applyFill="1" applyBorder="1" applyAlignment="1">
      <alignment horizontal="center" vertical="center" wrapText="1"/>
    </xf>
    <xf numFmtId="0" fontId="0" fillId="0" borderId="15" xfId="0" applyFont="1" applyBorder="1"/>
    <xf numFmtId="0" fontId="0" fillId="0" borderId="6" xfId="0" applyFont="1" applyBorder="1"/>
    <xf numFmtId="0" fontId="0" fillId="0" borderId="13" xfId="0" applyFont="1" applyBorder="1"/>
    <xf numFmtId="0" fontId="17" fillId="7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4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3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haredStrings" Target="sharedStrings.xml"/><Relationship Id="rId10" Type="http://schemas.openxmlformats.org/officeDocument/2006/relationships/chartsheet" Target="chartsheets/sheet1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0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3"/>
          <c:order val="0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2.9797858011377819E-11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</c:ser>
        <c:ser>
          <c:idx val="0"/>
          <c:order val="1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3.3663385203913922E-6</c:v>
                </c:pt>
                <c:pt idx="1">
                  <c:v>1.1929659135301239E-2</c:v>
                </c:pt>
                <c:pt idx="2">
                  <c:v>0.35349637237616993</c:v>
                </c:pt>
                <c:pt idx="3">
                  <c:v>2.0988683720889028</c:v>
                </c:pt>
                <c:pt idx="4">
                  <c:v>5.8524242366189645</c:v>
                </c:pt>
                <c:pt idx="5">
                  <c:v>10.73704767342532</c:v>
                </c:pt>
                <c:pt idx="6">
                  <c:v>15.251744787765858</c:v>
                </c:pt>
                <c:pt idx="7">
                  <c:v>18.332820738567907</c:v>
                </c:pt>
                <c:pt idx="8">
                  <c:v>19.658106154827941</c:v>
                </c:pt>
                <c:pt idx="9">
                  <c:v>19.442372050506624</c:v>
                </c:pt>
                <c:pt idx="10">
                  <c:v>18.132462519735419</c:v>
                </c:pt>
                <c:pt idx="11">
                  <c:v>16.190927262447772</c:v>
                </c:pt>
                <c:pt idx="12">
                  <c:v>13.991958130077077</c:v>
                </c:pt>
                <c:pt idx="13">
                  <c:v>11.794553489163007</c:v>
                </c:pt>
                <c:pt idx="14">
                  <c:v>9.7545333705612656</c:v>
                </c:pt>
                <c:pt idx="15">
                  <c:v>7.9498750127547133</c:v>
                </c:pt>
                <c:pt idx="16">
                  <c:v>6.406251162912902</c:v>
                </c:pt>
                <c:pt idx="17">
                  <c:v>5.1176580963874736</c:v>
                </c:pt>
                <c:pt idx="18">
                  <c:v>4.0611748899722455</c:v>
                </c:pt>
                <c:pt idx="19">
                  <c:v>3.2066356694793998</c:v>
                </c:pt>
                <c:pt idx="20">
                  <c:v>2.5224779575037775</c:v>
                </c:pt>
                <c:pt idx="21">
                  <c:v>1.9789599917165033</c:v>
                </c:pt>
                <c:pt idx="22">
                  <c:v>1.549687188059611</c:v>
                </c:pt>
                <c:pt idx="23">
                  <c:v>1.212119623598219</c:v>
                </c:pt>
                <c:pt idx="24">
                  <c:v>0.94750968921062662</c:v>
                </c:pt>
                <c:pt idx="25">
                  <c:v>0.74055429965628061</c:v>
                </c:pt>
                <c:pt idx="26">
                  <c:v>0.57893249975697791</c:v>
                </c:pt>
                <c:pt idx="27">
                  <c:v>0.45282500371091672</c:v>
                </c:pt>
                <c:pt idx="28">
                  <c:v>0.35446568457382693</c:v>
                </c:pt>
                <c:pt idx="29">
                  <c:v>0.27774715563191105</c:v>
                </c:pt>
                <c:pt idx="30">
                  <c:v>0.21788671659433456</c:v>
                </c:pt>
                <c:pt idx="31">
                  <c:v>0.17115052274618436</c:v>
                </c:pt>
                <c:pt idx="32">
                  <c:v>0.1346298789690463</c:v>
                </c:pt>
                <c:pt idx="33">
                  <c:v>0.10606215707444815</c:v>
                </c:pt>
                <c:pt idx="34">
                  <c:v>8.3688808498185274E-2</c:v>
                </c:pt>
                <c:pt idx="35">
                  <c:v>6.6143592620634559E-2</c:v>
                </c:pt>
                <c:pt idx="36">
                  <c:v>5.2365059700163342E-2</c:v>
                </c:pt>
                <c:pt idx="37">
                  <c:v>4.1528295710865547E-2</c:v>
                </c:pt>
                <c:pt idx="38">
                  <c:v>3.2991842726129185E-2</c:v>
                </c:pt>
                <c:pt idx="39">
                  <c:v>2.6256504539057337E-2</c:v>
                </c:pt>
                <c:pt idx="40">
                  <c:v>2.0933419533786767E-2</c:v>
                </c:pt>
                <c:pt idx="41">
                  <c:v>1.6719336035930649E-2</c:v>
                </c:pt>
                <c:pt idx="42">
                  <c:v>1.3377472350792129E-2</c:v>
                </c:pt>
                <c:pt idx="43">
                  <c:v>1.0722700119707381E-2</c:v>
                </c:pt>
                <c:pt idx="44">
                  <c:v>8.6100710904967164E-3</c:v>
                </c:pt>
                <c:pt idx="45">
                  <c:v>6.9259280692677292E-3</c:v>
                </c:pt>
                <c:pt idx="46">
                  <c:v>5.5810128953871418E-3</c:v>
                </c:pt>
                <c:pt idx="47">
                  <c:v>4.5051179214364205E-3</c:v>
                </c:pt>
                <c:pt idx="48">
                  <c:v>3.6429309625135575E-3</c:v>
                </c:pt>
                <c:pt idx="49">
                  <c:v>2.9508036389736532E-3</c:v>
                </c:pt>
                <c:pt idx="50">
                  <c:v>2.3942347299925415E-3</c:v>
                </c:pt>
                <c:pt idx="51">
                  <c:v>1.9459077106992065E-3</c:v>
                </c:pt>
                <c:pt idx="52">
                  <c:v>1.5841582847357762E-3</c:v>
                </c:pt>
                <c:pt idx="53">
                  <c:v>1.2917759487955742E-3</c:v>
                </c:pt>
                <c:pt idx="54">
                  <c:v>1.0550653717106666E-3</c:v>
                </c:pt>
                <c:pt idx="55">
                  <c:v>8.6311013175962995E-4</c:v>
                </c:pt>
                <c:pt idx="56">
                  <c:v>7.0719428249271332E-4</c:v>
                </c:pt>
                <c:pt idx="57">
                  <c:v>5.8034719439965083E-4</c:v>
                </c:pt>
                <c:pt idx="58">
                  <c:v>4.7698482721420486E-4</c:v>
                </c:pt>
                <c:pt idx="59">
                  <c:v>3.9262654794933194E-4</c:v>
                </c:pt>
                <c:pt idx="60">
                  <c:v>3.2367122413369179E-4</c:v>
                </c:pt>
                <c:pt idx="61">
                  <c:v>2.6721989841808419E-4</c:v>
                </c:pt>
                <c:pt idx="62">
                  <c:v>2.2093512663179379E-4</c:v>
                </c:pt>
                <c:pt idx="63">
                  <c:v>1.8292921865395261E-4</c:v>
                </c:pt>
                <c:pt idx="64">
                  <c:v>1.5167530030251643E-4</c:v>
                </c:pt>
                <c:pt idx="65">
                  <c:v>1.2593642279755445E-4</c:v>
                </c:pt>
                <c:pt idx="66">
                  <c:v>1.0470896746233003E-4</c:v>
                </c:pt>
                <c:pt idx="67">
                  <c:v>8.7177391424442984E-5</c:v>
                </c:pt>
                <c:pt idx="68">
                  <c:v>7.2677984806451254E-5</c:v>
                </c:pt>
                <c:pt idx="69">
                  <c:v>6.0669799649886229E-5</c:v>
                </c:pt>
                <c:pt idx="70">
                  <c:v>5.0711295342298702E-5</c:v>
                </c:pt>
                <c:pt idx="71">
                  <c:v>4.244154768392694E-5</c:v>
                </c:pt>
                <c:pt idx="72">
                  <c:v>3.5565106856547464E-5</c:v>
                </c:pt>
                <c:pt idx="73">
                  <c:v>2.9839777377729487E-5</c:v>
                </c:pt>
                <c:pt idx="74">
                  <c:v>2.5066741492826626E-5</c:v>
                </c:pt>
                <c:pt idx="75">
                  <c:v>2.108256484024911E-5</c:v>
                </c:pt>
                <c:pt idx="76">
                  <c:v>1.7752716235315718E-5</c:v>
                </c:pt>
                <c:pt idx="77">
                  <c:v>1.4966307226862867E-5</c:v>
                </c:pt>
                <c:pt idx="78">
                  <c:v>1.263181574085858E-5</c:v>
                </c:pt>
                <c:pt idx="79">
                  <c:v>1.0673604815615431E-5</c:v>
                </c:pt>
                <c:pt idx="80">
                  <c:v>9.029084651569672E-6</c:v>
                </c:pt>
                <c:pt idx="81">
                  <c:v>7.6463959104290298E-6</c:v>
                </c:pt>
                <c:pt idx="82">
                  <c:v>6.4825159525540769E-6</c:v>
                </c:pt>
                <c:pt idx="83">
                  <c:v>5.5017087200092221E-6</c:v>
                </c:pt>
                <c:pt idx="84">
                  <c:v>4.6742542218112155E-6</c:v>
                </c:pt>
                <c:pt idx="85">
                  <c:v>3.9754058221030537E-6</c:v>
                </c:pt>
                <c:pt idx="86">
                  <c:v>3.3845333773468678E-6</c:v>
                </c:pt>
                <c:pt idx="87">
                  <c:v>2.8844181962358718E-6</c:v>
                </c:pt>
                <c:pt idx="88">
                  <c:v>2.4606721882984723E-6</c:v>
                </c:pt>
                <c:pt idx="89">
                  <c:v>2.1012587285461922E-6</c:v>
                </c:pt>
                <c:pt idx="90">
                  <c:v>1.7960969386929989E-6</c:v>
                </c:pt>
                <c:pt idx="91">
                  <c:v>1.5367344641979953E-6</c:v>
                </c:pt>
                <c:pt idx="92">
                  <c:v>1.3160765655414618E-6</c:v>
                </c:pt>
                <c:pt idx="93">
                  <c:v>1.128161565731719E-6</c:v>
                </c:pt>
                <c:pt idx="94">
                  <c:v>9.6797450345236073E-7</c:v>
                </c:pt>
                <c:pt idx="95">
                  <c:v>8.3129231228601904E-7</c:v>
                </c:pt>
                <c:pt idx="96">
                  <c:v>7.145550452255511E-7</c:v>
                </c:pt>
                <c:pt idx="97">
                  <c:v>6.1475864182683876E-7</c:v>
                </c:pt>
                <c:pt idx="98">
                  <c:v>5.2936553447198866E-7</c:v>
                </c:pt>
                <c:pt idx="99">
                  <c:v>4.5623004387033038E-7</c:v>
                </c:pt>
              </c:numCache>
            </c:numRef>
          </c:yVal>
          <c:smooth val="1"/>
        </c:ser>
        <c:ser>
          <c:idx val="1"/>
          <c:order val="2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7.8438329085359596E-64</c:v>
                </c:pt>
                <c:pt idx="1">
                  <c:v>1.1563869899873462E-40</c:v>
                </c:pt>
                <c:pt idx="2">
                  <c:v>1.5763419130999663E-29</c:v>
                </c:pt>
                <c:pt idx="3">
                  <c:v>1.0356803616722384E-22</c:v>
                </c:pt>
                <c:pt idx="4">
                  <c:v>4.8366706669799916E-18</c:v>
                </c:pt>
                <c:pt idx="5">
                  <c:v>1.2541340929892088E-14</c:v>
                </c:pt>
                <c:pt idx="6">
                  <c:v>5.0477405694844542E-12</c:v>
                </c:pt>
                <c:pt idx="7">
                  <c:v>5.6366985082697354E-10</c:v>
                </c:pt>
                <c:pt idx="8">
                  <c:v>2.5995995894986197E-8</c:v>
                </c:pt>
                <c:pt idx="9">
                  <c:v>1.403175015102248E-6</c:v>
                </c:pt>
                <c:pt idx="10">
                  <c:v>1.4407539622807571E-4</c:v>
                </c:pt>
                <c:pt idx="11">
                  <c:v>6.4555443459605134E-3</c:v>
                </c:pt>
                <c:pt idx="12">
                  <c:v>0.11284869452581664</c:v>
                </c:pt>
                <c:pt idx="13">
                  <c:v>0.9051986981833543</c:v>
                </c:pt>
                <c:pt idx="14">
                  <c:v>3.8427381110484249</c:v>
                </c:pt>
                <c:pt idx="15">
                  <c:v>9.6629287571602465</c:v>
                </c:pt>
                <c:pt idx="16">
                  <c:v>15.73520966632859</c:v>
                </c:pt>
                <c:pt idx="17">
                  <c:v>17.830920602712148</c:v>
                </c:pt>
                <c:pt idx="18">
                  <c:v>14.939640889072523</c:v>
                </c:pt>
                <c:pt idx="19">
                  <c:v>9.8096095572294804</c:v>
                </c:pt>
                <c:pt idx="20">
                  <c:v>5.4575179444150512</c:v>
                </c:pt>
                <c:pt idx="21">
                  <c:v>2.996508578861568</c:v>
                </c:pt>
                <c:pt idx="22">
                  <c:v>2.0911514956989032</c:v>
                </c:pt>
                <c:pt idx="23">
                  <c:v>2.0791656996679553</c:v>
                </c:pt>
                <c:pt idx="24">
                  <c:v>2.529141658805484</c:v>
                </c:pt>
                <c:pt idx="25">
                  <c:v>3.2905867388116405</c:v>
                </c:pt>
                <c:pt idx="26">
                  <c:v>4.3669794764885843</c:v>
                </c:pt>
                <c:pt idx="27">
                  <c:v>5.7690436253279955</c:v>
                </c:pt>
                <c:pt idx="28">
                  <c:v>7.4004138721786434</c:v>
                </c:pt>
                <c:pt idx="29">
                  <c:v>9.0187754473050816</c:v>
                </c:pt>
                <c:pt idx="30">
                  <c:v>10.296030842217348</c:v>
                </c:pt>
                <c:pt idx="31">
                  <c:v>10.944427809615279</c:v>
                </c:pt>
                <c:pt idx="32">
                  <c:v>10.831837706180487</c:v>
                </c:pt>
                <c:pt idx="33">
                  <c:v>10.021369085393141</c:v>
                </c:pt>
                <c:pt idx="34">
                  <c:v>8.7249514223273348</c:v>
                </c:pt>
                <c:pt idx="35">
                  <c:v>7.2102871819005712</c:v>
                </c:pt>
                <c:pt idx="36">
                  <c:v>5.713667953708657</c:v>
                </c:pt>
                <c:pt idx="37">
                  <c:v>4.3913072837354123</c:v>
                </c:pt>
                <c:pt idx="38">
                  <c:v>3.312806414628223</c:v>
                </c:pt>
                <c:pt idx="39">
                  <c:v>2.4816378978953622</c:v>
                </c:pt>
                <c:pt idx="40">
                  <c:v>1.8639422247439734</c:v>
                </c:pt>
                <c:pt idx="41">
                  <c:v>1.4128880458914774</c:v>
                </c:pt>
                <c:pt idx="42">
                  <c:v>1.0838074233493558</c:v>
                </c:pt>
                <c:pt idx="43">
                  <c:v>0.8408347544294863</c:v>
                </c:pt>
                <c:pt idx="44">
                  <c:v>0.65798838781716451</c:v>
                </c:pt>
                <c:pt idx="45">
                  <c:v>0.51759012123245474</c:v>
                </c:pt>
                <c:pt idx="46">
                  <c:v>0.40796722979147498</c:v>
                </c:pt>
                <c:pt idx="47">
                  <c:v>0.32140457096498271</c:v>
                </c:pt>
                <c:pt idx="48">
                  <c:v>0.25265302856682031</c:v>
                </c:pt>
                <c:pt idx="49">
                  <c:v>0.19796764464896194</c:v>
                </c:pt>
                <c:pt idx="50">
                  <c:v>0.15453618169083144</c:v>
                </c:pt>
                <c:pt idx="51">
                  <c:v>0.12015658205805299</c:v>
                </c:pt>
                <c:pt idx="52">
                  <c:v>9.3057716558251749E-2</c:v>
                </c:pt>
                <c:pt idx="53">
                  <c:v>7.1796448869929363E-2</c:v>
                </c:pt>
                <c:pt idx="54">
                  <c:v>5.51931237251128E-2</c:v>
                </c:pt>
                <c:pt idx="55">
                  <c:v>4.2285969614683491E-2</c:v>
                </c:pt>
                <c:pt idx="56">
                  <c:v>3.2295214642262975E-2</c:v>
                </c:pt>
                <c:pt idx="57">
                  <c:v>2.4592939344483502E-2</c:v>
                </c:pt>
                <c:pt idx="58">
                  <c:v>1.8677081454722046E-2</c:v>
                </c:pt>
                <c:pt idx="59">
                  <c:v>1.4148970154449606E-2</c:v>
                </c:pt>
                <c:pt idx="60">
                  <c:v>1.0694080683394213E-2</c:v>
                </c:pt>
                <c:pt idx="61">
                  <c:v>8.0657563947825559E-3</c:v>
                </c:pt>
                <c:pt idx="62">
                  <c:v>6.0716233609332008E-3</c:v>
                </c:pt>
                <c:pt idx="63">
                  <c:v>4.5623942769981796E-3</c:v>
                </c:pt>
                <c:pt idx="64">
                  <c:v>3.4227462862917971E-3</c:v>
                </c:pt>
                <c:pt idx="65">
                  <c:v>2.5639638424849189E-3</c:v>
                </c:pt>
                <c:pt idx="66">
                  <c:v>1.9180583891538695E-3</c:v>
                </c:pt>
                <c:pt idx="67">
                  <c:v>1.4331058470859334E-3</c:v>
                </c:pt>
                <c:pt idx="68">
                  <c:v>1.0695758782407526E-3</c:v>
                </c:pt>
                <c:pt idx="69">
                  <c:v>7.9746021089974921E-4</c:v>
                </c:pt>
                <c:pt idx="70">
                  <c:v>5.9403877719149472E-4</c:v>
                </c:pt>
                <c:pt idx="71">
                  <c:v>4.4215081635002332E-4</c:v>
                </c:pt>
                <c:pt idx="72">
                  <c:v>3.2886290603937766E-4</c:v>
                </c:pt>
                <c:pt idx="73">
                  <c:v>2.4444702147183577E-4</c:v>
                </c:pt>
                <c:pt idx="74">
                  <c:v>1.8159938154506684E-4</c:v>
                </c:pt>
                <c:pt idx="75">
                  <c:v>1.3484536268046929E-4</c:v>
                </c:pt>
                <c:pt idx="76">
                  <c:v>1.0008754621559404E-4</c:v>
                </c:pt>
                <c:pt idx="77">
                  <c:v>7.4263424457245072E-5</c:v>
                </c:pt>
                <c:pt idx="78">
                  <c:v>5.508681150072913E-5</c:v>
                </c:pt>
                <c:pt idx="79">
                  <c:v>4.0852936249641855E-5</c:v>
                </c:pt>
                <c:pt idx="80">
                  <c:v>3.0291839600491889E-5</c:v>
                </c:pt>
                <c:pt idx="81">
                  <c:v>2.2458312034260322E-5</c:v>
                </c:pt>
                <c:pt idx="82">
                  <c:v>1.6649404952335431E-5</c:v>
                </c:pt>
                <c:pt idx="83">
                  <c:v>1.2342703202141172E-5</c:v>
                </c:pt>
                <c:pt idx="84">
                  <c:v>9.1501979430108631E-6</c:v>
                </c:pt>
                <c:pt idx="85">
                  <c:v>6.7838605466171425E-6</c:v>
                </c:pt>
                <c:pt idx="86">
                  <c:v>5.0299784034838928E-6</c:v>
                </c:pt>
                <c:pt idx="87">
                  <c:v>3.7300420136029055E-6</c:v>
                </c:pt>
                <c:pt idx="88">
                  <c:v>2.7665239079837645E-6</c:v>
                </c:pt>
                <c:pt idx="89">
                  <c:v>2.0523058837701885E-6</c:v>
                </c:pt>
                <c:pt idx="90">
                  <c:v>1.5228241961826048E-6</c:v>
                </c:pt>
                <c:pt idx="91">
                  <c:v>1.1302376413420131E-6</c:v>
                </c:pt>
                <c:pt idx="92">
                  <c:v>8.3909991660065716E-7</c:v>
                </c:pt>
                <c:pt idx="93">
                  <c:v>6.23149749145511E-7</c:v>
                </c:pt>
                <c:pt idx="94">
                  <c:v>4.6293103500359097E-7</c:v>
                </c:pt>
                <c:pt idx="95">
                  <c:v>3.4402894874750508E-7</c:v>
                </c:pt>
                <c:pt idx="96">
                  <c:v>2.5576294734653897E-7</c:v>
                </c:pt>
                <c:pt idx="97">
                  <c:v>1.902185261651653E-7</c:v>
                </c:pt>
                <c:pt idx="98">
                  <c:v>1.4153004170846938E-7</c:v>
                </c:pt>
                <c:pt idx="99">
                  <c:v>1.053495565661235E-7</c:v>
                </c:pt>
              </c:numCache>
            </c:numRef>
          </c:yVal>
          <c:smooth val="1"/>
        </c:ser>
        <c:ser>
          <c:idx val="2"/>
          <c:order val="3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1.0086525533139971E-22</c:v>
                </c:pt>
                <c:pt idx="1">
                  <c:v>5.5570753255017591E-12</c:v>
                </c:pt>
                <c:pt idx="2">
                  <c:v>3.0223278662642768E-7</c:v>
                </c:pt>
                <c:pt idx="3">
                  <c:v>1.4041758223098125E-4</c:v>
                </c:pt>
                <c:pt idx="4">
                  <c:v>6.6090106342129151E-3</c:v>
                </c:pt>
                <c:pt idx="5">
                  <c:v>8.5114240255030851E-2</c:v>
                </c:pt>
                <c:pt idx="6">
                  <c:v>0.48772439844907328</c:v>
                </c:pt>
                <c:pt idx="7">
                  <c:v>1.6272984625312026</c:v>
                </c:pt>
                <c:pt idx="8">
                  <c:v>3.7170737901928574</c:v>
                </c:pt>
                <c:pt idx="9">
                  <c:v>6.4478624519406171</c:v>
                </c:pt>
                <c:pt idx="10">
                  <c:v>9.1067098637074917</c:v>
                </c:pt>
                <c:pt idx="11">
                  <c:v>10.993484898103247</c:v>
                </c:pt>
                <c:pt idx="12">
                  <c:v>11.746573678926673</c:v>
                </c:pt>
                <c:pt idx="13">
                  <c:v>11.399912182498205</c:v>
                </c:pt>
                <c:pt idx="14">
                  <c:v>10.247971787423898</c:v>
                </c:pt>
                <c:pt idx="15">
                  <c:v>8.668280239931935</c:v>
                </c:pt>
                <c:pt idx="16">
                  <c:v>6.9957002884223778</c:v>
                </c:pt>
                <c:pt idx="17">
                  <c:v>5.4688642321964105</c:v>
                </c:pt>
                <c:pt idx="18">
                  <c:v>4.2282891391295685</c:v>
                </c:pt>
                <c:pt idx="19">
                  <c:v>3.3376920793750076</c:v>
                </c:pt>
                <c:pt idx="20">
                  <c:v>2.8083297511684151</c:v>
                </c:pt>
                <c:pt idx="21">
                  <c:v>2.6174059369234306</c:v>
                </c:pt>
                <c:pt idx="22">
                  <c:v>2.7195421242811308</c:v>
                </c:pt>
                <c:pt idx="23">
                  <c:v>3.0538706818013619</c:v>
                </c:pt>
                <c:pt idx="24">
                  <c:v>3.549654558683299</c:v>
                </c:pt>
                <c:pt idx="25">
                  <c:v>4.1321307244486052</c:v>
                </c:pt>
                <c:pt idx="26">
                  <c:v>4.7288351172054774</c:v>
                </c:pt>
                <c:pt idx="27">
                  <c:v>5.2757112970277253</c:v>
                </c:pt>
                <c:pt idx="28">
                  <c:v>5.7220167430347049</c:v>
                </c:pt>
                <c:pt idx="29">
                  <c:v>6.0332716031878562</c:v>
                </c:pt>
                <c:pt idx="30">
                  <c:v>6.1919737584578183</c:v>
                </c:pt>
                <c:pt idx="31">
                  <c:v>6.1962858533972218</c:v>
                </c:pt>
                <c:pt idx="32">
                  <c:v>6.0572342815526632</c:v>
                </c:pt>
                <c:pt idx="33">
                  <c:v>5.795098622816381</c:v>
                </c:pt>
                <c:pt idx="34">
                  <c:v>5.4356377388943473</c:v>
                </c:pt>
                <c:pt idx="35">
                  <c:v>5.0066563179050165</c:v>
                </c:pt>
                <c:pt idx="36">
                  <c:v>4.5352283185998434</c:v>
                </c:pt>
                <c:pt idx="37">
                  <c:v>4.0457127506921458</c:v>
                </c:pt>
                <c:pt idx="38">
                  <c:v>3.5585532691909822</c:v>
                </c:pt>
                <c:pt idx="39">
                  <c:v>3.0897578500636231</c:v>
                </c:pt>
                <c:pt idx="40">
                  <c:v>2.6509063713460965</c:v>
                </c:pt>
                <c:pt idx="41">
                  <c:v>2.2495226770276995</c:v>
                </c:pt>
                <c:pt idx="42">
                  <c:v>1.8896615091499986</c:v>
                </c:pt>
                <c:pt idx="43">
                  <c:v>1.5725881603621026</c:v>
                </c:pt>
                <c:pt idx="44">
                  <c:v>1.2974608647763806</c:v>
                </c:pt>
                <c:pt idx="45">
                  <c:v>1.0619567625359432</c:v>
                </c:pt>
                <c:pt idx="46">
                  <c:v>0.86280834629135927</c:v>
                </c:pt>
                <c:pt idx="47">
                  <c:v>0.6962372740704732</c:v>
                </c:pt>
                <c:pt idx="48">
                  <c:v>0.5582863311517593</c:v>
                </c:pt>
                <c:pt idx="49">
                  <c:v>0.44505893980542705</c:v>
                </c:pt>
                <c:pt idx="50">
                  <c:v>0.35288007778500063</c:v>
                </c:pt>
                <c:pt idx="51">
                  <c:v>0.27839393785466426</c:v>
                </c:pt>
                <c:pt idx="52">
                  <c:v>0.21861317333316263</c:v>
                </c:pt>
                <c:pt idx="53">
                  <c:v>0.17093295504720418</c:v>
                </c:pt>
                <c:pt idx="54">
                  <c:v>0.13312092148941038</c:v>
                </c:pt>
                <c:pt idx="55">
                  <c:v>0.10329184828400383</c:v>
                </c:pt>
                <c:pt idx="56">
                  <c:v>7.9873747979460383E-2</c:v>
                </c:pt>
                <c:pt idx="57">
                  <c:v>6.1570270486520917E-2</c:v>
                </c:pt>
                <c:pt idx="58">
                  <c:v>4.7322759638940275E-2</c:v>
                </c:pt>
                <c:pt idx="59">
                  <c:v>3.6274131488165648E-2</c:v>
                </c:pt>
                <c:pt idx="60">
                  <c:v>2.7735844383296047E-2</c:v>
                </c:pt>
                <c:pt idx="61">
                  <c:v>2.1158585033903537E-2</c:v>
                </c:pt>
                <c:pt idx="62">
                  <c:v>1.6106850402234418E-2</c:v>
                </c:pt>
                <c:pt idx="63">
                  <c:v>1.2237316755885484E-2</c:v>
                </c:pt>
                <c:pt idx="64">
                  <c:v>9.2807145709339657E-3</c:v>
                </c:pt>
                <c:pt idx="65">
                  <c:v>7.0268381559076328E-3</c:v>
                </c:pt>
                <c:pt idx="66">
                  <c:v>5.3122857241509362E-3</c:v>
                </c:pt>
                <c:pt idx="67">
                  <c:v>4.010529279684847E-3</c:v>
                </c:pt>
                <c:pt idx="68">
                  <c:v>3.0239394975385709E-3</c:v>
                </c:pt>
                <c:pt idx="69">
                  <c:v>2.2774284450356409E-3</c:v>
                </c:pt>
                <c:pt idx="70">
                  <c:v>1.7134154918958546E-3</c:v>
                </c:pt>
                <c:pt idx="71">
                  <c:v>1.287864563115303E-3</c:v>
                </c:pt>
                <c:pt idx="72">
                  <c:v>9.6718126602175899E-4</c:v>
                </c:pt>
                <c:pt idx="73">
                  <c:v>7.2579489576938703E-4</c:v>
                </c:pt>
                <c:pt idx="74">
                  <c:v>5.4428226200564655E-4</c:v>
                </c:pt>
                <c:pt idx="75">
                  <c:v>4.0791759642478124E-4</c:v>
                </c:pt>
                <c:pt idx="76">
                  <c:v>3.0555573529576416E-4</c:v>
                </c:pt>
                <c:pt idx="77">
                  <c:v>2.2877473780764506E-4</c:v>
                </c:pt>
                <c:pt idx="78">
                  <c:v>1.7121959148388272E-4</c:v>
                </c:pt>
                <c:pt idx="79">
                  <c:v>1.2810117408237044E-4</c:v>
                </c:pt>
                <c:pt idx="80">
                  <c:v>9.5814666431070323E-5</c:v>
                </c:pt>
                <c:pt idx="81">
                  <c:v>7.1649576381821223E-5</c:v>
                </c:pt>
                <c:pt idx="82">
                  <c:v>5.3569820296722287E-5</c:v>
                </c:pt>
                <c:pt idx="83">
                  <c:v>4.0047239497734563E-5</c:v>
                </c:pt>
                <c:pt idx="84">
                  <c:v>2.9935776477707737E-5</c:v>
                </c:pt>
                <c:pt idx="85">
                  <c:v>2.2376523304858801E-5</c:v>
                </c:pt>
                <c:pt idx="86">
                  <c:v>1.6726164839667807E-5</c:v>
                </c:pt>
                <c:pt idx="87">
                  <c:v>1.2503118946896607E-5</c:v>
                </c:pt>
                <c:pt idx="88">
                  <c:v>9.3470420202927888E-6</c:v>
                </c:pt>
                <c:pt idx="89">
                  <c:v>6.9884136622121916E-6</c:v>
                </c:pt>
                <c:pt idx="90">
                  <c:v>5.2257122929845715E-6</c:v>
                </c:pt>
                <c:pt idx="91">
                  <c:v>3.9083009082128279E-6</c:v>
                </c:pt>
                <c:pt idx="92">
                  <c:v>2.9236035807818691E-6</c:v>
                </c:pt>
                <c:pt idx="93">
                  <c:v>2.187503020114425E-6</c:v>
                </c:pt>
                <c:pt idx="94">
                  <c:v>1.6371540855516139E-6</c:v>
                </c:pt>
                <c:pt idx="95">
                  <c:v>1.2256079902886179E-6</c:v>
                </c:pt>
                <c:pt idx="96">
                  <c:v>9.1779264069720183E-7</c:v>
                </c:pt>
                <c:pt idx="97">
                  <c:v>6.8750805600450048E-7</c:v>
                </c:pt>
                <c:pt idx="98">
                  <c:v>5.1518118562044612E-7</c:v>
                </c:pt>
                <c:pt idx="99">
                  <c:v>3.8618858504430358E-7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  <c:pt idx="0">
                  <c:v>5.2073631221545558E-13</c:v>
                </c:pt>
                <c:pt idx="1">
                  <c:v>2.5124500176001705E-8</c:v>
                </c:pt>
                <c:pt idx="2">
                  <c:v>2.2286384939533842E-6</c:v>
                </c:pt>
                <c:pt idx="3">
                  <c:v>2.3724072385647015E-5</c:v>
                </c:pt>
                <c:pt idx="4">
                  <c:v>9.3051842689560765E-5</c:v>
                </c:pt>
                <c:pt idx="5">
                  <c:v>2.0976026300236283E-4</c:v>
                </c:pt>
                <c:pt idx="6">
                  <c:v>3.3687486104424982E-4</c:v>
                </c:pt>
                <c:pt idx="7">
                  <c:v>4.3344701681899742E-4</c:v>
                </c:pt>
                <c:pt idx="8">
                  <c:v>4.7911599343099503E-4</c:v>
                </c:pt>
                <c:pt idx="9">
                  <c:v>4.7551432812045508E-4</c:v>
                </c:pt>
                <c:pt idx="10">
                  <c:v>4.3634456167674312E-4</c:v>
                </c:pt>
                <c:pt idx="11">
                  <c:v>3.7774727982177968E-4</c:v>
                </c:pt>
                <c:pt idx="12">
                  <c:v>3.1296671843475149E-4</c:v>
                </c:pt>
                <c:pt idx="13">
                  <c:v>2.5075226034947231E-4</c:v>
                </c:pt>
                <c:pt idx="14">
                  <c:v>1.9579538872730552E-4</c:v>
                </c:pt>
                <c:pt idx="15">
                  <c:v>1.4986890447595639E-4</c:v>
                </c:pt>
                <c:pt idx="16">
                  <c:v>1.1295911992508762E-4</c:v>
                </c:pt>
                <c:pt idx="17">
                  <c:v>8.4129151380858539E-5</c:v>
                </c:pt>
                <c:pt idx="18">
                  <c:v>6.2083657186994909E-5</c:v>
                </c:pt>
                <c:pt idx="19">
                  <c:v>4.5494370871436279E-5</c:v>
                </c:pt>
                <c:pt idx="20">
                  <c:v>3.3162141974480416E-5</c:v>
                </c:pt>
                <c:pt idx="21">
                  <c:v>2.4079089235038193E-5</c:v>
                </c:pt>
                <c:pt idx="22">
                  <c:v>1.7435836218909758E-5</c:v>
                </c:pt>
                <c:pt idx="23">
                  <c:v>1.2602363225373157E-5</c:v>
                </c:pt>
                <c:pt idx="24">
                  <c:v>9.0990461495633549E-6</c:v>
                </c:pt>
                <c:pt idx="25">
                  <c:v>6.5666480949966962E-6</c:v>
                </c:pt>
                <c:pt idx="26">
                  <c:v>4.7393332824198318E-6</c:v>
                </c:pt>
                <c:pt idx="27">
                  <c:v>3.4221504749688779E-6</c:v>
                </c:pt>
                <c:pt idx="28">
                  <c:v>2.4730909026394022E-6</c:v>
                </c:pt>
                <c:pt idx="29">
                  <c:v>1.7892236814808752E-6</c:v>
                </c:pt>
                <c:pt idx="30">
                  <c:v>1.2962101498617267E-6</c:v>
                </c:pt>
                <c:pt idx="31">
                  <c:v>9.4049592788730447E-7</c:v>
                </c:pt>
                <c:pt idx="32">
                  <c:v>6.8356291472061015E-7</c:v>
                </c:pt>
                <c:pt idx="33">
                  <c:v>4.9773341427979742E-7</c:v>
                </c:pt>
                <c:pt idx="34">
                  <c:v>3.63126402526821E-7</c:v>
                </c:pt>
                <c:pt idx="35">
                  <c:v>2.6545969662171891E-7</c:v>
                </c:pt>
                <c:pt idx="36">
                  <c:v>1.94468167415092E-7</c:v>
                </c:pt>
                <c:pt idx="37">
                  <c:v>1.4276791508665293E-7</c:v>
                </c:pt>
                <c:pt idx="38">
                  <c:v>1.0504187100008222E-7</c:v>
                </c:pt>
                <c:pt idx="39">
                  <c:v>7.7456339585411669E-8</c:v>
                </c:pt>
                <c:pt idx="40">
                  <c:v>5.7243109063334748E-8</c:v>
                </c:pt>
                <c:pt idx="41">
                  <c:v>4.2400100584299879E-8</c:v>
                </c:pt>
                <c:pt idx="42">
                  <c:v>3.1476820986909765E-8</c:v>
                </c:pt>
                <c:pt idx="43">
                  <c:v>2.3420470582417682E-8</c:v>
                </c:pt>
                <c:pt idx="44">
                  <c:v>1.7465441796058769E-8</c:v>
                </c:pt>
                <c:pt idx="45">
                  <c:v>1.305387471882615E-8</c:v>
                </c:pt>
                <c:pt idx="46">
                  <c:v>9.7784596015420161E-9</c:v>
                </c:pt>
                <c:pt idx="47">
                  <c:v>7.3411921391901765E-9</c:v>
                </c:pt>
                <c:pt idx="48">
                  <c:v>5.5235823535555552E-9</c:v>
                </c:pt>
                <c:pt idx="49">
                  <c:v>4.1650983404526271E-9</c:v>
                </c:pt>
                <c:pt idx="50">
                  <c:v>3.1475397946495361E-9</c:v>
                </c:pt>
                <c:pt idx="51">
                  <c:v>2.3836885020982098E-9</c:v>
                </c:pt>
                <c:pt idx="52">
                  <c:v>1.8090490469363997E-9</c:v>
                </c:pt>
                <c:pt idx="53">
                  <c:v>1.3758263284858372E-9</c:v>
                </c:pt>
                <c:pt idx="54">
                  <c:v>1.0485252006489592E-9</c:v>
                </c:pt>
                <c:pt idx="55">
                  <c:v>8.0072873039509105E-10</c:v>
                </c:pt>
                <c:pt idx="56">
                  <c:v>6.1273451189553756E-10</c:v>
                </c:pt>
                <c:pt idx="57">
                  <c:v>4.6981690610743551E-10</c:v>
                </c:pt>
                <c:pt idx="58">
                  <c:v>3.6094679472026879E-10</c:v>
                </c:pt>
                <c:pt idx="59">
                  <c:v>2.7784642979479169E-10</c:v>
                </c:pt>
                <c:pt idx="60">
                  <c:v>2.1429021797073233E-10</c:v>
                </c:pt>
                <c:pt idx="61">
                  <c:v>1.6558637174663757E-10</c:v>
                </c:pt>
                <c:pt idx="62">
                  <c:v>1.2819184826613829E-10</c:v>
                </c:pt>
                <c:pt idx="63">
                  <c:v>9.9425713839584896E-11</c:v>
                </c:pt>
                <c:pt idx="64">
                  <c:v>7.7255339278510346E-11</c:v>
                </c:pt>
                <c:pt idx="65">
                  <c:v>6.0136596721809704E-11</c:v>
                </c:pt>
                <c:pt idx="66">
                  <c:v>4.689417788667276E-11</c:v>
                </c:pt>
                <c:pt idx="67">
                  <c:v>3.6631781408428875E-11</c:v>
                </c:pt>
                <c:pt idx="68">
                  <c:v>2.8664581298579304E-11</c:v>
                </c:pt>
                <c:pt idx="69">
                  <c:v>2.2468349270136884E-11</c:v>
                </c:pt>
                <c:pt idx="70">
                  <c:v>1.7641049449110186E-11</c:v>
                </c:pt>
                <c:pt idx="71">
                  <c:v>1.3873792164944392E-11</c:v>
                </c:pt>
                <c:pt idx="72">
                  <c:v>1.0928824265544303E-11</c:v>
                </c:pt>
                <c:pt idx="73">
                  <c:v>8.6228199337684895E-12</c:v>
                </c:pt>
                <c:pt idx="74">
                  <c:v>6.8141718837320406E-12</c:v>
                </c:pt>
                <c:pt idx="75">
                  <c:v>5.3933073989774487E-12</c:v>
                </c:pt>
                <c:pt idx="76">
                  <c:v>4.2752958334150342E-12</c:v>
                </c:pt>
                <c:pt idx="77">
                  <c:v>3.3941952060094896E-12</c:v>
                </c:pt>
                <c:pt idx="78">
                  <c:v>2.6987210787785528E-12</c:v>
                </c:pt>
                <c:pt idx="79">
                  <c:v>2.1489226182711959E-12</c:v>
                </c:pt>
                <c:pt idx="80">
                  <c:v>1.7136271968953763E-12</c:v>
                </c:pt>
                <c:pt idx="81">
                  <c:v>1.3684724688042625E-12</c:v>
                </c:pt>
                <c:pt idx="82">
                  <c:v>1.0943882958161542E-12</c:v>
                </c:pt>
                <c:pt idx="83">
                  <c:v>8.7642373255365255E-13</c:v>
                </c:pt>
                <c:pt idx="84">
                  <c:v>7.028391409829539E-13</c:v>
                </c:pt>
                <c:pt idx="85">
                  <c:v>5.6440236207155038E-13</c:v>
                </c:pt>
                <c:pt idx="86">
                  <c:v>4.5384220112942124E-13</c:v>
                </c:pt>
                <c:pt idx="87">
                  <c:v>3.6542338998998415E-13</c:v>
                </c:pt>
                <c:pt idx="88">
                  <c:v>2.9461550510412876E-13</c:v>
                </c:pt>
                <c:pt idx="89">
                  <c:v>2.3783467197516426E-13</c:v>
                </c:pt>
                <c:pt idx="90">
                  <c:v>1.9224174539021786E-13</c:v>
                </c:pt>
                <c:pt idx="91">
                  <c:v>1.5558437840147225E-13</c:v>
                </c:pt>
                <c:pt idx="92">
                  <c:v>1.2607325101699942E-13</c:v>
                </c:pt>
                <c:pt idx="93">
                  <c:v>1.0228492680244663E-13</c:v>
                </c:pt>
                <c:pt idx="94">
                  <c:v>8.3085497540836523E-14</c:v>
                </c:pt>
                <c:pt idx="95">
                  <c:v>6.7570481010728311E-14</c:v>
                </c:pt>
                <c:pt idx="96">
                  <c:v>5.5017444929963075E-14</c:v>
                </c:pt>
                <c:pt idx="97">
                  <c:v>4.4848609939888727E-14</c:v>
                </c:pt>
                <c:pt idx="98">
                  <c:v>3.6601288738832727E-14</c:v>
                </c:pt>
                <c:pt idx="99">
                  <c:v>2.990448735859515E-14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  <c:pt idx="0">
                  <c:v>3.8815487272147321E-15</c:v>
                </c:pt>
                <c:pt idx="1">
                  <c:v>2.1259046089404381E-10</c:v>
                </c:pt>
                <c:pt idx="2">
                  <c:v>3.1250802435089765E-8</c:v>
                </c:pt>
                <c:pt idx="3">
                  <c:v>5.7805534965146939E-7</c:v>
                </c:pt>
                <c:pt idx="4">
                  <c:v>3.8914779422443154E-6</c:v>
                </c:pt>
                <c:pt idx="5">
                  <c:v>1.4669981840262716E-5</c:v>
                </c:pt>
                <c:pt idx="6">
                  <c:v>3.8309284726383382E-5</c:v>
                </c:pt>
                <c:pt idx="7">
                  <c:v>7.8033663456976603E-5</c:v>
                </c:pt>
                <c:pt idx="8">
                  <c:v>1.3324374911152369E-4</c:v>
                </c:pt>
                <c:pt idx="9">
                  <c:v>1.9980046993644827E-4</c:v>
                </c:pt>
                <c:pt idx="10">
                  <c:v>2.7152207919178004E-4</c:v>
                </c:pt>
                <c:pt idx="11">
                  <c:v>3.4188882009232265E-4</c:v>
                </c:pt>
                <c:pt idx="12">
                  <c:v>4.0532369611289657E-4</c:v>
                </c:pt>
                <c:pt idx="13">
                  <c:v>4.5786189459361582E-4</c:v>
                </c:pt>
                <c:pt idx="14">
                  <c:v>4.9729515479838204E-4</c:v>
                </c:pt>
                <c:pt idx="15">
                  <c:v>5.2297567370752831E-4</c:v>
                </c:pt>
                <c:pt idx="16">
                  <c:v>5.3545682291530167E-4</c:v>
                </c:pt>
                <c:pt idx="17">
                  <c:v>5.3609890340304686E-4</c:v>
                </c:pt>
                <c:pt idx="18">
                  <c:v>5.2671498219848028E-4</c:v>
                </c:pt>
                <c:pt idx="19">
                  <c:v>5.0929024516489004E-4</c:v>
                </c:pt>
                <c:pt idx="20">
                  <c:v>4.8578136388679197E-4</c:v>
                </c:pt>
                <c:pt idx="21">
                  <c:v>4.5798774725558074E-4</c:v>
                </c:pt>
                <c:pt idx="22">
                  <c:v>4.2748044284566492E-4</c:v>
                </c:pt>
                <c:pt idx="23">
                  <c:v>3.9557345712458659E-4</c:v>
                </c:pt>
                <c:pt idx="24">
                  <c:v>3.633238853173621E-4</c:v>
                </c:pt>
                <c:pt idx="25">
                  <c:v>3.3154988994097648E-4</c:v>
                </c:pt>
                <c:pt idx="26">
                  <c:v>3.0085833979397571E-4</c:v>
                </c:pt>
                <c:pt idx="27">
                  <c:v>2.7167637823982541E-4</c:v>
                </c:pt>
                <c:pt idx="28">
                  <c:v>2.4428316910373441E-4</c:v>
                </c:pt>
                <c:pt idx="29">
                  <c:v>2.188395595581979E-4</c:v>
                </c:pt>
                <c:pt idx="30">
                  <c:v>1.9541446179067336E-4</c:v>
                </c:pt>
                <c:pt idx="31">
                  <c:v>1.7400747301185077E-4</c:v>
                </c:pt>
                <c:pt idx="32">
                  <c:v>1.5456771035909293E-4</c:v>
                </c:pt>
                <c:pt idx="33">
                  <c:v>1.3700910634251642E-4</c:v>
                </c:pt>
                <c:pt idx="34">
                  <c:v>1.2122255007210673E-4</c:v>
                </c:pt>
                <c:pt idx="35">
                  <c:v>1.070853138743502E-4</c:v>
                </c:pt>
                <c:pt idx="36">
                  <c:v>9.4468206197571608E-5</c:v>
                </c:pt>
                <c:pt idx="37">
                  <c:v>8.324086236602349E-5</c:v>
                </c:pt>
                <c:pt idx="38">
                  <c:v>7.3275539870030915E-5</c:v>
                </c:pt>
                <c:pt idx="39">
                  <c:v>6.444973420623485E-5</c:v>
                </c:pt>
                <c:pt idx="40">
                  <c:v>5.6647880760388086E-5</c:v>
                </c:pt>
                <c:pt idx="41">
                  <c:v>4.9762361226565399E-5</c:v>
                </c:pt>
                <c:pt idx="42">
                  <c:v>4.3693991249511763E-5</c:v>
                </c:pt>
                <c:pt idx="43">
                  <c:v>3.8352129949846505E-5</c:v>
                </c:pt>
                <c:pt idx="44">
                  <c:v>3.365452168377795E-5</c:v>
                </c:pt>
                <c:pt idx="45">
                  <c:v>2.9526955377210118E-5</c:v>
                </c:pt>
                <c:pt idx="46">
                  <c:v>2.5902806461842934E-5</c:v>
                </c:pt>
                <c:pt idx="47">
                  <c:v>2.2722510174284671E-5</c:v>
                </c:pt>
                <c:pt idx="48">
                  <c:v>1.9933002117069975E-5</c:v>
                </c:pt>
                <c:pt idx="49">
                  <c:v>1.7487151931959293E-5</c:v>
                </c:pt>
                <c:pt idx="50">
                  <c:v>1.5343208178363933E-5</c:v>
                </c:pt>
                <c:pt idx="51">
                  <c:v>1.3464266593989628E-5</c:v>
                </c:pt>
                <c:pt idx="52">
                  <c:v>1.1817769462958814E-5</c:v>
                </c:pt>
                <c:pt idx="53">
                  <c:v>1.0375040516315608E-5</c:v>
                </c:pt>
                <c:pt idx="54">
                  <c:v>9.1108573860999961E-6</c:v>
                </c:pt>
                <c:pt idx="55">
                  <c:v>8.0030619217302888E-6</c:v>
                </c:pt>
                <c:pt idx="56">
                  <c:v>7.0322074924279243E-6</c:v>
                </c:pt>
                <c:pt idx="57">
                  <c:v>6.1812416123915977E-6</c:v>
                </c:pt>
                <c:pt idx="58">
                  <c:v>5.4352217349638874E-6</c:v>
                </c:pt>
                <c:pt idx="59">
                  <c:v>4.7810617893566458E-6</c:v>
                </c:pt>
                <c:pt idx="60">
                  <c:v>4.2073069179473461E-6</c:v>
                </c:pt>
                <c:pt idx="61">
                  <c:v>3.7039338674080081E-6</c:v>
                </c:pt>
                <c:pt idx="62">
                  <c:v>3.2621745579697483E-6</c:v>
                </c:pt>
                <c:pt idx="63">
                  <c:v>2.8743604757509322E-6</c:v>
                </c:pt>
                <c:pt idx="64">
                  <c:v>2.5337856839280707E-6</c:v>
                </c:pt>
                <c:pt idx="65">
                  <c:v>2.2345864154985214E-6</c:v>
                </c:pt>
                <c:pt idx="66">
                  <c:v>1.9716353833936023E-6</c:v>
                </c:pt>
                <c:pt idx="67">
                  <c:v>1.740449115705851E-6</c:v>
                </c:pt>
                <c:pt idx="68">
                  <c:v>1.5371067900433409E-6</c:v>
                </c:pt>
                <c:pt idx="69">
                  <c:v>1.3581791984582174E-6</c:v>
                </c:pt>
                <c:pt idx="70">
                  <c:v>1.2006666212038482E-6</c:v>
                </c:pt>
                <c:pt idx="71">
                  <c:v>1.0619445228432932E-6</c:v>
                </c:pt>
                <c:pt idx="72">
                  <c:v>9.3971610768628818E-7</c:v>
                </c:pt>
                <c:pt idx="73">
                  <c:v>8.3197088333906674E-7</c:v>
                </c:pt>
                <c:pt idx="74">
                  <c:v>7.3694848177022314E-7</c:v>
                </c:pt>
                <c:pt idx="75">
                  <c:v>6.5310707737120074E-7</c:v>
                </c:pt>
                <c:pt idx="76">
                  <c:v>5.790958217713734E-7</c:v>
                </c:pt>
                <c:pt idx="77">
                  <c:v>5.137307864547429E-7</c:v>
                </c:pt>
                <c:pt idx="78">
                  <c:v>4.5597396732522705E-7</c:v>
                </c:pt>
                <c:pt idx="79">
                  <c:v>4.0491496107113138E-7</c:v>
                </c:pt>
                <c:pt idx="80">
                  <c:v>3.597549722397665E-7</c:v>
                </c:pt>
                <c:pt idx="81">
                  <c:v>3.1979285305809461E-7</c:v>
                </c:pt>
                <c:pt idx="82">
                  <c:v>2.8441291587828802E-7</c:v>
                </c:pt>
                <c:pt idx="83">
                  <c:v>2.5307429128720439E-7</c:v>
                </c:pt>
                <c:pt idx="84">
                  <c:v>2.2530163393949502E-7</c:v>
                </c:pt>
                <c:pt idx="85">
                  <c:v>2.0067700354507439E-7</c:v>
                </c:pt>
                <c:pt idx="86">
                  <c:v>1.7883277060217558E-7</c:v>
                </c:pt>
                <c:pt idx="87">
                  <c:v>1.59445415808668E-7</c:v>
                </c:pt>
                <c:pt idx="88">
                  <c:v>1.4223010895454254E-7</c:v>
                </c:pt>
                <c:pt idx="89">
                  <c:v>1.2693596780555258E-7</c:v>
                </c:pt>
                <c:pt idx="90">
                  <c:v>1.1334191030361897E-7</c:v>
                </c:pt>
                <c:pt idx="91">
                  <c:v>1.0125302457328677E-7</c:v>
                </c:pt>
                <c:pt idx="92">
                  <c:v>9.0497390945470238E-8</c:v>
                </c:pt>
                <c:pt idx="93">
                  <c:v>8.0923298674541026E-8</c:v>
                </c:pt>
                <c:pt idx="94">
                  <c:v>7.2396807393951872E-8</c:v>
                </c:pt>
                <c:pt idx="95">
                  <c:v>6.4799609770403752E-8</c:v>
                </c:pt>
                <c:pt idx="96">
                  <c:v>5.8027157400420474E-8</c:v>
                </c:pt>
                <c:pt idx="97">
                  <c:v>5.1987016853827567E-8</c:v>
                </c:pt>
                <c:pt idx="98">
                  <c:v>4.6597426999925644E-8</c:v>
                </c:pt>
                <c:pt idx="99">
                  <c:v>4.1786032435909034E-8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  <c:pt idx="0">
                  <c:v>1.3071746885918489E-73</c:v>
                </c:pt>
                <c:pt idx="1">
                  <c:v>2.9783585286418217E-49</c:v>
                </c:pt>
                <c:pt idx="2">
                  <c:v>2.0141169087734586E-37</c:v>
                </c:pt>
                <c:pt idx="3">
                  <c:v>4.1225696649859275E-30</c:v>
                </c:pt>
                <c:pt idx="4">
                  <c:v>4.6481842013814803E-25</c:v>
                </c:pt>
                <c:pt idx="5">
                  <c:v>2.4765477689109334E-21</c:v>
                </c:pt>
                <c:pt idx="6">
                  <c:v>1.8324814217842635E-18</c:v>
                </c:pt>
                <c:pt idx="7">
                  <c:v>3.4676523523312228E-16</c:v>
                </c:pt>
                <c:pt idx="8">
                  <c:v>2.5466523842087249E-14</c:v>
                </c:pt>
                <c:pt idx="9">
                  <c:v>2.084093212837119E-12</c:v>
                </c:pt>
                <c:pt idx="10">
                  <c:v>3.1181444134931631E-10</c:v>
                </c:pt>
                <c:pt idx="11">
                  <c:v>1.9701717473692537E-8</c:v>
                </c:pt>
                <c:pt idx="12">
                  <c:v>4.7247417697600425E-7</c:v>
                </c:pt>
                <c:pt idx="13">
                  <c:v>5.078728043981421E-6</c:v>
                </c:pt>
                <c:pt idx="14">
                  <c:v>2.8314347449652552E-5</c:v>
                </c:pt>
                <c:pt idx="15">
                  <c:v>9.1873022701451158E-5</c:v>
                </c:pt>
                <c:pt idx="16">
                  <c:v>1.900864105002988E-4</c:v>
                </c:pt>
                <c:pt idx="17">
                  <c:v>2.6996375332926325E-4</c:v>
                </c:pt>
                <c:pt idx="18">
                  <c:v>2.8004136008229121E-4</c:v>
                </c:pt>
                <c:pt idx="19">
                  <c:v>2.2517776331058007E-4</c:v>
                </c:pt>
                <c:pt idx="20">
                  <c:v>1.5190311602709321E-4</c:v>
                </c:pt>
                <c:pt idx="21">
                  <c:v>1.0022831075727383E-4</c:v>
                </c:pt>
                <c:pt idx="22">
                  <c:v>8.3371141028569965E-5</c:v>
                </c:pt>
                <c:pt idx="23">
                  <c:v>9.8068335215364849E-5</c:v>
                </c:pt>
                <c:pt idx="24">
                  <c:v>1.4016561457388011E-4</c:v>
                </c:pt>
                <c:pt idx="25">
                  <c:v>2.1292338596893835E-4</c:v>
                </c:pt>
                <c:pt idx="26">
                  <c:v>3.2799960106572523E-4</c:v>
                </c:pt>
                <c:pt idx="27">
                  <c:v>5.0024567565423576E-4</c:v>
                </c:pt>
                <c:pt idx="28">
                  <c:v>7.3711185573204841E-4</c:v>
                </c:pt>
                <c:pt idx="29">
                  <c:v>1.0270269173715694E-3</c:v>
                </c:pt>
                <c:pt idx="30">
                  <c:v>1.334608300813993E-3</c:v>
                </c:pt>
                <c:pt idx="31">
                  <c:v>1.6082026429901472E-3</c:v>
                </c:pt>
                <c:pt idx="32">
                  <c:v>1.7973700598915726E-3</c:v>
                </c:pt>
                <c:pt idx="33">
                  <c:v>1.8710012426146117E-3</c:v>
                </c:pt>
                <c:pt idx="34">
                  <c:v>1.8265732325603275E-3</c:v>
                </c:pt>
                <c:pt idx="35">
                  <c:v>1.6871462734693065E-3</c:v>
                </c:pt>
                <c:pt idx="36">
                  <c:v>1.4897627270244471E-3</c:v>
                </c:pt>
                <c:pt idx="37">
                  <c:v>1.2721676009805889E-3</c:v>
                </c:pt>
                <c:pt idx="38">
                  <c:v>1.0634242322891106E-3</c:v>
                </c:pt>
                <c:pt idx="39">
                  <c:v>8.8040129909365984E-4</c:v>
                </c:pt>
                <c:pt idx="40">
                  <c:v>7.2901082466623297E-4</c:v>
                </c:pt>
                <c:pt idx="41">
                  <c:v>6.0778187409013247E-4</c:v>
                </c:pt>
                <c:pt idx="42">
                  <c:v>5.1163213837908091E-4</c:v>
                </c:pt>
                <c:pt idx="43">
                  <c:v>4.346643505219883E-4</c:v>
                </c:pt>
                <c:pt idx="44">
                  <c:v>3.7171745483805332E-4</c:v>
                </c:pt>
                <c:pt idx="45">
                  <c:v>3.1892216974616094E-4</c:v>
                </c:pt>
                <c:pt idx="46">
                  <c:v>2.7366364967826052E-4</c:v>
                </c:pt>
                <c:pt idx="47">
                  <c:v>2.342934960229319E-4</c:v>
                </c:pt>
                <c:pt idx="48">
                  <c:v>1.9980406553226295E-4</c:v>
                </c:pt>
                <c:pt idx="49">
                  <c:v>1.6956297564221733E-4</c:v>
                </c:pt>
                <c:pt idx="50">
                  <c:v>1.431323063148561E-4</c:v>
                </c:pt>
                <c:pt idx="51">
                  <c:v>1.2016170155933973E-4</c:v>
                </c:pt>
                <c:pt idx="52">
                  <c:v>1.0033382585781196E-4</c:v>
                </c:pt>
                <c:pt idx="53">
                  <c:v>8.3341941156246064E-5</c:v>
                </c:pt>
                <c:pt idx="54">
                  <c:v>6.8884719439460127E-5</c:v>
                </c:pt>
                <c:pt idx="55">
                  <c:v>5.6668836535400351E-5</c:v>
                </c:pt>
                <c:pt idx="56">
                  <c:v>4.6414016405457105E-5</c:v>
                </c:pt>
                <c:pt idx="57">
                  <c:v>3.7857881667767474E-5</c:v>
                </c:pt>
                <c:pt idx="58">
                  <c:v>3.0759534234205588E-5</c:v>
                </c:pt>
                <c:pt idx="59">
                  <c:v>2.4901617948831768E-5</c:v>
                </c:pt>
                <c:pt idx="60">
                  <c:v>2.0091002184539592E-5</c:v>
                </c:pt>
                <c:pt idx="61">
                  <c:v>1.6158370830138596E-5</c:v>
                </c:pt>
                <c:pt idx="62">
                  <c:v>1.2957024793869126E-5</c:v>
                </c:pt>
                <c:pt idx="63">
                  <c:v>1.0361174958226864E-5</c:v>
                </c:pt>
                <c:pt idx="64">
                  <c:v>8.2639515599226054E-6</c:v>
                </c:pt>
                <c:pt idx="65">
                  <c:v>6.5753025063722396E-6</c:v>
                </c:pt>
                <c:pt idx="66">
                  <c:v>5.2199048978807466E-6</c:v>
                </c:pt>
                <c:pt idx="67">
                  <c:v>4.1351738170581886E-6</c:v>
                </c:pt>
                <c:pt idx="68">
                  <c:v>3.2694206736433252E-6</c:v>
                </c:pt>
                <c:pt idx="69">
                  <c:v>2.5801893451901734E-6</c:v>
                </c:pt>
                <c:pt idx="70">
                  <c:v>2.0327808889586545E-6</c:v>
                </c:pt>
                <c:pt idx="71">
                  <c:v>1.5989654815274979E-6</c:v>
                </c:pt>
                <c:pt idx="72">
                  <c:v>1.2558723065506608E-6</c:v>
                </c:pt>
                <c:pt idx="73">
                  <c:v>9.8504333990399324E-7</c:v>
                </c:pt>
                <c:pt idx="74">
                  <c:v>7.7163452649298719E-7</c:v>
                </c:pt>
                <c:pt idx="75">
                  <c:v>6.0374702173558568E-7</c:v>
                </c:pt>
                <c:pt idx="76">
                  <c:v>4.718714510792668E-7</c:v>
                </c:pt>
                <c:pt idx="77">
                  <c:v>3.6842911976856705E-7</c:v>
                </c:pt>
                <c:pt idx="78">
                  <c:v>2.8739548584815466E-7</c:v>
                </c:pt>
                <c:pt idx="79">
                  <c:v>2.2399278065382463E-7</c:v>
                </c:pt>
                <c:pt idx="80">
                  <c:v>1.7444027765963434E-7</c:v>
                </c:pt>
                <c:pt idx="81">
                  <c:v>1.3575227758772864E-7</c:v>
                </c:pt>
                <c:pt idx="82">
                  <c:v>1.0557533728908661E-7</c:v>
                </c:pt>
                <c:pt idx="83">
                  <c:v>8.2057590807598006E-8</c:v>
                </c:pt>
                <c:pt idx="84">
                  <c:v>6.3744180456636808E-8</c:v>
                </c:pt>
                <c:pt idx="85">
                  <c:v>4.9493833193910382E-8</c:v>
                </c:pt>
                <c:pt idx="86">
                  <c:v>3.8412490373838154E-8</c:v>
                </c:pt>
                <c:pt idx="87">
                  <c:v>2.9800638876566237E-8</c:v>
                </c:pt>
                <c:pt idx="88">
                  <c:v>2.3111612650008836E-8</c:v>
                </c:pt>
                <c:pt idx="89">
                  <c:v>1.7918650499784482E-8</c:v>
                </c:pt>
                <c:pt idx="90">
                  <c:v>1.3888922820287377E-8</c:v>
                </c:pt>
                <c:pt idx="91">
                  <c:v>1.0763090230468735E-8</c:v>
                </c:pt>
                <c:pt idx="92">
                  <c:v>8.3392428432526413E-9</c:v>
                </c:pt>
                <c:pt idx="93">
                  <c:v>6.4603008396064975E-9</c:v>
                </c:pt>
                <c:pt idx="94">
                  <c:v>5.0041444093260662E-9</c:v>
                </c:pt>
                <c:pt idx="95">
                  <c:v>3.8758918923736401E-9</c:v>
                </c:pt>
                <c:pt idx="96">
                  <c:v>3.001865810798275E-9</c:v>
                </c:pt>
                <c:pt idx="97">
                  <c:v>2.3248830305842124E-9</c:v>
                </c:pt>
                <c:pt idx="98">
                  <c:v>1.8005821874919245E-9</c:v>
                </c:pt>
                <c:pt idx="99">
                  <c:v>1.39456258138818E-9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  <c:pt idx="0">
                  <c:v>3.3112965668977355E-34</c:v>
                </c:pt>
                <c:pt idx="1">
                  <c:v>2.8194945089213393E-22</c:v>
                </c:pt>
                <c:pt idx="2">
                  <c:v>7.607238251707991E-17</c:v>
                </c:pt>
                <c:pt idx="3">
                  <c:v>1.1010700338212349E-13</c:v>
                </c:pt>
                <c:pt idx="4">
                  <c:v>1.251193427586435E-11</c:v>
                </c:pt>
                <c:pt idx="5">
                  <c:v>3.3109769133841491E-10</c:v>
                </c:pt>
                <c:pt idx="6">
                  <c:v>3.4879337426857931E-9</c:v>
                </c:pt>
                <c:pt idx="7">
                  <c:v>1.9721009819939293E-8</c:v>
                </c:pt>
                <c:pt idx="8">
                  <c:v>7.1732436335762805E-8</c:v>
                </c:pt>
                <c:pt idx="9">
                  <c:v>1.8865670761659786E-7</c:v>
                </c:pt>
                <c:pt idx="10">
                  <c:v>3.882568201563255E-7</c:v>
                </c:pt>
                <c:pt idx="11">
                  <c:v>6.6093354203821666E-7</c:v>
                </c:pt>
                <c:pt idx="12">
                  <c:v>9.688218730924801E-7</c:v>
                </c:pt>
                <c:pt idx="13">
                  <c:v>1.2599802375149276E-6</c:v>
                </c:pt>
                <c:pt idx="14">
                  <c:v>1.4874928299550706E-6</c:v>
                </c:pt>
                <c:pt idx="15">
                  <c:v>1.623541377223157E-6</c:v>
                </c:pt>
                <c:pt idx="16">
                  <c:v>1.6647956066161528E-6</c:v>
                </c:pt>
                <c:pt idx="17">
                  <c:v>1.6310978815249378E-6</c:v>
                </c:pt>
                <c:pt idx="18">
                  <c:v>1.5613414449730706E-6</c:v>
                </c:pt>
                <c:pt idx="19">
                  <c:v>1.5092849366046336E-6</c:v>
                </c:pt>
                <c:pt idx="20">
                  <c:v>1.5398229977528202E-6</c:v>
                </c:pt>
                <c:pt idx="21">
                  <c:v>1.7246348551824984E-6</c:v>
                </c:pt>
                <c:pt idx="22">
                  <c:v>2.1358818687227461E-6</c:v>
                </c:pt>
                <c:pt idx="23">
                  <c:v>2.8375370050927609E-6</c:v>
                </c:pt>
                <c:pt idx="24">
                  <c:v>3.8753025293024265E-6</c:v>
                </c:pt>
                <c:pt idx="25">
                  <c:v>5.2671448697517383E-6</c:v>
                </c:pt>
                <c:pt idx="26">
                  <c:v>6.9967688506544108E-6</c:v>
                </c:pt>
                <c:pt idx="27">
                  <c:v>9.011803884784344E-6</c:v>
                </c:pt>
                <c:pt idx="28">
                  <c:v>1.1227361402289217E-5</c:v>
                </c:pt>
                <c:pt idx="29">
                  <c:v>1.3534378552058807E-5</c:v>
                </c:pt>
                <c:pt idx="30">
                  <c:v>1.5811180056038813E-5</c:v>
                </c:pt>
                <c:pt idx="31">
                  <c:v>1.793619619648077E-5</c:v>
                </c:pt>
                <c:pt idx="32">
                  <c:v>1.9799805348747967E-5</c:v>
                </c:pt>
                <c:pt idx="33">
                  <c:v>2.13137094059255E-5</c:v>
                </c:pt>
                <c:pt idx="34">
                  <c:v>2.2416910971305101E-5</c:v>
                </c:pt>
                <c:pt idx="35">
                  <c:v>2.3078051857837467E-5</c:v>
                </c:pt>
                <c:pt idx="36">
                  <c:v>2.3294449548687126E-5</c:v>
                </c:pt>
                <c:pt idx="37">
                  <c:v>2.3088554153409941E-5</c:v>
                </c:pt>
                <c:pt idx="38">
                  <c:v>2.2502727221005981E-5</c:v>
                </c:pt>
                <c:pt idx="39">
                  <c:v>2.1593244220112518E-5</c:v>
                </c:pt>
                <c:pt idx="40">
                  <c:v>2.0424296645500522E-5</c:v>
                </c:pt>
                <c:pt idx="41">
                  <c:v>1.9062574730600959E-5</c:v>
                </c:pt>
                <c:pt idx="42">
                  <c:v>1.7572797444015342E-5</c:v>
                </c:pt>
                <c:pt idx="43">
                  <c:v>1.6014359012888919E-5</c:v>
                </c:pt>
                <c:pt idx="44">
                  <c:v>1.4439101960660357E-5</c:v>
                </c:pt>
                <c:pt idx="45">
                  <c:v>1.2890113950627283E-5</c:v>
                </c:pt>
                <c:pt idx="46">
                  <c:v>1.1401378487001775E-5</c:v>
                </c:pt>
                <c:pt idx="47">
                  <c:v>9.9980808505327556E-6</c:v>
                </c:pt>
                <c:pt idx="48">
                  <c:v>8.6973710328047456E-6</c:v>
                </c:pt>
                <c:pt idx="49">
                  <c:v>7.5094050914772272E-6</c:v>
                </c:pt>
                <c:pt idx="50">
                  <c:v>6.4385166438012455E-6</c:v>
                </c:pt>
                <c:pt idx="51">
                  <c:v>5.4844043680905107E-6</c:v>
                </c:pt>
                <c:pt idx="52">
                  <c:v>4.6432546243611204E-6</c:v>
                </c:pt>
                <c:pt idx="53">
                  <c:v>3.9087476989092276E-6</c:v>
                </c:pt>
                <c:pt idx="54">
                  <c:v>3.2729202665318571E-6</c:v>
                </c:pt>
                <c:pt idx="55">
                  <c:v>2.7268750730115071E-6</c:v>
                </c:pt>
                <c:pt idx="56">
                  <c:v>2.2613419020755926E-6</c:v>
                </c:pt>
                <c:pt idx="57">
                  <c:v>1.8671023376517611E-6</c:v>
                </c:pt>
                <c:pt idx="58">
                  <c:v>1.5352955646757533E-6</c:v>
                </c:pt>
                <c:pt idx="59">
                  <c:v>1.2576243818530431E-6</c:v>
                </c:pt>
                <c:pt idx="60">
                  <c:v>1.0264805552150296E-6</c:v>
                </c:pt>
                <c:pt idx="61">
                  <c:v>8.3500731734175314E-7</c:v>
                </c:pt>
                <c:pt idx="62">
                  <c:v>6.7711476184744071E-7</c:v>
                </c:pt>
                <c:pt idx="63">
                  <c:v>5.4746150312929572E-7</c:v>
                </c:pt>
                <c:pt idx="64">
                  <c:v>4.4141355098673901E-7</c:v>
                </c:pt>
                <c:pt idx="65">
                  <c:v>3.5498907113571214E-7</c:v>
                </c:pt>
                <c:pt idx="66">
                  <c:v>2.8479567064089702E-7</c:v>
                </c:pt>
                <c:pt idx="67">
                  <c:v>2.2796510984922614E-7</c:v>
                </c:pt>
                <c:pt idx="68">
                  <c:v>1.8208890851426543E-7</c:v>
                </c:pt>
                <c:pt idx="69">
                  <c:v>1.4515716758869621E-7</c:v>
                </c:pt>
                <c:pt idx="70">
                  <c:v>1.1550203960201975E-7</c:v>
                </c:pt>
                <c:pt idx="71">
                  <c:v>9.1746613087241343E-8</c:v>
                </c:pt>
                <c:pt idx="72">
                  <c:v>7.2759492281989267E-8</c:v>
                </c:pt>
                <c:pt idx="73">
                  <c:v>5.7615016314932675E-8</c:v>
                </c:pt>
                <c:pt idx="74">
                  <c:v>4.5558840032010831E-8</c:v>
                </c:pt>
                <c:pt idx="75">
                  <c:v>3.5978463807398461E-8</c:v>
                </c:pt>
                <c:pt idx="76">
                  <c:v>2.8378229127357423E-8</c:v>
                </c:pt>
                <c:pt idx="77">
                  <c:v>2.235827191049539E-8</c:v>
                </c:pt>
                <c:pt idx="78">
                  <c:v>1.7596931916598294E-8</c:v>
                </c:pt>
                <c:pt idx="79">
                  <c:v>1.3836143111891729E-8</c:v>
                </c:pt>
                <c:pt idx="80">
                  <c:v>1.0869368260882599E-8</c:v>
                </c:pt>
                <c:pt idx="81">
                  <c:v>8.5316853567332052E-9</c:v>
                </c:pt>
                <c:pt idx="82">
                  <c:v>6.6916796368243298E-9</c:v>
                </c:pt>
                <c:pt idx="83">
                  <c:v>5.2448400908210872E-9</c:v>
                </c:pt>
                <c:pt idx="84">
                  <c:v>4.1082018194423287E-9</c:v>
                </c:pt>
                <c:pt idx="85">
                  <c:v>3.2160143584336586E-9</c:v>
                </c:pt>
                <c:pt idx="86">
                  <c:v>2.5162506899674052E-9</c:v>
                </c:pt>
                <c:pt idx="87">
                  <c:v>1.9678020306926408E-9</c:v>
                </c:pt>
                <c:pt idx="88">
                  <c:v>1.5382297550251447E-9</c:v>
                </c:pt>
                <c:pt idx="89">
                  <c:v>1.2019682695142823E-9</c:v>
                </c:pt>
                <c:pt idx="90">
                  <c:v>9.3889166102753389E-10</c:v>
                </c:pt>
                <c:pt idx="91">
                  <c:v>7.3317289033505769E-10</c:v>
                </c:pt>
                <c:pt idx="92">
                  <c:v>5.7237758579782308E-10</c:v>
                </c:pt>
                <c:pt idx="93">
                  <c:v>4.4674548251650289E-10</c:v>
                </c:pt>
                <c:pt idx="94">
                  <c:v>3.4862159356293975E-10</c:v>
                </c:pt>
                <c:pt idx="95">
                  <c:v>2.7200659927422219E-10</c:v>
                </c:pt>
                <c:pt idx="96">
                  <c:v>2.1220196831379003E-10</c:v>
                </c:pt>
                <c:pt idx="97">
                  <c:v>1.6553021420561764E-10</c:v>
                </c:pt>
                <c:pt idx="98">
                  <c:v>1.2911464322243784E-10</c:v>
                </c:pt>
                <c:pt idx="99">
                  <c:v>1.0070613288334772E-10</c:v>
                </c:pt>
              </c:numCache>
            </c:numRef>
          </c:yVal>
          <c:smooth val="1"/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  <c:pt idx="0">
                  <c:v>5.2461786094267035E-13</c:v>
                </c:pt>
                <c:pt idx="1">
                  <c:v>2.533709063689603E-8</c:v>
                </c:pt>
                <c:pt idx="2">
                  <c:v>2.2598892964645466E-6</c:v>
                </c:pt>
                <c:pt idx="3">
                  <c:v>2.4302127845405488E-5</c:v>
                </c:pt>
                <c:pt idx="4">
                  <c:v>9.6943333143739358E-5</c:v>
                </c:pt>
                <c:pt idx="5">
                  <c:v>2.2443057594031689E-4</c:v>
                </c:pt>
                <c:pt idx="6">
                  <c:v>3.7518763370437768E-4</c:v>
                </c:pt>
                <c:pt idx="7">
                  <c:v>5.1150040128614073E-4</c:v>
                </c:pt>
                <c:pt idx="8">
                  <c:v>6.1243147500432101E-4</c:v>
                </c:pt>
                <c:pt idx="9">
                  <c:v>6.7550345684861313E-4</c:v>
                </c:pt>
                <c:pt idx="10">
                  <c:v>7.0825520950312077E-4</c:v>
                </c:pt>
                <c:pt idx="11">
                  <c:v>7.2031673517361429E-4</c:v>
                </c:pt>
                <c:pt idx="12">
                  <c:v>7.1973171059771645E-4</c:v>
                </c:pt>
                <c:pt idx="13">
                  <c:v>7.149528632245844E-4</c:v>
                </c:pt>
                <c:pt idx="14">
                  <c:v>7.2289238380529521E-4</c:v>
                </c:pt>
                <c:pt idx="15">
                  <c:v>7.6634114226215911E-4</c:v>
                </c:pt>
                <c:pt idx="16">
                  <c:v>8.4016714894730421E-4</c:v>
                </c:pt>
                <c:pt idx="17">
                  <c:v>8.9182290599469356E-4</c:v>
                </c:pt>
                <c:pt idx="18">
                  <c:v>8.7040134091273948E-4</c:v>
                </c:pt>
                <c:pt idx="19">
                  <c:v>7.8147166428351106E-4</c:v>
                </c:pt>
                <c:pt idx="20">
                  <c:v>6.7238644488611837E-4</c:v>
                </c:pt>
                <c:pt idx="21">
                  <c:v>5.8401978210307519E-4</c:v>
                </c:pt>
                <c:pt idx="22">
                  <c:v>5.3042330196186732E-4</c:v>
                </c:pt>
                <c:pt idx="23">
                  <c:v>5.0908169257041734E-4</c:v>
                </c:pt>
                <c:pt idx="24">
                  <c:v>5.1646384857010805E-4</c:v>
                </c:pt>
                <c:pt idx="25">
                  <c:v>5.5630706887466327E-4</c:v>
                </c:pt>
                <c:pt idx="26">
                  <c:v>6.4059404299277511E-4</c:v>
                </c:pt>
                <c:pt idx="27">
                  <c:v>7.8435600825381435E-4</c:v>
                </c:pt>
                <c:pt idx="28">
                  <c:v>9.9509547714071137E-4</c:v>
                </c:pt>
                <c:pt idx="29">
                  <c:v>1.2611900791633069E-3</c:v>
                </c:pt>
                <c:pt idx="30">
                  <c:v>1.5471301528105668E-3</c:v>
                </c:pt>
                <c:pt idx="31">
                  <c:v>1.8010868081263661E-3</c:v>
                </c:pt>
                <c:pt idx="32">
                  <c:v>1.972421138514134E-3</c:v>
                </c:pt>
                <c:pt idx="33">
                  <c:v>2.0298217917773332E-3</c:v>
                </c:pt>
                <c:pt idx="34">
                  <c:v>1.970575820006266E-3</c:v>
                </c:pt>
                <c:pt idx="35">
                  <c:v>1.8175750988981159E-3</c:v>
                </c:pt>
                <c:pt idx="36">
                  <c:v>1.607719850938121E-3</c:v>
                </c:pt>
                <c:pt idx="37">
                  <c:v>1.3786397854151089E-3</c:v>
                </c:pt>
                <c:pt idx="38">
                  <c:v>1.1593075412511477E-3</c:v>
                </c:pt>
                <c:pt idx="39">
                  <c:v>9.6652173385959259E-4</c:v>
                </c:pt>
                <c:pt idx="40">
                  <c:v>8.0614024518118493E-4</c:v>
                </c:pt>
                <c:pt idx="41">
                  <c:v>6.7664921014788312E-4</c:v>
                </c:pt>
                <c:pt idx="42">
                  <c:v>5.7293040389359493E-4</c:v>
                </c:pt>
                <c:pt idx="43">
                  <c:v>4.8905425995530614E-4</c:v>
                </c:pt>
                <c:pt idx="44">
                  <c:v>4.1982854392428768E-4</c:v>
                </c:pt>
                <c:pt idx="45">
                  <c:v>3.6135229294871721E-4</c:v>
                </c:pt>
                <c:pt idx="46">
                  <c:v>3.1097761308670677E-4</c:v>
                </c:pt>
                <c:pt idx="47">
                  <c:v>2.6702142823988853E-4</c:v>
                </c:pt>
                <c:pt idx="48">
                  <c:v>2.2843996226449122E-4</c:v>
                </c:pt>
                <c:pt idx="49">
                  <c:v>1.9456369776399432E-4</c:v>
                </c:pt>
                <c:pt idx="50">
                  <c:v>1.6491717867681593E-4</c:v>
                </c:pt>
                <c:pt idx="51">
                  <c:v>1.3911275620992198E-4</c:v>
                </c:pt>
                <c:pt idx="52">
                  <c:v>1.1679665899417883E-4</c:v>
                </c:pt>
                <c:pt idx="53">
                  <c:v>9.7627105197799384E-5</c:v>
                </c:pt>
                <c:pt idx="54">
                  <c:v>8.1269545617292636E-5</c:v>
                </c:pt>
                <c:pt idx="55">
                  <c:v>6.7399574258872533E-5</c:v>
                </c:pt>
                <c:pt idx="56">
                  <c:v>5.5708178534472514E-5</c:v>
                </c:pt>
                <c:pt idx="57">
                  <c:v>4.5906695434716938E-5</c:v>
                </c:pt>
                <c:pt idx="58">
                  <c:v>3.7730412480639949E-5</c:v>
                </c:pt>
                <c:pt idx="59">
                  <c:v>3.0940581966471255E-5</c:v>
                </c:pt>
                <c:pt idx="60">
                  <c:v>2.5325003947919939E-5</c:v>
                </c:pt>
                <c:pt idx="61">
                  <c:v>2.0697477601260107E-5</c:v>
                </c:pt>
                <c:pt idx="62">
                  <c:v>1.689644230553458E-5</c:v>
                </c:pt>
                <c:pt idx="63">
                  <c:v>1.3783096362820933E-5</c:v>
                </c:pt>
                <c:pt idx="64">
                  <c:v>1.1239228050176694E-5</c:v>
                </c:pt>
                <c:pt idx="65">
                  <c:v>9.1649381296031932E-6</c:v>
                </c:pt>
                <c:pt idx="66">
                  <c:v>7.4763828460931329E-6</c:v>
                </c:pt>
                <c:pt idx="67">
                  <c:v>6.1036246743946748E-6</c:v>
                </c:pt>
                <c:pt idx="68">
                  <c:v>4.9886450367822301E-6</c:v>
                </c:pt>
                <c:pt idx="69">
                  <c:v>4.0835481795863572E-6</c:v>
                </c:pt>
                <c:pt idx="70">
                  <c:v>3.3489671908139714E-6</c:v>
                </c:pt>
                <c:pt idx="71">
                  <c:v>2.7526704912501976E-6</c:v>
                </c:pt>
                <c:pt idx="72">
                  <c:v>2.2683588353432038E-6</c:v>
                </c:pt>
                <c:pt idx="73">
                  <c:v>1.8746378623779263E-6</c:v>
                </c:pt>
                <c:pt idx="74">
                  <c:v>1.554148662467105E-6</c:v>
                </c:pt>
                <c:pt idx="75">
                  <c:v>1.2928379562215838E-6</c:v>
                </c:pt>
                <c:pt idx="76">
                  <c:v>1.079349777273831E-6</c:v>
                </c:pt>
                <c:pt idx="77">
                  <c:v>9.045215723290113E-7</c:v>
                </c:pt>
                <c:pt idx="78">
                  <c:v>7.609690838110588E-7</c:v>
                </c:pt>
                <c:pt idx="79">
                  <c:v>6.4274603375946596E-7</c:v>
                </c:pt>
                <c:pt idx="80">
                  <c:v>5.4506633178748031E-7</c:v>
                </c:pt>
                <c:pt idx="81">
                  <c:v>4.6407818447502533E-7</c:v>
                </c:pt>
                <c:pt idx="82">
                  <c:v>3.966810271924948E-7</c:v>
                </c:pt>
                <c:pt idx="83">
                  <c:v>3.4037759860935603E-7</c:v>
                </c:pt>
                <c:pt idx="84">
                  <c:v>2.9315471905471512E-7</c:v>
                </c:pt>
                <c:pt idx="85">
                  <c:v>2.5338741549978053E-7</c:v>
                </c:pt>
                <c:pt idx="86">
                  <c:v>2.1976196550818227E-7</c:v>
                </c:pt>
                <c:pt idx="87">
                  <c:v>1.9121422213931687E-7</c:v>
                </c:pt>
                <c:pt idx="88">
                  <c:v>1.6688024597508163E-7</c:v>
                </c:pt>
                <c:pt idx="89">
                  <c:v>1.4605682440952332E-7</c:v>
                </c:pt>
                <c:pt idx="90">
                  <c:v>1.2816991702667929E-7</c:v>
                </c:pt>
                <c:pt idx="91">
                  <c:v>1.1274944327846897E-7</c:v>
                </c:pt>
                <c:pt idx="92">
                  <c:v>9.940913744777172E-8</c:v>
                </c:pt>
                <c:pt idx="93">
                  <c:v>8.7830447281590842E-8</c:v>
                </c:pt>
                <c:pt idx="94">
                  <c:v>7.7749656482338426E-8</c:v>
                </c:pt>
                <c:pt idx="95">
                  <c:v>6.8947575832532627E-8</c:v>
                </c:pt>
                <c:pt idx="96">
                  <c:v>6.1241280196977468E-8</c:v>
                </c:pt>
                <c:pt idx="97">
                  <c:v>5.4477474947227334E-8</c:v>
                </c:pt>
                <c:pt idx="98">
                  <c:v>4.8527160431928741E-8</c:v>
                </c:pt>
                <c:pt idx="99">
                  <c:v>4.3281331054667922E-8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  <c:pt idx="0">
                  <c:v>8.7950924493197219E-12</c:v>
                </c:pt>
                <c:pt idx="1">
                  <c:v>4.540363888058468E-7</c:v>
                </c:pt>
                <c:pt idx="2">
                  <c:v>3.8940946614480246E-5</c:v>
                </c:pt>
                <c:pt idx="3">
                  <c:v>3.8557952915077982E-4</c:v>
                </c:pt>
                <c:pt idx="4">
                  <c:v>1.3798670965568442E-3</c:v>
                </c:pt>
                <c:pt idx="5">
                  <c:v>2.8077719341195319E-3</c:v>
                </c:pt>
                <c:pt idx="6">
                  <c:v>4.044928679774862E-3</c:v>
                </c:pt>
                <c:pt idx="7">
                  <c:v>4.651416320904809E-3</c:v>
                </c:pt>
                <c:pt idx="8">
                  <c:v>4.5856557403647262E-3</c:v>
                </c:pt>
                <c:pt idx="9">
                  <c:v>4.0550792792527117E-3</c:v>
                </c:pt>
                <c:pt idx="10">
                  <c:v>3.314471116910096E-3</c:v>
                </c:pt>
                <c:pt idx="11">
                  <c:v>2.5563742358980851E-3</c:v>
                </c:pt>
                <c:pt idx="12">
                  <c:v>1.8879965889159846E-3</c:v>
                </c:pt>
                <c:pt idx="13">
                  <c:v>1.3495152024589196E-3</c:v>
                </c:pt>
                <c:pt idx="14">
                  <c:v>9.4100661855057359E-4</c:v>
                </c:pt>
                <c:pt idx="15">
                  <c:v>6.4393454615384359E-4</c:v>
                </c:pt>
                <c:pt idx="16">
                  <c:v>4.3442329132601791E-4</c:v>
                </c:pt>
                <c:pt idx="17">
                  <c:v>2.8996687978201244E-4</c:v>
                </c:pt>
                <c:pt idx="18">
                  <c:v>1.9202398622188743E-4</c:v>
                </c:pt>
                <c:pt idx="19">
                  <c:v>1.2644137620639403E-4</c:v>
                </c:pt>
                <c:pt idx="20">
                  <c:v>8.2929707208804625E-5</c:v>
                </c:pt>
                <c:pt idx="21">
                  <c:v>5.4253508116559614E-5</c:v>
                </c:pt>
                <c:pt idx="22">
                  <c:v>3.5443241470865648E-5</c:v>
                </c:pt>
                <c:pt idx="23">
                  <c:v>2.3143247230346521E-5</c:v>
                </c:pt>
                <c:pt idx="24">
                  <c:v>1.5115512015051588E-5</c:v>
                </c:pt>
                <c:pt idx="25">
                  <c:v>9.8807831586263542E-6</c:v>
                </c:pt>
                <c:pt idx="26">
                  <c:v>6.4676020871626898E-6</c:v>
                </c:pt>
                <c:pt idx="27">
                  <c:v>4.2408451975584078E-6</c:v>
                </c:pt>
                <c:pt idx="28">
                  <c:v>2.7865063713085062E-6</c:v>
                </c:pt>
                <c:pt idx="29">
                  <c:v>1.8351886651776938E-6</c:v>
                </c:pt>
                <c:pt idx="30">
                  <c:v>1.2117330202160545E-6</c:v>
                </c:pt>
                <c:pt idx="31">
                  <c:v>8.02255869504825E-7</c:v>
                </c:pt>
                <c:pt idx="32">
                  <c:v>5.3266917723446941E-7</c:v>
                </c:pt>
                <c:pt idx="33">
                  <c:v>3.5472124980711575E-7</c:v>
                </c:pt>
                <c:pt idx="34">
                  <c:v>2.3693950397348951E-7</c:v>
                </c:pt>
                <c:pt idx="35">
                  <c:v>1.5875782333822753E-7</c:v>
                </c:pt>
                <c:pt idx="36">
                  <c:v>1.0670861613306806E-7</c:v>
                </c:pt>
                <c:pt idx="37">
                  <c:v>7.1952114408309848E-8</c:v>
                </c:pt>
                <c:pt idx="38">
                  <c:v>4.8671543116353194E-8</c:v>
                </c:pt>
                <c:pt idx="39">
                  <c:v>3.3029156478504755E-8</c:v>
                </c:pt>
                <c:pt idx="40">
                  <c:v>2.248589964161211E-8</c:v>
                </c:pt>
                <c:pt idx="41">
                  <c:v>1.5357126152629593E-8</c:v>
                </c:pt>
                <c:pt idx="42">
                  <c:v>1.0521808475242736E-8</c:v>
                </c:pt>
                <c:pt idx="43">
                  <c:v>7.2317475053711894E-9</c:v>
                </c:pt>
                <c:pt idx="44">
                  <c:v>4.9860700458771043E-9</c:v>
                </c:pt>
                <c:pt idx="45">
                  <c:v>3.4484511118555458E-9</c:v>
                </c:pt>
                <c:pt idx="46">
                  <c:v>2.3923648559225413E-9</c:v>
                </c:pt>
                <c:pt idx="47">
                  <c:v>1.6647707414968991E-9</c:v>
                </c:pt>
                <c:pt idx="48">
                  <c:v>1.1619577541736034E-9</c:v>
                </c:pt>
                <c:pt idx="49">
                  <c:v>8.134290165936682E-10</c:v>
                </c:pt>
                <c:pt idx="50">
                  <c:v>5.7111873581510195E-10</c:v>
                </c:pt>
                <c:pt idx="51">
                  <c:v>4.0215565600818207E-10</c:v>
                </c:pt>
                <c:pt idx="52">
                  <c:v>2.8399211348091484E-10</c:v>
                </c:pt>
                <c:pt idx="53">
                  <c:v>2.0111561401632269E-10</c:v>
                </c:pt>
                <c:pt idx="54">
                  <c:v>1.4282218004998269E-10</c:v>
                </c:pt>
                <c:pt idx="55">
                  <c:v>1.0170417050249778E-10</c:v>
                </c:pt>
                <c:pt idx="56">
                  <c:v>7.2620287092899951E-11</c:v>
                </c:pt>
                <c:pt idx="57">
                  <c:v>5.1991954854580366E-11</c:v>
                </c:pt>
                <c:pt idx="58">
                  <c:v>3.732125849210628E-11</c:v>
                </c:pt>
                <c:pt idx="59">
                  <c:v>2.6859716718207644E-11</c:v>
                </c:pt>
                <c:pt idx="60">
                  <c:v>1.9380045500032214E-11</c:v>
                </c:pt>
                <c:pt idx="61">
                  <c:v>1.4018441480495883E-11</c:v>
                </c:pt>
                <c:pt idx="62">
                  <c:v>1.0165290374105068E-11</c:v>
                </c:pt>
                <c:pt idx="63">
                  <c:v>7.3892216584198808E-12</c:v>
                </c:pt>
                <c:pt idx="64">
                  <c:v>5.3841902120454215E-12</c:v>
                </c:pt>
                <c:pt idx="65">
                  <c:v>3.9325029141861097E-12</c:v>
                </c:pt>
                <c:pt idx="66">
                  <c:v>2.8789164852514767E-12</c:v>
                </c:pt>
                <c:pt idx="67">
                  <c:v>2.1124433291690211E-12</c:v>
                </c:pt>
                <c:pt idx="68">
                  <c:v>1.5535381729160837E-12</c:v>
                </c:pt>
                <c:pt idx="69">
                  <c:v>1.1450508525545908E-12</c:v>
                </c:pt>
                <c:pt idx="70">
                  <c:v>8.4582199372536963E-13</c:v>
                </c:pt>
                <c:pt idx="71">
                  <c:v>6.2613812544678105E-13</c:v>
                </c:pt>
                <c:pt idx="72">
                  <c:v>4.644983462977444E-13</c:v>
                </c:pt>
                <c:pt idx="73">
                  <c:v>3.4530842024493404E-13</c:v>
                </c:pt>
                <c:pt idx="74">
                  <c:v>2.5723230720799594E-13</c:v>
                </c:pt>
                <c:pt idx="75">
                  <c:v>1.9201087631433646E-13</c:v>
                </c:pt>
                <c:pt idx="76">
                  <c:v>1.4361340848186156E-13</c:v>
                </c:pt>
                <c:pt idx="77">
                  <c:v>1.0762672108801506E-13</c:v>
                </c:pt>
                <c:pt idx="78">
                  <c:v>8.0814361691368781E-14</c:v>
                </c:pt>
                <c:pt idx="79">
                  <c:v>6.0797804968326693E-14</c:v>
                </c:pt>
                <c:pt idx="80">
                  <c:v>4.5825372210721742E-14</c:v>
                </c:pt>
                <c:pt idx="81">
                  <c:v>3.4604367557600217E-14</c:v>
                </c:pt>
                <c:pt idx="82">
                  <c:v>2.6178872593759851E-14</c:v>
                </c:pt>
                <c:pt idx="83">
                  <c:v>1.9840590322330057E-14</c:v>
                </c:pt>
                <c:pt idx="84">
                  <c:v>1.5063663540617572E-14</c:v>
                </c:pt>
                <c:pt idx="85">
                  <c:v>1.1456921771463682E-14</c:v>
                </c:pt>
                <c:pt idx="86">
                  <c:v>8.7288249131857229E-15</c:v>
                </c:pt>
                <c:pt idx="87">
                  <c:v>6.6616757377661989E-15</c:v>
                </c:pt>
                <c:pt idx="88">
                  <c:v>5.0926127384274886E-15</c:v>
                </c:pt>
                <c:pt idx="89">
                  <c:v>3.899573000492552E-15</c:v>
                </c:pt>
                <c:pt idx="90">
                  <c:v>2.9909054098137747E-15</c:v>
                </c:pt>
                <c:pt idx="91">
                  <c:v>2.2976702215989466E-15</c:v>
                </c:pt>
                <c:pt idx="92">
                  <c:v>1.7679194297364296E-15</c:v>
                </c:pt>
                <c:pt idx="93">
                  <c:v>1.3624404960637066E-15</c:v>
                </c:pt>
                <c:pt idx="94">
                  <c:v>1.0515832193664757E-15</c:v>
                </c:pt>
                <c:pt idx="95">
                  <c:v>8.1288981569703968E-16</c:v>
                </c:pt>
                <c:pt idx="96">
                  <c:v>6.293217267478386E-16</c:v>
                </c:pt>
                <c:pt idx="97">
                  <c:v>4.8793056206351993E-16</c:v>
                </c:pt>
                <c:pt idx="98">
                  <c:v>3.7886019653439488E-16</c:v>
                </c:pt>
                <c:pt idx="99">
                  <c:v>2.9459622234701165E-16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  <c:pt idx="0">
                  <c:v>2.4196027203880632E-15</c:v>
                </c:pt>
                <c:pt idx="1">
                  <c:v>1.7126313655042659E-10</c:v>
                </c:pt>
                <c:pt idx="2">
                  <c:v>2.9250618877345383E-8</c:v>
                </c:pt>
                <c:pt idx="3">
                  <c:v>6.0182558018490522E-7</c:v>
                </c:pt>
                <c:pt idx="4">
                  <c:v>3.9597551651383862E-6</c:v>
                </c:pt>
                <c:pt idx="5">
                  <c:v>1.5068440425792144E-5</c:v>
                </c:pt>
                <c:pt idx="6">
                  <c:v>4.3801691825070555E-5</c:v>
                </c:pt>
                <c:pt idx="7">
                  <c:v>9.3690884439025468E-5</c:v>
                </c:pt>
                <c:pt idx="8">
                  <c:v>1.6332936326056145E-4</c:v>
                </c:pt>
                <c:pt idx="9">
                  <c:v>2.4572064075746168E-4</c:v>
                </c:pt>
                <c:pt idx="10">
                  <c:v>3.2767512861590659E-4</c:v>
                </c:pt>
                <c:pt idx="11">
                  <c:v>3.9331673428133089E-4</c:v>
                </c:pt>
                <c:pt idx="12">
                  <c:v>4.4658641525930747E-4</c:v>
                </c:pt>
                <c:pt idx="13">
                  <c:v>5.128916804941077E-4</c:v>
                </c:pt>
                <c:pt idx="14">
                  <c:v>5.6353190328216449E-4</c:v>
                </c:pt>
                <c:pt idx="15">
                  <c:v>5.9577597986470673E-4</c:v>
                </c:pt>
                <c:pt idx="16">
                  <c:v>6.0783202539124845E-4</c:v>
                </c:pt>
                <c:pt idx="17">
                  <c:v>5.9459384705346831E-4</c:v>
                </c:pt>
                <c:pt idx="18">
                  <c:v>5.7146483436119834E-4</c:v>
                </c:pt>
                <c:pt idx="19">
                  <c:v>5.4050997852906051E-4</c:v>
                </c:pt>
                <c:pt idx="20">
                  <c:v>5.0394627755985793E-4</c:v>
                </c:pt>
                <c:pt idx="21">
                  <c:v>4.6389598801414487E-4</c:v>
                </c:pt>
                <c:pt idx="22">
                  <c:v>4.2302923992058926E-4</c:v>
                </c:pt>
                <c:pt idx="23">
                  <c:v>3.8849580041671158E-4</c:v>
                </c:pt>
                <c:pt idx="24">
                  <c:v>3.5358875861711981E-4</c:v>
                </c:pt>
                <c:pt idx="25">
                  <c:v>3.1922075682592089E-4</c:v>
                </c:pt>
                <c:pt idx="26">
                  <c:v>2.8610580026533977E-4</c:v>
                </c:pt>
                <c:pt idx="27">
                  <c:v>2.5476564974663324E-4</c:v>
                </c:pt>
                <c:pt idx="28">
                  <c:v>2.2554932858797681E-4</c:v>
                </c:pt>
                <c:pt idx="29">
                  <c:v>1.986591987745188E-4</c:v>
                </c:pt>
                <c:pt idx="30">
                  <c:v>1.7266311544672248E-4</c:v>
                </c:pt>
                <c:pt idx="31">
                  <c:v>1.4972621729870755E-4</c:v>
                </c:pt>
                <c:pt idx="32">
                  <c:v>1.2957765342501868E-4</c:v>
                </c:pt>
                <c:pt idx="33">
                  <c:v>1.1193636888534776E-4</c:v>
                </c:pt>
                <c:pt idx="34">
                  <c:v>9.6537506276170374E-5</c:v>
                </c:pt>
                <c:pt idx="35">
                  <c:v>8.3172776900950401E-5</c:v>
                </c:pt>
                <c:pt idx="36">
                  <c:v>7.1691963781055819E-5</c:v>
                </c:pt>
                <c:pt idx="37">
                  <c:v>6.1733361286474506E-5</c:v>
                </c:pt>
                <c:pt idx="38">
                  <c:v>5.3110101703273961E-5</c:v>
                </c:pt>
                <c:pt idx="39">
                  <c:v>4.5655036172709395E-5</c:v>
                </c:pt>
                <c:pt idx="40">
                  <c:v>3.9219279873766135E-5</c:v>
                </c:pt>
                <c:pt idx="41">
                  <c:v>3.3670764290452617E-5</c:v>
                </c:pt>
                <c:pt idx="42">
                  <c:v>2.8892802081743763E-5</c:v>
                </c:pt>
                <c:pt idx="43">
                  <c:v>2.478268015885009E-5</c:v>
                </c:pt>
                <c:pt idx="44">
                  <c:v>2.125029913097809E-5</c:v>
                </c:pt>
                <c:pt idx="45">
                  <c:v>1.8216875764280369E-5</c:v>
                </c:pt>
                <c:pt idx="46">
                  <c:v>1.5603937034705213E-5</c:v>
                </c:pt>
                <c:pt idx="47">
                  <c:v>1.3296925146300106E-5</c:v>
                </c:pt>
                <c:pt idx="48">
                  <c:v>1.1335617923691831E-5</c:v>
                </c:pt>
                <c:pt idx="49">
                  <c:v>9.6677133245550762E-6</c:v>
                </c:pt>
                <c:pt idx="50">
                  <c:v>8.2488701952828221E-6</c:v>
                </c:pt>
                <c:pt idx="51">
                  <c:v>7.0342978775988696E-6</c:v>
                </c:pt>
                <c:pt idx="52">
                  <c:v>5.9947234189371916E-6</c:v>
                </c:pt>
                <c:pt idx="53">
                  <c:v>5.1114307865436287E-6</c:v>
                </c:pt>
                <c:pt idx="54">
                  <c:v>4.3606171378717672E-6</c:v>
                </c:pt>
                <c:pt idx="55">
                  <c:v>3.7221357779056086E-6</c:v>
                </c:pt>
                <c:pt idx="56">
                  <c:v>3.178932781925829E-6</c:v>
                </c:pt>
                <c:pt idx="57">
                  <c:v>2.7165701815291712E-6</c:v>
                </c:pt>
                <c:pt idx="58">
                  <c:v>2.3228225375895357E-6</c:v>
                </c:pt>
                <c:pt idx="59">
                  <c:v>1.9873356997558016E-6</c:v>
                </c:pt>
                <c:pt idx="60">
                  <c:v>1.7013382358812211E-6</c:v>
                </c:pt>
                <c:pt idx="61">
                  <c:v>1.4573974500355511E-6</c:v>
                </c:pt>
                <c:pt idx="62">
                  <c:v>1.2492131309240804E-6</c:v>
                </c:pt>
                <c:pt idx="63">
                  <c:v>1.0714432144444626E-6</c:v>
                </c:pt>
                <c:pt idx="64">
                  <c:v>9.1955643099894013E-7</c:v>
                </c:pt>
                <c:pt idx="65">
                  <c:v>7.897077624943455E-7</c:v>
                </c:pt>
                <c:pt idx="66">
                  <c:v>6.7863317496522169E-7</c:v>
                </c:pt>
                <c:pt idx="67">
                  <c:v>5.8246777502426869E-7</c:v>
                </c:pt>
                <c:pt idx="68">
                  <c:v>4.992389117626396E-7</c:v>
                </c:pt>
                <c:pt idx="69">
                  <c:v>4.2821973875383196E-7</c:v>
                </c:pt>
                <c:pt idx="70">
                  <c:v>3.6757531965907186E-7</c:v>
                </c:pt>
                <c:pt idx="71">
                  <c:v>3.1575257146593203E-7</c:v>
                </c:pt>
                <c:pt idx="72">
                  <c:v>2.7143612492958618E-7</c:v>
                </c:pt>
                <c:pt idx="73">
                  <c:v>2.3351121301578307E-7</c:v>
                </c:pt>
                <c:pt idx="74">
                  <c:v>2.0103245323217324E-7</c:v>
                </c:pt>
                <c:pt idx="75">
                  <c:v>1.7319757451957136E-7</c:v>
                </c:pt>
                <c:pt idx="76">
                  <c:v>1.493252939016274E-7</c:v>
                </c:pt>
                <c:pt idx="77">
                  <c:v>1.2883667730987779E-7</c:v>
                </c:pt>
                <c:pt idx="78">
                  <c:v>1.1123942705820725E-7</c:v>
                </c:pt>
                <c:pt idx="79">
                  <c:v>9.6114628809183569E-8</c:v>
                </c:pt>
                <c:pt idx="80">
                  <c:v>8.2962171899162197E-8</c:v>
                </c:pt>
                <c:pt idx="81">
                  <c:v>7.1533833475538895E-8</c:v>
                </c:pt>
                <c:pt idx="82">
                  <c:v>6.1725392906111468E-8</c:v>
                </c:pt>
                <c:pt idx="83">
                  <c:v>5.319171002466659E-8</c:v>
                </c:pt>
                <c:pt idx="84">
                  <c:v>4.581639190601573E-8</c:v>
                </c:pt>
                <c:pt idx="85">
                  <c:v>3.9492364762691843E-8</c:v>
                </c:pt>
                <c:pt idx="86">
                  <c:v>3.4065876133952082E-8</c:v>
                </c:pt>
                <c:pt idx="87">
                  <c:v>2.9406197478534621E-8</c:v>
                </c:pt>
                <c:pt idx="88">
                  <c:v>2.5402101933016503E-8</c:v>
                </c:pt>
                <c:pt idx="89">
                  <c:v>2.1958891171507794E-8</c:v>
                </c:pt>
                <c:pt idx="90">
                  <c:v>1.8995884386598324E-8</c:v>
                </c:pt>
                <c:pt idx="91">
                  <c:v>1.6444296362396485E-8</c:v>
                </c:pt>
                <c:pt idx="92">
                  <c:v>1.4245443305728256E-8</c:v>
                </c:pt>
                <c:pt idx="93">
                  <c:v>1.2349224906599936E-8</c:v>
                </c:pt>
                <c:pt idx="94">
                  <c:v>1.0712839320494058E-8</c:v>
                </c:pt>
                <c:pt idx="95">
                  <c:v>9.2996946600707569E-9</c:v>
                </c:pt>
                <c:pt idx="96">
                  <c:v>8.0784863678072663E-9</c:v>
                </c:pt>
                <c:pt idx="97">
                  <c:v>7.0224146944583165E-9</c:v>
                </c:pt>
                <c:pt idx="98">
                  <c:v>6.1085205820259531E-9</c:v>
                </c:pt>
                <c:pt idx="99">
                  <c:v>5.317121670636672E-9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  <c:pt idx="0">
                  <c:v>5.8203565807640937E-74</c:v>
                </c:pt>
                <c:pt idx="1">
                  <c:v>1.7138548462064644E-49</c:v>
                </c:pt>
                <c:pt idx="2">
                  <c:v>1.3465903631203799E-37</c:v>
                </c:pt>
                <c:pt idx="3">
                  <c:v>3.0658165372077568E-30</c:v>
                </c:pt>
                <c:pt idx="4">
                  <c:v>3.7542068196663858E-25</c:v>
                </c:pt>
                <c:pt idx="5">
                  <c:v>2.1398268585384168E-21</c:v>
                </c:pt>
                <c:pt idx="6">
                  <c:v>1.6762616822706831E-18</c:v>
                </c:pt>
                <c:pt idx="7">
                  <c:v>3.3326891580671706E-16</c:v>
                </c:pt>
                <c:pt idx="8">
                  <c:v>2.556556288249191E-14</c:v>
                </c:pt>
                <c:pt idx="9">
                  <c:v>2.1753698331784892E-12</c:v>
                </c:pt>
                <c:pt idx="10">
                  <c:v>3.371533514740785E-10</c:v>
                </c:pt>
                <c:pt idx="11">
                  <c:v>2.1999717820878235E-8</c:v>
                </c:pt>
                <c:pt idx="12">
                  <c:v>5.4344184992541477E-7</c:v>
                </c:pt>
                <c:pt idx="13">
                  <c:v>6.0039669574577526E-6</c:v>
                </c:pt>
                <c:pt idx="14">
                  <c:v>3.4338101919912162E-5</c:v>
                </c:pt>
                <c:pt idx="15">
                  <c:v>1.1411122333968756E-4</c:v>
                </c:pt>
                <c:pt idx="16">
                  <c:v>2.0147458353178178E-4</c:v>
                </c:pt>
                <c:pt idx="17">
                  <c:v>2.9171394153720159E-4</c:v>
                </c:pt>
                <c:pt idx="18">
                  <c:v>3.0661913220216431E-4</c:v>
                </c:pt>
                <c:pt idx="19">
                  <c:v>2.4836272549505972E-4</c:v>
                </c:pt>
                <c:pt idx="20">
                  <c:v>1.6786772307003206E-4</c:v>
                </c:pt>
                <c:pt idx="21">
                  <c:v>1.0987711446147839E-4</c:v>
                </c:pt>
                <c:pt idx="22">
                  <c:v>8.9741340368748967E-5</c:v>
                </c:pt>
                <c:pt idx="23">
                  <c:v>1.0349843997652867E-4</c:v>
                </c:pt>
                <c:pt idx="24">
                  <c:v>1.4453964563366329E-4</c:v>
                </c:pt>
                <c:pt idx="25">
                  <c:v>2.1532675097588372E-4</c:v>
                </c:pt>
                <c:pt idx="26">
                  <c:v>3.3433953302251763E-4</c:v>
                </c:pt>
                <c:pt idx="27">
                  <c:v>5.1370069446904127E-4</c:v>
                </c:pt>
                <c:pt idx="28">
                  <c:v>7.6183431384531668E-4</c:v>
                </c:pt>
                <c:pt idx="29">
                  <c:v>1.0670380446794164E-3</c:v>
                </c:pt>
                <c:pt idx="30">
                  <c:v>1.391951278275244E-3</c:v>
                </c:pt>
                <c:pt idx="31">
                  <c:v>1.68131354982972E-3</c:v>
                </c:pt>
                <c:pt idx="32">
                  <c:v>1.8807751749168216E-3</c:v>
                </c:pt>
                <c:pt idx="33">
                  <c:v>1.9497758739313511E-3</c:v>
                </c:pt>
                <c:pt idx="34">
                  <c:v>1.8781302465834923E-3</c:v>
                </c:pt>
                <c:pt idx="35">
                  <c:v>1.7131721181059296E-3</c:v>
                </c:pt>
                <c:pt idx="36">
                  <c:v>1.4948058175742423E-3</c:v>
                </c:pt>
                <c:pt idx="37">
                  <c:v>1.2618146061154837E-3</c:v>
                </c:pt>
                <c:pt idx="38">
                  <c:v>1.0428713343755382E-3</c:v>
                </c:pt>
                <c:pt idx="39">
                  <c:v>8.5370772690664609E-4</c:v>
                </c:pt>
                <c:pt idx="40">
                  <c:v>6.9896205094370099E-4</c:v>
                </c:pt>
                <c:pt idx="41">
                  <c:v>5.7611758925531502E-4</c:v>
                </c:pt>
                <c:pt idx="42">
                  <c:v>4.7939348252995604E-4</c:v>
                </c:pt>
                <c:pt idx="43">
                  <c:v>4.0250161343595176E-4</c:v>
                </c:pt>
                <c:pt idx="44">
                  <c:v>3.400954732201696E-4</c:v>
                </c:pt>
                <c:pt idx="45">
                  <c:v>2.8877576114924071E-4</c:v>
                </c:pt>
                <c:pt idx="46">
                  <c:v>2.4705249515748906E-4</c:v>
                </c:pt>
                <c:pt idx="47">
                  <c:v>2.1081059256524391E-4</c:v>
                </c:pt>
                <c:pt idx="48">
                  <c:v>1.788458637887131E-4</c:v>
                </c:pt>
                <c:pt idx="49">
                  <c:v>1.5082160640607131E-4</c:v>
                </c:pt>
                <c:pt idx="50">
                  <c:v>1.2648486831309672E-4</c:v>
                </c:pt>
                <c:pt idx="51">
                  <c:v>1.054713541665305E-4</c:v>
                </c:pt>
                <c:pt idx="52">
                  <c:v>8.7452923050870306E-5</c:v>
                </c:pt>
                <c:pt idx="53">
                  <c:v>7.2116440784461176E-5</c:v>
                </c:pt>
                <c:pt idx="54">
                  <c:v>5.9158720881208519E-5</c:v>
                </c:pt>
                <c:pt idx="55">
                  <c:v>4.8288622231688398E-5</c:v>
                </c:pt>
                <c:pt idx="56">
                  <c:v>3.9231328448035247E-5</c:v>
                </c:pt>
                <c:pt idx="57">
                  <c:v>3.17323760243827E-5</c:v>
                </c:pt>
                <c:pt idx="58">
                  <c:v>2.5560466220732897E-5</c:v>
                </c:pt>
                <c:pt idx="59">
                  <c:v>2.0508862046585252E-5</c:v>
                </c:pt>
                <c:pt idx="60">
                  <c:v>1.6322613279117635E-5</c:v>
                </c:pt>
                <c:pt idx="61">
                  <c:v>1.2951577421364405E-5</c:v>
                </c:pt>
                <c:pt idx="62">
                  <c:v>1.0248650118653731E-5</c:v>
                </c:pt>
                <c:pt idx="63">
                  <c:v>8.0889349585211037E-6</c:v>
                </c:pt>
                <c:pt idx="64">
                  <c:v>6.3688784671442692E-6</c:v>
                </c:pt>
                <c:pt idx="65">
                  <c:v>5.0031616603612655E-6</c:v>
                </c:pt>
                <c:pt idx="66">
                  <c:v>3.9218950725761141E-6</c:v>
                </c:pt>
                <c:pt idx="67">
                  <c:v>3.0681331518675879E-6</c:v>
                </c:pt>
                <c:pt idx="68">
                  <c:v>2.3957050630794915E-6</c:v>
                </c:pt>
                <c:pt idx="69">
                  <c:v>1.867346205442462E-6</c:v>
                </c:pt>
                <c:pt idx="70">
                  <c:v>1.4531068893356065E-6</c:v>
                </c:pt>
                <c:pt idx="71">
                  <c:v>1.1295453218070228E-6</c:v>
                </c:pt>
                <c:pt idx="72">
                  <c:v>8.7732865084641557E-7</c:v>
                </c:pt>
                <c:pt idx="73">
                  <c:v>6.8053963181506218E-7</c:v>
                </c:pt>
                <c:pt idx="74">
                  <c:v>5.2724749733532937E-7</c:v>
                </c:pt>
                <c:pt idx="75">
                  <c:v>4.0778590579284475E-7</c:v>
                </c:pt>
                <c:pt idx="76">
                  <c:v>3.1482414738574708E-7</c:v>
                </c:pt>
                <c:pt idx="77">
                  <c:v>2.4283147866653888E-7</c:v>
                </c:pt>
                <c:pt idx="78">
                  <c:v>1.8714251303370149E-7</c:v>
                </c:pt>
                <c:pt idx="79">
                  <c:v>1.4411145888067128E-7</c:v>
                </c:pt>
                <c:pt idx="80">
                  <c:v>1.1089448242161966E-7</c:v>
                </c:pt>
                <c:pt idx="81">
                  <c:v>8.527707321490776E-8</c:v>
                </c:pt>
                <c:pt idx="82">
                  <c:v>6.5537512114983258E-8</c:v>
                </c:pt>
                <c:pt idx="83">
                  <c:v>5.0339188313474458E-8</c:v>
                </c:pt>
                <c:pt idx="84">
                  <c:v>3.8645886341895119E-8</c:v>
                </c:pt>
                <c:pt idx="85">
                  <c:v>2.9655301222608368E-8</c:v>
                </c:pt>
                <c:pt idx="86">
                  <c:v>2.2746974420101746E-8</c:v>
                </c:pt>
                <c:pt idx="87">
                  <c:v>1.744160609948783E-8</c:v>
                </c:pt>
                <c:pt idx="88">
                  <c:v>1.336931836164922E-8</c:v>
                </c:pt>
                <c:pt idx="89">
                  <c:v>1.024494404156106E-8</c:v>
                </c:pt>
                <c:pt idx="90">
                  <c:v>7.8488173876285935E-9</c:v>
                </c:pt>
                <c:pt idx="91">
                  <c:v>6.0118643831074566E-9</c:v>
                </c:pt>
                <c:pt idx="92">
                  <c:v>4.6040466642284464E-9</c:v>
                </c:pt>
                <c:pt idx="93">
                  <c:v>3.5232435373360942E-9</c:v>
                </c:pt>
                <c:pt idx="94">
                  <c:v>2.6898578437455093E-9</c:v>
                </c:pt>
                <c:pt idx="95">
                  <c:v>2.0536946037355658E-9</c:v>
                </c:pt>
                <c:pt idx="96">
                  <c:v>1.5680953871651312E-9</c:v>
                </c:pt>
                <c:pt idx="97">
                  <c:v>1.1974267028201857E-9</c:v>
                </c:pt>
                <c:pt idx="98">
                  <c:v>9.1420820898602234E-10</c:v>
                </c:pt>
                <c:pt idx="99">
                  <c:v>6.9756461204612139E-10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  <c:pt idx="0">
                  <c:v>1.30869571363057E-34</c:v>
                </c:pt>
                <c:pt idx="1">
                  <c:v>1.4401010022454989E-22</c:v>
                </c:pt>
                <c:pt idx="2">
                  <c:v>4.5144254286169544E-17</c:v>
                </c:pt>
                <c:pt idx="3">
                  <c:v>7.2680472357432349E-14</c:v>
                </c:pt>
                <c:pt idx="4">
                  <c:v>8.9698247321584862E-12</c:v>
                </c:pt>
                <c:pt idx="5">
                  <c:v>2.5392924201969888E-10</c:v>
                </c:pt>
                <c:pt idx="6">
                  <c:v>2.8320120854103822E-9</c:v>
                </c:pt>
                <c:pt idx="7">
                  <c:v>1.6823371901726269E-8</c:v>
                </c:pt>
                <c:pt idx="8">
                  <c:v>6.3918402347692737E-8</c:v>
                </c:pt>
                <c:pt idx="9">
                  <c:v>1.747884986932818E-7</c:v>
                </c:pt>
                <c:pt idx="10">
                  <c:v>3.7262757308063961E-7</c:v>
                </c:pt>
                <c:pt idx="11">
                  <c:v>6.5508168102489475E-7</c:v>
                </c:pt>
                <c:pt idx="12">
                  <c:v>9.8910768637758433E-7</c:v>
                </c:pt>
                <c:pt idx="13">
                  <c:v>1.322122535114909E-6</c:v>
                </c:pt>
                <c:pt idx="14">
                  <c:v>1.6012135182547991E-6</c:v>
                </c:pt>
                <c:pt idx="15">
                  <c:v>1.7898983024046473E-6</c:v>
                </c:pt>
                <c:pt idx="16">
                  <c:v>1.8770144808230096E-6</c:v>
                </c:pt>
                <c:pt idx="17">
                  <c:v>1.8783280827901956E-6</c:v>
                </c:pt>
                <c:pt idx="18">
                  <c:v>1.8343293772436083E-6</c:v>
                </c:pt>
                <c:pt idx="19">
                  <c:v>1.8071447363689096E-6</c:v>
                </c:pt>
                <c:pt idx="20">
                  <c:v>1.5016809228244385E-6</c:v>
                </c:pt>
                <c:pt idx="21">
                  <c:v>1.7427054284247962E-6</c:v>
                </c:pt>
                <c:pt idx="22">
                  <c:v>2.2144747218434795E-6</c:v>
                </c:pt>
                <c:pt idx="23">
                  <c:v>3.0006770329943329E-6</c:v>
                </c:pt>
                <c:pt idx="24">
                  <c:v>4.170432189604007E-6</c:v>
                </c:pt>
                <c:pt idx="25">
                  <c:v>5.7533868546343284E-6</c:v>
                </c:pt>
                <c:pt idx="26">
                  <c:v>7.736376386027553E-6</c:v>
                </c:pt>
                <c:pt idx="27">
                  <c:v>1.0059100352783332E-5</c:v>
                </c:pt>
                <c:pt idx="28">
                  <c:v>1.2617638870473752E-5</c:v>
                </c:pt>
                <c:pt idx="29">
                  <c:v>1.5275223445721807E-5</c:v>
                </c:pt>
                <c:pt idx="30">
                  <c:v>1.7878041528492109E-5</c:v>
                </c:pt>
                <c:pt idx="31">
                  <c:v>2.0272962157950669E-5</c:v>
                </c:pt>
                <c:pt idx="32">
                  <c:v>2.2210896680529736E-5</c:v>
                </c:pt>
                <c:pt idx="33">
                  <c:v>2.3623232791932704E-5</c:v>
                </c:pt>
                <c:pt idx="34">
                  <c:v>2.4533255385445735E-5</c:v>
                </c:pt>
                <c:pt idx="35">
                  <c:v>2.492255035202603E-5</c:v>
                </c:pt>
                <c:pt idx="36">
                  <c:v>2.4806942373174388E-5</c:v>
                </c:pt>
                <c:pt idx="37">
                  <c:v>2.41370102245288E-5</c:v>
                </c:pt>
                <c:pt idx="38">
                  <c:v>2.3286172784681769E-5</c:v>
                </c:pt>
                <c:pt idx="39">
                  <c:v>2.2464036055981209E-5</c:v>
                </c:pt>
                <c:pt idx="40">
                  <c:v>2.135780863335185E-5</c:v>
                </c:pt>
                <c:pt idx="41">
                  <c:v>2.0030726693409017E-5</c:v>
                </c:pt>
                <c:pt idx="42">
                  <c:v>1.8547146559366619E-5</c:v>
                </c:pt>
                <c:pt idx="43">
                  <c:v>1.6968564003407211E-5</c:v>
                </c:pt>
                <c:pt idx="44">
                  <c:v>1.5350643912669333E-5</c:v>
                </c:pt>
                <c:pt idx="45">
                  <c:v>1.3741281297246539E-5</c:v>
                </c:pt>
                <c:pt idx="46">
                  <c:v>1.2179607848688699E-5</c:v>
                </c:pt>
                <c:pt idx="47">
                  <c:v>1.0695791348386115E-5</c:v>
                </c:pt>
                <c:pt idx="48">
                  <c:v>9.3114440539417913E-6</c:v>
                </c:pt>
                <c:pt idx="49">
                  <c:v>8.0404532009141823E-6</c:v>
                </c:pt>
                <c:pt idx="50">
                  <c:v>6.8656992492081324E-6</c:v>
                </c:pt>
                <c:pt idx="51">
                  <c:v>5.7955918164791979E-6</c:v>
                </c:pt>
                <c:pt idx="52">
                  <c:v>4.8646345683411747E-6</c:v>
                </c:pt>
                <c:pt idx="53">
                  <c:v>4.0613857016321351E-6</c:v>
                </c:pt>
                <c:pt idx="54">
                  <c:v>3.3736173015685054E-6</c:v>
                </c:pt>
                <c:pt idx="55">
                  <c:v>2.7889128312425523E-6</c:v>
                </c:pt>
                <c:pt idx="56">
                  <c:v>2.2951220521269912E-6</c:v>
                </c:pt>
                <c:pt idx="57">
                  <c:v>1.8806887796737125E-6</c:v>
                </c:pt>
                <c:pt idx="58">
                  <c:v>1.5348699819312797E-6</c:v>
                </c:pt>
                <c:pt idx="59">
                  <c:v>1.2478656279603783E-6</c:v>
                </c:pt>
                <c:pt idx="60">
                  <c:v>1.0108780317487443E-6</c:v>
                </c:pt>
                <c:pt idx="61">
                  <c:v>8.1611777344756183E-7</c:v>
                </c:pt>
                <c:pt idx="62">
                  <c:v>6.5677106202539411E-7</c:v>
                </c:pt>
                <c:pt idx="63">
                  <c:v>5.2694097087452515E-7</c:v>
                </c:pt>
                <c:pt idx="64">
                  <c:v>4.2157256927500029E-7</c:v>
                </c:pt>
                <c:pt idx="65">
                  <c:v>3.3636974211718516E-7</c:v>
                </c:pt>
                <c:pt idx="66">
                  <c:v>2.6770952520271106E-7</c:v>
                </c:pt>
                <c:pt idx="67">
                  <c:v>2.1255812130934496E-7</c:v>
                </c:pt>
                <c:pt idx="68">
                  <c:v>1.6871273122285353E-7</c:v>
                </c:pt>
                <c:pt idx="69">
                  <c:v>1.3422945216619792E-7</c:v>
                </c:pt>
                <c:pt idx="70">
                  <c:v>1.0658254690834791E-7</c:v>
                </c:pt>
                <c:pt idx="71">
                  <c:v>8.4471571415110845E-8</c:v>
                </c:pt>
                <c:pt idx="72">
                  <c:v>6.6780419315777712E-8</c:v>
                </c:pt>
                <c:pt idx="73">
                  <c:v>5.2661558321102127E-8</c:v>
                </c:pt>
                <c:pt idx="74">
                  <c:v>4.146613212456193E-8</c:v>
                </c:pt>
                <c:pt idx="75">
                  <c:v>3.2605168412008625E-8</c:v>
                </c:pt>
                <c:pt idx="76">
                  <c:v>2.5604052684004988E-8</c:v>
                </c:pt>
                <c:pt idx="77">
                  <c:v>2.0081447876078405E-8</c:v>
                </c:pt>
                <c:pt idx="78">
                  <c:v>1.5731806477237585E-8</c:v>
                </c:pt>
                <c:pt idx="79">
                  <c:v>1.2310940150988802E-8</c:v>
                </c:pt>
                <c:pt idx="80">
                  <c:v>9.6241705916087908E-9</c:v>
                </c:pt>
                <c:pt idx="81">
                  <c:v>7.5166438061148626E-9</c:v>
                </c:pt>
                <c:pt idx="82">
                  <c:v>5.8654458300976885E-9</c:v>
                </c:pt>
                <c:pt idx="83">
                  <c:v>4.5732095944574213E-9</c:v>
                </c:pt>
                <c:pt idx="84">
                  <c:v>3.5629494630505367E-9</c:v>
                </c:pt>
                <c:pt idx="85">
                  <c:v>2.7739015461167934E-9</c:v>
                </c:pt>
                <c:pt idx="86">
                  <c:v>2.1581842849427587E-9</c:v>
                </c:pt>
                <c:pt idx="87">
                  <c:v>1.6781252440230636E-9</c:v>
                </c:pt>
                <c:pt idx="88">
                  <c:v>1.3041269163046267E-9</c:v>
                </c:pt>
                <c:pt idx="89">
                  <c:v>1.0129670934227565E-9</c:v>
                </c:pt>
                <c:pt idx="90">
                  <c:v>7.8409939606036149E-10</c:v>
                </c:pt>
                <c:pt idx="91">
                  <c:v>6.0675935166022561E-10</c:v>
                </c:pt>
                <c:pt idx="92">
                  <c:v>4.6945724954411285E-10</c:v>
                </c:pt>
                <c:pt idx="93">
                  <c:v>3.6317925437665605E-10</c:v>
                </c:pt>
                <c:pt idx="94">
                  <c:v>2.8093266629708451E-10</c:v>
                </c:pt>
                <c:pt idx="95">
                  <c:v>2.1729519011695777E-10</c:v>
                </c:pt>
                <c:pt idx="96">
                  <c:v>1.6806400926885367E-10</c:v>
                </c:pt>
                <c:pt idx="97">
                  <c:v>1.2998276539651455E-10</c:v>
                </c:pt>
                <c:pt idx="98">
                  <c:v>1.0052929426405661E-10</c:v>
                </c:pt>
                <c:pt idx="99">
                  <c:v>7.7750703249495782E-11</c:v>
                </c:pt>
              </c:numCache>
            </c:numRef>
          </c:yVal>
          <c:smooth val="1"/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  <c:pt idx="0">
                  <c:v>8.7975120520401098E-12</c:v>
                </c:pt>
                <c:pt idx="1">
                  <c:v>4.5420765194239736E-7</c:v>
                </c:pt>
                <c:pt idx="2">
                  <c:v>3.8970197233402734E-5</c:v>
                </c:pt>
                <c:pt idx="3">
                  <c:v>3.8618135480364521E-4</c:v>
                </c:pt>
                <c:pt idx="4">
                  <c:v>1.3838268606918072E-3</c:v>
                </c:pt>
                <c:pt idx="5">
                  <c:v>2.8228406284745663E-3</c:v>
                </c:pt>
                <c:pt idx="6">
                  <c:v>4.0887332036120203E-3</c:v>
                </c:pt>
                <c:pt idx="7">
                  <c:v>4.7451240287160685E-3</c:v>
                </c:pt>
                <c:pt idx="8">
                  <c:v>4.7490490220532013E-3</c:v>
                </c:pt>
                <c:pt idx="9">
                  <c:v>4.3009747106842362E-3</c:v>
                </c:pt>
                <c:pt idx="10">
                  <c:v>3.6425192102524347E-3</c:v>
                </c:pt>
                <c:pt idx="11">
                  <c:v>2.9503680515782617E-3</c:v>
                </c:pt>
                <c:pt idx="12">
                  <c:v>2.336115553711595E-3</c:v>
                </c:pt>
                <c:pt idx="13">
                  <c:v>1.8697329724455998E-3</c:v>
                </c:pt>
                <c:pt idx="14">
                  <c:v>1.5404778372709053E-3</c:v>
                </c:pt>
                <c:pt idx="15">
                  <c:v>1.3556116476606424E-3</c:v>
                </c:pt>
                <c:pt idx="16">
                  <c:v>1.2456069147298711E-3</c:v>
                </c:pt>
                <c:pt idx="17">
                  <c:v>1.1781529964554726E-3</c:v>
                </c:pt>
                <c:pt idx="18">
                  <c:v>1.0719422821624937E-3</c:v>
                </c:pt>
                <c:pt idx="19">
                  <c:v>9.1712122496688314E-4</c:v>
                </c:pt>
                <c:pt idx="20">
                  <c:v>7.5624538876151908E-4</c:v>
                </c:pt>
                <c:pt idx="21">
                  <c:v>6.2976931602060765E-4</c:v>
                </c:pt>
                <c:pt idx="22">
                  <c:v>5.504282964820474E-4</c:v>
                </c:pt>
                <c:pt idx="23">
                  <c:v>5.1813816465658114E-4</c:v>
                </c:pt>
                <c:pt idx="24">
                  <c:v>5.1741434845543877E-4</c:v>
                </c:pt>
                <c:pt idx="25">
                  <c:v>5.5018167781506532E-4</c:v>
                </c:pt>
                <c:pt idx="26">
                  <c:v>6.3464931176104768E-4</c:v>
                </c:pt>
                <c:pt idx="27">
                  <c:v>7.8276628976601626E-4</c:v>
                </c:pt>
                <c:pt idx="28">
                  <c:v>1.0027877876750758E-3</c:v>
                </c:pt>
                <c:pt idx="29">
                  <c:v>1.2828076555648346E-3</c:v>
                </c:pt>
                <c:pt idx="30">
                  <c:v>1.5837041682706745E-3</c:v>
                </c:pt>
                <c:pt idx="31">
                  <c:v>1.8521149851558831E-3</c:v>
                </c:pt>
                <c:pt idx="32">
                  <c:v>2.0330963941996042E-3</c:v>
                </c:pt>
                <c:pt idx="33">
                  <c:v>2.0856901968584387E-3</c:v>
                </c:pt>
                <c:pt idx="34">
                  <c:v>1.9994379477490816E-3</c:v>
                </c:pt>
                <c:pt idx="35">
                  <c:v>1.8214262031822442E-3</c:v>
                </c:pt>
                <c:pt idx="36">
                  <c:v>1.5914114323446055E-3</c:v>
                </c:pt>
                <c:pt idx="37">
                  <c:v>1.3477569297408953E-3</c:v>
                </c:pt>
                <c:pt idx="38">
                  <c:v>1.1193162804066102E-3</c:v>
                </c:pt>
                <c:pt idx="39">
                  <c:v>9.2185982829181526E-4</c:v>
                </c:pt>
                <c:pt idx="40">
                  <c:v>7.5956162535046061E-4</c:v>
                </c:pt>
                <c:pt idx="41">
                  <c:v>6.298344373653293E-4</c:v>
                </c:pt>
                <c:pt idx="42">
                  <c:v>5.2684395297954167E-4</c:v>
                </c:pt>
                <c:pt idx="43">
                  <c:v>4.442600893457144E-4</c:v>
                </c:pt>
                <c:pt idx="44">
                  <c:v>3.7670140233386291E-4</c:v>
                </c:pt>
                <c:pt idx="45">
                  <c:v>3.2073736666187944E-4</c:v>
                </c:pt>
                <c:pt idx="46">
                  <c:v>2.7483843240573889E-4</c:v>
                </c:pt>
                <c:pt idx="47">
                  <c:v>2.3480497383067164E-4</c:v>
                </c:pt>
                <c:pt idx="48">
                  <c:v>1.9949408772410092E-4</c:v>
                </c:pt>
                <c:pt idx="49">
                  <c:v>1.6853058636055716E-4</c:v>
                </c:pt>
                <c:pt idx="50">
                  <c:v>1.4160000887632348E-4</c:v>
                </c:pt>
                <c:pt idx="51">
                  <c:v>1.1830164601626458E-4</c:v>
                </c:pt>
                <c:pt idx="52">
                  <c:v>9.8312565030262152E-5</c:v>
                </c:pt>
                <c:pt idx="53">
                  <c:v>8.1289458388250955E-5</c:v>
                </c:pt>
                <c:pt idx="54">
                  <c:v>6.6893098142828836E-5</c:v>
                </c:pt>
                <c:pt idx="55">
                  <c:v>5.4799772545007067E-5</c:v>
                </c:pt>
                <c:pt idx="56">
                  <c:v>4.4705455902375157E-5</c:v>
                </c:pt>
                <c:pt idx="57">
                  <c:v>3.6329686977540437E-5</c:v>
                </c:pt>
                <c:pt idx="58">
                  <c:v>2.9418196061512205E-5</c:v>
                </c:pt>
                <c:pt idx="59">
                  <c:v>2.3744090234018149E-5</c:v>
                </c:pt>
                <c:pt idx="60">
                  <c:v>1.9034848926793101E-5</c:v>
                </c:pt>
                <c:pt idx="61">
                  <c:v>1.5225106663288999E-5</c:v>
                </c:pt>
                <c:pt idx="62">
                  <c:v>1.215464447689358E-5</c:v>
                </c:pt>
                <c:pt idx="63">
                  <c:v>9.6873265330617495E-6</c:v>
                </c:pt>
                <c:pt idx="64">
                  <c:v>7.7100128516084212E-6</c:v>
                </c:pt>
                <c:pt idx="65">
                  <c:v>6.1292430974757103E-6</c:v>
                </c:pt>
                <c:pt idx="66">
                  <c:v>4.868240651660532E-6</c:v>
                </c:pt>
                <c:pt idx="67">
                  <c:v>3.8631611606445305E-6</c:v>
                </c:pt>
                <c:pt idx="68">
                  <c:v>3.0636582596031576E-6</c:v>
                </c:pt>
                <c:pt idx="69">
                  <c:v>2.4297965414133445E-6</c:v>
                </c:pt>
                <c:pt idx="70">
                  <c:v>1.9272656017250202E-6</c:v>
                </c:pt>
                <c:pt idx="71">
                  <c:v>1.5297700908261911E-6</c:v>
                </c:pt>
                <c:pt idx="72">
                  <c:v>1.2155456595901257E-6</c:v>
                </c:pt>
                <c:pt idx="73">
                  <c:v>9.6671274846036756E-7</c:v>
                </c:pt>
                <c:pt idx="74">
                  <c:v>7.6974633992437169E-7</c:v>
                </c:pt>
                <c:pt idx="75">
                  <c:v>6.1358884073530105E-7</c:v>
                </c:pt>
                <c:pt idx="76">
                  <c:v>4.8975363758478796E-7</c:v>
                </c:pt>
                <c:pt idx="77">
                  <c:v>3.917497114792162E-7</c:v>
                </c:pt>
                <c:pt idx="78">
                  <c:v>3.1411382738350799E-7</c:v>
                </c:pt>
                <c:pt idx="79">
                  <c:v>2.5253708863864864E-7</c:v>
                </c:pt>
                <c:pt idx="80">
                  <c:v>2.0348087073776286E-7</c:v>
                </c:pt>
                <c:pt idx="81">
                  <c:v>1.6432758510092908E-7</c:v>
                </c:pt>
                <c:pt idx="82">
                  <c:v>1.33128377030065E-7</c:v>
                </c:pt>
                <c:pt idx="83">
                  <c:v>1.081041277731888E-7</c:v>
                </c:pt>
                <c:pt idx="84">
                  <c:v>8.8025242774624918E-8</c:v>
                </c:pt>
                <c:pt idx="85">
                  <c:v>7.1921578988338774E-8</c:v>
                </c:pt>
                <c:pt idx="86">
                  <c:v>5.8971043567821509E-8</c:v>
                </c:pt>
                <c:pt idx="87">
                  <c:v>4.8525935483721249E-8</c:v>
                </c:pt>
                <c:pt idx="88">
                  <c:v>4.0075552303583091E-8</c:v>
                </c:pt>
                <c:pt idx="89">
                  <c:v>3.321680620606461E-8</c:v>
                </c:pt>
                <c:pt idx="90">
                  <c:v>2.7628804161192685E-8</c:v>
                </c:pt>
                <c:pt idx="91">
                  <c:v>2.3062922394834391E-8</c:v>
                </c:pt>
                <c:pt idx="92">
                  <c:v>1.9318948987420247E-8</c:v>
                </c:pt>
                <c:pt idx="93">
                  <c:v>1.6235649060753181E-8</c:v>
                </c:pt>
                <c:pt idx="94">
                  <c:v>1.3683630882119872E-8</c:v>
                </c:pt>
                <c:pt idx="95">
                  <c:v>1.1570685266813096E-8</c:v>
                </c:pt>
                <c:pt idx="96">
                  <c:v>9.8146463935629784E-9</c:v>
                </c:pt>
                <c:pt idx="97">
                  <c:v>8.3498246506055804E-9</c:v>
                </c:pt>
                <c:pt idx="98">
                  <c:v>7.1232584641362288E-9</c:v>
                </c:pt>
                <c:pt idx="99">
                  <c:v>6.0924372805285121E-9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  <c:pt idx="0">
                  <c:v>5.2073631221545558E-13</c:v>
                </c:pt>
                <c:pt idx="1">
                  <c:v>2.512502091231392E-8</c:v>
                </c:pt>
                <c:pt idx="2">
                  <c:v>2.2537635148656981E-6</c:v>
                </c:pt>
                <c:pt idx="3">
                  <c:v>2.5977835900512713E-5</c:v>
                </c:pt>
                <c:pt idx="4">
                  <c:v>1.1902967859007347E-4</c:v>
                </c:pt>
                <c:pt idx="5">
                  <c:v>3.287899415924363E-4</c:v>
                </c:pt>
                <c:pt idx="6">
                  <c:v>6.6566480263668612E-4</c:v>
                </c:pt>
                <c:pt idx="7">
                  <c:v>1.0991118194556835E-3</c:v>
                </c:pt>
                <c:pt idx="8">
                  <c:v>1.5782278128866785E-3</c:v>
                </c:pt>
                <c:pt idx="9">
                  <c:v>2.0537421410071338E-3</c:v>
                </c:pt>
                <c:pt idx="10">
                  <c:v>2.4900867026838771E-3</c:v>
                </c:pt>
                <c:pt idx="11">
                  <c:v>2.8678339825056569E-3</c:v>
                </c:pt>
                <c:pt idx="12">
                  <c:v>3.1808007009404083E-3</c:v>
                </c:pt>
                <c:pt idx="13">
                  <c:v>3.4315529612898806E-3</c:v>
                </c:pt>
                <c:pt idx="14">
                  <c:v>3.6273483500171861E-3</c:v>
                </c:pt>
                <c:pt idx="15">
                  <c:v>3.7772172544931425E-3</c:v>
                </c:pt>
                <c:pt idx="16">
                  <c:v>3.8901763744182303E-3</c:v>
                </c:pt>
                <c:pt idx="17">
                  <c:v>3.9743055257990892E-3</c:v>
                </c:pt>
                <c:pt idx="18">
                  <c:v>4.0363891829860842E-3</c:v>
                </c:pt>
                <c:pt idx="19">
                  <c:v>4.0818835538575203E-3</c:v>
                </c:pt>
                <c:pt idx="20">
                  <c:v>4.1150456958320009E-3</c:v>
                </c:pt>
                <c:pt idx="21">
                  <c:v>4.1391247850670393E-3</c:v>
                </c:pt>
                <c:pt idx="22">
                  <c:v>4.156560621285949E-3</c:v>
                </c:pt>
                <c:pt idx="23">
                  <c:v>4.169162984511322E-3</c:v>
                </c:pt>
                <c:pt idx="24">
                  <c:v>4.1782620306608856E-3</c:v>
                </c:pt>
                <c:pt idx="25">
                  <c:v>4.184828678755882E-3</c:v>
                </c:pt>
                <c:pt idx="26">
                  <c:v>4.1895680120383021E-3</c:v>
                </c:pt>
                <c:pt idx="27">
                  <c:v>4.1929901625132708E-3</c:v>
                </c:pt>
                <c:pt idx="28">
                  <c:v>4.1954632534159106E-3</c:v>
                </c:pt>
                <c:pt idx="29">
                  <c:v>4.1972524770973914E-3</c:v>
                </c:pt>
                <c:pt idx="30">
                  <c:v>4.1985486872472529E-3</c:v>
                </c:pt>
                <c:pt idx="31">
                  <c:v>4.1994891831751398E-3</c:v>
                </c:pt>
                <c:pt idx="32">
                  <c:v>4.2001727460898603E-3</c:v>
                </c:pt>
                <c:pt idx="33">
                  <c:v>4.2006704795041405E-3</c:v>
                </c:pt>
                <c:pt idx="34">
                  <c:v>4.2010336059066676E-3</c:v>
                </c:pt>
                <c:pt idx="35">
                  <c:v>4.2012990656032896E-3</c:v>
                </c:pt>
                <c:pt idx="36">
                  <c:v>4.2014935337707044E-3</c:v>
                </c:pt>
                <c:pt idx="37">
                  <c:v>4.2016363016857908E-3</c:v>
                </c:pt>
                <c:pt idx="38">
                  <c:v>4.2017413435567908E-3</c:v>
                </c:pt>
                <c:pt idx="39">
                  <c:v>4.2018187998963761E-3</c:v>
                </c:pt>
                <c:pt idx="40">
                  <c:v>4.2018760430054397E-3</c:v>
                </c:pt>
                <c:pt idx="41">
                  <c:v>4.2019184431060239E-3</c:v>
                </c:pt>
                <c:pt idx="42">
                  <c:v>4.2019499199270104E-3</c:v>
                </c:pt>
                <c:pt idx="43">
                  <c:v>4.2019733403975924E-3</c:v>
                </c:pt>
                <c:pt idx="44">
                  <c:v>4.2019908058393883E-3</c:v>
                </c:pt>
                <c:pt idx="45">
                  <c:v>4.2020038597141074E-3</c:v>
                </c:pt>
                <c:pt idx="46">
                  <c:v>4.2020136381737093E-3</c:v>
                </c:pt>
                <c:pt idx="47">
                  <c:v>4.2020209793658487E-3</c:v>
                </c:pt>
                <c:pt idx="48">
                  <c:v>4.2020265029482024E-3</c:v>
                </c:pt>
                <c:pt idx="49">
                  <c:v>4.2020306680465433E-3</c:v>
                </c:pt>
                <c:pt idx="50">
                  <c:v>4.202033815586338E-3</c:v>
                </c:pt>
                <c:pt idx="51">
                  <c:v>4.2020361992748398E-3</c:v>
                </c:pt>
                <c:pt idx="52">
                  <c:v>4.2020380083238867E-3</c:v>
                </c:pt>
                <c:pt idx="53">
                  <c:v>4.2020393841502154E-3</c:v>
                </c:pt>
                <c:pt idx="54">
                  <c:v>4.2020404326754161E-3</c:v>
                </c:pt>
                <c:pt idx="55">
                  <c:v>4.2020412334041468E-3</c:v>
                </c:pt>
                <c:pt idx="56">
                  <c:v>4.2020418461386584E-3</c:v>
                </c:pt>
                <c:pt idx="57">
                  <c:v>4.2020423159555642E-3</c:v>
                </c:pt>
                <c:pt idx="58">
                  <c:v>4.2020426769023593E-3</c:v>
                </c:pt>
                <c:pt idx="59">
                  <c:v>4.2020429547487892E-3</c:v>
                </c:pt>
                <c:pt idx="60">
                  <c:v>4.2020431690390075E-3</c:v>
                </c:pt>
                <c:pt idx="61">
                  <c:v>4.2020433346253794E-3</c:v>
                </c:pt>
                <c:pt idx="62">
                  <c:v>4.202043462817228E-3</c:v>
                </c:pt>
                <c:pt idx="63">
                  <c:v>4.2020435622429422E-3</c:v>
                </c:pt>
                <c:pt idx="64">
                  <c:v>4.2020436394982815E-3</c:v>
                </c:pt>
                <c:pt idx="65">
                  <c:v>4.2020436996348786E-3</c:v>
                </c:pt>
                <c:pt idx="66">
                  <c:v>4.2020437465290564E-3</c:v>
                </c:pt>
                <c:pt idx="67">
                  <c:v>4.2020437831608382E-3</c:v>
                </c:pt>
                <c:pt idx="68">
                  <c:v>4.2020438118254193E-3</c:v>
                </c:pt>
                <c:pt idx="69">
                  <c:v>4.2020438342937685E-3</c:v>
                </c:pt>
                <c:pt idx="70">
                  <c:v>4.2020438519348178E-3</c:v>
                </c:pt>
                <c:pt idx="71">
                  <c:v>4.2020438658086096E-3</c:v>
                </c:pt>
                <c:pt idx="72">
                  <c:v>4.2020438767374343E-3</c:v>
                </c:pt>
                <c:pt idx="73">
                  <c:v>4.2020438853602547E-3</c:v>
                </c:pt>
                <c:pt idx="74">
                  <c:v>4.2020438921744263E-3</c:v>
                </c:pt>
                <c:pt idx="75">
                  <c:v>4.2020438975677336E-3</c:v>
                </c:pt>
                <c:pt idx="76">
                  <c:v>4.2020439018430299E-3</c:v>
                </c:pt>
                <c:pt idx="77">
                  <c:v>4.2020439052372254E-3</c:v>
                </c:pt>
                <c:pt idx="78">
                  <c:v>4.2020439079359468E-3</c:v>
                </c:pt>
                <c:pt idx="79">
                  <c:v>4.2020439100848694E-3</c:v>
                </c:pt>
                <c:pt idx="80">
                  <c:v>4.2020439117984969E-3</c:v>
                </c:pt>
                <c:pt idx="81">
                  <c:v>4.202043913166969E-3</c:v>
                </c:pt>
                <c:pt idx="82">
                  <c:v>4.2020439142613575E-3</c:v>
                </c:pt>
                <c:pt idx="83">
                  <c:v>4.2020439151377815E-3</c:v>
                </c:pt>
                <c:pt idx="84">
                  <c:v>4.2020439158406203E-3</c:v>
                </c:pt>
                <c:pt idx="85">
                  <c:v>4.202043916405023E-3</c:v>
                </c:pt>
                <c:pt idx="86">
                  <c:v>4.2020439168588648E-3</c:v>
                </c:pt>
                <c:pt idx="87">
                  <c:v>4.2020439172242878E-3</c:v>
                </c:pt>
                <c:pt idx="88">
                  <c:v>4.2020439175189037E-3</c:v>
                </c:pt>
                <c:pt idx="89">
                  <c:v>4.2020439177567386E-3</c:v>
                </c:pt>
                <c:pt idx="90">
                  <c:v>4.2020439179489806E-3</c:v>
                </c:pt>
                <c:pt idx="91">
                  <c:v>4.2020439181045654E-3</c:v>
                </c:pt>
                <c:pt idx="92">
                  <c:v>4.202043918230639E-3</c:v>
                </c:pt>
                <c:pt idx="93">
                  <c:v>4.2020439183329235E-3</c:v>
                </c:pt>
                <c:pt idx="94">
                  <c:v>4.202043918416009E-3</c:v>
                </c:pt>
                <c:pt idx="95">
                  <c:v>4.202043918483579E-3</c:v>
                </c:pt>
                <c:pt idx="96">
                  <c:v>4.2020439185385967E-3</c:v>
                </c:pt>
                <c:pt idx="97">
                  <c:v>4.2020439185834453E-3</c:v>
                </c:pt>
                <c:pt idx="98">
                  <c:v>4.2020439186200463E-3</c:v>
                </c:pt>
                <c:pt idx="99">
                  <c:v>4.2020439186499512E-3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  <c:pt idx="0">
                  <c:v>3.8815487272147321E-15</c:v>
                </c:pt>
                <c:pt idx="1">
                  <c:v>2.1259434244277104E-10</c:v>
                </c:pt>
                <c:pt idx="2">
                  <c:v>3.146339677753254E-8</c:v>
                </c:pt>
                <c:pt idx="3">
                  <c:v>6.0951874642900194E-7</c:v>
                </c:pt>
                <c:pt idx="4">
                  <c:v>4.5009966886733171E-6</c:v>
                </c:pt>
                <c:pt idx="5">
                  <c:v>1.9170978528936032E-5</c:v>
                </c:pt>
                <c:pt idx="6">
                  <c:v>5.7480263255319411E-5</c:v>
                </c:pt>
                <c:pt idx="7">
                  <c:v>1.3551392671229601E-4</c:v>
                </c:pt>
                <c:pt idx="8">
                  <c:v>2.6875767582381971E-4</c:v>
                </c:pt>
                <c:pt idx="9">
                  <c:v>4.68558145760268E-4</c:v>
                </c:pt>
                <c:pt idx="10">
                  <c:v>7.4008022495204804E-4</c:v>
                </c:pt>
                <c:pt idx="11">
                  <c:v>1.0819690450443707E-3</c:v>
                </c:pt>
                <c:pt idx="12">
                  <c:v>1.4872927411572674E-3</c:v>
                </c:pt>
                <c:pt idx="13">
                  <c:v>1.9451546357508831E-3</c:v>
                </c:pt>
                <c:pt idx="14">
                  <c:v>2.4424497905492651E-3</c:v>
                </c:pt>
                <c:pt idx="15">
                  <c:v>2.9654254642567934E-3</c:v>
                </c:pt>
                <c:pt idx="16">
                  <c:v>3.500882287172095E-3</c:v>
                </c:pt>
                <c:pt idx="17">
                  <c:v>4.0369811905751419E-3</c:v>
                </c:pt>
                <c:pt idx="18">
                  <c:v>4.5636961727736226E-3</c:v>
                </c:pt>
                <c:pt idx="19">
                  <c:v>5.0729864179385126E-3</c:v>
                </c:pt>
                <c:pt idx="20">
                  <c:v>5.5587677818253042E-3</c:v>
                </c:pt>
                <c:pt idx="21">
                  <c:v>6.0167555290808854E-3</c:v>
                </c:pt>
                <c:pt idx="22">
                  <c:v>6.4442359719265501E-3</c:v>
                </c:pt>
                <c:pt idx="23">
                  <c:v>6.8398094290511363E-3</c:v>
                </c:pt>
                <c:pt idx="24">
                  <c:v>7.2031333143684987E-3</c:v>
                </c:pt>
                <c:pt idx="25">
                  <c:v>7.5346832043094751E-3</c:v>
                </c:pt>
                <c:pt idx="26">
                  <c:v>7.8355415441034512E-3</c:v>
                </c:pt>
                <c:pt idx="27">
                  <c:v>8.1072179223432763E-3</c:v>
                </c:pt>
                <c:pt idx="28">
                  <c:v>8.3515010914470104E-3</c:v>
                </c:pt>
                <c:pt idx="29">
                  <c:v>8.570340651005209E-3</c:v>
                </c:pt>
                <c:pt idx="30">
                  <c:v>8.7657551127958821E-3</c:v>
                </c:pt>
                <c:pt idx="31">
                  <c:v>8.9397625858077326E-3</c:v>
                </c:pt>
                <c:pt idx="32">
                  <c:v>9.0943302961668249E-3</c:v>
                </c:pt>
                <c:pt idx="33">
                  <c:v>9.2313394025093417E-3</c:v>
                </c:pt>
                <c:pt idx="34">
                  <c:v>9.3525619525814483E-3</c:v>
                </c:pt>
                <c:pt idx="35">
                  <c:v>9.4596472664557982E-3</c:v>
                </c:pt>
                <c:pt idx="36">
                  <c:v>9.5541154726533697E-3</c:v>
                </c:pt>
                <c:pt idx="37">
                  <c:v>9.6373563350193939E-3</c:v>
                </c:pt>
                <c:pt idx="38">
                  <c:v>9.7106318748894256E-3</c:v>
                </c:pt>
                <c:pt idx="39">
                  <c:v>9.7750816090956608E-3</c:v>
                </c:pt>
                <c:pt idx="40">
                  <c:v>9.8317294898560489E-3</c:v>
                </c:pt>
                <c:pt idx="41">
                  <c:v>9.881491851082615E-3</c:v>
                </c:pt>
                <c:pt idx="42">
                  <c:v>9.9251858423321272E-3</c:v>
                </c:pt>
                <c:pt idx="43">
                  <c:v>9.9635379722819734E-3</c:v>
                </c:pt>
                <c:pt idx="44">
                  <c:v>9.9971924939657522E-3</c:v>
                </c:pt>
                <c:pt idx="45">
                  <c:v>1.0026719449342962E-2</c:v>
                </c:pt>
                <c:pt idx="46">
                  <c:v>1.0052622255804805E-2</c:v>
                </c:pt>
                <c:pt idx="47">
                  <c:v>1.0075344765979089E-2</c:v>
                </c:pt>
                <c:pt idx="48">
                  <c:v>1.0095277768096159E-2</c:v>
                </c:pt>
                <c:pt idx="49">
                  <c:v>1.0112764920028119E-2</c:v>
                </c:pt>
                <c:pt idx="50">
                  <c:v>1.0128108128206484E-2</c:v>
                </c:pt>
                <c:pt idx="51">
                  <c:v>1.0141572394800473E-2</c:v>
                </c:pt>
                <c:pt idx="52">
                  <c:v>1.0153390164263433E-2</c:v>
                </c:pt>
                <c:pt idx="53">
                  <c:v>1.0163765204779749E-2</c:v>
                </c:pt>
                <c:pt idx="54">
                  <c:v>1.0172876062165848E-2</c:v>
                </c:pt>
                <c:pt idx="55">
                  <c:v>1.0180879124087579E-2</c:v>
                </c:pt>
                <c:pt idx="56">
                  <c:v>1.0187911331580007E-2</c:v>
                </c:pt>
                <c:pt idx="57">
                  <c:v>1.0194092573192398E-2</c:v>
                </c:pt>
                <c:pt idx="58">
                  <c:v>1.0199527794927362E-2</c:v>
                </c:pt>
                <c:pt idx="59">
                  <c:v>1.0204308856716719E-2</c:v>
                </c:pt>
                <c:pt idx="60">
                  <c:v>1.0208516163634666E-2</c:v>
                </c:pt>
                <c:pt idx="61">
                  <c:v>1.0212220097502073E-2</c:v>
                </c:pt>
                <c:pt idx="62">
                  <c:v>1.0215482272060043E-2</c:v>
                </c:pt>
                <c:pt idx="63">
                  <c:v>1.0218356632535794E-2</c:v>
                </c:pt>
                <c:pt idx="64">
                  <c:v>1.0220890418219723E-2</c:v>
                </c:pt>
                <c:pt idx="65">
                  <c:v>1.0223125004635221E-2</c:v>
                </c:pt>
                <c:pt idx="66">
                  <c:v>1.0225096640018614E-2</c:v>
                </c:pt>
                <c:pt idx="67">
                  <c:v>1.022683708913432E-2</c:v>
                </c:pt>
                <c:pt idx="68">
                  <c:v>1.0228374195924364E-2</c:v>
                </c:pt>
                <c:pt idx="69">
                  <c:v>1.0229732375122822E-2</c:v>
                </c:pt>
                <c:pt idx="70">
                  <c:v>1.0230933041744026E-2</c:v>
                </c:pt>
                <c:pt idx="71">
                  <c:v>1.023199498626687E-2</c:v>
                </c:pt>
                <c:pt idx="72">
                  <c:v>1.0232934702374555E-2</c:v>
                </c:pt>
                <c:pt idx="73">
                  <c:v>1.0233766673257894E-2</c:v>
                </c:pt>
                <c:pt idx="74">
                  <c:v>1.0234503621739664E-2</c:v>
                </c:pt>
                <c:pt idx="75">
                  <c:v>1.0235156728817035E-2</c:v>
                </c:pt>
                <c:pt idx="76">
                  <c:v>1.0235735824638806E-2</c:v>
                </c:pt>
                <c:pt idx="77">
                  <c:v>1.0236249555425261E-2</c:v>
                </c:pt>
                <c:pt idx="78">
                  <c:v>1.0236705529392586E-2</c:v>
                </c:pt>
                <c:pt idx="79">
                  <c:v>1.0237110444353657E-2</c:v>
                </c:pt>
                <c:pt idx="80">
                  <c:v>1.0237470199325896E-2</c:v>
                </c:pt>
                <c:pt idx="81">
                  <c:v>1.0237789992178954E-2</c:v>
                </c:pt>
                <c:pt idx="82">
                  <c:v>1.0238074405094832E-2</c:v>
                </c:pt>
                <c:pt idx="83">
                  <c:v>1.023832747938612E-2</c:v>
                </c:pt>
                <c:pt idx="84">
                  <c:v>1.0238552781020059E-2</c:v>
                </c:pt>
                <c:pt idx="85">
                  <c:v>1.0238753458023605E-2</c:v>
                </c:pt>
                <c:pt idx="86">
                  <c:v>1.0238932290794207E-2</c:v>
                </c:pt>
                <c:pt idx="87">
                  <c:v>1.0239091736210015E-2</c:v>
                </c:pt>
                <c:pt idx="88">
                  <c:v>1.023923396631897E-2</c:v>
                </c:pt>
                <c:pt idx="89">
                  <c:v>1.0239360902286776E-2</c:v>
                </c:pt>
                <c:pt idx="90">
                  <c:v>1.0239474244197079E-2</c:v>
                </c:pt>
                <c:pt idx="91">
                  <c:v>1.0239575497221653E-2</c:v>
                </c:pt>
                <c:pt idx="92">
                  <c:v>1.0239665994612599E-2</c:v>
                </c:pt>
                <c:pt idx="93">
                  <c:v>1.0239746917911274E-2</c:v>
                </c:pt>
                <c:pt idx="94">
                  <c:v>1.0239819314718668E-2</c:v>
                </c:pt>
                <c:pt idx="95">
                  <c:v>1.0239884114328439E-2</c:v>
                </c:pt>
                <c:pt idx="96">
                  <c:v>1.0239942141485839E-2</c:v>
                </c:pt>
                <c:pt idx="97">
                  <c:v>1.0239994128502693E-2</c:v>
                </c:pt>
                <c:pt idx="98">
                  <c:v>1.0240040725929694E-2</c:v>
                </c:pt>
                <c:pt idx="99">
                  <c:v>1.024008251196213E-2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  <c:pt idx="0">
                  <c:v>1.3071746885918489E-73</c:v>
                </c:pt>
                <c:pt idx="1">
                  <c:v>2.9783585286418217E-49</c:v>
                </c:pt>
                <c:pt idx="2">
                  <c:v>2.0141169087764371E-37</c:v>
                </c:pt>
                <c:pt idx="3">
                  <c:v>4.1225698663976183E-30</c:v>
                </c:pt>
                <c:pt idx="4">
                  <c:v>4.6482254270801443E-25</c:v>
                </c:pt>
                <c:pt idx="5">
                  <c:v>2.4770125914536415E-21</c:v>
                </c:pt>
                <c:pt idx="6">
                  <c:v>1.8349584343757172E-18</c:v>
                </c:pt>
                <c:pt idx="7">
                  <c:v>3.4860019366749802E-16</c:v>
                </c:pt>
                <c:pt idx="8">
                  <c:v>2.5815124035754746E-14</c:v>
                </c:pt>
                <c:pt idx="9">
                  <c:v>2.1099083368728736E-12</c:v>
                </c:pt>
                <c:pt idx="10">
                  <c:v>3.1392434968618916E-10</c:v>
                </c:pt>
                <c:pt idx="11">
                  <c:v>2.0015641823378725E-8</c:v>
                </c:pt>
                <c:pt idx="12">
                  <c:v>4.9248981879938296E-7</c:v>
                </c:pt>
                <c:pt idx="13">
                  <c:v>5.5712178627808042E-6</c:v>
                </c:pt>
                <c:pt idx="14">
                  <c:v>3.3885565312433358E-5</c:v>
                </c:pt>
                <c:pt idx="15">
                  <c:v>1.257585880138845E-4</c:v>
                </c:pt>
                <c:pt idx="16">
                  <c:v>3.158449985141833E-4</c:v>
                </c:pt>
                <c:pt idx="17">
                  <c:v>5.858087518434466E-4</c:v>
                </c:pt>
                <c:pt idx="18">
                  <c:v>8.6585011192573781E-4</c:v>
                </c:pt>
                <c:pt idx="19">
                  <c:v>1.0910278752363179E-3</c:v>
                </c:pt>
                <c:pt idx="20">
                  <c:v>1.2429309912634111E-3</c:v>
                </c:pt>
                <c:pt idx="21">
                  <c:v>1.343159302020685E-3</c:v>
                </c:pt>
                <c:pt idx="22">
                  <c:v>1.4265304430492549E-3</c:v>
                </c:pt>
                <c:pt idx="23">
                  <c:v>1.5245987782646197E-3</c:v>
                </c:pt>
                <c:pt idx="24">
                  <c:v>1.6647643928384998E-3</c:v>
                </c:pt>
                <c:pt idx="25">
                  <c:v>1.8776877788074381E-3</c:v>
                </c:pt>
                <c:pt idx="26">
                  <c:v>2.2056873798731633E-3</c:v>
                </c:pt>
                <c:pt idx="27">
                  <c:v>2.7059330555273993E-3</c:v>
                </c:pt>
                <c:pt idx="28">
                  <c:v>3.4430449112594478E-3</c:v>
                </c:pt>
                <c:pt idx="29">
                  <c:v>4.470071828631017E-3</c:v>
                </c:pt>
                <c:pt idx="30">
                  <c:v>5.8046801294450098E-3</c:v>
                </c:pt>
                <c:pt idx="31">
                  <c:v>7.4128827724351566E-3</c:v>
                </c:pt>
                <c:pt idx="32">
                  <c:v>9.2102528323267287E-3</c:v>
                </c:pt>
                <c:pt idx="33">
                  <c:v>1.108125407494134E-2</c:v>
                </c:pt>
                <c:pt idx="34">
                  <c:v>1.2907827307501667E-2</c:v>
                </c:pt>
                <c:pt idx="35">
                  <c:v>1.4594973580970973E-2</c:v>
                </c:pt>
                <c:pt idx="36">
                  <c:v>1.608473630799542E-2</c:v>
                </c:pt>
                <c:pt idx="37">
                  <c:v>1.7356903908976009E-2</c:v>
                </c:pt>
                <c:pt idx="38">
                  <c:v>1.8420328141265121E-2</c:v>
                </c:pt>
                <c:pt idx="39">
                  <c:v>1.930072944035878E-2</c:v>
                </c:pt>
                <c:pt idx="40">
                  <c:v>2.0029740265025013E-2</c:v>
                </c:pt>
                <c:pt idx="41">
                  <c:v>2.0637522139115145E-2</c:v>
                </c:pt>
                <c:pt idx="42">
                  <c:v>2.1149154277494225E-2</c:v>
                </c:pt>
                <c:pt idx="43">
                  <c:v>2.1583818628016213E-2</c:v>
                </c:pt>
                <c:pt idx="44">
                  <c:v>2.1955536082854266E-2</c:v>
                </c:pt>
                <c:pt idx="45">
                  <c:v>2.2274458252600427E-2</c:v>
                </c:pt>
                <c:pt idx="46">
                  <c:v>2.2548121902278687E-2</c:v>
                </c:pt>
                <c:pt idx="47">
                  <c:v>2.2782415398301618E-2</c:v>
                </c:pt>
                <c:pt idx="48">
                  <c:v>2.2982219463833879E-2</c:v>
                </c:pt>
                <c:pt idx="49">
                  <c:v>2.3151782439476097E-2</c:v>
                </c:pt>
                <c:pt idx="50">
                  <c:v>2.3294914745790953E-2</c:v>
                </c:pt>
                <c:pt idx="51">
                  <c:v>2.3415076447350292E-2</c:v>
                </c:pt>
                <c:pt idx="52">
                  <c:v>2.3515410273208102E-2</c:v>
                </c:pt>
                <c:pt idx="53">
                  <c:v>2.359875221436435E-2</c:v>
                </c:pt>
                <c:pt idx="54">
                  <c:v>2.3667636933803811E-2</c:v>
                </c:pt>
                <c:pt idx="55">
                  <c:v>2.372430577033921E-2</c:v>
                </c:pt>
                <c:pt idx="56">
                  <c:v>2.3770719786744669E-2</c:v>
                </c:pt>
                <c:pt idx="57">
                  <c:v>2.3808577668412437E-2</c:v>
                </c:pt>
                <c:pt idx="58">
                  <c:v>2.3839337202646645E-2</c:v>
                </c:pt>
                <c:pt idx="59">
                  <c:v>2.3864238820595476E-2</c:v>
                </c:pt>
                <c:pt idx="60">
                  <c:v>2.3884329822780017E-2</c:v>
                </c:pt>
                <c:pt idx="61">
                  <c:v>2.3900488193610157E-2</c:v>
                </c:pt>
                <c:pt idx="62">
                  <c:v>2.3913445218404026E-2</c:v>
                </c:pt>
                <c:pt idx="63">
                  <c:v>2.3923806393362251E-2</c:v>
                </c:pt>
                <c:pt idx="64">
                  <c:v>2.3932070344922174E-2</c:v>
                </c:pt>
                <c:pt idx="65">
                  <c:v>2.3938645647428546E-2</c:v>
                </c:pt>
                <c:pt idx="66">
                  <c:v>2.3943865552326426E-2</c:v>
                </c:pt>
                <c:pt idx="67">
                  <c:v>2.3948000726143483E-2</c:v>
                </c:pt>
                <c:pt idx="68">
                  <c:v>2.3951270146817125E-2</c:v>
                </c:pt>
                <c:pt idx="69">
                  <c:v>2.3953850336162315E-2</c:v>
                </c:pt>
                <c:pt idx="70">
                  <c:v>2.3955883117051276E-2</c:v>
                </c:pt>
                <c:pt idx="71">
                  <c:v>2.3957482082532802E-2</c:v>
                </c:pt>
                <c:pt idx="72">
                  <c:v>2.3958737954839354E-2</c:v>
                </c:pt>
                <c:pt idx="73">
                  <c:v>2.3959722998179257E-2</c:v>
                </c:pt>
                <c:pt idx="74">
                  <c:v>2.3960494632705751E-2</c:v>
                </c:pt>
                <c:pt idx="75">
                  <c:v>2.3961098379727486E-2</c:v>
                </c:pt>
                <c:pt idx="76">
                  <c:v>2.3961570251178566E-2</c:v>
                </c:pt>
                <c:pt idx="77">
                  <c:v>2.3961938680298334E-2</c:v>
                </c:pt>
                <c:pt idx="78">
                  <c:v>2.3962226075784181E-2</c:v>
                </c:pt>
                <c:pt idx="79">
                  <c:v>2.3962450068564834E-2</c:v>
                </c:pt>
                <c:pt idx="80">
                  <c:v>2.3962624508842494E-2</c:v>
                </c:pt>
                <c:pt idx="81">
                  <c:v>2.3962760261120084E-2</c:v>
                </c:pt>
                <c:pt idx="82">
                  <c:v>2.3962865836457372E-2</c:v>
                </c:pt>
                <c:pt idx="83">
                  <c:v>2.3962947894048181E-2</c:v>
                </c:pt>
                <c:pt idx="84">
                  <c:v>2.3963011638228636E-2</c:v>
                </c:pt>
                <c:pt idx="85">
                  <c:v>2.3963061132061831E-2</c:v>
                </c:pt>
                <c:pt idx="86">
                  <c:v>2.3963099544552204E-2</c:v>
                </c:pt>
                <c:pt idx="87">
                  <c:v>2.396312934519108E-2</c:v>
                </c:pt>
                <c:pt idx="88">
                  <c:v>2.3963152456803732E-2</c:v>
                </c:pt>
                <c:pt idx="89">
                  <c:v>2.3963170375454233E-2</c:v>
                </c:pt>
                <c:pt idx="90">
                  <c:v>2.3963184264377053E-2</c:v>
                </c:pt>
                <c:pt idx="91">
                  <c:v>2.3963195027467285E-2</c:v>
                </c:pt>
                <c:pt idx="92">
                  <c:v>2.396320336671013E-2</c:v>
                </c:pt>
                <c:pt idx="93">
                  <c:v>2.3963209827010969E-2</c:v>
                </c:pt>
                <c:pt idx="94">
                  <c:v>2.3963214831155377E-2</c:v>
                </c:pt>
                <c:pt idx="95">
                  <c:v>2.3963218707047269E-2</c:v>
                </c:pt>
                <c:pt idx="96">
                  <c:v>2.3963221708913081E-2</c:v>
                </c:pt>
                <c:pt idx="97">
                  <c:v>2.396322403379611E-2</c:v>
                </c:pt>
                <c:pt idx="98">
                  <c:v>2.3963225834378297E-2</c:v>
                </c:pt>
                <c:pt idx="99">
                  <c:v>2.3963227228940877E-2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  <c:pt idx="0">
                  <c:v>3.3112965668977355E-34</c:v>
                </c:pt>
                <c:pt idx="1">
                  <c:v>2.8194945089246505E-22</c:v>
                </c:pt>
                <c:pt idx="2">
                  <c:v>7.6072664466530801E-17</c:v>
                </c:pt>
                <c:pt idx="3">
                  <c:v>1.1018307604659002E-13</c:v>
                </c:pt>
                <c:pt idx="4">
                  <c:v>1.2622117351910941E-11</c:v>
                </c:pt>
                <c:pt idx="5">
                  <c:v>3.4371980869032582E-10</c:v>
                </c:pt>
                <c:pt idx="6">
                  <c:v>3.8316535513761188E-9</c:v>
                </c:pt>
                <c:pt idx="7">
                  <c:v>2.3552663371315412E-8</c:v>
                </c:pt>
                <c:pt idx="8">
                  <c:v>9.528509970707822E-8</c:v>
                </c:pt>
                <c:pt idx="9">
                  <c:v>2.839418073236761E-7</c:v>
                </c:pt>
                <c:pt idx="10">
                  <c:v>6.721986274800016E-7</c:v>
                </c:pt>
                <c:pt idx="11">
                  <c:v>1.3331321695182183E-6</c:v>
                </c:pt>
                <c:pt idx="12">
                  <c:v>2.3019540426106981E-6</c:v>
                </c:pt>
                <c:pt idx="13">
                  <c:v>3.5619342801256256E-6</c:v>
                </c:pt>
                <c:pt idx="14">
                  <c:v>5.0494271100806966E-6</c:v>
                </c:pt>
                <c:pt idx="15">
                  <c:v>6.6729684873038536E-6</c:v>
                </c:pt>
                <c:pt idx="16">
                  <c:v>8.3377640939200058E-6</c:v>
                </c:pt>
                <c:pt idx="17">
                  <c:v>9.9688619754449432E-6</c:v>
                </c:pt>
                <c:pt idx="18">
                  <c:v>1.1530203420418014E-5</c:v>
                </c:pt>
                <c:pt idx="19">
                  <c:v>1.3039488357022647E-5</c:v>
                </c:pt>
                <c:pt idx="20">
                  <c:v>1.4579311354775467E-5</c:v>
                </c:pt>
                <c:pt idx="21">
                  <c:v>1.6303946209957964E-5</c:v>
                </c:pt>
                <c:pt idx="22">
                  <c:v>1.843982807868071E-5</c:v>
                </c:pt>
                <c:pt idx="23">
                  <c:v>2.1277365083773471E-5</c:v>
                </c:pt>
                <c:pt idx="24">
                  <c:v>2.5152667613075898E-5</c:v>
                </c:pt>
                <c:pt idx="25">
                  <c:v>3.0419812482827637E-5</c:v>
                </c:pt>
                <c:pt idx="26">
                  <c:v>3.7416581333482047E-5</c:v>
                </c:pt>
                <c:pt idx="27">
                  <c:v>4.6428385218266394E-5</c:v>
                </c:pt>
                <c:pt idx="28">
                  <c:v>5.7655746620555612E-5</c:v>
                </c:pt>
                <c:pt idx="29">
                  <c:v>7.1190125172614421E-5</c:v>
                </c:pt>
                <c:pt idx="30">
                  <c:v>8.7001305228653241E-5</c:v>
                </c:pt>
                <c:pt idx="31">
                  <c:v>1.0493750142513401E-4</c:v>
                </c:pt>
                <c:pt idx="32">
                  <c:v>1.2473730677388199E-4</c:v>
                </c:pt>
                <c:pt idx="33">
                  <c:v>1.4605101617980751E-4</c:v>
                </c:pt>
                <c:pt idx="34">
                  <c:v>1.6846792715111261E-4</c:v>
                </c:pt>
                <c:pt idx="35">
                  <c:v>1.9154597900895008E-4</c:v>
                </c:pt>
                <c:pt idx="36">
                  <c:v>2.1484042855763721E-4</c:v>
                </c:pt>
                <c:pt idx="37">
                  <c:v>2.3792898271104716E-4</c:v>
                </c:pt>
                <c:pt idx="38">
                  <c:v>2.6043170993205313E-4</c:v>
                </c:pt>
                <c:pt idx="39">
                  <c:v>2.8202495415216567E-4</c:v>
                </c:pt>
                <c:pt idx="40">
                  <c:v>3.0244925079766621E-4</c:v>
                </c:pt>
                <c:pt idx="41">
                  <c:v>3.2151182552826718E-4</c:v>
                </c:pt>
                <c:pt idx="42">
                  <c:v>3.3908462297228251E-4</c:v>
                </c:pt>
                <c:pt idx="43">
                  <c:v>3.5509898198517144E-4</c:v>
                </c:pt>
                <c:pt idx="44">
                  <c:v>3.6953808394583177E-4</c:v>
                </c:pt>
                <c:pt idx="45">
                  <c:v>3.8242819789645907E-4</c:v>
                </c:pt>
                <c:pt idx="46">
                  <c:v>3.9382957638346087E-4</c:v>
                </c:pt>
                <c:pt idx="47">
                  <c:v>4.0382765723399362E-4</c:v>
                </c:pt>
                <c:pt idx="48">
                  <c:v>4.1252502826679836E-4</c:v>
                </c:pt>
                <c:pt idx="49">
                  <c:v>4.200344333582756E-4</c:v>
                </c:pt>
                <c:pt idx="50">
                  <c:v>4.2647295000207685E-4</c:v>
                </c:pt>
                <c:pt idx="51">
                  <c:v>4.3195735437016734E-4</c:v>
                </c:pt>
                <c:pt idx="52">
                  <c:v>4.3660060899452846E-4</c:v>
                </c:pt>
                <c:pt idx="53">
                  <c:v>4.4050935669343771E-4</c:v>
                </c:pt>
                <c:pt idx="54">
                  <c:v>4.4378227695996954E-4</c:v>
                </c:pt>
                <c:pt idx="55">
                  <c:v>4.4650915203298103E-4</c:v>
                </c:pt>
                <c:pt idx="56">
                  <c:v>4.4877049393505662E-4</c:v>
                </c:pt>
                <c:pt idx="57">
                  <c:v>4.5063759627270839E-4</c:v>
                </c:pt>
                <c:pt idx="58">
                  <c:v>4.5217289183738414E-4</c:v>
                </c:pt>
                <c:pt idx="59">
                  <c:v>4.5343051621923717E-4</c:v>
                </c:pt>
                <c:pt idx="60">
                  <c:v>4.544569967744522E-4</c:v>
                </c:pt>
                <c:pt idx="61">
                  <c:v>4.5529200409179395E-4</c:v>
                </c:pt>
                <c:pt idx="62">
                  <c:v>4.5596911885364142E-4</c:v>
                </c:pt>
                <c:pt idx="63">
                  <c:v>4.5651658035677069E-4</c:v>
                </c:pt>
                <c:pt idx="64">
                  <c:v>4.5695799390775744E-4</c:v>
                </c:pt>
                <c:pt idx="65">
                  <c:v>4.5731298297889314E-4</c:v>
                </c:pt>
                <c:pt idx="66">
                  <c:v>4.5759777864953403E-4</c:v>
                </c:pt>
                <c:pt idx="67">
                  <c:v>4.5782574375938327E-4</c:v>
                </c:pt>
                <c:pt idx="68">
                  <c:v>4.5800783266789754E-4</c:v>
                </c:pt>
                <c:pt idx="69">
                  <c:v>4.5815298983548623E-4</c:v>
                </c:pt>
                <c:pt idx="70">
                  <c:v>4.5826849187508825E-4</c:v>
                </c:pt>
                <c:pt idx="71">
                  <c:v>4.5836023848817549E-4</c:v>
                </c:pt>
                <c:pt idx="72">
                  <c:v>4.5843299798045749E-4</c:v>
                </c:pt>
                <c:pt idx="73">
                  <c:v>4.5849061299677241E-4</c:v>
                </c:pt>
                <c:pt idx="74">
                  <c:v>4.5853617183680444E-4</c:v>
                </c:pt>
                <c:pt idx="75">
                  <c:v>4.5857215030061183E-4</c:v>
                </c:pt>
                <c:pt idx="76">
                  <c:v>4.5860052852973916E-4</c:v>
                </c:pt>
                <c:pt idx="77">
                  <c:v>4.5862288680164964E-4</c:v>
                </c:pt>
                <c:pt idx="78">
                  <c:v>4.5864048373356624E-4</c:v>
                </c:pt>
                <c:pt idx="79">
                  <c:v>4.5865431987667811E-4</c:v>
                </c:pt>
                <c:pt idx="80">
                  <c:v>4.5866518924493897E-4</c:v>
                </c:pt>
                <c:pt idx="81">
                  <c:v>4.586737209302957E-4</c:v>
                </c:pt>
                <c:pt idx="82">
                  <c:v>4.5868041260993254E-4</c:v>
                </c:pt>
                <c:pt idx="83">
                  <c:v>4.5868565745002337E-4</c:v>
                </c:pt>
                <c:pt idx="84">
                  <c:v>4.5868976565184279E-4</c:v>
                </c:pt>
                <c:pt idx="85">
                  <c:v>4.586929816662012E-4</c:v>
                </c:pt>
                <c:pt idx="86">
                  <c:v>4.5869549791689116E-4</c:v>
                </c:pt>
                <c:pt idx="87">
                  <c:v>4.5869746571892186E-4</c:v>
                </c:pt>
                <c:pt idx="88">
                  <c:v>4.5869900394867691E-4</c:v>
                </c:pt>
                <c:pt idx="89">
                  <c:v>4.587002059169464E-4</c:v>
                </c:pt>
                <c:pt idx="90">
                  <c:v>4.5870114480860743E-4</c:v>
                </c:pt>
                <c:pt idx="91">
                  <c:v>4.5870187798149778E-4</c:v>
                </c:pt>
                <c:pt idx="92">
                  <c:v>4.5870245035908359E-4</c:v>
                </c:pt>
                <c:pt idx="93">
                  <c:v>4.587028971045661E-4</c:v>
                </c:pt>
                <c:pt idx="94">
                  <c:v>4.5870324572615966E-4</c:v>
                </c:pt>
                <c:pt idx="95">
                  <c:v>4.5870351773275893E-4</c:v>
                </c:pt>
                <c:pt idx="96">
                  <c:v>4.5870372993472722E-4</c:v>
                </c:pt>
                <c:pt idx="97">
                  <c:v>4.5870389546494143E-4</c:v>
                </c:pt>
                <c:pt idx="98">
                  <c:v>4.5870402457958467E-4</c:v>
                </c:pt>
                <c:pt idx="99">
                  <c:v>4.5870412528571756E-4</c:v>
                </c:pt>
              </c:numCache>
            </c:numRef>
          </c:yVal>
          <c:smooth val="1"/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  <c:pt idx="0">
                  <c:v>5.2461786094267035E-13</c:v>
                </c:pt>
                <c:pt idx="1">
                  <c:v>2.5337615254756972E-8</c:v>
                </c:pt>
                <c:pt idx="2">
                  <c:v>2.2852269117193034E-6</c:v>
                </c:pt>
                <c:pt idx="3">
                  <c:v>2.6587354757124791E-5</c:v>
                </c:pt>
                <c:pt idx="4">
                  <c:v>1.2353068790086415E-4</c:v>
                </c:pt>
                <c:pt idx="5">
                  <c:v>3.4796126384118104E-4</c:v>
                </c:pt>
                <c:pt idx="6">
                  <c:v>7.2314889754555877E-4</c:v>
                </c:pt>
                <c:pt idx="7">
                  <c:v>1.2346492988316994E-3</c:v>
                </c:pt>
                <c:pt idx="8">
                  <c:v>1.8470807738360205E-3</c:v>
                </c:pt>
                <c:pt idx="9">
                  <c:v>2.5225842306846337E-3</c:v>
                </c:pt>
                <c:pt idx="10">
                  <c:v>3.2308394401877548E-3</c:v>
                </c:pt>
                <c:pt idx="11">
                  <c:v>3.9511561753613695E-3</c:v>
                </c:pt>
                <c:pt idx="12">
                  <c:v>4.6708878859590868E-3</c:v>
                </c:pt>
                <c:pt idx="13">
                  <c:v>5.3858407491836702E-3</c:v>
                </c:pt>
                <c:pt idx="14">
                  <c:v>6.1087331329889652E-3</c:v>
                </c:pt>
                <c:pt idx="15">
                  <c:v>6.8750742752511241E-3</c:v>
                </c:pt>
                <c:pt idx="16">
                  <c:v>7.7152414241984284E-3</c:v>
                </c:pt>
                <c:pt idx="17">
                  <c:v>8.6070643301931222E-3</c:v>
                </c:pt>
                <c:pt idx="18">
                  <c:v>9.4774656711058627E-3</c:v>
                </c:pt>
                <c:pt idx="19">
                  <c:v>1.0258937335389373E-2</c:v>
                </c:pt>
                <c:pt idx="20">
                  <c:v>1.0931323780275493E-2</c:v>
                </c:pt>
                <c:pt idx="21">
                  <c:v>1.1515343562378568E-2</c:v>
                </c:pt>
                <c:pt idx="22">
                  <c:v>1.2045766864340435E-2</c:v>
                </c:pt>
                <c:pt idx="23">
                  <c:v>1.2554848556910851E-2</c:v>
                </c:pt>
                <c:pt idx="24">
                  <c:v>1.3071312405480961E-2</c:v>
                </c:pt>
                <c:pt idx="25">
                  <c:v>1.3627619474355623E-2</c:v>
                </c:pt>
                <c:pt idx="26">
                  <c:v>1.4268213517348399E-2</c:v>
                </c:pt>
                <c:pt idx="27">
                  <c:v>1.5052569525602213E-2</c:v>
                </c:pt>
                <c:pt idx="28">
                  <c:v>1.6047665002742927E-2</c:v>
                </c:pt>
                <c:pt idx="29">
                  <c:v>1.730885508190623E-2</c:v>
                </c:pt>
                <c:pt idx="30">
                  <c:v>1.88559852347168E-2</c:v>
                </c:pt>
                <c:pt idx="31">
                  <c:v>2.0657072042843162E-2</c:v>
                </c:pt>
                <c:pt idx="32">
                  <c:v>2.2629493181357294E-2</c:v>
                </c:pt>
                <c:pt idx="33">
                  <c:v>2.465931497313463E-2</c:v>
                </c:pt>
                <c:pt idx="34">
                  <c:v>2.6629890793140893E-2</c:v>
                </c:pt>
                <c:pt idx="35">
                  <c:v>2.8447465892039014E-2</c:v>
                </c:pt>
                <c:pt idx="36">
                  <c:v>3.0055185742977133E-2</c:v>
                </c:pt>
                <c:pt idx="37">
                  <c:v>3.1433825528392245E-2</c:v>
                </c:pt>
                <c:pt idx="38">
                  <c:v>3.2593133069643392E-2</c:v>
                </c:pt>
                <c:pt idx="39">
                  <c:v>3.3559654803502981E-2</c:v>
                </c:pt>
                <c:pt idx="40">
                  <c:v>3.4365795048684165E-2</c:v>
                </c:pt>
                <c:pt idx="41">
                  <c:v>3.5042444258832052E-2</c:v>
                </c:pt>
                <c:pt idx="42">
                  <c:v>3.5615374662725643E-2</c:v>
                </c:pt>
                <c:pt idx="43">
                  <c:v>3.6104428922680953E-2</c:v>
                </c:pt>
                <c:pt idx="44">
                  <c:v>3.6524257466605238E-2</c:v>
                </c:pt>
                <c:pt idx="45">
                  <c:v>3.6885609759553954E-2</c:v>
                </c:pt>
                <c:pt idx="46">
                  <c:v>3.7196587372640665E-2</c:v>
                </c:pt>
                <c:pt idx="47">
                  <c:v>3.7463608800880545E-2</c:v>
                </c:pt>
                <c:pt idx="48">
                  <c:v>3.7692048763145032E-2</c:v>
                </c:pt>
                <c:pt idx="49">
                  <c:v>3.7886612460909033E-2</c:v>
                </c:pt>
                <c:pt idx="50">
                  <c:v>3.805152963958585E-2</c:v>
                </c:pt>
                <c:pt idx="51">
                  <c:v>3.8190642395795775E-2</c:v>
                </c:pt>
                <c:pt idx="52">
                  <c:v>3.8307439054789949E-2</c:v>
                </c:pt>
                <c:pt idx="53">
                  <c:v>3.8405066159987754E-2</c:v>
                </c:pt>
                <c:pt idx="54">
                  <c:v>3.8486335705605043E-2</c:v>
                </c:pt>
                <c:pt idx="55">
                  <c:v>3.8553735279863915E-2</c:v>
                </c:pt>
                <c:pt idx="56">
                  <c:v>3.8609443458398389E-2</c:v>
                </c:pt>
                <c:pt idx="57">
                  <c:v>3.8655350153833111E-2</c:v>
                </c:pt>
                <c:pt idx="58">
                  <c:v>3.8693080566313751E-2</c:v>
                </c:pt>
                <c:pt idx="59">
                  <c:v>3.8724021148280219E-2</c:v>
                </c:pt>
                <c:pt idx="60">
                  <c:v>3.8749346152228144E-2</c:v>
                </c:pt>
                <c:pt idx="61">
                  <c:v>3.8770043629829401E-2</c:v>
                </c:pt>
                <c:pt idx="62">
                  <c:v>3.8786940072134936E-2</c:v>
                </c:pt>
                <c:pt idx="63">
                  <c:v>3.880072316849776E-2</c:v>
                </c:pt>
                <c:pt idx="64">
                  <c:v>3.8811962396547932E-2</c:v>
                </c:pt>
                <c:pt idx="65">
                  <c:v>3.882112733467754E-2</c:v>
                </c:pt>
                <c:pt idx="66">
                  <c:v>3.8828603717523627E-2</c:v>
                </c:pt>
                <c:pt idx="67">
                  <c:v>3.8834707342198023E-2</c:v>
                </c:pt>
                <c:pt idx="68">
                  <c:v>3.8839695987234808E-2</c:v>
                </c:pt>
                <c:pt idx="69">
                  <c:v>3.8843779535414395E-2</c:v>
                </c:pt>
                <c:pt idx="70">
                  <c:v>3.8847128502605209E-2</c:v>
                </c:pt>
                <c:pt idx="71">
                  <c:v>3.8849881173096457E-2</c:v>
                </c:pt>
                <c:pt idx="72">
                  <c:v>3.88521495319318E-2</c:v>
                </c:pt>
                <c:pt idx="73">
                  <c:v>3.885402416979418E-2</c:v>
                </c:pt>
                <c:pt idx="74">
                  <c:v>3.8855578318456645E-2</c:v>
                </c:pt>
                <c:pt idx="75">
                  <c:v>3.8856871156412863E-2</c:v>
                </c:pt>
                <c:pt idx="76">
                  <c:v>3.8857950506190141E-2</c:v>
                </c:pt>
                <c:pt idx="77">
                  <c:v>3.8858855027762471E-2</c:v>
                </c:pt>
                <c:pt idx="78">
                  <c:v>3.8859615996846272E-2</c:v>
                </c:pt>
                <c:pt idx="79">
                  <c:v>3.8860258742880037E-2</c:v>
                </c:pt>
                <c:pt idx="80">
                  <c:v>3.8860803809211822E-2</c:v>
                </c:pt>
                <c:pt idx="81">
                  <c:v>3.88612678873963E-2</c:v>
                </c:pt>
                <c:pt idx="82">
                  <c:v>3.8861664568423493E-2</c:v>
                </c:pt>
                <c:pt idx="83">
                  <c:v>3.8862004946022106E-2</c:v>
                </c:pt>
                <c:pt idx="84">
                  <c:v>3.8862298100741162E-2</c:v>
                </c:pt>
                <c:pt idx="85">
                  <c:v>3.8862551488156663E-2</c:v>
                </c:pt>
                <c:pt idx="86">
                  <c:v>3.886277125012217E-2</c:v>
                </c:pt>
                <c:pt idx="87">
                  <c:v>3.8862962464344307E-2</c:v>
                </c:pt>
                <c:pt idx="88">
                  <c:v>3.8863129344590276E-2</c:v>
                </c:pt>
                <c:pt idx="89">
                  <c:v>3.8863275401414696E-2</c:v>
                </c:pt>
                <c:pt idx="90">
                  <c:v>3.8863403571331723E-2</c:v>
                </c:pt>
                <c:pt idx="91">
                  <c:v>3.8863516320775005E-2</c:v>
                </c:pt>
                <c:pt idx="92">
                  <c:v>3.8863615729912447E-2</c:v>
                </c:pt>
                <c:pt idx="93">
                  <c:v>3.8863703560359737E-2</c:v>
                </c:pt>
                <c:pt idx="94">
                  <c:v>3.8863781310016214E-2</c:v>
                </c:pt>
                <c:pt idx="95">
                  <c:v>3.8863850257592043E-2</c:v>
                </c:pt>
                <c:pt idx="96">
                  <c:v>3.8863911498872243E-2</c:v>
                </c:pt>
                <c:pt idx="97">
                  <c:v>3.8863965976347191E-2</c:v>
                </c:pt>
                <c:pt idx="98">
                  <c:v>3.886401450350762E-2</c:v>
                </c:pt>
                <c:pt idx="99">
                  <c:v>3.8864057784838674E-2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" sourceLinked="0"/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Larguillo!$BO$8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" sourceLinked="0"/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Larguillo!$BN$8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" sourceLinked="0"/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Larguillo!$BP$8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" sourceLinked="0"/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Larguillo!$BM$8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" sourceLinked="0"/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Larguillo!$BQ$8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  <c:pt idx="0">
                  <c:v>8.7950924493197219E-12</c:v>
                </c:pt>
                <c:pt idx="1">
                  <c:v>4.5404518389829614E-7</c:v>
                </c:pt>
                <c:pt idx="2">
                  <c:v>3.9394991798378541E-5</c:v>
                </c:pt>
                <c:pt idx="3">
                  <c:v>4.2497452094915838E-4</c:v>
                </c:pt>
                <c:pt idx="4">
                  <c:v>1.8048416175060027E-3</c:v>
                </c:pt>
                <c:pt idx="5">
                  <c:v>4.612613551625535E-3</c:v>
                </c:pt>
                <c:pt idx="6">
                  <c:v>8.6575422314003961E-3</c:v>
                </c:pt>
                <c:pt idx="7">
                  <c:v>1.3308958552305204E-2</c:v>
                </c:pt>
                <c:pt idx="8">
                  <c:v>1.789461429266993E-2</c:v>
                </c:pt>
                <c:pt idx="9">
                  <c:v>2.194969357192264E-2</c:v>
                </c:pt>
                <c:pt idx="10">
                  <c:v>2.5264164688832736E-2</c:v>
                </c:pt>
                <c:pt idx="11">
                  <c:v>2.7820538924730822E-2</c:v>
                </c:pt>
                <c:pt idx="12">
                  <c:v>2.9708535513646807E-2</c:v>
                </c:pt>
                <c:pt idx="13">
                  <c:v>3.1058050716105727E-2</c:v>
                </c:pt>
                <c:pt idx="14">
                  <c:v>3.19990573346563E-2</c:v>
                </c:pt>
                <c:pt idx="15">
                  <c:v>3.2642991880810143E-2</c:v>
                </c:pt>
                <c:pt idx="16">
                  <c:v>3.3077415172136158E-2</c:v>
                </c:pt>
                <c:pt idx="17">
                  <c:v>3.3367382051918172E-2</c:v>
                </c:pt>
                <c:pt idx="18">
                  <c:v>3.3559406038140061E-2</c:v>
                </c:pt>
                <c:pt idx="19">
                  <c:v>3.3685847414346458E-2</c:v>
                </c:pt>
                <c:pt idx="20">
                  <c:v>3.3768777121555266E-2</c:v>
                </c:pt>
                <c:pt idx="21">
                  <c:v>3.3823030629671826E-2</c:v>
                </c:pt>
                <c:pt idx="22">
                  <c:v>3.3858473871142693E-2</c:v>
                </c:pt>
                <c:pt idx="23">
                  <c:v>3.3881617118373036E-2</c:v>
                </c:pt>
                <c:pt idx="24">
                  <c:v>3.3896732630388088E-2</c:v>
                </c:pt>
                <c:pt idx="25">
                  <c:v>3.3906613413546713E-2</c:v>
                </c:pt>
                <c:pt idx="26">
                  <c:v>3.3913081015633874E-2</c:v>
                </c:pt>
                <c:pt idx="27">
                  <c:v>3.3917321860831434E-2</c:v>
                </c:pt>
                <c:pt idx="28">
                  <c:v>3.3920108367202745E-2</c:v>
                </c:pt>
                <c:pt idx="29">
                  <c:v>3.3921943555867924E-2</c:v>
                </c:pt>
                <c:pt idx="30">
                  <c:v>3.3923155288888139E-2</c:v>
                </c:pt>
                <c:pt idx="31">
                  <c:v>3.3923957544757646E-2</c:v>
                </c:pt>
                <c:pt idx="32">
                  <c:v>3.3924490213934878E-2</c:v>
                </c:pt>
                <c:pt idx="33">
                  <c:v>3.3924844935184682E-2</c:v>
                </c:pt>
                <c:pt idx="34">
                  <c:v>3.3925081874688658E-2</c:v>
                </c:pt>
                <c:pt idx="35">
                  <c:v>3.3925240632511997E-2</c:v>
                </c:pt>
                <c:pt idx="36">
                  <c:v>3.3925347341128127E-2</c:v>
                </c:pt>
                <c:pt idx="37">
                  <c:v>3.3925419293242533E-2</c:v>
                </c:pt>
                <c:pt idx="38">
                  <c:v>3.3925467964785648E-2</c:v>
                </c:pt>
                <c:pt idx="39">
                  <c:v>3.3925500993942127E-2</c:v>
                </c:pt>
                <c:pt idx="40">
                  <c:v>3.392552347984177E-2</c:v>
                </c:pt>
                <c:pt idx="41">
                  <c:v>3.3925538836967924E-2</c:v>
                </c:pt>
                <c:pt idx="42">
                  <c:v>3.3925549358776397E-2</c:v>
                </c:pt>
                <c:pt idx="43">
                  <c:v>3.3925556590523903E-2</c:v>
                </c:pt>
                <c:pt idx="44">
                  <c:v>3.3925561576593946E-2</c:v>
                </c:pt>
                <c:pt idx="45">
                  <c:v>3.3925565025045061E-2</c:v>
                </c:pt>
                <c:pt idx="46">
                  <c:v>3.3925567417409916E-2</c:v>
                </c:pt>
                <c:pt idx="47">
                  <c:v>3.3925569082180661E-2</c:v>
                </c:pt>
                <c:pt idx="48">
                  <c:v>3.3925570244138413E-2</c:v>
                </c:pt>
                <c:pt idx="49">
                  <c:v>3.3925571057567432E-2</c:v>
                </c:pt>
                <c:pt idx="50">
                  <c:v>3.3925571628686167E-2</c:v>
                </c:pt>
                <c:pt idx="51">
                  <c:v>3.3925572030841823E-2</c:v>
                </c:pt>
                <c:pt idx="52">
                  <c:v>3.3925572314833938E-2</c:v>
                </c:pt>
                <c:pt idx="53">
                  <c:v>3.3925572515949555E-2</c:v>
                </c:pt>
                <c:pt idx="54">
                  <c:v>3.3925572658771733E-2</c:v>
                </c:pt>
                <c:pt idx="55">
                  <c:v>3.3925572760475906E-2</c:v>
                </c:pt>
                <c:pt idx="56">
                  <c:v>3.392557283309619E-2</c:v>
                </c:pt>
                <c:pt idx="57">
                  <c:v>3.3925572885088143E-2</c:v>
                </c:pt>
                <c:pt idx="58">
                  <c:v>3.39255729224094E-2</c:v>
                </c:pt>
                <c:pt idx="59">
                  <c:v>3.3925572949269116E-2</c:v>
                </c:pt>
                <c:pt idx="60">
                  <c:v>3.3925572968649162E-2</c:v>
                </c:pt>
                <c:pt idx="61">
                  <c:v>3.3925572982667601E-2</c:v>
                </c:pt>
                <c:pt idx="62">
                  <c:v>3.3925572992832893E-2</c:v>
                </c:pt>
                <c:pt idx="63">
                  <c:v>3.3925573000222115E-2</c:v>
                </c:pt>
                <c:pt idx="64">
                  <c:v>3.3925573005606308E-2</c:v>
                </c:pt>
                <c:pt idx="65">
                  <c:v>3.3925573009538808E-2</c:v>
                </c:pt>
                <c:pt idx="66">
                  <c:v>3.3925573012417727E-2</c:v>
                </c:pt>
                <c:pt idx="67">
                  <c:v>3.3925573014530169E-2</c:v>
                </c:pt>
                <c:pt idx="68">
                  <c:v>3.3925573016083704E-2</c:v>
                </c:pt>
                <c:pt idx="69">
                  <c:v>3.3925573017228754E-2</c:v>
                </c:pt>
                <c:pt idx="70">
                  <c:v>3.3925573018074577E-2</c:v>
                </c:pt>
                <c:pt idx="71">
                  <c:v>3.3925573018700715E-2</c:v>
                </c:pt>
                <c:pt idx="72">
                  <c:v>3.3925573019165212E-2</c:v>
                </c:pt>
                <c:pt idx="73">
                  <c:v>3.3925573019510519E-2</c:v>
                </c:pt>
                <c:pt idx="74">
                  <c:v>3.392557301976775E-2</c:v>
                </c:pt>
                <c:pt idx="75">
                  <c:v>3.3925573019959764E-2</c:v>
                </c:pt>
                <c:pt idx="76">
                  <c:v>3.3925573020103378E-2</c:v>
                </c:pt>
                <c:pt idx="77">
                  <c:v>3.3925573020211007E-2</c:v>
                </c:pt>
                <c:pt idx="78">
                  <c:v>3.3925573020291824E-2</c:v>
                </c:pt>
                <c:pt idx="79">
                  <c:v>3.3925573020352623E-2</c:v>
                </c:pt>
                <c:pt idx="80">
                  <c:v>3.3925573020398447E-2</c:v>
                </c:pt>
                <c:pt idx="81">
                  <c:v>3.3925573020433052E-2</c:v>
                </c:pt>
                <c:pt idx="82">
                  <c:v>3.3925573020459232E-2</c:v>
                </c:pt>
                <c:pt idx="83">
                  <c:v>3.392557302047907E-2</c:v>
                </c:pt>
                <c:pt idx="84">
                  <c:v>3.3925573020494135E-2</c:v>
                </c:pt>
                <c:pt idx="85">
                  <c:v>3.3925573020505591E-2</c:v>
                </c:pt>
                <c:pt idx="86">
                  <c:v>3.392557302051432E-2</c:v>
                </c:pt>
                <c:pt idx="87">
                  <c:v>3.3925573020520981E-2</c:v>
                </c:pt>
                <c:pt idx="88">
                  <c:v>3.3925573020526074E-2</c:v>
                </c:pt>
                <c:pt idx="89">
                  <c:v>3.3925573020529974E-2</c:v>
                </c:pt>
                <c:pt idx="90">
                  <c:v>3.3925573020532965E-2</c:v>
                </c:pt>
                <c:pt idx="91">
                  <c:v>3.3925573020535262E-2</c:v>
                </c:pt>
                <c:pt idx="92">
                  <c:v>3.3925573020537031E-2</c:v>
                </c:pt>
                <c:pt idx="93">
                  <c:v>3.3925573020538391E-2</c:v>
                </c:pt>
                <c:pt idx="94">
                  <c:v>3.3925573020539446E-2</c:v>
                </c:pt>
                <c:pt idx="95">
                  <c:v>3.3925573020540258E-2</c:v>
                </c:pt>
                <c:pt idx="96">
                  <c:v>3.3925573020540889E-2</c:v>
                </c:pt>
                <c:pt idx="97">
                  <c:v>3.3925573020541375E-2</c:v>
                </c:pt>
                <c:pt idx="98">
                  <c:v>3.3925573020541756E-2</c:v>
                </c:pt>
                <c:pt idx="99">
                  <c:v>3.3925573020542048E-2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  <c:pt idx="0">
                  <c:v>2.4196027203880632E-15</c:v>
                </c:pt>
                <c:pt idx="1">
                  <c:v>1.7126555615314697E-10</c:v>
                </c:pt>
                <c:pt idx="2">
                  <c:v>2.9421884433498532E-8</c:v>
                </c:pt>
                <c:pt idx="3">
                  <c:v>6.3124746461840372E-7</c:v>
                </c:pt>
                <c:pt idx="4">
                  <c:v>4.5910026297567899E-6</c:v>
                </c:pt>
                <c:pt idx="5">
                  <c:v>1.9659443055548933E-5</c:v>
                </c:pt>
                <c:pt idx="6">
                  <c:v>6.3461134880619485E-5</c:v>
                </c:pt>
                <c:pt idx="7">
                  <c:v>1.5715201931964495E-4</c:v>
                </c:pt>
                <c:pt idx="8">
                  <c:v>3.204813825802064E-4</c:v>
                </c:pt>
                <c:pt idx="9">
                  <c:v>5.6620202333766809E-4</c:v>
                </c:pt>
                <c:pt idx="10">
                  <c:v>8.9387715195357468E-4</c:v>
                </c:pt>
                <c:pt idx="11">
                  <c:v>1.2871938862349056E-3</c:v>
                </c:pt>
                <c:pt idx="12">
                  <c:v>1.7337803014942131E-3</c:v>
                </c:pt>
                <c:pt idx="13">
                  <c:v>2.246671981988321E-3</c:v>
                </c:pt>
                <c:pt idx="14">
                  <c:v>2.8102038852704852E-3</c:v>
                </c:pt>
                <c:pt idx="15">
                  <c:v>3.4059798651351917E-3</c:v>
                </c:pt>
                <c:pt idx="16">
                  <c:v>4.0138118905264399E-3</c:v>
                </c:pt>
                <c:pt idx="17">
                  <c:v>4.6084057375799081E-3</c:v>
                </c:pt>
                <c:pt idx="18">
                  <c:v>5.1798705719411061E-3</c:v>
                </c:pt>
                <c:pt idx="19">
                  <c:v>5.7203805504701666E-3</c:v>
                </c:pt>
                <c:pt idx="20">
                  <c:v>6.2243268280300244E-3</c:v>
                </c:pt>
                <c:pt idx="21">
                  <c:v>6.6882228160441695E-3</c:v>
                </c:pt>
                <c:pt idx="22">
                  <c:v>7.1112520559647591E-3</c:v>
                </c:pt>
                <c:pt idx="23">
                  <c:v>7.4997478563814703E-3</c:v>
                </c:pt>
                <c:pt idx="24">
                  <c:v>7.8533366149985892E-3</c:v>
                </c:pt>
                <c:pt idx="25">
                  <c:v>8.1725573718245108E-3</c:v>
                </c:pt>
                <c:pt idx="26">
                  <c:v>8.458663172089851E-3</c:v>
                </c:pt>
                <c:pt idx="27">
                  <c:v>8.7134288218364848E-3</c:v>
                </c:pt>
                <c:pt idx="28">
                  <c:v>8.9389781504244613E-3</c:v>
                </c:pt>
                <c:pt idx="29">
                  <c:v>9.1376373491989793E-3</c:v>
                </c:pt>
                <c:pt idx="30">
                  <c:v>9.3103004646457009E-3</c:v>
                </c:pt>
                <c:pt idx="31">
                  <c:v>9.4600266819444088E-3</c:v>
                </c:pt>
                <c:pt idx="32">
                  <c:v>9.5896043353694282E-3</c:v>
                </c:pt>
                <c:pt idx="33">
                  <c:v>9.7015407042547758E-3</c:v>
                </c:pt>
                <c:pt idx="34">
                  <c:v>9.7980782105309468E-3</c:v>
                </c:pt>
                <c:pt idx="35">
                  <c:v>9.8812509874318978E-3</c:v>
                </c:pt>
                <c:pt idx="36">
                  <c:v>9.9529429512129532E-3</c:v>
                </c:pt>
                <c:pt idx="37">
                  <c:v>1.0014676312499428E-2</c:v>
                </c:pt>
                <c:pt idx="38">
                  <c:v>1.0067786414202702E-2</c:v>
                </c:pt>
                <c:pt idx="39">
                  <c:v>1.0113441450375411E-2</c:v>
                </c:pt>
                <c:pt idx="40">
                  <c:v>1.0152660730249178E-2</c:v>
                </c:pt>
                <c:pt idx="41">
                  <c:v>1.0186331494539631E-2</c:v>
                </c:pt>
                <c:pt idx="42">
                  <c:v>1.0215224296621375E-2</c:v>
                </c:pt>
                <c:pt idx="43">
                  <c:v>1.0240006976780226E-2</c:v>
                </c:pt>
                <c:pt idx="44">
                  <c:v>1.0261257275911203E-2</c:v>
                </c:pt>
                <c:pt idx="45">
                  <c:v>1.0279474151675483E-2</c:v>
                </c:pt>
                <c:pt idx="46">
                  <c:v>1.0295078088710188E-2</c:v>
                </c:pt>
                <c:pt idx="47">
                  <c:v>1.0308375013856487E-2</c:v>
                </c:pt>
                <c:pt idx="48">
                  <c:v>1.031971063178018E-2</c:v>
                </c:pt>
                <c:pt idx="49">
                  <c:v>1.0329378345104735E-2</c:v>
                </c:pt>
                <c:pt idx="50">
                  <c:v>1.0337627215300018E-2</c:v>
                </c:pt>
                <c:pt idx="51">
                  <c:v>1.0344661513177617E-2</c:v>
                </c:pt>
                <c:pt idx="52">
                  <c:v>1.0350656236596553E-2</c:v>
                </c:pt>
                <c:pt idx="53">
                  <c:v>1.0355767667383097E-2</c:v>
                </c:pt>
                <c:pt idx="54">
                  <c:v>1.0360128284520969E-2</c:v>
                </c:pt>
                <c:pt idx="55">
                  <c:v>1.0363850420298875E-2</c:v>
                </c:pt>
                <c:pt idx="56">
                  <c:v>1.0367029353080801E-2</c:v>
                </c:pt>
                <c:pt idx="57">
                  <c:v>1.0369745923262329E-2</c:v>
                </c:pt>
                <c:pt idx="58">
                  <c:v>1.0372068745799918E-2</c:v>
                </c:pt>
                <c:pt idx="59">
                  <c:v>1.0374056081499675E-2</c:v>
                </c:pt>
                <c:pt idx="60">
                  <c:v>1.0375757419735556E-2</c:v>
                </c:pt>
                <c:pt idx="61">
                  <c:v>1.0377214817185593E-2</c:v>
                </c:pt>
                <c:pt idx="62">
                  <c:v>1.0378464030316517E-2</c:v>
                </c:pt>
                <c:pt idx="63">
                  <c:v>1.0379535473530961E-2</c:v>
                </c:pt>
                <c:pt idx="64">
                  <c:v>1.038045502996196E-2</c:v>
                </c:pt>
                <c:pt idx="65">
                  <c:v>1.0381244737724454E-2</c:v>
                </c:pt>
                <c:pt idx="66">
                  <c:v>1.038192337089942E-2</c:v>
                </c:pt>
                <c:pt idx="67">
                  <c:v>1.0382505838674444E-2</c:v>
                </c:pt>
                <c:pt idx="68">
                  <c:v>1.0383005077586207E-2</c:v>
                </c:pt>
                <c:pt idx="69">
                  <c:v>1.0383433297324961E-2</c:v>
                </c:pt>
                <c:pt idx="70">
                  <c:v>1.038380087264462E-2</c:v>
                </c:pt>
                <c:pt idx="71">
                  <c:v>1.0384116625216086E-2</c:v>
                </c:pt>
                <c:pt idx="72">
                  <c:v>1.0384388061341015E-2</c:v>
                </c:pt>
                <c:pt idx="73">
                  <c:v>1.038462157255403E-2</c:v>
                </c:pt>
                <c:pt idx="74">
                  <c:v>1.0384822605007263E-2</c:v>
                </c:pt>
                <c:pt idx="75">
                  <c:v>1.0384995802581783E-2</c:v>
                </c:pt>
                <c:pt idx="76">
                  <c:v>1.0385145127875684E-2</c:v>
                </c:pt>
                <c:pt idx="77">
                  <c:v>1.0385273964552993E-2</c:v>
                </c:pt>
                <c:pt idx="78">
                  <c:v>1.0385385203980052E-2</c:v>
                </c:pt>
                <c:pt idx="79">
                  <c:v>1.0385481318608862E-2</c:v>
                </c:pt>
                <c:pt idx="80">
                  <c:v>1.0385564280780761E-2</c:v>
                </c:pt>
                <c:pt idx="81">
                  <c:v>1.0385635814614236E-2</c:v>
                </c:pt>
                <c:pt idx="82">
                  <c:v>1.0385697540007142E-2</c:v>
                </c:pt>
                <c:pt idx="83">
                  <c:v>1.0385750731717167E-2</c:v>
                </c:pt>
                <c:pt idx="84">
                  <c:v>1.0385796548109073E-2</c:v>
                </c:pt>
                <c:pt idx="85">
                  <c:v>1.0385836040473835E-2</c:v>
                </c:pt>
                <c:pt idx="86">
                  <c:v>1.0385870106349969E-2</c:v>
                </c:pt>
                <c:pt idx="87">
                  <c:v>1.0385899512547448E-2</c:v>
                </c:pt>
                <c:pt idx="88">
                  <c:v>1.038592491464938E-2</c:v>
                </c:pt>
                <c:pt idx="89">
                  <c:v>1.0385946873540551E-2</c:v>
                </c:pt>
                <c:pt idx="90">
                  <c:v>1.0385965869424937E-2</c:v>
                </c:pt>
                <c:pt idx="91">
                  <c:v>1.0385982313721299E-2</c:v>
                </c:pt>
                <c:pt idx="92">
                  <c:v>1.0385996559164605E-2</c:v>
                </c:pt>
                <c:pt idx="93">
                  <c:v>1.0386008908389512E-2</c:v>
                </c:pt>
                <c:pt idx="94">
                  <c:v>1.0386019621228832E-2</c:v>
                </c:pt>
                <c:pt idx="95">
                  <c:v>1.0386028920923492E-2</c:v>
                </c:pt>
                <c:pt idx="96">
                  <c:v>1.038603699940986E-2</c:v>
                </c:pt>
                <c:pt idx="97">
                  <c:v>1.0386044021824555E-2</c:v>
                </c:pt>
                <c:pt idx="98">
                  <c:v>1.0386050130345137E-2</c:v>
                </c:pt>
                <c:pt idx="99">
                  <c:v>1.0386055447466807E-2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  <c:pt idx="0">
                  <c:v>5.8203565807640937E-74</c:v>
                </c:pt>
                <c:pt idx="1">
                  <c:v>1.7138548462064644E-49</c:v>
                </c:pt>
                <c:pt idx="2">
                  <c:v>1.3465903631220938E-37</c:v>
                </c:pt>
                <c:pt idx="3">
                  <c:v>3.0658166718667932E-30</c:v>
                </c:pt>
                <c:pt idx="4">
                  <c:v>3.7542374778331047E-25</c:v>
                </c:pt>
                <c:pt idx="5">
                  <c:v>2.1402022822862001E-21</c:v>
                </c:pt>
                <c:pt idx="6">
                  <c:v>1.6784018845529693E-18</c:v>
                </c:pt>
                <c:pt idx="7">
                  <c:v>3.3494731769127001E-16</c:v>
                </c:pt>
                <c:pt idx="8">
                  <c:v>2.5900510200183178E-14</c:v>
                </c:pt>
                <c:pt idx="9">
                  <c:v>2.2012703433786722E-12</c:v>
                </c:pt>
                <c:pt idx="10">
                  <c:v>3.3935462181745718E-10</c:v>
                </c:pt>
                <c:pt idx="11">
                  <c:v>2.2339072442695691E-8</c:v>
                </c:pt>
                <c:pt idx="12">
                  <c:v>5.6578092236811044E-7</c:v>
                </c:pt>
                <c:pt idx="13">
                  <c:v>6.5697478798258627E-6</c:v>
                </c:pt>
                <c:pt idx="14">
                  <c:v>4.0907849799738025E-5</c:v>
                </c:pt>
                <c:pt idx="15">
                  <c:v>1.5501907313942559E-4</c:v>
                </c:pt>
                <c:pt idx="16">
                  <c:v>3.5649365667120736E-4</c:v>
                </c:pt>
                <c:pt idx="17">
                  <c:v>6.4820759820840895E-4</c:v>
                </c:pt>
                <c:pt idx="18">
                  <c:v>9.5482673041057326E-4</c:v>
                </c:pt>
                <c:pt idx="19">
                  <c:v>1.203189455905633E-3</c:v>
                </c:pt>
                <c:pt idx="20">
                  <c:v>1.3710571789756652E-3</c:v>
                </c:pt>
                <c:pt idx="21">
                  <c:v>1.4809342934371437E-3</c:v>
                </c:pt>
                <c:pt idx="22">
                  <c:v>1.5706756338058926E-3</c:v>
                </c:pt>
                <c:pt idx="23">
                  <c:v>1.6741740737824212E-3</c:v>
                </c:pt>
                <c:pt idx="24">
                  <c:v>1.8187137194160844E-3</c:v>
                </c:pt>
                <c:pt idx="25">
                  <c:v>2.034040470391968E-3</c:v>
                </c:pt>
                <c:pt idx="26">
                  <c:v>2.3683800034144855E-3</c:v>
                </c:pt>
                <c:pt idx="27">
                  <c:v>2.8820806978835265E-3</c:v>
                </c:pt>
                <c:pt idx="28">
                  <c:v>3.6439150117288433E-3</c:v>
                </c:pt>
                <c:pt idx="29">
                  <c:v>4.7109530564082595E-3</c:v>
                </c:pt>
                <c:pt idx="30">
                  <c:v>6.1029043346835033E-3</c:v>
                </c:pt>
                <c:pt idx="31">
                  <c:v>7.7842178845132235E-3</c:v>
                </c:pt>
                <c:pt idx="32">
                  <c:v>9.6649930594300444E-3</c:v>
                </c:pt>
                <c:pt idx="33">
                  <c:v>1.1614768933361396E-2</c:v>
                </c:pt>
                <c:pt idx="34">
                  <c:v>1.3492899179944888E-2</c:v>
                </c:pt>
                <c:pt idx="35">
                  <c:v>1.5206071298050818E-2</c:v>
                </c:pt>
                <c:pt idx="36">
                  <c:v>1.6700877115625061E-2</c:v>
                </c:pt>
                <c:pt idx="37">
                  <c:v>1.7962691721740545E-2</c:v>
                </c:pt>
                <c:pt idx="38">
                  <c:v>1.9005563056116084E-2</c:v>
                </c:pt>
                <c:pt idx="39">
                  <c:v>1.9859270783022728E-2</c:v>
                </c:pt>
                <c:pt idx="40">
                  <c:v>2.055823283396643E-2</c:v>
                </c:pt>
                <c:pt idx="41">
                  <c:v>2.1134350423221746E-2</c:v>
                </c:pt>
                <c:pt idx="42">
                  <c:v>2.1613743905751701E-2</c:v>
                </c:pt>
                <c:pt idx="43">
                  <c:v>2.2016245519187651E-2</c:v>
                </c:pt>
                <c:pt idx="44">
                  <c:v>2.2356340992407821E-2</c:v>
                </c:pt>
                <c:pt idx="45">
                  <c:v>2.2645116753557064E-2</c:v>
                </c:pt>
                <c:pt idx="46">
                  <c:v>2.2892169248714553E-2</c:v>
                </c:pt>
                <c:pt idx="47">
                  <c:v>2.3102979841279798E-2</c:v>
                </c:pt>
                <c:pt idx="48">
                  <c:v>2.3281825705068513E-2</c:v>
                </c:pt>
                <c:pt idx="49">
                  <c:v>2.3432647311474583E-2</c:v>
                </c:pt>
                <c:pt idx="50">
                  <c:v>2.3559132179787681E-2</c:v>
                </c:pt>
                <c:pt idx="51">
                  <c:v>2.366460353395421E-2</c:v>
                </c:pt>
                <c:pt idx="52">
                  <c:v>2.375205645700508E-2</c:v>
                </c:pt>
                <c:pt idx="53">
                  <c:v>2.3824172897789542E-2</c:v>
                </c:pt>
                <c:pt idx="54">
                  <c:v>2.3883331618670751E-2</c:v>
                </c:pt>
                <c:pt idx="55">
                  <c:v>2.3931620240902438E-2</c:v>
                </c:pt>
                <c:pt idx="56">
                  <c:v>2.3970851569350474E-2</c:v>
                </c:pt>
                <c:pt idx="57">
                  <c:v>2.4002583945374856E-2</c:v>
                </c:pt>
                <c:pt idx="58">
                  <c:v>2.4028144411595589E-2</c:v>
                </c:pt>
                <c:pt idx="59">
                  <c:v>2.4048653273642175E-2</c:v>
                </c:pt>
                <c:pt idx="60">
                  <c:v>2.4064975886921292E-2</c:v>
                </c:pt>
                <c:pt idx="61">
                  <c:v>2.4077927464342657E-2</c:v>
                </c:pt>
                <c:pt idx="62">
                  <c:v>2.4088176114461311E-2</c:v>
                </c:pt>
                <c:pt idx="63">
                  <c:v>2.4096265049419831E-2</c:v>
                </c:pt>
                <c:pt idx="64">
                  <c:v>2.4102633927886977E-2</c:v>
                </c:pt>
                <c:pt idx="65">
                  <c:v>2.4107637089547339E-2</c:v>
                </c:pt>
                <c:pt idx="66">
                  <c:v>2.4111558984619915E-2</c:v>
                </c:pt>
                <c:pt idx="67">
                  <c:v>2.4114627117771782E-2</c:v>
                </c:pt>
                <c:pt idx="68">
                  <c:v>2.4117022822834861E-2</c:v>
                </c:pt>
                <c:pt idx="69">
                  <c:v>2.4118890169040303E-2</c:v>
                </c:pt>
                <c:pt idx="70">
                  <c:v>2.4120343275929639E-2</c:v>
                </c:pt>
                <c:pt idx="71">
                  <c:v>2.4121472821251447E-2</c:v>
                </c:pt>
                <c:pt idx="72">
                  <c:v>2.4122350149902293E-2</c:v>
                </c:pt>
                <c:pt idx="73">
                  <c:v>2.4123030689534107E-2</c:v>
                </c:pt>
                <c:pt idx="74">
                  <c:v>2.4123557937031442E-2</c:v>
                </c:pt>
                <c:pt idx="75">
                  <c:v>2.4123965722937235E-2</c:v>
                </c:pt>
                <c:pt idx="76">
                  <c:v>2.4124280547084622E-2</c:v>
                </c:pt>
                <c:pt idx="77">
                  <c:v>2.412452337856329E-2</c:v>
                </c:pt>
                <c:pt idx="78">
                  <c:v>2.4124710521076325E-2</c:v>
                </c:pt>
                <c:pt idx="79">
                  <c:v>2.4124854632535206E-2</c:v>
                </c:pt>
                <c:pt idx="80">
                  <c:v>2.4124965527017629E-2</c:v>
                </c:pt>
                <c:pt idx="81">
                  <c:v>2.4125050804090845E-2</c:v>
                </c:pt>
                <c:pt idx="82">
                  <c:v>2.412511634160296E-2</c:v>
                </c:pt>
                <c:pt idx="83">
                  <c:v>2.4125166680791274E-2</c:v>
                </c:pt>
                <c:pt idx="84">
                  <c:v>2.4125205326677616E-2</c:v>
                </c:pt>
                <c:pt idx="85">
                  <c:v>2.4125234981978837E-2</c:v>
                </c:pt>
                <c:pt idx="86">
                  <c:v>2.4125257728953256E-2</c:v>
                </c:pt>
                <c:pt idx="87">
                  <c:v>2.4125275170559356E-2</c:v>
                </c:pt>
                <c:pt idx="88">
                  <c:v>2.4125288539877717E-2</c:v>
                </c:pt>
                <c:pt idx="89">
                  <c:v>2.412529878482176E-2</c:v>
                </c:pt>
                <c:pt idx="90">
                  <c:v>2.4125306633639147E-2</c:v>
                </c:pt>
                <c:pt idx="91">
                  <c:v>2.4125312645503532E-2</c:v>
                </c:pt>
                <c:pt idx="92">
                  <c:v>2.4125317249550197E-2</c:v>
                </c:pt>
                <c:pt idx="93">
                  <c:v>2.4125320772793734E-2</c:v>
                </c:pt>
                <c:pt idx="94">
                  <c:v>2.4125323462651577E-2</c:v>
                </c:pt>
                <c:pt idx="95">
                  <c:v>2.4125325516346181E-2</c:v>
                </c:pt>
                <c:pt idx="96">
                  <c:v>2.4125327084441567E-2</c:v>
                </c:pt>
                <c:pt idx="97">
                  <c:v>2.412532828186827E-2</c:v>
                </c:pt>
                <c:pt idx="98">
                  <c:v>2.4125329196076479E-2</c:v>
                </c:pt>
                <c:pt idx="99">
                  <c:v>2.4125329893641093E-2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  <c:pt idx="0">
                  <c:v>1.30869571363057E-34</c:v>
                </c:pt>
                <c:pt idx="1">
                  <c:v>1.4401010022468077E-22</c:v>
                </c:pt>
                <c:pt idx="2">
                  <c:v>4.5144398296269772E-17</c:v>
                </c:pt>
                <c:pt idx="3">
                  <c:v>7.2725616755728624E-14</c:v>
                </c:pt>
                <c:pt idx="4">
                  <c:v>9.0425503489142147E-12</c:v>
                </c:pt>
                <c:pt idx="5">
                  <c:v>2.6297179236861311E-10</c:v>
                </c:pt>
                <c:pt idx="6">
                  <c:v>3.0949838777789952E-9</c:v>
                </c:pt>
                <c:pt idx="7">
                  <c:v>1.9918355779505265E-8</c:v>
                </c:pt>
                <c:pt idx="8">
                  <c:v>8.3836758127198005E-8</c:v>
                </c:pt>
                <c:pt idx="9">
                  <c:v>2.5862525682047982E-7</c:v>
                </c:pt>
                <c:pt idx="10">
                  <c:v>6.3125282990111948E-7</c:v>
                </c:pt>
                <c:pt idx="11">
                  <c:v>1.2863345109260142E-6</c:v>
                </c:pt>
                <c:pt idx="12">
                  <c:v>2.2754421973035986E-6</c:v>
                </c:pt>
                <c:pt idx="13">
                  <c:v>3.5975647324185076E-6</c:v>
                </c:pt>
                <c:pt idx="14">
                  <c:v>5.1987782506733071E-6</c:v>
                </c:pt>
                <c:pt idx="15">
                  <c:v>6.9886765530779546E-6</c:v>
                </c:pt>
                <c:pt idx="16">
                  <c:v>8.8656910339009649E-6</c:v>
                </c:pt>
                <c:pt idx="17">
                  <c:v>1.0744019116691161E-5</c:v>
                </c:pt>
                <c:pt idx="18">
                  <c:v>1.257834849393477E-5</c:v>
                </c:pt>
                <c:pt idx="19">
                  <c:v>1.438549323030368E-5</c:v>
                </c:pt>
                <c:pt idx="20">
                  <c:v>1.5887174153128119E-5</c:v>
                </c:pt>
                <c:pt idx="21">
                  <c:v>1.7629879581552914E-5</c:v>
                </c:pt>
                <c:pt idx="22">
                  <c:v>1.9844354303396394E-5</c:v>
                </c:pt>
                <c:pt idx="23">
                  <c:v>2.2845031336390726E-5</c:v>
                </c:pt>
                <c:pt idx="24">
                  <c:v>2.7015463525994732E-5</c:v>
                </c:pt>
                <c:pt idx="25">
                  <c:v>3.2768850380629062E-5</c:v>
                </c:pt>
                <c:pt idx="26">
                  <c:v>4.0505226766656613E-5</c:v>
                </c:pt>
                <c:pt idx="27">
                  <c:v>5.0564327119439947E-5</c:v>
                </c:pt>
                <c:pt idx="28">
                  <c:v>6.3181965989913701E-5</c:v>
                </c:pt>
                <c:pt idx="29">
                  <c:v>7.8457189435635511E-5</c:v>
                </c:pt>
                <c:pt idx="30">
                  <c:v>9.6335230964127616E-5</c:v>
                </c:pt>
                <c:pt idx="31">
                  <c:v>1.1660819312207828E-4</c:v>
                </c:pt>
                <c:pt idx="32">
                  <c:v>1.3881908980260802E-4</c:v>
                </c:pt>
                <c:pt idx="33">
                  <c:v>1.6244232259454071E-4</c:v>
                </c:pt>
                <c:pt idx="34">
                  <c:v>1.8697557797998644E-4</c:v>
                </c:pt>
                <c:pt idx="35">
                  <c:v>2.1189812833201247E-4</c:v>
                </c:pt>
                <c:pt idx="36">
                  <c:v>2.3670507070518685E-4</c:v>
                </c:pt>
                <c:pt idx="37">
                  <c:v>2.6084208092971568E-4</c:v>
                </c:pt>
                <c:pt idx="38">
                  <c:v>2.8412825371439745E-4</c:v>
                </c:pt>
                <c:pt idx="39">
                  <c:v>3.0659228977037865E-4</c:v>
                </c:pt>
                <c:pt idx="40">
                  <c:v>3.2795009840373051E-4</c:v>
                </c:pt>
                <c:pt idx="41">
                  <c:v>3.479808250971395E-4</c:v>
                </c:pt>
                <c:pt idx="42">
                  <c:v>3.6652797165650613E-4</c:v>
                </c:pt>
                <c:pt idx="43">
                  <c:v>3.8349653565991333E-4</c:v>
                </c:pt>
                <c:pt idx="44">
                  <c:v>3.9884717957258269E-4</c:v>
                </c:pt>
                <c:pt idx="45">
                  <c:v>4.1258846086982925E-4</c:v>
                </c:pt>
                <c:pt idx="46">
                  <c:v>4.2476806871851797E-4</c:v>
                </c:pt>
                <c:pt idx="47">
                  <c:v>4.3546386006690406E-4</c:v>
                </c:pt>
                <c:pt idx="48">
                  <c:v>4.4477530412084587E-4</c:v>
                </c:pt>
                <c:pt idx="49">
                  <c:v>4.5281575732176007E-4</c:v>
                </c:pt>
                <c:pt idx="50">
                  <c:v>4.5968145657096819E-4</c:v>
                </c:pt>
                <c:pt idx="51">
                  <c:v>4.6547704838744737E-4</c:v>
                </c:pt>
                <c:pt idx="52">
                  <c:v>4.7034168295578854E-4</c:v>
                </c:pt>
                <c:pt idx="53">
                  <c:v>4.7440306865742066E-4</c:v>
                </c:pt>
                <c:pt idx="54">
                  <c:v>4.7777668595898917E-4</c:v>
                </c:pt>
                <c:pt idx="55">
                  <c:v>4.8056559879023172E-4</c:v>
                </c:pt>
                <c:pt idx="56">
                  <c:v>4.8286072084235873E-4</c:v>
                </c:pt>
                <c:pt idx="57">
                  <c:v>4.8474140962203243E-4</c:v>
                </c:pt>
                <c:pt idx="58">
                  <c:v>4.8627627960396374E-4</c:v>
                </c:pt>
                <c:pt idx="59">
                  <c:v>4.8752414523192412E-4</c:v>
                </c:pt>
                <c:pt idx="60">
                  <c:v>4.885350232636729E-4</c:v>
                </c:pt>
                <c:pt idx="61">
                  <c:v>4.8935114103712042E-4</c:v>
                </c:pt>
                <c:pt idx="62">
                  <c:v>4.9000791209914576E-4</c:v>
                </c:pt>
                <c:pt idx="63">
                  <c:v>4.9053485307002027E-4</c:v>
                </c:pt>
                <c:pt idx="64">
                  <c:v>4.9095642563929526E-4</c:v>
                </c:pt>
                <c:pt idx="65">
                  <c:v>4.9129279538141248E-4</c:v>
                </c:pt>
                <c:pt idx="66">
                  <c:v>4.9156050490661515E-4</c:v>
                </c:pt>
                <c:pt idx="67">
                  <c:v>4.917730630279245E-4</c:v>
                </c:pt>
                <c:pt idx="68">
                  <c:v>4.9194177575914732E-4</c:v>
                </c:pt>
                <c:pt idx="69">
                  <c:v>4.9207600521131351E-4</c:v>
                </c:pt>
                <c:pt idx="70">
                  <c:v>4.9218258775822184E-4</c:v>
                </c:pt>
                <c:pt idx="71">
                  <c:v>4.9226705932963691E-4</c:v>
                </c:pt>
                <c:pt idx="72">
                  <c:v>4.9233383974895274E-4</c:v>
                </c:pt>
                <c:pt idx="73">
                  <c:v>4.9238650130727383E-4</c:v>
                </c:pt>
                <c:pt idx="74">
                  <c:v>4.9242796743939837E-4</c:v>
                </c:pt>
                <c:pt idx="75">
                  <c:v>4.9246057260781035E-4</c:v>
                </c:pt>
                <c:pt idx="76">
                  <c:v>4.9248617666049438E-4</c:v>
                </c:pt>
                <c:pt idx="77">
                  <c:v>4.9250625810837048E-4</c:v>
                </c:pt>
                <c:pt idx="78">
                  <c:v>4.9252198991484768E-4</c:v>
                </c:pt>
                <c:pt idx="79">
                  <c:v>4.9253430085499867E-4</c:v>
                </c:pt>
                <c:pt idx="80">
                  <c:v>4.9254392502559032E-4</c:v>
                </c:pt>
                <c:pt idx="81">
                  <c:v>4.925514416693964E-4</c:v>
                </c:pt>
                <c:pt idx="82">
                  <c:v>4.925573071152265E-4</c:v>
                </c:pt>
                <c:pt idx="83">
                  <c:v>4.9256188032482094E-4</c:v>
                </c:pt>
                <c:pt idx="84">
                  <c:v>4.9256544327428396E-4</c:v>
                </c:pt>
                <c:pt idx="85">
                  <c:v>4.9256821717583003E-4</c:v>
                </c:pt>
                <c:pt idx="86">
                  <c:v>4.9257037536011496E-4</c:v>
                </c:pt>
                <c:pt idx="87">
                  <c:v>4.9257205348535898E-4</c:v>
                </c:pt>
                <c:pt idx="88">
                  <c:v>4.9257335761227524E-4</c:v>
                </c:pt>
                <c:pt idx="89">
                  <c:v>4.925743705793687E-4</c:v>
                </c:pt>
                <c:pt idx="90">
                  <c:v>4.9257515467876478E-4</c:v>
                </c:pt>
                <c:pt idx="91">
                  <c:v>4.9257576143811642E-4</c:v>
                </c:pt>
                <c:pt idx="92">
                  <c:v>4.9257623089536597E-4</c:v>
                </c:pt>
                <c:pt idx="93">
                  <c:v>4.9257659407462033E-4</c:v>
                </c:pt>
                <c:pt idx="94">
                  <c:v>4.9257687500728667E-4</c:v>
                </c:pt>
                <c:pt idx="95">
                  <c:v>4.9257709230247676E-4</c:v>
                </c:pt>
                <c:pt idx="96">
                  <c:v>4.9257726036648598E-4</c:v>
                </c:pt>
                <c:pt idx="97">
                  <c:v>4.9257739034925141E-4</c:v>
                </c:pt>
                <c:pt idx="98">
                  <c:v>4.9257749087854572E-4</c:v>
                </c:pt>
                <c:pt idx="99">
                  <c:v>4.9257756862924895E-4</c:v>
                </c:pt>
              </c:numCache>
            </c:numRef>
          </c:yVal>
          <c:smooth val="1"/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  <c:pt idx="0">
                  <c:v>8.7975120520401098E-12</c:v>
                </c:pt>
                <c:pt idx="1">
                  <c:v>4.5421644945444946E-7</c:v>
                </c:pt>
                <c:pt idx="2">
                  <c:v>3.9424413682857183E-5</c:v>
                </c:pt>
                <c:pt idx="3">
                  <c:v>4.2560576848650242E-4</c:v>
                </c:pt>
                <c:pt idx="4">
                  <c:v>1.8094326291783099E-3</c:v>
                </c:pt>
                <c:pt idx="5">
                  <c:v>4.6322732576528766E-3</c:v>
                </c:pt>
                <c:pt idx="6">
                  <c:v>8.721006461264896E-3</c:v>
                </c:pt>
                <c:pt idx="7">
                  <c:v>1.3466130489980964E-2</c:v>
                </c:pt>
                <c:pt idx="8">
                  <c:v>1.8215179512034163E-2</c:v>
                </c:pt>
                <c:pt idx="9">
                  <c:v>2.2516154222718399E-2</c:v>
                </c:pt>
                <c:pt idx="10">
                  <c:v>2.6158673432970833E-2</c:v>
                </c:pt>
                <c:pt idx="11">
                  <c:v>2.9109041484549097E-2</c:v>
                </c:pt>
                <c:pt idx="12">
                  <c:v>3.1445157038260695E-2</c:v>
                </c:pt>
                <c:pt idx="13">
                  <c:v>3.3314890010706297E-2</c:v>
                </c:pt>
                <c:pt idx="14">
                  <c:v>3.4855367847977194E-2</c:v>
                </c:pt>
                <c:pt idx="15">
                  <c:v>3.6210979495637834E-2</c:v>
                </c:pt>
                <c:pt idx="16">
                  <c:v>3.7456586410367712E-2</c:v>
                </c:pt>
                <c:pt idx="17">
                  <c:v>3.8634739406823188E-2</c:v>
                </c:pt>
                <c:pt idx="18">
                  <c:v>3.9706681688985675E-2</c:v>
                </c:pt>
                <c:pt idx="19">
                  <c:v>4.062380291395256E-2</c:v>
                </c:pt>
                <c:pt idx="20">
                  <c:v>4.1380048302714079E-2</c:v>
                </c:pt>
                <c:pt idx="21">
                  <c:v>4.2009817618734693E-2</c:v>
                </c:pt>
                <c:pt idx="22">
                  <c:v>4.2560245915216739E-2</c:v>
                </c:pt>
                <c:pt idx="23">
                  <c:v>4.3078384079873314E-2</c:v>
                </c:pt>
                <c:pt idx="24">
                  <c:v>4.3595798428328753E-2</c:v>
                </c:pt>
                <c:pt idx="25">
                  <c:v>4.4145980106143824E-2</c:v>
                </c:pt>
                <c:pt idx="26">
                  <c:v>4.4780629417904873E-2</c:v>
                </c:pt>
                <c:pt idx="27">
                  <c:v>4.556339570767088E-2</c:v>
                </c:pt>
                <c:pt idx="28">
                  <c:v>4.656618349534597E-2</c:v>
                </c:pt>
                <c:pt idx="29">
                  <c:v>4.7848991150910798E-2</c:v>
                </c:pt>
                <c:pt idx="30">
                  <c:v>4.9432695319181465E-2</c:v>
                </c:pt>
                <c:pt idx="31">
                  <c:v>5.1284810304337354E-2</c:v>
                </c:pt>
                <c:pt idx="32">
                  <c:v>5.3317906698536963E-2</c:v>
                </c:pt>
                <c:pt idx="33">
                  <c:v>5.5403596895395389E-2</c:v>
                </c:pt>
                <c:pt idx="34">
                  <c:v>5.7403034843144483E-2</c:v>
                </c:pt>
                <c:pt idx="35">
                  <c:v>5.9224461046326726E-2</c:v>
                </c:pt>
                <c:pt idx="36">
                  <c:v>6.0815872478671332E-2</c:v>
                </c:pt>
                <c:pt idx="37">
                  <c:v>6.2163629408412226E-2</c:v>
                </c:pt>
                <c:pt idx="38">
                  <c:v>6.3282945688818829E-2</c:v>
                </c:pt>
                <c:pt idx="39">
                  <c:v>6.420480551711065E-2</c:v>
                </c:pt>
                <c:pt idx="40">
                  <c:v>6.4964367142461121E-2</c:v>
                </c:pt>
                <c:pt idx="41">
                  <c:v>6.5594201579826442E-2</c:v>
                </c:pt>
                <c:pt idx="42">
                  <c:v>6.6121045532805983E-2</c:v>
                </c:pt>
                <c:pt idx="43">
                  <c:v>6.6565305622151696E-2</c:v>
                </c:pt>
                <c:pt idx="44">
                  <c:v>6.6942007024485564E-2</c:v>
                </c:pt>
                <c:pt idx="45">
                  <c:v>6.7262744391147433E-2</c:v>
                </c:pt>
                <c:pt idx="46">
                  <c:v>6.7537582823553183E-2</c:v>
                </c:pt>
                <c:pt idx="47">
                  <c:v>6.7772387797383843E-2</c:v>
                </c:pt>
                <c:pt idx="48">
                  <c:v>6.7971881885107957E-2</c:v>
                </c:pt>
                <c:pt idx="49">
                  <c:v>6.8140412471468514E-2</c:v>
                </c:pt>
                <c:pt idx="50">
                  <c:v>6.8282012480344823E-2</c:v>
                </c:pt>
                <c:pt idx="51">
                  <c:v>6.8400314126361106E-2</c:v>
                </c:pt>
                <c:pt idx="52">
                  <c:v>6.8498626691391368E-2</c:v>
                </c:pt>
                <c:pt idx="53">
                  <c:v>6.8579916149779624E-2</c:v>
                </c:pt>
                <c:pt idx="54">
                  <c:v>6.8646809247922436E-2</c:v>
                </c:pt>
                <c:pt idx="55">
                  <c:v>6.8701609020467444E-2</c:v>
                </c:pt>
                <c:pt idx="56">
                  <c:v>6.8746314476369821E-2</c:v>
                </c:pt>
                <c:pt idx="57">
                  <c:v>6.8782644163347353E-2</c:v>
                </c:pt>
                <c:pt idx="58">
                  <c:v>6.8812062359408871E-2</c:v>
                </c:pt>
                <c:pt idx="59">
                  <c:v>6.8835806449642892E-2</c:v>
                </c:pt>
                <c:pt idx="60">
                  <c:v>6.8854841298569683E-2</c:v>
                </c:pt>
                <c:pt idx="61">
                  <c:v>6.887006640523298E-2</c:v>
                </c:pt>
                <c:pt idx="62">
                  <c:v>6.8882221049709869E-2</c:v>
                </c:pt>
                <c:pt idx="63">
                  <c:v>6.8891908376242927E-2</c:v>
                </c:pt>
                <c:pt idx="64">
                  <c:v>6.889961838909453E-2</c:v>
                </c:pt>
                <c:pt idx="65">
                  <c:v>6.8905747632192024E-2</c:v>
                </c:pt>
                <c:pt idx="66">
                  <c:v>6.8910615872843681E-2</c:v>
                </c:pt>
                <c:pt idx="67">
                  <c:v>6.8914479034004328E-2</c:v>
                </c:pt>
                <c:pt idx="68">
                  <c:v>6.8917542692263925E-2</c:v>
                </c:pt>
                <c:pt idx="69">
                  <c:v>6.8919972488805326E-2</c:v>
                </c:pt>
                <c:pt idx="70">
                  <c:v>6.8921899754407059E-2</c:v>
                </c:pt>
                <c:pt idx="71">
                  <c:v>6.8923429524497898E-2</c:v>
                </c:pt>
                <c:pt idx="72">
                  <c:v>6.892464507015747E-2</c:v>
                </c:pt>
                <c:pt idx="73">
                  <c:v>6.8925611782905918E-2</c:v>
                </c:pt>
                <c:pt idx="74">
                  <c:v>6.892638152924585E-2</c:v>
                </c:pt>
                <c:pt idx="75">
                  <c:v>6.8926995118086587E-2</c:v>
                </c:pt>
                <c:pt idx="76">
                  <c:v>6.8927484871724176E-2</c:v>
                </c:pt>
                <c:pt idx="77">
                  <c:v>6.8927876621435666E-2</c:v>
                </c:pt>
                <c:pt idx="78">
                  <c:v>6.8928190735263059E-2</c:v>
                </c:pt>
                <c:pt idx="79">
                  <c:v>6.8928443272351689E-2</c:v>
                </c:pt>
                <c:pt idx="80">
                  <c:v>6.8928646753222439E-2</c:v>
                </c:pt>
                <c:pt idx="81">
                  <c:v>6.8928811080807534E-2</c:v>
                </c:pt>
                <c:pt idx="82">
                  <c:v>6.8928944209184564E-2</c:v>
                </c:pt>
                <c:pt idx="83">
                  <c:v>6.8929052313312325E-2</c:v>
                </c:pt>
                <c:pt idx="84">
                  <c:v>6.89291403385551E-2</c:v>
                </c:pt>
                <c:pt idx="85">
                  <c:v>6.8929212260134098E-2</c:v>
                </c:pt>
                <c:pt idx="86">
                  <c:v>6.8929271231177661E-2</c:v>
                </c:pt>
                <c:pt idx="87">
                  <c:v>6.8929319757113153E-2</c:v>
                </c:pt>
                <c:pt idx="88">
                  <c:v>6.8929359832665446E-2</c:v>
                </c:pt>
                <c:pt idx="89">
                  <c:v>6.8929393049471654E-2</c:v>
                </c:pt>
                <c:pt idx="90">
                  <c:v>6.8929420678275816E-2</c:v>
                </c:pt>
                <c:pt idx="91">
                  <c:v>6.8929443741198207E-2</c:v>
                </c:pt>
                <c:pt idx="92">
                  <c:v>6.8929463060147203E-2</c:v>
                </c:pt>
                <c:pt idx="93">
                  <c:v>6.892947929579625E-2</c:v>
                </c:pt>
                <c:pt idx="94">
                  <c:v>6.8929492979427132E-2</c:v>
                </c:pt>
                <c:pt idx="95">
                  <c:v>6.8929504550112403E-2</c:v>
                </c:pt>
                <c:pt idx="96">
                  <c:v>6.8929514364758804E-2</c:v>
                </c:pt>
                <c:pt idx="97">
                  <c:v>6.8929522714583441E-2</c:v>
                </c:pt>
                <c:pt idx="98">
                  <c:v>6.892952983784191E-2</c:v>
                </c:pt>
                <c:pt idx="99">
                  <c:v>6.8929535930279201E-2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" sourceLinked="0"/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Larguillo!$BV$8</c:f>
              <c:numCache>
                <c:formatCode>0.0</c:formatCode>
                <c:ptCount val="1"/>
                <c:pt idx="0">
                  <c:v>14.507569019635927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" sourceLinked="0"/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Larguillo!$BT$8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" sourceLinked="0"/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Larguillo!$BR$8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" sourceLinked="0"/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Larguillo!$BS$8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" sourceLinked="0"/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Larguillo!$BU$8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/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/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/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/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381126" y="771525"/>
    <xdr:ext cx="7595151" cy="4305299"/>
    <xdr:graphicFrame macro="">
      <xdr:nvGraphicFramePr>
        <xdr:cNvPr id="5" name="4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/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/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/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/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/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/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/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/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/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/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/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/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/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/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/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/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70C0"/>
  </sheetPr>
  <dimension ref="A1:U39"/>
  <sheetViews>
    <sheetView showGridLines="0" showRowColHeaders="0" zoomScaleNormal="100" workbookViewId="0">
      <selection activeCell="D5" sqref="D5:E6"/>
    </sheetView>
  </sheetViews>
  <sheetFormatPr baseColWidth="10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94"/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</row>
    <row r="2" spans="1:21" x14ac:dyDescent="0.25">
      <c r="A2" s="94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</row>
    <row r="3" spans="1:21" x14ac:dyDescent="0.25">
      <c r="A3" s="94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</row>
    <row r="4" spans="1:21" ht="19.5" customHeight="1" x14ac:dyDescent="0.25">
      <c r="A4" s="94"/>
      <c r="B4" s="94"/>
      <c r="C4" s="18"/>
      <c r="D4" s="93"/>
      <c r="E4" s="93"/>
      <c r="F4" s="93"/>
      <c r="G4" s="93"/>
      <c r="H4" s="93"/>
      <c r="I4" s="93"/>
      <c r="J4" s="343" t="s">
        <v>37</v>
      </c>
      <c r="K4" s="343"/>
      <c r="L4" s="343"/>
      <c r="M4" s="268"/>
      <c r="T4" s="211" t="s">
        <v>189</v>
      </c>
      <c r="U4" s="211">
        <v>5000</v>
      </c>
    </row>
    <row r="5" spans="1:21" ht="21" customHeight="1" x14ac:dyDescent="0.25">
      <c r="A5" s="94"/>
      <c r="B5" s="94"/>
      <c r="C5" s="18"/>
      <c r="D5" s="344" t="s">
        <v>197</v>
      </c>
      <c r="E5" s="344"/>
      <c r="F5" s="267"/>
      <c r="G5" s="210"/>
      <c r="H5" s="210"/>
      <c r="I5" s="210"/>
      <c r="J5" s="336" t="s">
        <v>4</v>
      </c>
      <c r="K5" s="337">
        <v>78</v>
      </c>
      <c r="L5" s="337"/>
      <c r="N5" s="209"/>
      <c r="T5" s="211" t="s">
        <v>190</v>
      </c>
      <c r="U5" s="211">
        <v>0.5</v>
      </c>
    </row>
    <row r="6" spans="1:21" ht="15" customHeight="1" x14ac:dyDescent="0.25">
      <c r="A6" s="94"/>
      <c r="B6" s="94"/>
      <c r="D6" s="344"/>
      <c r="E6" s="344"/>
      <c r="F6" s="267"/>
      <c r="G6" s="99"/>
      <c r="H6" s="99"/>
      <c r="J6" s="336"/>
      <c r="K6" s="337"/>
      <c r="L6" s="337"/>
      <c r="N6" s="209"/>
      <c r="T6" s="211" t="s">
        <v>191</v>
      </c>
      <c r="U6" s="211">
        <v>0.5</v>
      </c>
    </row>
    <row r="7" spans="1:21" ht="15.75" customHeight="1" x14ac:dyDescent="0.25">
      <c r="A7" s="94"/>
      <c r="B7" s="94"/>
      <c r="G7" s="99"/>
      <c r="H7" s="99"/>
      <c r="J7" s="336" t="s">
        <v>181</v>
      </c>
      <c r="K7" s="337">
        <v>0</v>
      </c>
      <c r="L7" s="337"/>
      <c r="T7" s="211" t="s">
        <v>192</v>
      </c>
      <c r="U7" s="211">
        <v>3</v>
      </c>
    </row>
    <row r="8" spans="1:21" ht="18.75" customHeight="1" x14ac:dyDescent="0.25">
      <c r="A8" s="94"/>
      <c r="B8" s="94"/>
      <c r="D8" s="343" t="s">
        <v>168</v>
      </c>
      <c r="E8" s="343"/>
      <c r="F8" s="343"/>
      <c r="G8" s="18"/>
      <c r="J8" s="336"/>
      <c r="K8" s="337"/>
      <c r="L8" s="337"/>
      <c r="T8" s="211" t="s">
        <v>193</v>
      </c>
      <c r="U8" s="211">
        <v>20</v>
      </c>
    </row>
    <row r="9" spans="1:21" ht="17.25" customHeight="1" x14ac:dyDescent="0.25">
      <c r="A9" s="94"/>
      <c r="B9" s="94"/>
      <c r="D9" s="343" t="s">
        <v>40</v>
      </c>
      <c r="E9" s="343"/>
      <c r="F9" s="267"/>
      <c r="J9" s="336" t="s">
        <v>143</v>
      </c>
      <c r="K9" s="337">
        <v>0</v>
      </c>
      <c r="L9" s="337"/>
      <c r="T9" s="211" t="s">
        <v>4</v>
      </c>
      <c r="U9" s="211">
        <v>63</v>
      </c>
    </row>
    <row r="10" spans="1:21" ht="21.75" customHeight="1" x14ac:dyDescent="0.25">
      <c r="A10" s="94"/>
      <c r="B10" s="94"/>
      <c r="D10" s="343" t="s">
        <v>41</v>
      </c>
      <c r="E10" s="343"/>
      <c r="F10" s="267"/>
      <c r="J10" s="336"/>
      <c r="K10" s="337"/>
      <c r="L10" s="337"/>
      <c r="T10" s="211" t="s">
        <v>181</v>
      </c>
      <c r="U10" s="211">
        <v>5</v>
      </c>
    </row>
    <row r="11" spans="1:21" ht="15" customHeight="1" x14ac:dyDescent="0.25">
      <c r="A11" s="94"/>
      <c r="B11" s="94"/>
      <c r="J11" s="336" t="s">
        <v>32</v>
      </c>
      <c r="K11" s="337">
        <v>5</v>
      </c>
      <c r="L11" s="337"/>
      <c r="M11" s="92"/>
      <c r="T11" s="211" t="s">
        <v>143</v>
      </c>
      <c r="U11" s="211">
        <v>1</v>
      </c>
    </row>
    <row r="12" spans="1:21" ht="15" customHeight="1" x14ac:dyDescent="0.25">
      <c r="A12" s="94"/>
      <c r="B12" s="94"/>
      <c r="D12" s="343" t="s">
        <v>38</v>
      </c>
      <c r="E12" s="343"/>
      <c r="F12" s="343"/>
      <c r="J12" s="336"/>
      <c r="K12" s="337"/>
      <c r="L12" s="337"/>
      <c r="M12" s="92"/>
      <c r="T12" s="211" t="s">
        <v>32</v>
      </c>
      <c r="U12" s="211">
        <v>9</v>
      </c>
    </row>
    <row r="13" spans="1:21" ht="17.25" customHeight="1" x14ac:dyDescent="0.25">
      <c r="A13" s="94"/>
      <c r="B13" s="94"/>
      <c r="D13" s="343" t="s">
        <v>141</v>
      </c>
      <c r="E13" s="343"/>
      <c r="F13" s="267"/>
      <c r="J13" s="336" t="s">
        <v>33</v>
      </c>
      <c r="K13" s="337">
        <v>5</v>
      </c>
      <c r="L13" s="337"/>
      <c r="T13" s="211" t="s">
        <v>33</v>
      </c>
      <c r="U13" s="211">
        <v>10</v>
      </c>
    </row>
    <row r="14" spans="1:21" ht="21.75" customHeight="1" x14ac:dyDescent="0.25">
      <c r="A14" s="94"/>
      <c r="B14" s="94"/>
      <c r="D14" s="343" t="s">
        <v>39</v>
      </c>
      <c r="E14" s="343"/>
      <c r="F14" s="267"/>
      <c r="J14" s="336"/>
      <c r="K14" s="337"/>
      <c r="L14" s="337"/>
      <c r="T14" s="211" t="s">
        <v>194</v>
      </c>
      <c r="U14" s="211">
        <v>6</v>
      </c>
    </row>
    <row r="15" spans="1:21" ht="18.75" customHeight="1" x14ac:dyDescent="0.25">
      <c r="A15" s="94"/>
      <c r="B15" s="94"/>
      <c r="D15" s="192"/>
      <c r="J15" s="336" t="s">
        <v>34</v>
      </c>
      <c r="K15" s="337">
        <v>7</v>
      </c>
      <c r="L15" s="337"/>
      <c r="T15" s="211" t="s">
        <v>195</v>
      </c>
      <c r="U15" s="211">
        <v>3</v>
      </c>
    </row>
    <row r="16" spans="1:21" ht="15" customHeight="1" x14ac:dyDescent="0.25">
      <c r="A16" s="94"/>
      <c r="B16" s="94"/>
      <c r="J16" s="336"/>
      <c r="K16" s="337"/>
      <c r="L16" s="337"/>
      <c r="T16" s="211" t="s">
        <v>196</v>
      </c>
      <c r="U16" s="211">
        <v>1</v>
      </c>
    </row>
    <row r="17" spans="1:21" ht="15" customHeight="1" x14ac:dyDescent="0.25">
      <c r="A17" s="94"/>
      <c r="B17" s="94"/>
      <c r="D17" s="196"/>
      <c r="E17" s="339" t="s">
        <v>138</v>
      </c>
      <c r="F17" s="340"/>
      <c r="G17" s="340"/>
      <c r="H17" s="340"/>
      <c r="J17" s="336" t="s">
        <v>35</v>
      </c>
      <c r="K17" s="337">
        <v>4</v>
      </c>
      <c r="L17" s="337"/>
      <c r="T17" s="211" t="s">
        <v>199</v>
      </c>
      <c r="U17" s="211">
        <v>2</v>
      </c>
    </row>
    <row r="18" spans="1:21" ht="15" customHeight="1" x14ac:dyDescent="0.25">
      <c r="A18" s="94"/>
      <c r="B18" s="94"/>
      <c r="C18" s="190"/>
      <c r="D18" s="196"/>
      <c r="E18" s="339" t="s">
        <v>139</v>
      </c>
      <c r="F18" s="340"/>
      <c r="G18" s="340" t="s">
        <v>140</v>
      </c>
      <c r="H18" s="340"/>
      <c r="J18" s="336"/>
      <c r="K18" s="337"/>
      <c r="L18" s="337"/>
    </row>
    <row r="19" spans="1:21" ht="18" customHeight="1" x14ac:dyDescent="0.25">
      <c r="A19" s="94"/>
      <c r="B19" s="94"/>
      <c r="C19" s="190"/>
      <c r="D19" s="197"/>
      <c r="E19" s="339"/>
      <c r="F19" s="340"/>
      <c r="G19" s="340"/>
      <c r="H19" s="340"/>
      <c r="J19" s="336" t="s">
        <v>36</v>
      </c>
      <c r="K19" s="337">
        <v>1</v>
      </c>
      <c r="L19" s="337"/>
    </row>
    <row r="20" spans="1:21" ht="18.75" customHeight="1" x14ac:dyDescent="0.25">
      <c r="A20" s="94"/>
      <c r="B20" s="94"/>
      <c r="C20" s="190"/>
      <c r="D20" s="195" t="s">
        <v>29</v>
      </c>
      <c r="E20" s="341">
        <v>42.68292682926829</v>
      </c>
      <c r="F20" s="341"/>
      <c r="G20" s="342">
        <v>214543.14631045362</v>
      </c>
      <c r="H20" s="342"/>
      <c r="J20" s="336"/>
      <c r="K20" s="337"/>
      <c r="L20" s="337"/>
    </row>
    <row r="21" spans="1:21" ht="15" customHeight="1" x14ac:dyDescent="0.25">
      <c r="A21" s="94"/>
      <c r="B21" s="94"/>
      <c r="C21" s="190"/>
      <c r="D21" s="194" t="s">
        <v>31</v>
      </c>
      <c r="E21" s="341">
        <v>17.073170731707318</v>
      </c>
      <c r="F21" s="341"/>
      <c r="G21" s="342">
        <v>85817.258524181467</v>
      </c>
      <c r="H21" s="342"/>
      <c r="I21" s="191"/>
      <c r="J21" s="336" t="s">
        <v>199</v>
      </c>
    </row>
    <row r="22" spans="1:21" ht="18.75" customHeight="1" x14ac:dyDescent="0.25">
      <c r="A22" s="94"/>
      <c r="B22" s="94"/>
      <c r="C22" s="190"/>
      <c r="D22" s="194" t="s">
        <v>10</v>
      </c>
      <c r="E22" s="341">
        <v>36.585365853658537</v>
      </c>
      <c r="F22" s="341"/>
      <c r="G22" s="342">
        <v>183894.12540896027</v>
      </c>
      <c r="H22" s="342"/>
      <c r="I22" s="159"/>
      <c r="J22" s="336"/>
      <c r="K22" s="159"/>
    </row>
    <row r="23" spans="1:21" ht="15.75" customHeight="1" x14ac:dyDescent="0.25">
      <c r="A23" s="94"/>
      <c r="B23" s="94"/>
      <c r="C23" s="190"/>
      <c r="D23" s="194" t="s">
        <v>11</v>
      </c>
      <c r="E23" s="341">
        <v>3.6585365853658538</v>
      </c>
      <c r="F23" s="341"/>
      <c r="G23" s="342">
        <v>18389.412540896028</v>
      </c>
      <c r="H23" s="342"/>
      <c r="J23" s="269" t="s">
        <v>142</v>
      </c>
      <c r="K23" s="338">
        <v>100</v>
      </c>
      <c r="L23" s="338"/>
    </row>
    <row r="24" spans="1:21" ht="15.75" x14ac:dyDescent="0.25">
      <c r="A24" s="94"/>
      <c r="B24" s="94"/>
      <c r="D24" s="2"/>
      <c r="E24" s="145"/>
      <c r="F24" s="145"/>
      <c r="G24" s="145"/>
      <c r="L24" s="13"/>
    </row>
    <row r="25" spans="1:21" ht="15.75" x14ac:dyDescent="0.25">
      <c r="A25" s="94"/>
      <c r="B25" s="94"/>
      <c r="E25" s="145"/>
      <c r="F25" s="145"/>
      <c r="G25" s="145"/>
      <c r="L25" s="13"/>
    </row>
    <row r="26" spans="1:21" x14ac:dyDescent="0.25">
      <c r="A26" s="94"/>
      <c r="B26" s="94"/>
      <c r="I26" s="13"/>
      <c r="J26" s="13"/>
      <c r="K26" s="13"/>
      <c r="L26" s="13"/>
    </row>
    <row r="27" spans="1:21" x14ac:dyDescent="0.25">
      <c r="A27" s="94"/>
      <c r="B27" s="94"/>
      <c r="F27" s="189"/>
      <c r="G27" s="188"/>
      <c r="I27" s="188"/>
    </row>
    <row r="28" spans="1:21" x14ac:dyDescent="0.25">
      <c r="F28" s="189"/>
      <c r="G28" s="188"/>
      <c r="I28" s="188"/>
    </row>
    <row r="29" spans="1:21" x14ac:dyDescent="0.25">
      <c r="F29" s="189"/>
      <c r="G29" s="188"/>
      <c r="I29" s="188"/>
    </row>
    <row r="30" spans="1:21" x14ac:dyDescent="0.25">
      <c r="F30" s="189"/>
      <c r="G30" s="188"/>
      <c r="I30" s="188"/>
    </row>
    <row r="31" spans="1:21" ht="14.25" customHeight="1" x14ac:dyDescent="0.25">
      <c r="I31" s="2"/>
    </row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D13:E13"/>
    <mergeCell ref="D14:E14"/>
    <mergeCell ref="D9:E9"/>
    <mergeCell ref="D10:E10"/>
    <mergeCell ref="D12:F12"/>
    <mergeCell ref="J4:L4"/>
    <mergeCell ref="J5:J6"/>
    <mergeCell ref="K5:L6"/>
    <mergeCell ref="D5:E6"/>
    <mergeCell ref="D8:F8"/>
    <mergeCell ref="J7:J8"/>
    <mergeCell ref="K7:L8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27" r:id="rId3" name="otros">
          <controlPr defaultSize="0" autoLine="0" autoPict="0" r:id="rId4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3" name="otros"/>
      </mc:Fallback>
    </mc:AlternateContent>
    <mc:AlternateContent xmlns:mc="http://schemas.openxmlformats.org/markup-compatibility/2006">
      <mc:Choice Requires="x14">
        <control shapeId="115726" r:id="rId5" name="TDPA1">
          <controlPr defaultSize="0" autoLine="0" autoPict="0" r:id="rId6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5" name="TDPA1"/>
      </mc:Fallback>
    </mc:AlternateContent>
    <mc:AlternateContent xmlns:mc="http://schemas.openxmlformats.org/markup-compatibility/2006">
      <mc:Choice Requires="x14">
        <control shapeId="115725" r:id="rId7" name="VehiculoT3S2R4">
          <controlPr defaultSize="0" autoLine="0" r:id="rId8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7" name="VehiculoT3S2R4"/>
      </mc:Fallback>
    </mc:AlternateContent>
    <mc:AlternateContent xmlns:mc="http://schemas.openxmlformats.org/markup-compatibility/2006">
      <mc:Choice Requires="x14">
        <control shapeId="115724" r:id="rId9" name="VehiculoT3S3">
          <controlPr defaultSize="0" autoLine="0" r:id="rId10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9" name="VehiculoT3S3"/>
      </mc:Fallback>
    </mc:AlternateContent>
    <mc:AlternateContent xmlns:mc="http://schemas.openxmlformats.org/markup-compatibility/2006">
      <mc:Choice Requires="x14">
        <control shapeId="115723" r:id="rId11" name="VehiculoT3S2">
          <controlPr defaultSize="0" autoLine="0" r:id="rId1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11" name="VehiculoT3S2"/>
      </mc:Fallback>
    </mc:AlternateContent>
    <mc:AlternateContent xmlns:mc="http://schemas.openxmlformats.org/markup-compatibility/2006">
      <mc:Choice Requires="x14">
        <control shapeId="115722" r:id="rId13" name="vehiculoC3">
          <controlPr defaultSize="0" autoLine="0" r:id="rId14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3" name="vehiculoC3"/>
      </mc:Fallback>
    </mc:AlternateContent>
    <mc:AlternateContent xmlns:mc="http://schemas.openxmlformats.org/markup-compatibility/2006">
      <mc:Choice Requires="x14">
        <control shapeId="115721" r:id="rId15" name="VehiculoC2">
          <controlPr defaultSize="0" autoLine="0" r:id="rId16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5" name="VehiculoC2"/>
      </mc:Fallback>
    </mc:AlternateContent>
    <mc:AlternateContent xmlns:mc="http://schemas.openxmlformats.org/markup-compatibility/2006">
      <mc:Choice Requires="x14">
        <control shapeId="115720" r:id="rId17" name="VehiculoB3">
          <controlPr defaultSize="0" autoLine="0" r:id="rId18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7" name="VehiculoB3"/>
      </mc:Fallback>
    </mc:AlternateContent>
    <mc:AlternateContent xmlns:mc="http://schemas.openxmlformats.org/markup-compatibility/2006">
      <mc:Choice Requires="x14">
        <control shapeId="115719" r:id="rId19" name="VehiculoB2">
          <controlPr defaultSize="0" autoLine="0" autoPict="0" r:id="rId20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9" name="VehiculoB2"/>
      </mc:Fallback>
    </mc:AlternateContent>
    <mc:AlternateContent xmlns:mc="http://schemas.openxmlformats.org/markup-compatibility/2006">
      <mc:Choice Requires="x14">
        <control shapeId="115718" r:id="rId21" name="vehiculoA">
          <controlPr defaultSize="0" autoLine="0" r:id="rId2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21" name="vehiculoA"/>
      </mc:Fallback>
    </mc:AlternateContent>
    <mc:AlternateContent xmlns:mc="http://schemas.openxmlformats.org/markup-compatibility/2006">
      <mc:Choice Requires="x14">
        <control shapeId="115717" r:id="rId23" name="Tasa1">
          <controlPr defaultSize="0" autoLine="0" r:id="rId24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23" name="Tasa1"/>
      </mc:Fallback>
    </mc:AlternateContent>
    <mc:AlternateContent xmlns:mc="http://schemas.openxmlformats.org/markup-compatibility/2006">
      <mc:Choice Requires="x14">
        <control shapeId="115716" r:id="rId25" name="años1">
          <controlPr defaultSize="0" autoLine="0" r:id="rId26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25" name="años1"/>
      </mc:Fallback>
    </mc:AlternateContent>
    <mc:AlternateContent xmlns:mc="http://schemas.openxmlformats.org/markup-compatibility/2006">
      <mc:Choice Requires="x14">
        <control shapeId="115715" r:id="rId27" name="FDC1">
          <controlPr defaultSize="0" autoLine="0" r:id="rId28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27" name="FDC1"/>
      </mc:Fallback>
    </mc:AlternateContent>
    <mc:AlternateContent xmlns:mc="http://schemas.openxmlformats.org/markup-compatibility/2006">
      <mc:Choice Requires="x14">
        <control shapeId="115714" r:id="rId29" name="FDS1">
          <controlPr defaultSize="0" autoLine="0" r:id="rId30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29" name="FDS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70C0"/>
  </sheetPr>
  <dimension ref="A1:W53"/>
  <sheetViews>
    <sheetView showGridLines="0" showRowColHeaders="0" zoomScaleNormal="100" workbookViewId="0">
      <selection activeCell="D6" sqref="D6"/>
    </sheetView>
  </sheetViews>
  <sheetFormatPr baseColWidth="10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23" x14ac:dyDescent="0.25">
      <c r="A1" s="94"/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</row>
    <row r="2" spans="1:23" x14ac:dyDescent="0.25">
      <c r="A2" s="94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T2" t="s">
        <v>188</v>
      </c>
      <c r="U2">
        <v>0</v>
      </c>
    </row>
    <row r="3" spans="1:23" x14ac:dyDescent="0.25">
      <c r="A3" s="94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T3" t="s">
        <v>184</v>
      </c>
      <c r="U3" s="206" t="b">
        <v>1</v>
      </c>
      <c r="V3">
        <v>6.5</v>
      </c>
      <c r="W3">
        <v>0</v>
      </c>
    </row>
    <row r="4" spans="1:23" x14ac:dyDescent="0.25">
      <c r="A4" s="94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T4" t="s">
        <v>187</v>
      </c>
      <c r="U4" s="207" t="b">
        <v>1</v>
      </c>
      <c r="V4">
        <v>6.5</v>
      </c>
      <c r="W4">
        <v>25</v>
      </c>
    </row>
    <row r="5" spans="1:23" x14ac:dyDescent="0.25">
      <c r="A5" s="94"/>
      <c r="B5" s="94"/>
      <c r="T5" t="s">
        <v>185</v>
      </c>
      <c r="U5" s="207" t="b">
        <v>1</v>
      </c>
      <c r="V5">
        <v>11</v>
      </c>
      <c r="W5">
        <v>0</v>
      </c>
    </row>
    <row r="6" spans="1:23" x14ac:dyDescent="0.25">
      <c r="A6" s="94"/>
      <c r="B6" s="94"/>
      <c r="D6" s="266" t="s">
        <v>209</v>
      </c>
      <c r="T6" t="s">
        <v>186</v>
      </c>
      <c r="U6" s="208" t="b">
        <v>1</v>
      </c>
      <c r="V6">
        <v>11</v>
      </c>
      <c r="W6">
        <v>25</v>
      </c>
    </row>
    <row r="7" spans="1:23" ht="15.75" x14ac:dyDescent="0.25">
      <c r="A7" s="94"/>
      <c r="B7" s="94"/>
      <c r="L7" s="270"/>
      <c r="V7">
        <v>18</v>
      </c>
      <c r="W7">
        <v>0</v>
      </c>
    </row>
    <row r="8" spans="1:23" ht="18.75" x14ac:dyDescent="0.25">
      <c r="A8" s="94"/>
      <c r="B8" s="94"/>
      <c r="L8" s="271" t="s">
        <v>77</v>
      </c>
      <c r="T8">
        <v>1</v>
      </c>
      <c r="U8">
        <v>4</v>
      </c>
      <c r="V8">
        <v>18</v>
      </c>
      <c r="W8">
        <v>25</v>
      </c>
    </row>
    <row r="9" spans="1:23" ht="15.75" customHeight="1" x14ac:dyDescent="0.25">
      <c r="A9" s="94"/>
      <c r="B9" s="94"/>
      <c r="L9" s="270"/>
      <c r="T9">
        <v>2</v>
      </c>
      <c r="V9">
        <v>23</v>
      </c>
      <c r="W9">
        <v>0</v>
      </c>
    </row>
    <row r="10" spans="1:23" ht="15.75" customHeight="1" x14ac:dyDescent="0.25">
      <c r="A10" s="94"/>
      <c r="B10" s="94"/>
      <c r="L10" s="205"/>
      <c r="M10" s="2"/>
      <c r="T10">
        <v>3</v>
      </c>
      <c r="V10">
        <v>23</v>
      </c>
      <c r="W10">
        <v>25</v>
      </c>
    </row>
    <row r="11" spans="1:23" ht="18.75" x14ac:dyDescent="0.3">
      <c r="A11" s="94"/>
      <c r="B11" s="94"/>
      <c r="E11" t="s">
        <v>78</v>
      </c>
      <c r="L11" s="136"/>
      <c r="M11" s="2"/>
      <c r="T11">
        <v>4</v>
      </c>
    </row>
    <row r="12" spans="1:23" ht="18.75" x14ac:dyDescent="0.3">
      <c r="A12" s="94"/>
      <c r="B12" s="94"/>
      <c r="L12" s="136"/>
    </row>
    <row r="13" spans="1:23" ht="18.75" x14ac:dyDescent="0.3">
      <c r="A13" s="94"/>
      <c r="B13" s="94"/>
      <c r="L13" s="136"/>
    </row>
    <row r="14" spans="1:23" ht="18.75" x14ac:dyDescent="0.3">
      <c r="A14" s="94"/>
      <c r="B14" s="94"/>
      <c r="L14" s="136"/>
    </row>
    <row r="15" spans="1:23" ht="16.5" customHeight="1" x14ac:dyDescent="0.3">
      <c r="A15" s="94"/>
      <c r="B15" s="94"/>
      <c r="L15" s="136"/>
    </row>
    <row r="16" spans="1:23" ht="19.5" customHeight="1" x14ac:dyDescent="0.25">
      <c r="A16" s="94"/>
      <c r="B16" s="94"/>
      <c r="L16" s="193"/>
    </row>
    <row r="17" spans="1:12" x14ac:dyDescent="0.25">
      <c r="A17" s="94"/>
      <c r="B17" s="94"/>
      <c r="L17" s="193"/>
    </row>
    <row r="18" spans="1:12" x14ac:dyDescent="0.25">
      <c r="A18" s="94"/>
      <c r="B18" s="94"/>
      <c r="L18" s="193"/>
    </row>
    <row r="19" spans="1:12" x14ac:dyDescent="0.25">
      <c r="A19" s="94"/>
      <c r="B19" s="94"/>
      <c r="L19" s="193"/>
    </row>
    <row r="20" spans="1:12" x14ac:dyDescent="0.25">
      <c r="A20" s="94"/>
      <c r="B20" s="94"/>
      <c r="L20" s="193"/>
    </row>
    <row r="21" spans="1:12" x14ac:dyDescent="0.25">
      <c r="A21" s="94"/>
      <c r="B21" s="94"/>
      <c r="L21" s="193"/>
    </row>
    <row r="22" spans="1:12" x14ac:dyDescent="0.25">
      <c r="A22" s="94"/>
      <c r="B22" s="94"/>
      <c r="L22" s="193"/>
    </row>
    <row r="23" spans="1:12" x14ac:dyDescent="0.25">
      <c r="A23" s="94"/>
      <c r="B23" s="94"/>
      <c r="L23" s="193"/>
    </row>
    <row r="24" spans="1:12" x14ac:dyDescent="0.25">
      <c r="A24" s="94"/>
      <c r="B24" s="94"/>
      <c r="L24" s="2"/>
    </row>
    <row r="25" spans="1:12" x14ac:dyDescent="0.25">
      <c r="A25" s="94"/>
      <c r="B25" s="94"/>
    </row>
    <row r="26" spans="1:12" x14ac:dyDescent="0.25">
      <c r="A26" s="94"/>
      <c r="B26" s="94"/>
    </row>
    <row r="27" spans="1:12" x14ac:dyDescent="0.25">
      <c r="A27" s="213"/>
      <c r="B27" s="213"/>
      <c r="C27" s="213"/>
      <c r="D27" s="213"/>
      <c r="E27" s="213"/>
      <c r="F27" s="213"/>
      <c r="G27" s="213"/>
      <c r="H27" s="213"/>
      <c r="I27" s="213"/>
      <c r="J27" s="213"/>
      <c r="K27" s="213"/>
    </row>
    <row r="28" spans="1:12" x14ac:dyDescent="0.25">
      <c r="A28" s="221"/>
      <c r="B28" s="346" t="s">
        <v>70</v>
      </c>
      <c r="C28" s="347"/>
      <c r="D28" s="347"/>
      <c r="E28" s="347"/>
      <c r="F28" s="347"/>
      <c r="G28" s="347"/>
      <c r="H28" s="347"/>
      <c r="I28" s="347"/>
      <c r="J28" s="347"/>
      <c r="K28" s="347"/>
    </row>
    <row r="29" spans="1:12" ht="15.95" customHeight="1" x14ac:dyDescent="0.25">
      <c r="A29" s="345" t="s">
        <v>81</v>
      </c>
      <c r="B29" s="222" t="s">
        <v>69</v>
      </c>
      <c r="C29" s="223" t="s">
        <v>53</v>
      </c>
      <c r="D29" s="223" t="s">
        <v>54</v>
      </c>
      <c r="E29" s="223" t="s">
        <v>55</v>
      </c>
      <c r="F29" s="224" t="s">
        <v>128</v>
      </c>
      <c r="G29" s="224" t="s">
        <v>129</v>
      </c>
      <c r="H29" s="224" t="s">
        <v>130</v>
      </c>
      <c r="I29" s="224" t="s">
        <v>131</v>
      </c>
      <c r="J29" s="224" t="s">
        <v>132</v>
      </c>
      <c r="K29" s="224" t="s">
        <v>133</v>
      </c>
    </row>
    <row r="30" spans="1:12" ht="15.95" customHeight="1" x14ac:dyDescent="0.25">
      <c r="A30" s="345"/>
      <c r="B30" s="222" t="s">
        <v>29</v>
      </c>
      <c r="C30" s="225">
        <v>1</v>
      </c>
      <c r="D30" s="225">
        <v>0</v>
      </c>
      <c r="E30" s="225">
        <v>0</v>
      </c>
      <c r="F30" s="225">
        <v>1.2</v>
      </c>
      <c r="G30" s="225">
        <v>0</v>
      </c>
      <c r="H30" s="225">
        <v>0</v>
      </c>
      <c r="I30" s="225">
        <v>0.35</v>
      </c>
      <c r="J30" s="225">
        <v>1E-8</v>
      </c>
      <c r="K30" s="225">
        <v>1E-8</v>
      </c>
    </row>
    <row r="31" spans="1:12" ht="15.95" customHeight="1" x14ac:dyDescent="0.25">
      <c r="A31" s="345"/>
      <c r="B31" s="222" t="s">
        <v>31</v>
      </c>
      <c r="C31" s="225">
        <v>1</v>
      </c>
      <c r="D31" s="225">
        <v>0</v>
      </c>
      <c r="E31" s="225">
        <v>0</v>
      </c>
      <c r="F31" s="225">
        <v>1.504</v>
      </c>
      <c r="G31" s="225">
        <v>0</v>
      </c>
      <c r="H31" s="225">
        <v>0</v>
      </c>
      <c r="I31" s="225">
        <v>0.5</v>
      </c>
      <c r="J31" s="225">
        <v>1E-8</v>
      </c>
      <c r="K31" s="225">
        <v>1E-8</v>
      </c>
    </row>
    <row r="32" spans="1:12" ht="15.95" customHeight="1" x14ac:dyDescent="0.25">
      <c r="A32" s="345"/>
      <c r="B32" s="222" t="s">
        <v>10</v>
      </c>
      <c r="C32" s="225">
        <v>0.3</v>
      </c>
      <c r="D32" s="225">
        <v>0.25</v>
      </c>
      <c r="E32" s="225">
        <v>0.45</v>
      </c>
      <c r="F32" s="225">
        <v>2</v>
      </c>
      <c r="G32" s="225">
        <v>2.2000000000000002</v>
      </c>
      <c r="H32" s="225">
        <v>2.7</v>
      </c>
      <c r="I32" s="225">
        <v>0.1</v>
      </c>
      <c r="J32" s="225">
        <v>0.2</v>
      </c>
      <c r="K32" s="225">
        <v>0.1</v>
      </c>
    </row>
    <row r="33" spans="1:11" ht="15.95" customHeight="1" x14ac:dyDescent="0.25">
      <c r="A33" s="345"/>
      <c r="B33" s="222" t="s">
        <v>11</v>
      </c>
      <c r="C33" s="225">
        <v>0.6</v>
      </c>
      <c r="D33" s="225">
        <v>0.4</v>
      </c>
      <c r="E33" s="225">
        <v>0</v>
      </c>
      <c r="F33" s="225">
        <v>1.946</v>
      </c>
      <c r="G33" s="225">
        <v>2.6</v>
      </c>
      <c r="H33" s="225">
        <v>0</v>
      </c>
      <c r="I33" s="225">
        <v>0.27</v>
      </c>
      <c r="J33" s="225">
        <v>0.17</v>
      </c>
      <c r="K33" s="225">
        <v>1E-10</v>
      </c>
    </row>
    <row r="34" spans="1:11" ht="15.95" customHeight="1" x14ac:dyDescent="0.25">
      <c r="A34" s="345" t="s">
        <v>79</v>
      </c>
      <c r="B34" s="222" t="s">
        <v>69</v>
      </c>
      <c r="C34" s="223" t="s">
        <v>53</v>
      </c>
      <c r="D34" s="223" t="s">
        <v>54</v>
      </c>
      <c r="E34" s="223" t="s">
        <v>55</v>
      </c>
      <c r="F34" s="224" t="s">
        <v>128</v>
      </c>
      <c r="G34" s="224" t="s">
        <v>129</v>
      </c>
      <c r="H34" s="224" t="s">
        <v>130</v>
      </c>
      <c r="I34" s="224" t="s">
        <v>131</v>
      </c>
      <c r="J34" s="224" t="s">
        <v>132</v>
      </c>
      <c r="K34" s="224" t="s">
        <v>133</v>
      </c>
    </row>
    <row r="35" spans="1:11" ht="15.95" customHeight="1" x14ac:dyDescent="0.25">
      <c r="A35" s="345"/>
      <c r="B35" s="222" t="s">
        <v>29</v>
      </c>
      <c r="C35" s="225">
        <v>1</v>
      </c>
      <c r="D35" s="225">
        <v>0</v>
      </c>
      <c r="E35" s="225">
        <v>0</v>
      </c>
      <c r="F35" s="225">
        <v>1.2</v>
      </c>
      <c r="G35" s="225">
        <v>0</v>
      </c>
      <c r="H35" s="225">
        <v>0</v>
      </c>
      <c r="I35" s="225">
        <v>0.35</v>
      </c>
      <c r="J35" s="225">
        <v>9.9999999999999994E-12</v>
      </c>
      <c r="K35" s="225">
        <v>1E-10</v>
      </c>
    </row>
    <row r="36" spans="1:11" ht="15.95" customHeight="1" x14ac:dyDescent="0.25">
      <c r="A36" s="345"/>
      <c r="B36" s="222" t="s">
        <v>31</v>
      </c>
      <c r="C36" s="225">
        <v>1</v>
      </c>
      <c r="D36" s="225">
        <v>0</v>
      </c>
      <c r="E36" s="225">
        <v>0</v>
      </c>
      <c r="F36" s="225">
        <v>1.7</v>
      </c>
      <c r="G36" s="225">
        <v>0</v>
      </c>
      <c r="H36" s="225">
        <v>0</v>
      </c>
      <c r="I36" s="225">
        <v>0.4</v>
      </c>
      <c r="J36" s="225">
        <v>9.9999999999999994E-12</v>
      </c>
      <c r="K36" s="225">
        <v>1E-10</v>
      </c>
    </row>
    <row r="37" spans="1:11" ht="15.95" customHeight="1" x14ac:dyDescent="0.25">
      <c r="A37" s="345"/>
      <c r="B37" s="222" t="s">
        <v>10</v>
      </c>
      <c r="C37" s="225">
        <v>0.4</v>
      </c>
      <c r="D37" s="225">
        <v>0.3</v>
      </c>
      <c r="E37" s="225">
        <v>0.30000000000000004</v>
      </c>
      <c r="F37" s="225">
        <v>2.2000000000000002</v>
      </c>
      <c r="G37" s="225">
        <v>2.7719999999999998</v>
      </c>
      <c r="H37" s="225">
        <v>2.8</v>
      </c>
      <c r="I37" s="225">
        <v>0.1</v>
      </c>
      <c r="J37" s="225">
        <v>0.2</v>
      </c>
      <c r="K37" s="225">
        <v>0.1</v>
      </c>
    </row>
    <row r="38" spans="1:11" ht="15.95" customHeight="1" x14ac:dyDescent="0.25">
      <c r="A38" s="345"/>
      <c r="B38" s="222" t="s">
        <v>11</v>
      </c>
      <c r="C38" s="225">
        <v>0.5</v>
      </c>
      <c r="D38" s="225">
        <v>0.5</v>
      </c>
      <c r="E38" s="225">
        <v>0</v>
      </c>
      <c r="F38" s="225">
        <v>1.946</v>
      </c>
      <c r="G38" s="225">
        <v>2.8</v>
      </c>
      <c r="H38" s="225">
        <v>0</v>
      </c>
      <c r="I38" s="225">
        <v>0.25</v>
      </c>
      <c r="J38" s="225">
        <v>0.2</v>
      </c>
      <c r="K38" s="225">
        <v>1E-10</v>
      </c>
    </row>
    <row r="39" spans="1:11" ht="15.95" customHeight="1" x14ac:dyDescent="0.25">
      <c r="A39" s="345" t="s">
        <v>134</v>
      </c>
      <c r="B39" s="222" t="s">
        <v>69</v>
      </c>
      <c r="C39" s="223" t="s">
        <v>53</v>
      </c>
      <c r="D39" s="223" t="s">
        <v>54</v>
      </c>
      <c r="E39" s="223" t="s">
        <v>55</v>
      </c>
      <c r="F39" s="224" t="s">
        <v>128</v>
      </c>
      <c r="G39" s="224" t="s">
        <v>129</v>
      </c>
      <c r="H39" s="224" t="s">
        <v>130</v>
      </c>
      <c r="I39" s="224" t="s">
        <v>131</v>
      </c>
      <c r="J39" s="224" t="s">
        <v>132</v>
      </c>
      <c r="K39" s="224" t="s">
        <v>133</v>
      </c>
    </row>
    <row r="40" spans="1:11" ht="15.95" customHeight="1" x14ac:dyDescent="0.25">
      <c r="A40" s="345"/>
      <c r="B40" s="222" t="s">
        <v>29</v>
      </c>
      <c r="C40" s="225">
        <v>1</v>
      </c>
      <c r="D40" s="225">
        <v>0</v>
      </c>
      <c r="E40" s="225">
        <v>0</v>
      </c>
      <c r="F40" s="225">
        <v>1.2</v>
      </c>
      <c r="G40" s="225">
        <v>0</v>
      </c>
      <c r="H40" s="225">
        <v>0</v>
      </c>
      <c r="I40" s="225">
        <v>0.35</v>
      </c>
      <c r="J40" s="225">
        <v>9.9999999999999994E-12</v>
      </c>
      <c r="K40" s="225">
        <v>1E-10</v>
      </c>
    </row>
    <row r="41" spans="1:11" ht="15.95" customHeight="1" x14ac:dyDescent="0.25">
      <c r="A41" s="345"/>
      <c r="B41" s="222" t="s">
        <v>31</v>
      </c>
      <c r="C41" s="225">
        <v>1</v>
      </c>
      <c r="D41" s="225">
        <v>0</v>
      </c>
      <c r="E41" s="225">
        <v>0</v>
      </c>
      <c r="F41" s="225">
        <v>1.8</v>
      </c>
      <c r="G41" s="225">
        <v>0</v>
      </c>
      <c r="H41" s="225">
        <v>0</v>
      </c>
      <c r="I41" s="225">
        <v>0.36</v>
      </c>
      <c r="J41" s="225">
        <v>9.9999999999999994E-12</v>
      </c>
      <c r="K41" s="225">
        <v>1E-10</v>
      </c>
    </row>
    <row r="42" spans="1:11" ht="15.95" customHeight="1" x14ac:dyDescent="0.25">
      <c r="A42" s="345"/>
      <c r="B42" s="222" t="s">
        <v>10</v>
      </c>
      <c r="C42" s="225">
        <v>0.4</v>
      </c>
      <c r="D42" s="225">
        <v>0.3</v>
      </c>
      <c r="E42" s="225">
        <v>0.30000000000000004</v>
      </c>
      <c r="F42" s="225">
        <v>2.3460000000000001</v>
      </c>
      <c r="G42" s="225">
        <v>2.7719999999999998</v>
      </c>
      <c r="H42" s="225">
        <v>3.218</v>
      </c>
      <c r="I42" s="225">
        <v>0.1</v>
      </c>
      <c r="J42" s="225">
        <v>0.3</v>
      </c>
      <c r="K42" s="225">
        <v>0.12</v>
      </c>
    </row>
    <row r="43" spans="1:11" ht="15.95" customHeight="1" x14ac:dyDescent="0.25">
      <c r="A43" s="345"/>
      <c r="B43" s="222" t="s">
        <v>11</v>
      </c>
      <c r="C43" s="225">
        <v>0.5</v>
      </c>
      <c r="D43" s="225">
        <v>0.5</v>
      </c>
      <c r="E43" s="225">
        <v>0</v>
      </c>
      <c r="F43" s="225">
        <v>2.1</v>
      </c>
      <c r="G43" s="225">
        <v>3.05</v>
      </c>
      <c r="H43" s="225">
        <v>0</v>
      </c>
      <c r="I43" s="225">
        <v>0.27</v>
      </c>
      <c r="J43" s="225">
        <v>0.27</v>
      </c>
      <c r="K43" s="225">
        <v>1E-10</v>
      </c>
    </row>
    <row r="44" spans="1:11" ht="15.95" customHeight="1" x14ac:dyDescent="0.25">
      <c r="A44" s="345" t="s">
        <v>135</v>
      </c>
      <c r="B44" s="222" t="s">
        <v>69</v>
      </c>
      <c r="C44" s="223" t="s">
        <v>53</v>
      </c>
      <c r="D44" s="223" t="s">
        <v>54</v>
      </c>
      <c r="E44" s="223" t="s">
        <v>55</v>
      </c>
      <c r="F44" s="224" t="s">
        <v>128</v>
      </c>
      <c r="G44" s="224" t="s">
        <v>129</v>
      </c>
      <c r="H44" s="224" t="s">
        <v>130</v>
      </c>
      <c r="I44" s="224" t="s">
        <v>131</v>
      </c>
      <c r="J44" s="224" t="s">
        <v>132</v>
      </c>
      <c r="K44" s="224" t="s">
        <v>133</v>
      </c>
    </row>
    <row r="45" spans="1:11" ht="15.95" customHeight="1" x14ac:dyDescent="0.25">
      <c r="A45" s="345"/>
      <c r="B45" s="222" t="s">
        <v>29</v>
      </c>
      <c r="C45" s="225">
        <v>1</v>
      </c>
      <c r="D45" s="225">
        <v>0</v>
      </c>
      <c r="E45" s="225">
        <v>0</v>
      </c>
      <c r="F45" s="225">
        <v>1.2</v>
      </c>
      <c r="G45" s="225">
        <v>0</v>
      </c>
      <c r="H45" s="225">
        <v>0</v>
      </c>
      <c r="I45" s="225">
        <v>0.35</v>
      </c>
      <c r="J45" s="225">
        <v>9.9999999999999994E-12</v>
      </c>
      <c r="K45" s="225">
        <v>1E-10</v>
      </c>
    </row>
    <row r="46" spans="1:11" ht="15.95" customHeight="1" x14ac:dyDescent="0.25">
      <c r="A46" s="345"/>
      <c r="B46" s="222" t="s">
        <v>31</v>
      </c>
      <c r="C46" s="225">
        <v>1</v>
      </c>
      <c r="D46" s="225">
        <v>0</v>
      </c>
      <c r="E46" s="225">
        <v>0</v>
      </c>
      <c r="F46" s="225">
        <v>2.12</v>
      </c>
      <c r="G46" s="225">
        <v>0</v>
      </c>
      <c r="H46" s="225">
        <v>0</v>
      </c>
      <c r="I46" s="225">
        <v>0.32</v>
      </c>
      <c r="J46" s="225">
        <v>9.9999999999999994E-12</v>
      </c>
      <c r="K46" s="225">
        <v>1E-10</v>
      </c>
    </row>
    <row r="47" spans="1:11" ht="15.95" customHeight="1" x14ac:dyDescent="0.25">
      <c r="A47" s="345"/>
      <c r="B47" s="222" t="s">
        <v>10</v>
      </c>
      <c r="C47" s="225">
        <v>0.4</v>
      </c>
      <c r="D47" s="225">
        <v>0.2</v>
      </c>
      <c r="E47" s="225">
        <v>0.39999999999999991</v>
      </c>
      <c r="F47" s="225">
        <v>2.7</v>
      </c>
      <c r="G47" s="225">
        <v>3</v>
      </c>
      <c r="H47" s="225">
        <v>3.4</v>
      </c>
      <c r="I47" s="225">
        <v>0.1</v>
      </c>
      <c r="J47" s="225">
        <v>0.3</v>
      </c>
      <c r="K47" s="225">
        <v>0.12</v>
      </c>
    </row>
    <row r="48" spans="1:11" ht="15.95" customHeight="1" x14ac:dyDescent="0.25">
      <c r="A48" s="345"/>
      <c r="B48" s="222" t="s">
        <v>11</v>
      </c>
      <c r="C48" s="225">
        <v>0.5</v>
      </c>
      <c r="D48" s="225">
        <v>0.5</v>
      </c>
      <c r="E48" s="225">
        <v>0</v>
      </c>
      <c r="F48" s="225">
        <v>2.2999999999999998</v>
      </c>
      <c r="G48" s="225">
        <v>3.3</v>
      </c>
      <c r="H48" s="225">
        <v>0</v>
      </c>
      <c r="I48" s="225">
        <v>0.28000000000000003</v>
      </c>
      <c r="J48" s="225">
        <v>0.28000000000000003</v>
      </c>
      <c r="K48" s="225">
        <v>1E-10</v>
      </c>
    </row>
    <row r="49" spans="1:11" ht="15.95" customHeight="1" x14ac:dyDescent="0.25">
      <c r="A49" s="345" t="s">
        <v>65</v>
      </c>
      <c r="B49" s="222" t="s">
        <v>69</v>
      </c>
      <c r="C49" s="223" t="s">
        <v>53</v>
      </c>
      <c r="D49" s="223" t="s">
        <v>54</v>
      </c>
      <c r="E49" s="223" t="s">
        <v>55</v>
      </c>
      <c r="F49" s="224" t="s">
        <v>128</v>
      </c>
      <c r="G49" s="224" t="s">
        <v>129</v>
      </c>
      <c r="H49" s="224" t="s">
        <v>130</v>
      </c>
      <c r="I49" s="224" t="s">
        <v>131</v>
      </c>
      <c r="J49" s="224" t="s">
        <v>132</v>
      </c>
      <c r="K49" s="224" t="s">
        <v>133</v>
      </c>
    </row>
    <row r="50" spans="1:11" ht="15.95" customHeight="1" x14ac:dyDescent="0.25">
      <c r="A50" s="345"/>
      <c r="B50" s="222" t="s">
        <v>29</v>
      </c>
      <c r="C50" s="225" t="s">
        <v>212</v>
      </c>
      <c r="D50" s="225" t="s">
        <v>227</v>
      </c>
      <c r="E50" s="225" t="s">
        <v>228</v>
      </c>
      <c r="F50" s="225" t="s">
        <v>229</v>
      </c>
      <c r="G50" s="225" t="s">
        <v>230</v>
      </c>
      <c r="H50" s="225" t="s">
        <v>231</v>
      </c>
      <c r="I50" s="225" t="s">
        <v>232</v>
      </c>
      <c r="J50" s="225" t="s">
        <v>233</v>
      </c>
      <c r="K50" s="225" t="s">
        <v>234</v>
      </c>
    </row>
    <row r="51" spans="1:11" ht="15.95" customHeight="1" x14ac:dyDescent="0.25">
      <c r="A51" s="345"/>
      <c r="B51" s="222" t="s">
        <v>31</v>
      </c>
      <c r="C51" s="225" t="s">
        <v>198</v>
      </c>
      <c r="D51" s="225" t="s">
        <v>214</v>
      </c>
      <c r="E51" s="225" t="s">
        <v>213</v>
      </c>
      <c r="F51" s="225" t="s">
        <v>235</v>
      </c>
      <c r="G51" s="225" t="s">
        <v>236</v>
      </c>
      <c r="H51" s="225" t="s">
        <v>237</v>
      </c>
      <c r="I51" s="225" t="s">
        <v>238</v>
      </c>
      <c r="J51" s="225" t="s">
        <v>239</v>
      </c>
      <c r="K51" s="225" t="s">
        <v>240</v>
      </c>
    </row>
    <row r="52" spans="1:11" ht="15.95" customHeight="1" x14ac:dyDescent="0.25">
      <c r="A52" s="345"/>
      <c r="B52" s="222" t="s">
        <v>10</v>
      </c>
      <c r="C52" s="225" t="s">
        <v>241</v>
      </c>
      <c r="D52" s="225" t="s">
        <v>215</v>
      </c>
      <c r="E52" s="225" t="s">
        <v>242</v>
      </c>
      <c r="F52" s="225" t="s">
        <v>243</v>
      </c>
      <c r="G52" s="225" t="s">
        <v>244</v>
      </c>
      <c r="H52" s="225" t="s">
        <v>216</v>
      </c>
      <c r="I52" s="225" t="s">
        <v>245</v>
      </c>
      <c r="J52" s="225" t="s">
        <v>246</v>
      </c>
      <c r="K52" s="225" t="s">
        <v>217</v>
      </c>
    </row>
    <row r="53" spans="1:11" ht="15.95" customHeight="1" x14ac:dyDescent="0.25">
      <c r="A53" s="345"/>
      <c r="B53" s="222" t="s">
        <v>11</v>
      </c>
      <c r="C53" s="225" t="s">
        <v>218</v>
      </c>
      <c r="D53" s="225" t="s">
        <v>219</v>
      </c>
      <c r="E53" s="225" t="s">
        <v>226</v>
      </c>
      <c r="F53" s="225" t="s">
        <v>220</v>
      </c>
      <c r="G53" s="225" t="s">
        <v>221</v>
      </c>
      <c r="H53" s="225" t="s">
        <v>222</v>
      </c>
      <c r="I53" s="225" t="s">
        <v>223</v>
      </c>
      <c r="J53" s="225" t="s">
        <v>224</v>
      </c>
      <c r="K53" s="225" t="s">
        <v>225</v>
      </c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1" r:id="rId3" name="Legal">
          <controlPr defaultSize="0" autoLine="0" r:id="rId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3" name="Legal"/>
      </mc:Fallback>
    </mc:AlternateContent>
    <mc:AlternateContent xmlns:mc="http://schemas.openxmlformats.org/markup-compatibility/2006">
      <mc:Choice Requires="x14">
        <control shapeId="91144" r:id="rId5" name="Sencillo">
          <controlPr defaultSize="0" autoLine="0" r:id="rId6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5" name="Sencillo"/>
      </mc:Fallback>
    </mc:AlternateContent>
    <mc:AlternateContent xmlns:mc="http://schemas.openxmlformats.org/markup-compatibility/2006">
      <mc:Choice Requires="x14">
        <control shapeId="91145" r:id="rId7" name="Sencillodual">
          <controlPr defaultSize="0" autoLine="0" r:id="rId8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7" name="Sencillodual"/>
      </mc:Fallback>
    </mc:AlternateContent>
    <mc:AlternateContent xmlns:mc="http://schemas.openxmlformats.org/markup-compatibility/2006">
      <mc:Choice Requires="x14">
        <control shapeId="91146" r:id="rId9" name="Tandem">
          <controlPr defaultSize="0" autoLine="0" r:id="rId10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9" name="Tandem"/>
      </mc:Fallback>
    </mc:AlternateContent>
    <mc:AlternateContent xmlns:mc="http://schemas.openxmlformats.org/markup-compatibility/2006">
      <mc:Choice Requires="x14">
        <control shapeId="91147" r:id="rId11" name="Tridem">
          <controlPr defaultSize="0" autoLine="0" r:id="rId12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11" name="Tridem"/>
      </mc:Fallback>
    </mc:AlternateContent>
    <mc:AlternateContent xmlns:mc="http://schemas.openxmlformats.org/markup-compatibility/2006">
      <mc:Choice Requires="x14">
        <control shapeId="91154" r:id="rId13" name="ComboBox2">
          <controlPr defaultSize="0" autoLine="0" r:id="rId1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13" name="Combo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CC00"/>
  </sheetPr>
  <dimension ref="A1:AW60"/>
  <sheetViews>
    <sheetView showGridLines="0" zoomScaleNormal="100" workbookViewId="0">
      <selection activeCell="S23" sqref="S23"/>
    </sheetView>
  </sheetViews>
  <sheetFormatPr baseColWidth="10" defaultRowHeight="15" x14ac:dyDescent="0.25"/>
  <cols>
    <col min="1" max="1" width="7.85546875" customWidth="1"/>
    <col min="2" max="2" width="4" customWidth="1"/>
    <col min="4" max="4" width="15.28515625" customWidth="1"/>
    <col min="6" max="6" width="17.85546875" customWidth="1"/>
    <col min="8" max="8" width="4.7109375" customWidth="1"/>
    <col min="9" max="26" width="4.140625" customWidth="1"/>
    <col min="27" max="27" width="2.5703125" customWidth="1"/>
    <col min="28" max="28" width="6.42578125" customWidth="1"/>
    <col min="29" max="29" width="4.140625" customWidth="1"/>
    <col min="30" max="30" width="3.42578125" customWidth="1"/>
    <col min="31" max="45" width="4.140625" customWidth="1"/>
    <col min="47" max="47" width="13.42578125" customWidth="1"/>
  </cols>
  <sheetData>
    <row r="1" spans="1:49" x14ac:dyDescent="0.25">
      <c r="A1" s="228"/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</row>
    <row r="2" spans="1:4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6"/>
      <c r="M2" s="2"/>
      <c r="N2" s="2"/>
      <c r="O2" s="2"/>
      <c r="P2" s="228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spans="1:49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6"/>
      <c r="M3" s="2"/>
      <c r="N3" s="2"/>
      <c r="O3" s="2"/>
      <c r="P3" s="228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U3" s="213"/>
      <c r="AV3" s="213"/>
      <c r="AW3" s="213"/>
    </row>
    <row r="4" spans="1:49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U4" s="213"/>
      <c r="AV4" s="213"/>
      <c r="AW4" s="213"/>
    </row>
    <row r="5" spans="1:49" x14ac:dyDescent="0.25">
      <c r="A5" s="2"/>
      <c r="B5" s="2"/>
      <c r="AU5" s="96" t="s">
        <v>29</v>
      </c>
      <c r="AV5" s="217" t="s">
        <v>174</v>
      </c>
      <c r="AW5" s="213"/>
    </row>
    <row r="6" spans="1:49" ht="18.75" x14ac:dyDescent="0.25">
      <c r="A6" s="2"/>
      <c r="B6" s="2"/>
      <c r="C6" s="356" t="s">
        <v>75</v>
      </c>
      <c r="D6" s="356"/>
      <c r="E6" s="356"/>
      <c r="F6" s="356"/>
      <c r="G6" s="231"/>
      <c r="H6" s="353" t="s">
        <v>171</v>
      </c>
      <c r="I6" s="353"/>
      <c r="J6" s="353"/>
      <c r="K6" s="353"/>
      <c r="L6" s="231"/>
      <c r="M6" s="231"/>
      <c r="N6" s="231"/>
      <c r="O6" s="231"/>
      <c r="P6" s="231"/>
      <c r="Q6" s="231"/>
      <c r="R6" s="231"/>
      <c r="S6" s="231"/>
      <c r="T6" s="231"/>
      <c r="U6" s="231"/>
      <c r="V6" s="231"/>
      <c r="W6" s="231"/>
      <c r="X6" s="231"/>
      <c r="Y6" s="231"/>
      <c r="Z6" s="231"/>
      <c r="AA6" s="231"/>
      <c r="AB6" s="231"/>
      <c r="AU6" s="96" t="s">
        <v>119</v>
      </c>
      <c r="AV6" s="217" t="s">
        <v>173</v>
      </c>
      <c r="AW6" s="213"/>
    </row>
    <row r="7" spans="1:49" ht="18" x14ac:dyDescent="0.25">
      <c r="A7" s="2"/>
      <c r="B7" s="2"/>
      <c r="C7" s="357" t="s">
        <v>26</v>
      </c>
      <c r="D7" s="357"/>
      <c r="E7" s="357"/>
      <c r="F7" s="227">
        <v>10.09</v>
      </c>
      <c r="G7" s="231"/>
      <c r="H7" s="354" t="s">
        <v>24</v>
      </c>
      <c r="I7" s="354"/>
      <c r="J7" s="354">
        <v>122</v>
      </c>
      <c r="K7" s="354"/>
      <c r="L7" s="98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231"/>
      <c r="AA7" s="231"/>
      <c r="AB7" s="231"/>
      <c r="AU7" s="96" t="s">
        <v>10</v>
      </c>
      <c r="AV7" s="218" t="s">
        <v>203</v>
      </c>
      <c r="AW7" s="213"/>
    </row>
    <row r="8" spans="1:49" ht="20.25" customHeight="1" x14ac:dyDescent="0.25">
      <c r="A8" s="2"/>
      <c r="B8" s="2"/>
      <c r="C8" s="357" t="s">
        <v>25</v>
      </c>
      <c r="D8" s="357"/>
      <c r="E8" s="357"/>
      <c r="F8" s="227" t="s">
        <v>11</v>
      </c>
      <c r="G8" s="231"/>
      <c r="H8" s="354" t="s">
        <v>23</v>
      </c>
      <c r="I8" s="354"/>
      <c r="J8" s="354">
        <v>36</v>
      </c>
      <c r="K8" s="354"/>
      <c r="L8" s="229"/>
      <c r="M8" s="231"/>
      <c r="N8" s="231"/>
      <c r="O8" s="231"/>
      <c r="P8" s="231"/>
      <c r="Q8" s="231"/>
      <c r="R8" s="231"/>
      <c r="S8" s="231"/>
      <c r="T8" s="231"/>
      <c r="U8" s="231"/>
      <c r="V8" s="231"/>
      <c r="W8" s="231"/>
      <c r="X8" s="231"/>
      <c r="Y8" s="231"/>
      <c r="Z8" s="231"/>
      <c r="AA8" s="231"/>
      <c r="AB8" s="231"/>
      <c r="AU8" s="96" t="s">
        <v>11</v>
      </c>
      <c r="AV8" s="218" t="s">
        <v>204</v>
      </c>
      <c r="AW8" s="213"/>
    </row>
    <row r="9" spans="1:49" ht="15.75" x14ac:dyDescent="0.25">
      <c r="A9" s="2"/>
      <c r="B9" s="2"/>
      <c r="C9" s="357"/>
      <c r="D9" s="357"/>
      <c r="E9" s="357"/>
      <c r="F9" s="227"/>
      <c r="G9" s="231"/>
      <c r="H9" s="353" t="s">
        <v>172</v>
      </c>
      <c r="I9" s="353"/>
      <c r="J9" s="353"/>
      <c r="K9" s="353"/>
      <c r="L9" s="230"/>
      <c r="M9" s="231"/>
      <c r="N9" s="231"/>
      <c r="O9" s="231"/>
      <c r="P9" s="231"/>
      <c r="Q9" s="231"/>
      <c r="R9" s="231"/>
      <c r="S9" s="231"/>
      <c r="T9" s="231"/>
      <c r="U9" s="231"/>
      <c r="V9" s="231"/>
      <c r="W9" s="231"/>
      <c r="X9" s="231"/>
      <c r="Y9" s="231"/>
      <c r="Z9" s="231"/>
      <c r="AA9" s="231"/>
      <c r="AB9" s="231"/>
      <c r="AU9" s="96"/>
      <c r="AV9" s="217" t="s">
        <v>179</v>
      </c>
      <c r="AW9" s="213"/>
    </row>
    <row r="10" spans="1:49" ht="18" x14ac:dyDescent="0.35">
      <c r="A10" s="2"/>
      <c r="B10" s="2"/>
      <c r="C10" s="357" t="s">
        <v>94</v>
      </c>
      <c r="D10" s="357"/>
      <c r="E10" s="357"/>
      <c r="F10" s="227">
        <v>3</v>
      </c>
      <c r="G10" s="231"/>
      <c r="H10" s="355" t="s">
        <v>21</v>
      </c>
      <c r="I10" s="355"/>
      <c r="J10" s="351">
        <v>0</v>
      </c>
      <c r="K10" s="351"/>
      <c r="L10" s="231"/>
      <c r="M10" s="231"/>
      <c r="N10" s="231"/>
      <c r="O10" s="231"/>
      <c r="P10" s="231"/>
      <c r="Q10" s="231"/>
      <c r="R10" s="231"/>
      <c r="S10" s="231"/>
      <c r="T10" s="231"/>
      <c r="U10" s="231"/>
      <c r="V10" s="231"/>
      <c r="W10" s="231"/>
      <c r="X10" s="231"/>
      <c r="Y10" s="231"/>
      <c r="Z10" s="231"/>
      <c r="AA10" s="231"/>
      <c r="AB10" s="233"/>
      <c r="AU10" s="96"/>
      <c r="AV10" s="219" t="s">
        <v>205</v>
      </c>
      <c r="AW10" s="213"/>
    </row>
    <row r="11" spans="1:49" ht="18" x14ac:dyDescent="0.35">
      <c r="A11" s="2"/>
      <c r="B11" s="2"/>
      <c r="C11" s="357"/>
      <c r="D11" s="357"/>
      <c r="E11" s="357"/>
      <c r="F11" s="227"/>
      <c r="G11" s="231"/>
      <c r="H11" s="355" t="s">
        <v>22</v>
      </c>
      <c r="I11" s="355"/>
      <c r="J11" s="351">
        <v>0</v>
      </c>
      <c r="K11" s="351"/>
      <c r="L11" s="231"/>
      <c r="M11" s="231"/>
      <c r="N11" s="231"/>
      <c r="O11" s="231"/>
      <c r="P11" s="231"/>
      <c r="Q11" s="231"/>
      <c r="R11" s="231"/>
      <c r="S11" s="231"/>
      <c r="T11" s="231"/>
      <c r="U11" s="231"/>
      <c r="V11" s="231"/>
      <c r="W11" s="231"/>
      <c r="X11" s="231"/>
      <c r="Y11" s="231"/>
      <c r="Z11" s="231"/>
      <c r="AA11" s="231"/>
      <c r="AB11" s="231"/>
      <c r="AU11" s="96"/>
      <c r="AV11" s="219" t="s">
        <v>206</v>
      </c>
    </row>
    <row r="12" spans="1:49" ht="15.75" customHeight="1" x14ac:dyDescent="0.25">
      <c r="A12" s="2"/>
      <c r="B12" s="2"/>
      <c r="C12" s="356" t="s">
        <v>1</v>
      </c>
      <c r="D12" s="356"/>
      <c r="E12" s="356"/>
      <c r="F12" s="356"/>
      <c r="G12" s="249"/>
      <c r="H12" s="231"/>
      <c r="I12" s="231"/>
      <c r="J12" s="231"/>
      <c r="K12" s="231"/>
      <c r="L12" s="231"/>
      <c r="M12" s="231"/>
      <c r="N12" s="231"/>
      <c r="O12" s="231"/>
      <c r="P12" s="231"/>
      <c r="Q12" s="231"/>
      <c r="R12" s="231"/>
      <c r="S12" s="231"/>
      <c r="T12" s="231"/>
      <c r="U12" s="231"/>
      <c r="V12" s="231"/>
      <c r="W12" s="231"/>
      <c r="X12" s="231"/>
      <c r="Y12" s="231"/>
      <c r="Z12" s="231"/>
      <c r="AA12" s="231"/>
      <c r="AB12" s="231"/>
    </row>
    <row r="13" spans="1:49" ht="30" x14ac:dyDescent="0.25">
      <c r="A13" s="2"/>
      <c r="B13" s="2"/>
      <c r="C13" s="229" t="s">
        <v>152</v>
      </c>
      <c r="D13" s="229" t="s">
        <v>153</v>
      </c>
      <c r="E13" s="229" t="s">
        <v>80</v>
      </c>
      <c r="F13" s="229" t="s">
        <v>183</v>
      </c>
      <c r="G13" s="231"/>
      <c r="H13" s="229"/>
      <c r="I13" s="231"/>
      <c r="J13" s="231"/>
      <c r="K13" s="231"/>
      <c r="L13" s="230"/>
      <c r="M13" s="231"/>
      <c r="N13" s="231"/>
      <c r="O13" s="231"/>
      <c r="P13" s="231"/>
      <c r="Q13" s="231"/>
      <c r="R13" s="231"/>
      <c r="S13" s="231"/>
      <c r="T13" s="231"/>
      <c r="U13" s="231"/>
      <c r="V13" s="231"/>
      <c r="W13" s="231"/>
      <c r="X13" s="231"/>
      <c r="Y13" s="231"/>
      <c r="Z13" s="231"/>
      <c r="AA13" s="231"/>
      <c r="AB13" s="233"/>
      <c r="AC13" s="158"/>
      <c r="AD13" s="158"/>
    </row>
    <row r="14" spans="1:49" x14ac:dyDescent="0.25">
      <c r="A14" s="2"/>
      <c r="B14" s="2"/>
      <c r="C14" s="226">
        <v>1</v>
      </c>
      <c r="D14" s="227" t="s">
        <v>175</v>
      </c>
      <c r="E14" s="227">
        <v>15</v>
      </c>
      <c r="F14" s="227">
        <v>3000</v>
      </c>
      <c r="G14" s="231"/>
      <c r="H14" s="232"/>
      <c r="I14" s="231"/>
      <c r="J14" s="231"/>
      <c r="K14" s="231"/>
      <c r="L14" s="231"/>
      <c r="M14" s="231"/>
      <c r="N14" s="231"/>
      <c r="O14" s="231"/>
      <c r="P14" s="231"/>
      <c r="Q14" s="231"/>
      <c r="R14" s="235" t="s">
        <v>179</v>
      </c>
      <c r="S14" s="231"/>
      <c r="T14" s="231"/>
      <c r="U14" s="231"/>
      <c r="V14" s="231"/>
      <c r="W14" s="231"/>
      <c r="X14" s="231"/>
      <c r="Y14" s="233" t="s">
        <v>170</v>
      </c>
      <c r="Z14" s="231"/>
      <c r="AA14" s="233"/>
      <c r="AB14" s="234"/>
    </row>
    <row r="15" spans="1:49" ht="15" customHeight="1" x14ac:dyDescent="0.25">
      <c r="A15" s="2"/>
      <c r="B15" s="2"/>
      <c r="C15" s="226">
        <v>2</v>
      </c>
      <c r="D15" s="227" t="s">
        <v>176</v>
      </c>
      <c r="E15" s="227">
        <v>30</v>
      </c>
      <c r="F15" s="227">
        <v>300</v>
      </c>
      <c r="G15" s="231"/>
      <c r="H15" s="232"/>
      <c r="I15" s="231"/>
      <c r="J15" s="231"/>
      <c r="K15" s="231"/>
      <c r="L15" s="231"/>
      <c r="M15" s="231"/>
      <c r="N15" s="231"/>
      <c r="O15" s="231"/>
      <c r="P15" s="231"/>
      <c r="Q15" s="231"/>
      <c r="R15" s="235"/>
      <c r="S15" s="231"/>
      <c r="T15" s="231"/>
      <c r="U15" s="352" t="s">
        <v>175</v>
      </c>
      <c r="V15" s="352"/>
      <c r="W15" s="352"/>
      <c r="X15" s="352"/>
      <c r="Y15" s="350">
        <v>0.65265899793671189</v>
      </c>
      <c r="Z15" s="350"/>
      <c r="AA15" s="350"/>
      <c r="AB15" s="231"/>
    </row>
    <row r="16" spans="1:49" ht="15" customHeight="1" x14ac:dyDescent="0.25">
      <c r="A16" s="2"/>
      <c r="B16" s="2"/>
      <c r="C16" s="226">
        <v>3</v>
      </c>
      <c r="D16" s="227" t="s">
        <v>177</v>
      </c>
      <c r="E16" s="227"/>
      <c r="F16" s="227">
        <v>50</v>
      </c>
      <c r="G16" s="231"/>
      <c r="H16" s="231"/>
      <c r="I16" s="236" t="s">
        <v>200</v>
      </c>
      <c r="J16" s="237"/>
      <c r="K16" s="237"/>
      <c r="L16" s="237"/>
      <c r="M16" s="237"/>
      <c r="N16" s="237"/>
      <c r="O16" s="231"/>
      <c r="P16" s="231"/>
      <c r="Q16" s="231"/>
      <c r="R16" s="238" t="s">
        <v>174</v>
      </c>
      <c r="S16" s="231"/>
      <c r="T16" s="231"/>
      <c r="U16" s="352"/>
      <c r="V16" s="352"/>
      <c r="W16" s="352"/>
      <c r="X16" s="352"/>
      <c r="Y16" s="231"/>
      <c r="Z16" s="231"/>
      <c r="AA16" s="231"/>
      <c r="AB16" s="239"/>
      <c r="AC16" s="164"/>
    </row>
    <row r="17" spans="1:29" ht="15" customHeight="1" x14ac:dyDescent="0.25">
      <c r="A17" s="2"/>
      <c r="B17" s="2"/>
      <c r="C17" s="226">
        <v>4</v>
      </c>
      <c r="D17" s="227" t="s">
        <v>178</v>
      </c>
      <c r="E17" s="227"/>
      <c r="F17" s="227"/>
      <c r="G17" s="231"/>
      <c r="H17" s="231"/>
      <c r="I17" s="240"/>
      <c r="J17" s="241"/>
      <c r="K17" s="241"/>
      <c r="L17" s="241"/>
      <c r="M17" s="348">
        <v>-2.0165641921332549E-4</v>
      </c>
      <c r="N17" s="348"/>
      <c r="O17" s="348"/>
      <c r="P17" s="231"/>
      <c r="Q17" s="231"/>
      <c r="R17" s="235"/>
      <c r="S17" s="231"/>
      <c r="T17" s="231"/>
      <c r="U17" s="352" t="s">
        <v>176</v>
      </c>
      <c r="V17" s="352"/>
      <c r="W17" s="352"/>
      <c r="X17" s="352"/>
      <c r="Y17" s="242" t="s">
        <v>207</v>
      </c>
      <c r="Z17" s="231"/>
      <c r="AA17" s="231"/>
      <c r="AB17" s="243">
        <v>166.77187976205579</v>
      </c>
      <c r="AC17" s="2"/>
    </row>
    <row r="18" spans="1:29" ht="15" customHeight="1" x14ac:dyDescent="0.25">
      <c r="A18" s="2"/>
      <c r="B18" s="2"/>
      <c r="C18" s="226">
        <v>5</v>
      </c>
      <c r="D18" s="227"/>
      <c r="E18" s="227"/>
      <c r="F18" s="227"/>
      <c r="G18" s="231"/>
      <c r="H18" s="229"/>
      <c r="I18" s="236" t="s">
        <v>201</v>
      </c>
      <c r="J18" s="231"/>
      <c r="K18" s="231"/>
      <c r="L18" s="231"/>
      <c r="M18" s="231"/>
      <c r="N18" s="231"/>
      <c r="O18" s="231"/>
      <c r="P18" s="231"/>
      <c r="Q18" s="231"/>
      <c r="R18" s="238" t="s">
        <v>173</v>
      </c>
      <c r="S18" s="231"/>
      <c r="T18" s="231"/>
      <c r="U18" s="352"/>
      <c r="V18" s="352"/>
      <c r="W18" s="352"/>
      <c r="X18" s="352"/>
      <c r="Y18" s="240"/>
      <c r="Z18" s="231"/>
      <c r="AA18" s="231"/>
      <c r="AB18" s="243"/>
      <c r="AC18" s="2"/>
    </row>
    <row r="19" spans="1:29" ht="15" customHeight="1" x14ac:dyDescent="0.25">
      <c r="A19" s="2"/>
      <c r="B19" s="2"/>
      <c r="C19" s="226">
        <v>6</v>
      </c>
      <c r="D19" s="227"/>
      <c r="E19" s="227"/>
      <c r="F19" s="227"/>
      <c r="G19" s="231"/>
      <c r="H19" s="244"/>
      <c r="I19" s="245"/>
      <c r="J19" s="237"/>
      <c r="K19" s="237"/>
      <c r="L19" s="231"/>
      <c r="M19" s="348">
        <v>5.709578786840323E-4</v>
      </c>
      <c r="N19" s="348"/>
      <c r="O19" s="348"/>
      <c r="P19" s="231"/>
      <c r="Q19" s="231"/>
      <c r="R19" s="235"/>
      <c r="S19" s="231"/>
      <c r="T19" s="231"/>
      <c r="U19" s="352" t="s">
        <v>177</v>
      </c>
      <c r="V19" s="352"/>
      <c r="W19" s="352"/>
      <c r="X19" s="352"/>
      <c r="Y19" s="240" t="s">
        <v>208</v>
      </c>
      <c r="Z19" s="231"/>
      <c r="AA19" s="231"/>
      <c r="AB19" s="243">
        <v>26.507523391181628</v>
      </c>
      <c r="AC19" s="2"/>
    </row>
    <row r="20" spans="1:29" ht="15" customHeight="1" x14ac:dyDescent="0.25">
      <c r="A20" s="2"/>
      <c r="B20" s="2"/>
      <c r="C20" s="226">
        <v>7</v>
      </c>
      <c r="D20" s="227"/>
      <c r="E20" s="227"/>
      <c r="F20" s="227"/>
      <c r="G20" s="231"/>
      <c r="H20" s="246"/>
      <c r="I20" s="240"/>
      <c r="J20" s="237"/>
      <c r="K20" s="237"/>
      <c r="L20" s="237"/>
      <c r="M20" s="237"/>
      <c r="N20" s="237"/>
      <c r="O20" s="231"/>
      <c r="P20" s="231"/>
      <c r="Q20" s="231"/>
      <c r="R20" s="238"/>
      <c r="S20" s="231"/>
      <c r="T20" s="231"/>
      <c r="U20" s="352"/>
      <c r="V20" s="352"/>
      <c r="W20" s="352"/>
      <c r="X20" s="352"/>
      <c r="Y20" s="240"/>
      <c r="Z20" s="231"/>
      <c r="AA20" s="231"/>
      <c r="AB20" s="239"/>
      <c r="AC20" s="2"/>
    </row>
    <row r="21" spans="1:29" ht="15" customHeight="1" x14ac:dyDescent="0.25">
      <c r="A21" s="2"/>
      <c r="B21" s="2"/>
      <c r="C21" s="226">
        <v>8</v>
      </c>
      <c r="D21" s="227"/>
      <c r="E21" s="227"/>
      <c r="F21" s="227"/>
      <c r="G21" s="231"/>
      <c r="H21" s="231"/>
      <c r="I21" s="240"/>
      <c r="J21" s="230"/>
      <c r="K21" s="230"/>
      <c r="L21" s="230"/>
      <c r="M21" s="348"/>
      <c r="N21" s="348"/>
      <c r="O21" s="348"/>
      <c r="P21" s="231"/>
      <c r="Q21" s="231"/>
      <c r="R21" s="235"/>
      <c r="S21" s="231"/>
      <c r="T21" s="231"/>
      <c r="U21" s="352"/>
      <c r="V21" s="352"/>
      <c r="W21" s="352"/>
      <c r="X21" s="352"/>
      <c r="Y21" s="240"/>
      <c r="Z21" s="231"/>
      <c r="AA21" s="231"/>
      <c r="AB21" s="243"/>
      <c r="AC21" s="2"/>
    </row>
    <row r="22" spans="1:29" ht="15" customHeight="1" x14ac:dyDescent="0.25">
      <c r="A22" s="2"/>
      <c r="B22" s="2"/>
      <c r="C22" s="226">
        <v>9</v>
      </c>
      <c r="D22" s="227"/>
      <c r="E22" s="227"/>
      <c r="F22" s="227"/>
      <c r="G22" s="231"/>
      <c r="H22" s="231"/>
      <c r="I22" s="240"/>
      <c r="J22" s="231"/>
      <c r="K22" s="231"/>
      <c r="L22" s="231"/>
      <c r="M22" s="231"/>
      <c r="N22" s="231"/>
      <c r="O22" s="231"/>
      <c r="P22" s="231"/>
      <c r="Q22" s="231"/>
      <c r="R22" s="235"/>
      <c r="S22" s="231"/>
      <c r="T22" s="231"/>
      <c r="U22" s="352"/>
      <c r="V22" s="352"/>
      <c r="W22" s="352"/>
      <c r="X22" s="352"/>
      <c r="Y22" s="240"/>
      <c r="Z22" s="231"/>
      <c r="AA22" s="231"/>
      <c r="AB22" s="239"/>
      <c r="AC22" s="2"/>
    </row>
    <row r="23" spans="1:29" ht="15" customHeight="1" x14ac:dyDescent="0.25">
      <c r="A23" s="2"/>
      <c r="B23" s="2"/>
      <c r="C23" s="226">
        <v>10</v>
      </c>
      <c r="D23" s="227"/>
      <c r="E23" s="227"/>
      <c r="F23" s="227"/>
      <c r="G23" s="231"/>
      <c r="H23" s="231"/>
      <c r="I23" s="240"/>
      <c r="J23" s="231"/>
      <c r="K23" s="231"/>
      <c r="L23" s="231"/>
      <c r="M23" s="348"/>
      <c r="N23" s="348"/>
      <c r="O23" s="348"/>
      <c r="P23" s="231"/>
      <c r="Q23" s="231"/>
      <c r="R23" s="235"/>
      <c r="S23" s="231"/>
      <c r="T23" s="231"/>
      <c r="U23" s="351"/>
      <c r="V23" s="351"/>
      <c r="W23" s="351"/>
      <c r="X23" s="351"/>
      <c r="Y23" s="240"/>
      <c r="Z23" s="231"/>
      <c r="AA23" s="231"/>
      <c r="AB23" s="239"/>
      <c r="AC23" s="2"/>
    </row>
    <row r="24" spans="1:29" ht="15" customHeight="1" x14ac:dyDescent="0.25">
      <c r="A24" s="2"/>
      <c r="B24" s="2"/>
      <c r="C24" s="231"/>
      <c r="D24" s="231"/>
      <c r="E24" s="231"/>
      <c r="F24" s="231"/>
      <c r="G24" s="231"/>
      <c r="H24" s="231"/>
      <c r="I24" s="240"/>
      <c r="J24" s="231"/>
      <c r="K24" s="231"/>
      <c r="L24" s="231"/>
      <c r="M24" s="231"/>
      <c r="N24" s="231"/>
      <c r="O24" s="231"/>
      <c r="P24" s="231"/>
      <c r="Q24" s="231"/>
      <c r="R24" s="235"/>
      <c r="S24" s="231"/>
      <c r="T24" s="231"/>
      <c r="U24" s="351"/>
      <c r="V24" s="351"/>
      <c r="W24" s="351"/>
      <c r="X24" s="351"/>
      <c r="Y24" s="240"/>
      <c r="Z24" s="231"/>
      <c r="AA24" s="231"/>
      <c r="AB24" s="239"/>
      <c r="AC24" s="2"/>
    </row>
    <row r="25" spans="1:29" ht="15" customHeight="1" x14ac:dyDescent="0.25">
      <c r="A25" s="2"/>
      <c r="C25" s="231"/>
      <c r="D25" s="231"/>
      <c r="E25" s="247"/>
      <c r="F25" s="247"/>
      <c r="G25" s="247"/>
      <c r="H25" s="231"/>
      <c r="I25" s="240"/>
      <c r="J25" s="231"/>
      <c r="K25" s="231"/>
      <c r="L25" s="231"/>
      <c r="M25" s="349"/>
      <c r="N25" s="349"/>
      <c r="O25" s="349"/>
      <c r="P25" s="231"/>
      <c r="Q25" s="231"/>
      <c r="R25" s="235"/>
      <c r="S25" s="231"/>
      <c r="T25" s="231"/>
      <c r="U25" s="351"/>
      <c r="V25" s="351"/>
      <c r="W25" s="351"/>
      <c r="X25" s="351"/>
      <c r="Y25" s="240"/>
      <c r="Z25" s="231"/>
      <c r="AA25" s="231"/>
      <c r="AB25" s="239"/>
      <c r="AC25" s="2"/>
    </row>
    <row r="26" spans="1:29" ht="15" customHeight="1" x14ac:dyDescent="0.25">
      <c r="C26" s="231"/>
      <c r="D26" s="231"/>
      <c r="E26" s="231"/>
      <c r="F26" s="231"/>
      <c r="G26" s="231"/>
      <c r="H26" s="231"/>
      <c r="I26" s="240"/>
      <c r="J26" s="231"/>
      <c r="K26" s="231"/>
      <c r="L26" s="231"/>
      <c r="M26" s="231"/>
      <c r="N26" s="231"/>
      <c r="O26" s="231"/>
      <c r="P26" s="231"/>
      <c r="Q26" s="231"/>
      <c r="R26" s="235"/>
      <c r="S26" s="231"/>
      <c r="T26" s="231"/>
      <c r="U26" s="237"/>
      <c r="V26" s="237"/>
      <c r="W26" s="237"/>
      <c r="X26" s="237"/>
      <c r="Y26" s="240"/>
      <c r="Z26" s="231"/>
      <c r="AA26" s="231"/>
      <c r="AB26" s="239"/>
      <c r="AC26" s="2"/>
    </row>
    <row r="27" spans="1:29" ht="15" customHeight="1" x14ac:dyDescent="0.25">
      <c r="C27" s="231"/>
      <c r="D27" s="231"/>
      <c r="E27" s="231"/>
      <c r="F27" s="248"/>
      <c r="G27" s="231"/>
      <c r="H27" s="231"/>
      <c r="I27" s="240"/>
      <c r="J27" s="231"/>
      <c r="K27" s="231"/>
      <c r="L27" s="231"/>
      <c r="M27" s="231"/>
      <c r="N27" s="231"/>
      <c r="O27" s="231"/>
      <c r="P27" s="231"/>
      <c r="Q27" s="231"/>
      <c r="R27" s="235"/>
      <c r="S27" s="231"/>
      <c r="T27" s="231"/>
      <c r="U27" s="237"/>
      <c r="V27" s="237"/>
      <c r="W27" s="237"/>
      <c r="X27" s="237"/>
      <c r="Y27" s="240"/>
      <c r="Z27" s="231"/>
      <c r="AA27" s="231"/>
      <c r="AB27" s="239"/>
      <c r="AC27" s="2"/>
    </row>
    <row r="28" spans="1:29" ht="17.25" x14ac:dyDescent="0.25">
      <c r="C28" s="231"/>
      <c r="D28" s="231"/>
      <c r="E28" s="231"/>
      <c r="F28" s="248"/>
      <c r="G28" s="231"/>
      <c r="H28" s="231"/>
      <c r="I28" s="240"/>
      <c r="J28" s="231"/>
      <c r="K28" s="231"/>
      <c r="L28" s="231"/>
      <c r="M28" s="231"/>
      <c r="N28" s="231"/>
      <c r="O28" s="231"/>
      <c r="P28" s="231"/>
      <c r="Q28" s="231"/>
      <c r="R28" s="231"/>
      <c r="S28" s="231"/>
      <c r="T28" s="231"/>
      <c r="U28" s="231"/>
      <c r="V28" s="231"/>
      <c r="W28" s="231"/>
      <c r="X28" s="231"/>
      <c r="Y28" s="231"/>
      <c r="Z28" s="231"/>
      <c r="AA28" s="231"/>
      <c r="AB28" s="231"/>
    </row>
    <row r="29" spans="1:29" ht="17.25" x14ac:dyDescent="0.25">
      <c r="E29" s="18"/>
      <c r="F29" s="105"/>
    </row>
    <row r="30" spans="1:29" ht="15.75" x14ac:dyDescent="0.25">
      <c r="F30" s="153"/>
      <c r="G30" s="160"/>
      <c r="H30" s="160"/>
      <c r="I30" s="160"/>
      <c r="J30" s="160"/>
      <c r="K30" s="153"/>
      <c r="L30" s="153"/>
    </row>
    <row r="31" spans="1:29" x14ac:dyDescent="0.25">
      <c r="F31" s="153"/>
      <c r="G31" s="153"/>
      <c r="H31" s="153"/>
      <c r="I31" s="153"/>
      <c r="J31" s="153"/>
      <c r="K31" s="153"/>
      <c r="L31" s="153"/>
    </row>
    <row r="32" spans="1:29" x14ac:dyDescent="0.25">
      <c r="F32" s="153"/>
      <c r="G32" s="153"/>
      <c r="H32" s="153"/>
      <c r="I32" s="153"/>
      <c r="J32" s="153"/>
      <c r="K32" s="153"/>
      <c r="L32" s="153"/>
    </row>
    <row r="33" spans="6:12" x14ac:dyDescent="0.25">
      <c r="F33" s="153"/>
      <c r="G33" s="153"/>
      <c r="H33" s="153"/>
      <c r="I33" s="153"/>
      <c r="J33" s="153"/>
      <c r="K33" s="153"/>
      <c r="L33" s="153"/>
    </row>
    <row r="34" spans="6:12" x14ac:dyDescent="0.25">
      <c r="F34" s="153"/>
      <c r="G34" s="153"/>
      <c r="H34" s="153"/>
      <c r="I34" s="153"/>
      <c r="J34" s="153"/>
      <c r="K34" s="153"/>
      <c r="L34" s="153"/>
    </row>
    <row r="35" spans="6:12" x14ac:dyDescent="0.25">
      <c r="F35" s="153"/>
      <c r="G35" s="153"/>
      <c r="H35" s="153"/>
      <c r="I35" s="153"/>
      <c r="J35" s="153"/>
      <c r="K35" s="153"/>
      <c r="L35" s="153"/>
    </row>
    <row r="36" spans="6:12" x14ac:dyDescent="0.25">
      <c r="F36" s="153"/>
      <c r="G36" s="153"/>
      <c r="H36" s="153"/>
      <c r="I36" s="153"/>
      <c r="J36" s="153"/>
      <c r="K36" s="153"/>
      <c r="L36" s="153"/>
    </row>
    <row r="37" spans="6:12" x14ac:dyDescent="0.25">
      <c r="F37" s="153"/>
      <c r="G37" s="153"/>
      <c r="H37" s="153"/>
      <c r="I37" s="153"/>
      <c r="J37" s="153"/>
      <c r="K37" s="153"/>
      <c r="L37" s="153"/>
    </row>
    <row r="38" spans="6:12" x14ac:dyDescent="0.25">
      <c r="F38" s="153"/>
      <c r="G38" s="153"/>
      <c r="H38" s="153"/>
      <c r="I38" s="153"/>
      <c r="J38" s="153"/>
      <c r="K38" s="153"/>
      <c r="L38" s="153"/>
    </row>
    <row r="39" spans="6:12" x14ac:dyDescent="0.25">
      <c r="F39" s="153"/>
      <c r="G39" s="153"/>
      <c r="H39" s="153"/>
      <c r="I39" s="153"/>
      <c r="J39" s="153"/>
      <c r="K39" s="153"/>
      <c r="L39" s="153"/>
    </row>
    <row r="40" spans="6:12" x14ac:dyDescent="0.25">
      <c r="F40" s="153"/>
      <c r="G40" s="153"/>
      <c r="H40" s="153"/>
      <c r="I40" s="162"/>
      <c r="J40" s="162"/>
      <c r="K40" s="162"/>
      <c r="L40" s="153"/>
    </row>
    <row r="41" spans="6:12" x14ac:dyDescent="0.25">
      <c r="I41" s="2"/>
      <c r="J41" s="2"/>
      <c r="K41" s="2"/>
    </row>
    <row r="42" spans="6:12" x14ac:dyDescent="0.25">
      <c r="I42" s="2"/>
      <c r="J42" s="2"/>
      <c r="K42" s="2"/>
    </row>
    <row r="43" spans="6:12" x14ac:dyDescent="0.25">
      <c r="I43" s="2"/>
      <c r="J43" s="2"/>
      <c r="K43" s="2"/>
    </row>
    <row r="44" spans="6:12" x14ac:dyDescent="0.25">
      <c r="I44" s="2"/>
      <c r="J44" s="2"/>
      <c r="K44" s="2"/>
    </row>
    <row r="45" spans="6:12" x14ac:dyDescent="0.25">
      <c r="I45" s="2"/>
      <c r="J45" s="2"/>
      <c r="K45" s="2"/>
    </row>
    <row r="46" spans="6:12" x14ac:dyDescent="0.25">
      <c r="I46" s="2"/>
      <c r="J46" s="2"/>
      <c r="K46" s="2"/>
    </row>
    <row r="47" spans="6:12" x14ac:dyDescent="0.25">
      <c r="I47" s="2"/>
      <c r="J47" s="2"/>
      <c r="K47" s="2"/>
    </row>
    <row r="48" spans="6:12" x14ac:dyDescent="0.25">
      <c r="I48" s="2"/>
      <c r="J48" s="2"/>
      <c r="K48" s="2"/>
    </row>
    <row r="49" spans="9:11" x14ac:dyDescent="0.25">
      <c r="I49" s="2"/>
      <c r="J49" s="2"/>
      <c r="K49" s="2"/>
    </row>
    <row r="50" spans="9:11" x14ac:dyDescent="0.25">
      <c r="I50" s="2"/>
      <c r="J50" s="2"/>
      <c r="K50" s="2"/>
    </row>
    <row r="51" spans="9:11" x14ac:dyDescent="0.25">
      <c r="I51" s="2"/>
      <c r="J51" s="2"/>
      <c r="K51" s="2"/>
    </row>
    <row r="52" spans="9:11" x14ac:dyDescent="0.25">
      <c r="I52" s="2"/>
      <c r="J52" s="2"/>
      <c r="K52" s="2"/>
    </row>
    <row r="53" spans="9:11" x14ac:dyDescent="0.25">
      <c r="I53" s="2"/>
      <c r="J53" s="2"/>
      <c r="K53" s="2"/>
    </row>
    <row r="54" spans="9:11" x14ac:dyDescent="0.25">
      <c r="I54" s="2"/>
      <c r="J54" s="2"/>
      <c r="K54" s="2"/>
    </row>
    <row r="55" spans="9:11" x14ac:dyDescent="0.25">
      <c r="I55" s="2"/>
      <c r="J55" s="2"/>
      <c r="K55" s="2"/>
    </row>
    <row r="56" spans="9:11" x14ac:dyDescent="0.25">
      <c r="I56" s="2"/>
      <c r="J56" s="2"/>
      <c r="K56" s="2"/>
    </row>
    <row r="57" spans="9:11" x14ac:dyDescent="0.25">
      <c r="I57" s="2"/>
      <c r="J57" s="2"/>
      <c r="K57" s="2"/>
    </row>
    <row r="58" spans="9:11" x14ac:dyDescent="0.25">
      <c r="I58" s="2"/>
      <c r="J58" s="2"/>
      <c r="K58" s="2"/>
    </row>
    <row r="59" spans="9:11" x14ac:dyDescent="0.25">
      <c r="I59" s="2"/>
      <c r="J59" s="2"/>
      <c r="K59" s="2"/>
    </row>
    <row r="60" spans="9:11" x14ac:dyDescent="0.25">
      <c r="I60" s="2"/>
      <c r="J60" s="2"/>
      <c r="K60" s="2"/>
    </row>
  </sheetData>
  <mergeCells count="29">
    <mergeCell ref="C12:F12"/>
    <mergeCell ref="C6:F6"/>
    <mergeCell ref="C7:E7"/>
    <mergeCell ref="C8:E8"/>
    <mergeCell ref="C9:E9"/>
    <mergeCell ref="C10:E10"/>
    <mergeCell ref="C11:E11"/>
    <mergeCell ref="H11:I11"/>
    <mergeCell ref="J11:K11"/>
    <mergeCell ref="U15:X16"/>
    <mergeCell ref="H7:I7"/>
    <mergeCell ref="J7:K7"/>
    <mergeCell ref="H6:K6"/>
    <mergeCell ref="H8:I8"/>
    <mergeCell ref="J8:K8"/>
    <mergeCell ref="H9:K9"/>
    <mergeCell ref="H10:I10"/>
    <mergeCell ref="J10:K10"/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</mergeCells>
  <dataValidations count="1">
    <dataValidation type="list" allowBlank="1" showInputMessage="1" showErrorMessage="1" sqref="F8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tabColor rgb="FF0070C0"/>
  </sheetPr>
  <dimension ref="A1:AE32"/>
  <sheetViews>
    <sheetView showGridLines="0" showRowColHeaders="0" tabSelected="1" zoomScaleNormal="100" workbookViewId="0">
      <selection activeCell="G11" sqref="G11"/>
    </sheetView>
  </sheetViews>
  <sheetFormatPr baseColWidth="10" defaultRowHeight="15" x14ac:dyDescent="0.25"/>
  <cols>
    <col min="1" max="1" width="7.85546875" style="301" customWidth="1"/>
    <col min="2" max="2" width="5.85546875" style="301" customWidth="1"/>
    <col min="3" max="3" width="11.42578125" style="301"/>
    <col min="4" max="4" width="14.85546875" style="301" customWidth="1"/>
    <col min="5" max="5" width="11.42578125" style="301"/>
    <col min="6" max="6" width="19.7109375" style="301" customWidth="1"/>
    <col min="7" max="7" width="11.42578125" style="301"/>
    <col min="8" max="11" width="14.28515625" style="301" customWidth="1"/>
    <col min="12" max="12" width="14.42578125" style="301" customWidth="1"/>
    <col min="13" max="16384" width="11.42578125" style="301"/>
  </cols>
  <sheetData>
    <row r="1" spans="1:31" x14ac:dyDescent="0.25">
      <c r="A1" s="299"/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300"/>
    </row>
    <row r="2" spans="1:31" x14ac:dyDescent="0.25">
      <c r="A2" s="300"/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28"/>
      <c r="M2" s="299"/>
      <c r="N2" s="300"/>
      <c r="O2" s="300"/>
    </row>
    <row r="3" spans="1:31" x14ac:dyDescent="0.25">
      <c r="A3" s="300"/>
      <c r="B3" s="300"/>
      <c r="C3" s="300"/>
      <c r="D3" s="300"/>
      <c r="E3" s="300"/>
      <c r="F3" s="300"/>
      <c r="G3" s="300"/>
      <c r="H3" s="300"/>
      <c r="I3" s="300"/>
      <c r="J3" s="300"/>
      <c r="K3" s="300"/>
      <c r="L3" s="328"/>
      <c r="M3" s="299"/>
      <c r="N3" s="300"/>
      <c r="O3" s="300"/>
    </row>
    <row r="4" spans="1:31" x14ac:dyDescent="0.25">
      <c r="A4" s="300"/>
      <c r="B4" s="300"/>
      <c r="C4" s="300"/>
      <c r="D4" s="300"/>
      <c r="E4" s="300"/>
      <c r="F4" s="300"/>
      <c r="G4" s="300"/>
      <c r="H4" s="300"/>
      <c r="I4" s="300"/>
      <c r="J4" s="300"/>
      <c r="K4" s="300"/>
      <c r="L4" s="300"/>
      <c r="M4" s="300"/>
      <c r="N4" s="300"/>
      <c r="O4" s="300"/>
      <c r="Z4" s="358"/>
      <c r="AA4" s="358"/>
      <c r="AB4" s="358"/>
      <c r="AC4" s="358"/>
      <c r="AD4" s="358"/>
      <c r="AE4" s="358"/>
    </row>
    <row r="5" spans="1:31" x14ac:dyDescent="0.25">
      <c r="A5" s="300"/>
      <c r="B5" s="273"/>
      <c r="C5" s="272"/>
      <c r="D5" s="272"/>
      <c r="E5" s="272"/>
      <c r="F5" s="272"/>
      <c r="G5" s="272"/>
      <c r="H5" s="272"/>
      <c r="I5" s="272"/>
      <c r="J5" s="272"/>
      <c r="K5" s="272"/>
      <c r="L5" s="272"/>
      <c r="M5" s="272"/>
      <c r="N5" s="272"/>
      <c r="O5" s="272"/>
      <c r="Z5" s="322"/>
      <c r="AA5" s="322"/>
      <c r="AB5" s="322"/>
      <c r="AC5" s="322"/>
      <c r="AD5" s="322"/>
      <c r="AE5" s="322"/>
    </row>
    <row r="6" spans="1:31" ht="15.75" x14ac:dyDescent="0.25">
      <c r="A6" s="300"/>
      <c r="B6" s="273"/>
      <c r="C6" s="272"/>
      <c r="D6" s="272"/>
      <c r="E6" s="272"/>
      <c r="F6" s="272"/>
      <c r="G6" s="272"/>
      <c r="H6" s="272"/>
      <c r="I6" s="359" t="s">
        <v>42</v>
      </c>
      <c r="J6" s="360"/>
      <c r="K6" s="360"/>
      <c r="L6" s="361"/>
      <c r="M6" s="272"/>
      <c r="N6" s="272"/>
      <c r="O6" s="272"/>
      <c r="Z6" s="322"/>
      <c r="AA6" s="322"/>
      <c r="AB6" s="322"/>
      <c r="AC6" s="322"/>
      <c r="AD6" s="322"/>
      <c r="AE6" s="322"/>
    </row>
    <row r="7" spans="1:31" ht="18" customHeight="1" x14ac:dyDescent="0.25">
      <c r="A7" s="300"/>
      <c r="B7" s="273"/>
      <c r="C7" s="367" t="s">
        <v>94</v>
      </c>
      <c r="D7" s="367"/>
      <c r="E7" s="367"/>
      <c r="F7" s="283">
        <v>3</v>
      </c>
      <c r="G7" s="272"/>
      <c r="H7" s="272"/>
      <c r="I7" s="363" t="s">
        <v>44</v>
      </c>
      <c r="J7" s="363"/>
      <c r="K7" s="362" t="s">
        <v>43</v>
      </c>
      <c r="L7" s="362"/>
      <c r="M7" s="272"/>
      <c r="N7" s="272"/>
      <c r="O7" s="272"/>
      <c r="Z7" s="322"/>
      <c r="AA7" s="322"/>
      <c r="AB7" s="322"/>
      <c r="AC7" s="322"/>
      <c r="AD7" s="322"/>
      <c r="AE7" s="322"/>
    </row>
    <row r="8" spans="1:31" ht="18" customHeight="1" x14ac:dyDescent="0.25">
      <c r="A8" s="300"/>
      <c r="B8" s="273"/>
      <c r="C8" s="272"/>
      <c r="D8" s="272"/>
      <c r="E8" s="272"/>
      <c r="F8" s="274"/>
      <c r="G8" s="272"/>
      <c r="H8" s="272"/>
      <c r="I8" s="363" t="s">
        <v>45</v>
      </c>
      <c r="J8" s="363"/>
      <c r="K8" s="362" t="s">
        <v>43</v>
      </c>
      <c r="L8" s="362"/>
      <c r="M8" s="272"/>
      <c r="N8" s="272"/>
      <c r="O8" s="272"/>
      <c r="Z8" s="322"/>
      <c r="AA8" s="322"/>
      <c r="AB8" s="322"/>
      <c r="AC8" s="322"/>
      <c r="AD8" s="322"/>
      <c r="AE8" s="322"/>
    </row>
    <row r="9" spans="1:31" x14ac:dyDescent="0.25">
      <c r="A9" s="300"/>
      <c r="B9" s="273"/>
      <c r="C9" s="272"/>
      <c r="D9" s="272"/>
      <c r="E9" s="272"/>
      <c r="F9" s="272"/>
      <c r="G9" s="272"/>
      <c r="H9" s="272"/>
      <c r="I9" s="272"/>
      <c r="J9" s="272"/>
      <c r="K9" s="272"/>
      <c r="L9" s="275"/>
      <c r="M9" s="272"/>
      <c r="N9" s="272"/>
      <c r="O9" s="272"/>
      <c r="Z9" s="322"/>
      <c r="AA9" s="322"/>
      <c r="AB9" s="322"/>
      <c r="AC9" s="322"/>
      <c r="AD9" s="322"/>
      <c r="AE9" s="322"/>
    </row>
    <row r="10" spans="1:31" x14ac:dyDescent="0.25">
      <c r="A10" s="300"/>
      <c r="B10" s="273"/>
      <c r="C10" s="276"/>
      <c r="D10" s="276"/>
      <c r="E10" s="276"/>
      <c r="F10" s="277"/>
      <c r="G10" s="272"/>
      <c r="H10" s="272"/>
      <c r="I10" s="272"/>
      <c r="J10" s="272"/>
      <c r="K10" s="272"/>
      <c r="L10" s="272"/>
      <c r="M10" s="272"/>
      <c r="N10" s="272"/>
      <c r="O10" s="272"/>
      <c r="Z10" s="322"/>
      <c r="AA10" s="322"/>
      <c r="AB10" s="322"/>
      <c r="AC10" s="322"/>
      <c r="AD10" s="322"/>
      <c r="AE10" s="322"/>
    </row>
    <row r="11" spans="1:31" ht="18.75" x14ac:dyDescent="0.25">
      <c r="A11" s="300"/>
      <c r="B11" s="273"/>
      <c r="C11" s="364" t="s">
        <v>1</v>
      </c>
      <c r="D11" s="365"/>
      <c r="E11" s="365"/>
      <c r="F11" s="366"/>
      <c r="G11" s="272"/>
      <c r="H11" s="272"/>
      <c r="I11" s="272"/>
      <c r="J11" s="272"/>
      <c r="K11" s="272"/>
      <c r="L11" s="272"/>
      <c r="M11" s="272"/>
      <c r="N11" s="272"/>
      <c r="O11" s="272"/>
      <c r="Z11" s="322"/>
      <c r="AA11" s="322"/>
      <c r="AB11" s="322"/>
      <c r="AC11" s="322"/>
      <c r="AD11" s="322"/>
      <c r="AE11" s="322"/>
    </row>
    <row r="12" spans="1:31" ht="30" x14ac:dyDescent="0.25">
      <c r="A12" s="300"/>
      <c r="B12" s="273"/>
      <c r="C12" s="278" t="s">
        <v>152</v>
      </c>
      <c r="D12" s="278" t="s">
        <v>153</v>
      </c>
      <c r="E12" s="278" t="s">
        <v>80</v>
      </c>
      <c r="F12" s="278" t="s">
        <v>183</v>
      </c>
      <c r="G12" s="272"/>
      <c r="H12" s="272"/>
      <c r="I12" s="272"/>
      <c r="J12" s="272"/>
      <c r="K12" s="272"/>
      <c r="L12" s="272"/>
      <c r="M12" s="279"/>
      <c r="N12" s="272"/>
      <c r="O12" s="272"/>
      <c r="Z12" s="322"/>
      <c r="AA12" s="322"/>
      <c r="AB12" s="322"/>
      <c r="AC12" s="322"/>
      <c r="AD12" s="322"/>
      <c r="AE12" s="322"/>
    </row>
    <row r="13" spans="1:31" x14ac:dyDescent="0.25">
      <c r="A13" s="300"/>
      <c r="B13" s="273"/>
      <c r="C13" s="280">
        <v>1</v>
      </c>
      <c r="D13" s="283" t="s">
        <v>247</v>
      </c>
      <c r="E13" s="283">
        <v>10</v>
      </c>
      <c r="F13" s="283">
        <v>3500</v>
      </c>
      <c r="G13" s="272"/>
      <c r="H13" s="272"/>
      <c r="I13" s="272"/>
      <c r="J13" s="272"/>
      <c r="K13" s="272"/>
      <c r="L13" s="272"/>
      <c r="M13" s="272"/>
      <c r="N13" s="272"/>
      <c r="O13" s="272"/>
    </row>
    <row r="14" spans="1:31" ht="15.75" customHeight="1" x14ac:dyDescent="0.25">
      <c r="A14" s="300"/>
      <c r="B14" s="273"/>
      <c r="C14" s="280">
        <v>2</v>
      </c>
      <c r="D14" s="283" t="s">
        <v>202</v>
      </c>
      <c r="E14" s="283">
        <v>40</v>
      </c>
      <c r="F14" s="283">
        <v>400</v>
      </c>
      <c r="G14" s="272"/>
      <c r="H14" s="272"/>
      <c r="I14" s="272"/>
      <c r="J14" s="272"/>
      <c r="K14" s="272"/>
      <c r="L14" s="281"/>
      <c r="M14" s="281"/>
      <c r="N14" s="281"/>
      <c r="O14" s="281"/>
    </row>
    <row r="15" spans="1:31" ht="15.75" customHeight="1" x14ac:dyDescent="0.25">
      <c r="A15" s="300"/>
      <c r="B15" s="273"/>
      <c r="C15" s="280">
        <v>3</v>
      </c>
      <c r="D15" s="283" t="s">
        <v>211</v>
      </c>
      <c r="E15" s="283"/>
      <c r="F15" s="283">
        <v>100</v>
      </c>
      <c r="G15" s="272"/>
      <c r="H15" s="272"/>
      <c r="I15" s="367" t="s">
        <v>155</v>
      </c>
      <c r="J15" s="367"/>
      <c r="K15" s="367"/>
      <c r="L15" s="320">
        <v>14.507569019635927</v>
      </c>
      <c r="M15" s="281"/>
      <c r="N15" s="281"/>
      <c r="O15" s="281"/>
    </row>
    <row r="16" spans="1:31" ht="15.75" customHeight="1" x14ac:dyDescent="0.25">
      <c r="A16" s="300"/>
      <c r="B16" s="273"/>
      <c r="C16" s="280">
        <v>4</v>
      </c>
      <c r="D16" s="283"/>
      <c r="E16" s="283"/>
      <c r="F16" s="283"/>
      <c r="G16" s="272"/>
      <c r="H16" s="272"/>
      <c r="I16" s="367" t="s">
        <v>156</v>
      </c>
      <c r="J16" s="367"/>
      <c r="K16" s="367"/>
      <c r="L16" s="320" t="s">
        <v>267</v>
      </c>
      <c r="M16" s="281"/>
      <c r="N16" s="281"/>
      <c r="O16" s="281"/>
    </row>
    <row r="17" spans="1:26" ht="17.25" x14ac:dyDescent="0.3">
      <c r="A17" s="300"/>
      <c r="B17" s="273"/>
      <c r="C17" s="280">
        <v>5</v>
      </c>
      <c r="D17" s="283"/>
      <c r="E17" s="283"/>
      <c r="F17" s="283"/>
      <c r="G17" s="272"/>
      <c r="H17" s="272"/>
      <c r="I17" s="272"/>
      <c r="J17" s="272"/>
      <c r="K17" s="272"/>
      <c r="L17" s="272"/>
      <c r="M17" s="272"/>
      <c r="N17" s="272"/>
      <c r="O17" s="272"/>
      <c r="P17" s="329"/>
      <c r="Q17" s="330"/>
      <c r="R17" s="329"/>
    </row>
    <row r="18" spans="1:26" ht="17.25" x14ac:dyDescent="0.3">
      <c r="A18" s="300"/>
      <c r="B18" s="273"/>
      <c r="C18" s="280">
        <v>6</v>
      </c>
      <c r="D18" s="283"/>
      <c r="E18" s="283"/>
      <c r="F18" s="283"/>
      <c r="G18" s="272"/>
      <c r="H18" s="272"/>
      <c r="I18" s="272"/>
      <c r="J18" s="272"/>
      <c r="K18" s="272"/>
      <c r="L18" s="272"/>
      <c r="M18" s="272"/>
      <c r="N18" s="272"/>
      <c r="O18" s="272"/>
      <c r="P18" s="329"/>
      <c r="Q18" s="330"/>
      <c r="R18" s="329"/>
    </row>
    <row r="19" spans="1:26" ht="17.25" x14ac:dyDescent="0.3">
      <c r="A19" s="300"/>
      <c r="B19" s="273"/>
      <c r="C19" s="280">
        <v>7</v>
      </c>
      <c r="D19" s="283"/>
      <c r="E19" s="283"/>
      <c r="F19" s="283"/>
      <c r="G19" s="272"/>
      <c r="H19" s="272"/>
      <c r="I19" s="272"/>
      <c r="J19" s="272"/>
      <c r="K19" s="272"/>
      <c r="L19" s="272"/>
      <c r="M19" s="272"/>
      <c r="N19" s="272"/>
      <c r="O19" s="272"/>
      <c r="P19" s="329"/>
      <c r="Q19" s="330"/>
      <c r="R19" s="329"/>
    </row>
    <row r="20" spans="1:26" x14ac:dyDescent="0.25">
      <c r="A20" s="300"/>
      <c r="B20" s="273"/>
      <c r="C20" s="280">
        <v>8</v>
      </c>
      <c r="D20" s="283"/>
      <c r="E20" s="283"/>
      <c r="F20" s="283"/>
      <c r="G20" s="272"/>
      <c r="H20" s="272"/>
      <c r="I20" s="272"/>
      <c r="J20" s="272"/>
      <c r="K20" s="272"/>
      <c r="L20" s="272"/>
      <c r="M20" s="272"/>
      <c r="N20" s="272"/>
      <c r="O20" s="272"/>
    </row>
    <row r="21" spans="1:26" x14ac:dyDescent="0.25">
      <c r="A21" s="300"/>
      <c r="B21" s="273"/>
      <c r="C21" s="280">
        <v>9</v>
      </c>
      <c r="D21" s="283"/>
      <c r="E21" s="283"/>
      <c r="F21" s="283"/>
      <c r="G21" s="272"/>
      <c r="H21" s="282"/>
      <c r="I21" s="272"/>
      <c r="J21" s="272"/>
      <c r="K21" s="272"/>
      <c r="L21" s="272"/>
      <c r="M21" s="272"/>
      <c r="N21" s="272"/>
      <c r="O21" s="272"/>
    </row>
    <row r="22" spans="1:26" ht="15.75" customHeight="1" x14ac:dyDescent="0.25">
      <c r="A22" s="300"/>
      <c r="B22" s="273"/>
      <c r="C22" s="280">
        <v>10</v>
      </c>
      <c r="D22" s="283"/>
      <c r="E22" s="283"/>
      <c r="F22" s="283"/>
      <c r="G22" s="272"/>
      <c r="H22" s="272"/>
      <c r="I22" s="272"/>
      <c r="J22" s="272"/>
      <c r="K22" s="272"/>
      <c r="L22" s="272"/>
      <c r="M22" s="272"/>
      <c r="N22" s="272"/>
      <c r="O22" s="272"/>
    </row>
    <row r="23" spans="1:26" ht="15.75" customHeight="1" x14ac:dyDescent="0.25">
      <c r="A23" s="300"/>
      <c r="B23" s="273"/>
      <c r="C23" s="272"/>
      <c r="D23" s="272"/>
      <c r="E23" s="272"/>
      <c r="F23" s="272"/>
      <c r="G23" s="272"/>
      <c r="H23" s="272"/>
      <c r="I23" s="272"/>
      <c r="J23" s="272"/>
      <c r="K23" s="272"/>
      <c r="L23" s="272"/>
      <c r="M23" s="272"/>
      <c r="N23" s="272"/>
      <c r="O23" s="272"/>
      <c r="Z23" s="331"/>
    </row>
    <row r="24" spans="1:26" ht="18.75" x14ac:dyDescent="0.25">
      <c r="A24" s="300"/>
      <c r="B24" s="314"/>
      <c r="E24" s="332"/>
      <c r="F24" s="332"/>
      <c r="Z24" s="333"/>
    </row>
    <row r="25" spans="1:26" ht="18.75" x14ac:dyDescent="0.25">
      <c r="A25" s="300"/>
      <c r="G25" s="332"/>
      <c r="Z25" s="333"/>
    </row>
    <row r="26" spans="1:26" ht="17.25" x14ac:dyDescent="0.25">
      <c r="A26" s="300"/>
      <c r="E26" s="319"/>
      <c r="F26" s="334"/>
      <c r="Z26" s="333">
        <v>1.66E-10</v>
      </c>
    </row>
    <row r="27" spans="1:26" ht="17.25" x14ac:dyDescent="0.25">
      <c r="A27" s="300"/>
      <c r="E27" s="319"/>
      <c r="F27" s="334"/>
      <c r="Z27" s="333">
        <v>4.32</v>
      </c>
    </row>
    <row r="28" spans="1:26" ht="17.25" x14ac:dyDescent="0.25">
      <c r="A28" s="300"/>
      <c r="E28" s="319"/>
      <c r="F28" s="334"/>
      <c r="Z28" s="333">
        <v>6.1799999999999998E-8</v>
      </c>
    </row>
    <row r="29" spans="1:26" x14ac:dyDescent="0.25">
      <c r="Z29" s="333">
        <v>3.95</v>
      </c>
    </row>
    <row r="30" spans="1:26" x14ac:dyDescent="0.25">
      <c r="Z30" s="333">
        <v>1.1358E-3</v>
      </c>
    </row>
    <row r="31" spans="1:26" x14ac:dyDescent="0.25">
      <c r="Z31" s="335">
        <v>3.2909999999999999</v>
      </c>
    </row>
    <row r="32" spans="1:26" x14ac:dyDescent="0.25">
      <c r="Z32" s="333">
        <v>0.85399999999999998</v>
      </c>
    </row>
  </sheetData>
  <sheetProtection password="8FE7" sheet="1" objects="1" scenarios="1"/>
  <mergeCells count="11">
    <mergeCell ref="C11:F11"/>
    <mergeCell ref="I15:K15"/>
    <mergeCell ref="I16:K16"/>
    <mergeCell ref="C7:E7"/>
    <mergeCell ref="Z4:AB4"/>
    <mergeCell ref="AC4:AE4"/>
    <mergeCell ref="I6:L6"/>
    <mergeCell ref="K7:L7"/>
    <mergeCell ref="K8:L8"/>
    <mergeCell ref="I7:J7"/>
    <mergeCell ref="I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6" r:id="rId3" name="ComboBoxFatiga">
          <controlPr defaultSize="0" autoLine="0" r:id="rId4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3" name="ComboBoxFatiga"/>
      </mc:Fallback>
    </mc:AlternateContent>
    <mc:AlternateContent xmlns:mc="http://schemas.openxmlformats.org/markup-compatibility/2006">
      <mc:Choice Requires="x14">
        <control shapeId="108558" r:id="rId5" name="ComboBoxDeformacion">
          <controlPr defaultSize="0" autoLine="0" r:id="rId6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5" name="ComboBoxDeformacion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CC00"/>
  </sheetPr>
  <dimension ref="A1:AB29"/>
  <sheetViews>
    <sheetView showGridLines="0" zoomScale="85" zoomScaleNormal="85" workbookViewId="0">
      <selection activeCell="I15" sqref="I15"/>
    </sheetView>
  </sheetViews>
  <sheetFormatPr baseColWidth="10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28" x14ac:dyDescent="0.25">
      <c r="A1" s="97">
        <v>1</v>
      </c>
      <c r="B1" s="97">
        <v>2</v>
      </c>
      <c r="C1" s="97">
        <v>3</v>
      </c>
      <c r="D1" s="97">
        <v>4</v>
      </c>
      <c r="E1" s="97">
        <v>5</v>
      </c>
      <c r="F1" s="97">
        <v>6</v>
      </c>
      <c r="G1" s="97">
        <v>7</v>
      </c>
      <c r="H1" s="97">
        <v>8</v>
      </c>
      <c r="I1" s="97">
        <v>9</v>
      </c>
      <c r="J1" s="97">
        <v>10</v>
      </c>
      <c r="K1" s="97">
        <v>11</v>
      </c>
      <c r="L1" s="97">
        <v>12</v>
      </c>
      <c r="M1" s="97">
        <v>13</v>
      </c>
      <c r="N1" s="97">
        <v>14</v>
      </c>
      <c r="O1" s="97">
        <v>15</v>
      </c>
      <c r="P1" s="97">
        <v>16</v>
      </c>
      <c r="Q1" s="96">
        <v>16</v>
      </c>
    </row>
    <row r="2" spans="1:28" x14ac:dyDescent="0.25">
      <c r="A2" s="94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5"/>
      <c r="N2" s="94"/>
      <c r="O2" s="94"/>
      <c r="P2" s="97"/>
    </row>
    <row r="3" spans="1:28" x14ac:dyDescent="0.25">
      <c r="A3" s="94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5"/>
      <c r="N3" s="94"/>
      <c r="O3" s="94"/>
      <c r="P3" s="97"/>
    </row>
    <row r="4" spans="1:28" x14ac:dyDescent="0.25">
      <c r="A4" s="94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</row>
    <row r="5" spans="1:28" x14ac:dyDescent="0.25">
      <c r="A5" s="94"/>
      <c r="B5" s="2"/>
      <c r="AB5" t="s">
        <v>29</v>
      </c>
    </row>
    <row r="6" spans="1:28" ht="18.75" x14ac:dyDescent="0.25">
      <c r="A6" s="94"/>
      <c r="B6" s="2"/>
      <c r="C6" s="368" t="s">
        <v>75</v>
      </c>
      <c r="D6" s="369"/>
      <c r="E6" s="369"/>
      <c r="F6" s="370"/>
      <c r="G6" s="99"/>
      <c r="AB6" t="s">
        <v>119</v>
      </c>
    </row>
    <row r="7" spans="1:28" ht="15.75" x14ac:dyDescent="0.25">
      <c r="A7" s="94"/>
      <c r="B7" s="2"/>
      <c r="C7" s="372" t="s">
        <v>26</v>
      </c>
      <c r="D7" s="372"/>
      <c r="E7" s="372"/>
      <c r="F7" s="157">
        <v>50</v>
      </c>
      <c r="G7" s="166"/>
      <c r="M7" s="98"/>
      <c r="N7" s="18"/>
      <c r="AB7" t="s">
        <v>10</v>
      </c>
    </row>
    <row r="8" spans="1:28" x14ac:dyDescent="0.25">
      <c r="A8" s="94"/>
      <c r="B8" s="2"/>
      <c r="C8" s="372" t="s">
        <v>25</v>
      </c>
      <c r="D8" s="372"/>
      <c r="E8" s="372"/>
      <c r="F8" s="157" t="s">
        <v>270</v>
      </c>
      <c r="G8" s="166"/>
      <c r="M8" s="18"/>
      <c r="N8" s="18"/>
      <c r="AB8" t="s">
        <v>11</v>
      </c>
    </row>
    <row r="9" spans="1:28" x14ac:dyDescent="0.25">
      <c r="A9" s="94"/>
      <c r="B9" s="2"/>
      <c r="C9" s="373" t="s">
        <v>76</v>
      </c>
      <c r="D9" s="373"/>
      <c r="E9" s="373"/>
      <c r="F9" s="127">
        <v>90</v>
      </c>
      <c r="G9" s="166"/>
      <c r="M9" s="18"/>
      <c r="N9" s="18"/>
    </row>
    <row r="10" spans="1:28" x14ac:dyDescent="0.25">
      <c r="A10" s="94"/>
      <c r="B10" s="2"/>
      <c r="C10" s="372" t="s">
        <v>94</v>
      </c>
      <c r="D10" s="372"/>
      <c r="E10" s="372"/>
      <c r="F10" s="157">
        <v>3</v>
      </c>
      <c r="G10" s="166"/>
      <c r="M10" s="18"/>
      <c r="N10" s="18"/>
    </row>
    <row r="11" spans="1:28" x14ac:dyDescent="0.25">
      <c r="A11" s="94"/>
      <c r="B11" s="2"/>
      <c r="C11" s="373" t="s">
        <v>118</v>
      </c>
      <c r="D11" s="373"/>
      <c r="E11" s="373"/>
      <c r="F11" s="127">
        <v>0.35</v>
      </c>
      <c r="G11" s="166"/>
      <c r="I11" s="200"/>
      <c r="J11" s="200"/>
      <c r="K11" s="200"/>
      <c r="L11" s="200"/>
      <c r="M11" s="200"/>
      <c r="N11" s="200"/>
    </row>
    <row r="12" spans="1:28" ht="18.75" x14ac:dyDescent="0.25">
      <c r="A12" s="94"/>
      <c r="B12" s="2"/>
      <c r="C12" s="368" t="s">
        <v>1</v>
      </c>
      <c r="D12" s="369"/>
      <c r="E12" s="369"/>
      <c r="F12" s="370"/>
      <c r="G12" s="99"/>
      <c r="H12" s="183"/>
      <c r="I12" s="200"/>
      <c r="J12" s="200"/>
      <c r="K12" s="200"/>
      <c r="L12" s="200"/>
      <c r="M12" s="200"/>
      <c r="N12" s="200"/>
    </row>
    <row r="13" spans="1:28" ht="30" x14ac:dyDescent="0.25">
      <c r="A13" s="94"/>
      <c r="B13" s="2"/>
      <c r="C13" s="125" t="s">
        <v>152</v>
      </c>
      <c r="D13" s="125" t="s">
        <v>153</v>
      </c>
      <c r="E13" s="125" t="s">
        <v>80</v>
      </c>
      <c r="F13" s="125" t="s">
        <v>169</v>
      </c>
      <c r="G13" s="167"/>
      <c r="I13" s="154"/>
      <c r="J13" s="154"/>
      <c r="K13" s="154"/>
      <c r="L13" s="154"/>
      <c r="M13" s="154"/>
      <c r="N13" s="154"/>
    </row>
    <row r="14" spans="1:28" x14ac:dyDescent="0.25">
      <c r="A14" s="94"/>
      <c r="B14" s="2"/>
      <c r="C14" s="126">
        <v>1</v>
      </c>
      <c r="D14" s="127" t="s">
        <v>247</v>
      </c>
      <c r="E14" s="127">
        <v>10</v>
      </c>
      <c r="F14" s="127">
        <v>3500000</v>
      </c>
      <c r="G14" s="168"/>
      <c r="I14" s="155"/>
      <c r="J14" s="156"/>
      <c r="K14" s="155"/>
      <c r="L14" s="161"/>
      <c r="M14" s="161"/>
      <c r="N14" s="201"/>
      <c r="S14" s="18"/>
      <c r="T14" s="18"/>
      <c r="U14" s="18"/>
    </row>
    <row r="15" spans="1:28" x14ac:dyDescent="0.25">
      <c r="A15" s="94"/>
      <c r="B15" s="2"/>
      <c r="C15" s="126">
        <v>2</v>
      </c>
      <c r="D15" s="127" t="s">
        <v>202</v>
      </c>
      <c r="E15" s="127">
        <v>40</v>
      </c>
      <c r="F15" s="127">
        <v>400000</v>
      </c>
      <c r="G15" s="168"/>
      <c r="I15" s="155"/>
      <c r="J15" s="156"/>
      <c r="K15" s="155"/>
      <c r="L15" s="161"/>
      <c r="M15" s="161"/>
      <c r="N15" s="202"/>
      <c r="S15" s="18"/>
      <c r="T15" s="18"/>
      <c r="U15" s="18"/>
    </row>
    <row r="16" spans="1:28" x14ac:dyDescent="0.25">
      <c r="A16" s="94"/>
      <c r="B16" s="2"/>
      <c r="C16" s="126">
        <v>3</v>
      </c>
      <c r="D16" s="127" t="s">
        <v>211</v>
      </c>
      <c r="E16" s="127"/>
      <c r="F16" s="127">
        <v>100000</v>
      </c>
      <c r="G16" s="168"/>
      <c r="I16" s="200"/>
      <c r="J16" s="200"/>
      <c r="K16" s="200"/>
      <c r="L16" s="200"/>
      <c r="M16" s="200"/>
      <c r="N16" s="200"/>
      <c r="S16" s="18"/>
      <c r="T16" s="18"/>
      <c r="U16" s="18"/>
    </row>
    <row r="17" spans="1:21" ht="17.25" x14ac:dyDescent="0.3">
      <c r="A17" s="94"/>
      <c r="B17" s="2"/>
      <c r="C17" s="126">
        <v>4</v>
      </c>
      <c r="D17" s="127"/>
      <c r="E17" s="127"/>
      <c r="F17" s="127">
        <v>0</v>
      </c>
      <c r="G17" s="168"/>
      <c r="I17" s="200"/>
      <c r="J17" s="200"/>
      <c r="K17" s="200"/>
      <c r="L17" s="200"/>
      <c r="M17" s="200"/>
      <c r="N17" s="200"/>
      <c r="S17" s="186"/>
      <c r="T17" s="187"/>
      <c r="U17" s="186"/>
    </row>
    <row r="18" spans="1:21" ht="17.25" x14ac:dyDescent="0.3">
      <c r="A18" s="94"/>
      <c r="B18" s="2"/>
      <c r="C18" s="126">
        <v>5</v>
      </c>
      <c r="D18" s="127"/>
      <c r="E18" s="127"/>
      <c r="F18" s="127">
        <v>0</v>
      </c>
      <c r="G18" s="169"/>
      <c r="S18" s="186"/>
      <c r="T18" s="187"/>
      <c r="U18" s="186"/>
    </row>
    <row r="19" spans="1:21" ht="17.25" x14ac:dyDescent="0.3">
      <c r="A19" s="94"/>
      <c r="B19" s="2"/>
      <c r="C19" s="126">
        <v>6</v>
      </c>
      <c r="D19" s="127"/>
      <c r="E19" s="127"/>
      <c r="F19" s="127">
        <v>0</v>
      </c>
      <c r="G19" s="169"/>
      <c r="I19" s="200"/>
      <c r="J19" s="200"/>
      <c r="K19" s="200"/>
      <c r="L19" s="200"/>
      <c r="M19" s="200"/>
      <c r="S19" s="186"/>
      <c r="T19" s="187"/>
      <c r="U19" s="186"/>
    </row>
    <row r="20" spans="1:21" x14ac:dyDescent="0.25">
      <c r="A20" s="94"/>
      <c r="B20" s="2"/>
      <c r="C20" s="126">
        <v>7</v>
      </c>
      <c r="D20" s="127"/>
      <c r="E20" s="127"/>
      <c r="F20" s="127">
        <v>0</v>
      </c>
      <c r="G20" s="169"/>
      <c r="I20" s="200"/>
      <c r="J20" s="200"/>
      <c r="K20" s="200"/>
      <c r="L20" s="200"/>
      <c r="M20" s="200"/>
      <c r="S20" s="18"/>
      <c r="T20" s="18"/>
      <c r="U20" s="18"/>
    </row>
    <row r="21" spans="1:21" x14ac:dyDescent="0.25">
      <c r="A21" s="94"/>
      <c r="B21" s="2"/>
      <c r="C21" s="126">
        <v>8</v>
      </c>
      <c r="D21" s="127"/>
      <c r="E21" s="127"/>
      <c r="F21" s="127">
        <v>0</v>
      </c>
      <c r="G21" s="169"/>
      <c r="I21" s="203"/>
      <c r="J21" s="203"/>
      <c r="K21" s="203"/>
      <c r="L21" s="204"/>
      <c r="M21" s="200"/>
      <c r="S21" s="18"/>
      <c r="T21" s="18"/>
      <c r="U21" s="18"/>
    </row>
    <row r="22" spans="1:21" ht="15.75" customHeight="1" x14ac:dyDescent="0.25">
      <c r="A22" s="94"/>
      <c r="B22" s="2"/>
      <c r="C22" s="126">
        <v>9</v>
      </c>
      <c r="D22" s="127"/>
      <c r="E22" s="127"/>
      <c r="F22" s="127">
        <v>0</v>
      </c>
      <c r="G22" s="169"/>
      <c r="I22" s="371"/>
      <c r="J22" s="371"/>
      <c r="K22" s="371"/>
      <c r="L22" s="161"/>
      <c r="M22" s="200"/>
    </row>
    <row r="23" spans="1:21" ht="15.75" customHeight="1" x14ac:dyDescent="0.25">
      <c r="A23" s="94"/>
      <c r="B23" s="2"/>
      <c r="C23" s="126">
        <v>10</v>
      </c>
      <c r="D23" s="127"/>
      <c r="E23" s="127"/>
      <c r="F23" s="127">
        <v>0</v>
      </c>
      <c r="G23" s="169"/>
      <c r="I23" s="371"/>
      <c r="J23" s="371"/>
      <c r="K23" s="371"/>
      <c r="L23" s="161"/>
      <c r="M23" s="200"/>
    </row>
    <row r="24" spans="1:21" x14ac:dyDescent="0.25">
      <c r="A24" s="94"/>
      <c r="B24" s="2"/>
      <c r="I24" s="200"/>
      <c r="J24" s="200"/>
      <c r="K24" s="200"/>
      <c r="L24" s="200"/>
      <c r="M24" s="200"/>
    </row>
    <row r="25" spans="1:21" ht="18.75" x14ac:dyDescent="0.25">
      <c r="A25" s="94"/>
      <c r="E25" s="99"/>
      <c r="F25" s="99"/>
      <c r="G25" s="99"/>
      <c r="H25" s="99"/>
    </row>
    <row r="27" spans="1:21" ht="17.25" x14ac:dyDescent="0.25">
      <c r="E27" s="18"/>
      <c r="F27" s="105"/>
    </row>
    <row r="28" spans="1:21" ht="17.25" x14ac:dyDescent="0.25">
      <c r="E28" s="18"/>
      <c r="F28" s="105"/>
    </row>
    <row r="29" spans="1:21" ht="17.25" x14ac:dyDescent="0.25">
      <c r="E29" s="18"/>
      <c r="F29" s="105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U33"/>
  <sheetViews>
    <sheetView workbookViewId="0">
      <selection activeCell="B3" sqref="B3"/>
    </sheetView>
  </sheetViews>
  <sheetFormatPr baseColWidth="10" defaultRowHeight="15" x14ac:dyDescent="0.25"/>
  <cols>
    <col min="1" max="1" width="26.5703125" customWidth="1"/>
    <col min="2" max="4" width="13.5703125" customWidth="1"/>
  </cols>
  <sheetData>
    <row r="1" spans="1:21" ht="15" customHeight="1" x14ac:dyDescent="0.25"/>
    <row r="2" spans="1:21" ht="15" customHeight="1" x14ac:dyDescent="0.25">
      <c r="A2" s="150" t="s">
        <v>166</v>
      </c>
      <c r="B2" s="151">
        <v>90</v>
      </c>
      <c r="D2" s="184"/>
    </row>
    <row r="3" spans="1:21" ht="15" customHeight="1" x14ac:dyDescent="0.25">
      <c r="A3" s="165" t="s">
        <v>180</v>
      </c>
      <c r="B3" s="174">
        <v>0.35</v>
      </c>
      <c r="D3" s="185" t="s">
        <v>210</v>
      </c>
      <c r="G3" s="103"/>
      <c r="P3" s="374" t="s">
        <v>157</v>
      </c>
      <c r="Q3" s="374"/>
      <c r="R3" s="374"/>
      <c r="S3" s="374" t="s">
        <v>158</v>
      </c>
      <c r="T3" s="374"/>
      <c r="U3" s="374"/>
    </row>
    <row r="4" spans="1:21" ht="15" customHeight="1" x14ac:dyDescent="0.25">
      <c r="P4" t="s">
        <v>159</v>
      </c>
      <c r="S4" t="s">
        <v>159</v>
      </c>
    </row>
    <row r="5" spans="1:21" ht="15" customHeight="1" x14ac:dyDescent="0.25">
      <c r="A5" s="159"/>
      <c r="B5" s="159"/>
      <c r="C5" s="159"/>
      <c r="D5" s="159"/>
      <c r="P5" t="s">
        <v>160</v>
      </c>
      <c r="S5" t="s">
        <v>161</v>
      </c>
    </row>
    <row r="6" spans="1:21" ht="15" customHeight="1" x14ac:dyDescent="0.25">
      <c r="A6" s="159"/>
      <c r="B6" s="159"/>
      <c r="C6" s="159"/>
      <c r="D6" s="159"/>
      <c r="P6" t="s">
        <v>162</v>
      </c>
      <c r="S6" t="s">
        <v>163</v>
      </c>
    </row>
    <row r="7" spans="1:21" ht="15" customHeight="1" x14ac:dyDescent="0.25">
      <c r="A7" s="159"/>
      <c r="B7" s="159"/>
      <c r="C7" s="159"/>
      <c r="D7" s="159"/>
      <c r="P7" t="s">
        <v>43</v>
      </c>
      <c r="S7" t="s">
        <v>164</v>
      </c>
    </row>
    <row r="8" spans="1:21" ht="15" customHeight="1" x14ac:dyDescent="0.25">
      <c r="A8" s="159"/>
      <c r="B8" s="159"/>
      <c r="C8" s="159"/>
      <c r="D8" s="159"/>
      <c r="P8" t="s">
        <v>165</v>
      </c>
      <c r="S8" t="s">
        <v>43</v>
      </c>
    </row>
    <row r="9" spans="1:21" ht="15" customHeight="1" x14ac:dyDescent="0.25">
      <c r="A9" s="159"/>
      <c r="B9" s="159"/>
      <c r="C9" s="159"/>
      <c r="D9" s="159"/>
      <c r="P9" t="s">
        <v>65</v>
      </c>
      <c r="S9" t="s">
        <v>165</v>
      </c>
    </row>
    <row r="10" spans="1:21" ht="15" customHeight="1" x14ac:dyDescent="0.25">
      <c r="A10" s="159"/>
      <c r="B10" s="159"/>
      <c r="C10" s="159"/>
      <c r="D10" s="159"/>
      <c r="S10" t="s">
        <v>65</v>
      </c>
    </row>
    <row r="11" spans="1:21" ht="15" customHeight="1" x14ac:dyDescent="0.25">
      <c r="A11" s="159"/>
      <c r="B11" s="159"/>
      <c r="C11" s="159"/>
      <c r="D11" s="159"/>
    </row>
    <row r="12" spans="1:21" ht="15" customHeight="1" x14ac:dyDescent="0.25">
      <c r="A12" s="175"/>
      <c r="B12" s="175"/>
      <c r="C12" s="175"/>
      <c r="D12" s="175"/>
      <c r="E12" s="176"/>
    </row>
    <row r="13" spans="1:21" ht="15" customHeight="1" x14ac:dyDescent="0.25">
      <c r="A13" s="175"/>
      <c r="B13" s="175"/>
      <c r="C13" s="175"/>
      <c r="D13" s="175"/>
      <c r="E13" s="176"/>
    </row>
    <row r="14" spans="1:21" ht="15" customHeight="1" x14ac:dyDescent="0.25">
      <c r="A14" s="175"/>
      <c r="B14" s="175"/>
      <c r="C14" s="175"/>
      <c r="D14" s="175"/>
      <c r="E14" s="176"/>
    </row>
    <row r="15" spans="1:21" ht="15" customHeight="1" x14ac:dyDescent="0.25">
      <c r="A15" s="175"/>
      <c r="B15" s="175"/>
      <c r="C15" s="175"/>
      <c r="D15" s="175"/>
      <c r="E15" s="176"/>
    </row>
    <row r="16" spans="1:21" ht="15" customHeight="1" x14ac:dyDescent="0.25">
      <c r="A16" s="179"/>
      <c r="B16" s="179"/>
      <c r="C16" s="179"/>
      <c r="D16" s="179"/>
      <c r="E16" s="176"/>
    </row>
    <row r="17" spans="1:7" ht="15" customHeight="1" x14ac:dyDescent="0.25">
      <c r="A17" s="180" t="s">
        <v>21</v>
      </c>
      <c r="B17" s="181">
        <v>0</v>
      </c>
      <c r="C17" s="180" t="s">
        <v>23</v>
      </c>
      <c r="D17" s="181">
        <v>36</v>
      </c>
      <c r="E17" s="176"/>
    </row>
    <row r="18" spans="1:7" ht="15" customHeight="1" x14ac:dyDescent="0.25">
      <c r="A18" s="180" t="s">
        <v>22</v>
      </c>
      <c r="B18" s="181">
        <v>18</v>
      </c>
      <c r="C18" s="180" t="s">
        <v>24</v>
      </c>
      <c r="D18" s="181">
        <v>122</v>
      </c>
      <c r="E18" s="176"/>
    </row>
    <row r="19" spans="1:7" ht="15" customHeight="1" x14ac:dyDescent="0.25">
      <c r="A19" s="182"/>
      <c r="B19" s="182"/>
      <c r="C19" s="182"/>
      <c r="D19" s="182"/>
      <c r="E19" s="176"/>
    </row>
    <row r="20" spans="1:7" ht="15" customHeight="1" x14ac:dyDescent="0.25">
      <c r="A20" s="182"/>
      <c r="B20" s="182"/>
      <c r="C20" s="182"/>
      <c r="D20" s="182"/>
      <c r="E20" s="176"/>
      <c r="G20" s="103"/>
    </row>
    <row r="21" spans="1:7" ht="15" customHeight="1" x14ac:dyDescent="0.25">
      <c r="A21" s="175"/>
      <c r="B21" s="175"/>
      <c r="C21" s="175"/>
      <c r="D21" s="175"/>
      <c r="E21" s="175"/>
      <c r="F21" s="159"/>
    </row>
    <row r="22" spans="1:7" ht="15" customHeight="1" x14ac:dyDescent="0.25">
      <c r="A22" s="177"/>
      <c r="B22" s="177"/>
      <c r="C22" s="178"/>
      <c r="D22" s="178"/>
      <c r="E22" s="178"/>
      <c r="F22" s="173"/>
    </row>
    <row r="23" spans="1:7" x14ac:dyDescent="0.25">
      <c r="A23" s="172"/>
      <c r="B23" s="172"/>
      <c r="C23" s="173"/>
      <c r="D23" s="173"/>
      <c r="E23" s="173"/>
      <c r="F23" s="173"/>
    </row>
    <row r="24" spans="1:7" ht="15.75" x14ac:dyDescent="0.25">
      <c r="A24" s="159"/>
      <c r="B24" s="159"/>
      <c r="C24" s="159"/>
      <c r="D24" s="159"/>
      <c r="E24" s="159"/>
      <c r="F24" s="159"/>
    </row>
    <row r="25" spans="1:7" ht="15.75" x14ac:dyDescent="0.25">
      <c r="A25" s="163"/>
      <c r="B25" s="163"/>
      <c r="C25" s="160"/>
      <c r="D25" s="170"/>
      <c r="E25" s="160"/>
      <c r="F25" s="171"/>
    </row>
    <row r="26" spans="1:7" ht="15.75" x14ac:dyDescent="0.25">
      <c r="A26" s="163"/>
      <c r="B26" s="163"/>
      <c r="C26" s="160"/>
      <c r="D26" s="161"/>
      <c r="E26" s="160"/>
      <c r="F26" s="171"/>
    </row>
    <row r="27" spans="1:7" x14ac:dyDescent="0.25">
      <c r="A27" s="166"/>
      <c r="B27" s="166"/>
      <c r="C27" s="166"/>
      <c r="D27" s="166"/>
      <c r="E27" s="166"/>
      <c r="F27" s="166"/>
    </row>
    <row r="28" spans="1:7" x14ac:dyDescent="0.25">
      <c r="A28" s="166"/>
      <c r="B28" s="166"/>
      <c r="C28" s="166"/>
      <c r="D28" s="166"/>
      <c r="E28" s="166"/>
      <c r="F28" s="166"/>
    </row>
    <row r="29" spans="1:7" x14ac:dyDescent="0.25">
      <c r="A29" s="166"/>
      <c r="B29" s="166"/>
      <c r="C29" s="166"/>
      <c r="D29" s="166"/>
      <c r="E29" s="166"/>
      <c r="F29" s="166"/>
    </row>
    <row r="30" spans="1:7" x14ac:dyDescent="0.25">
      <c r="A30" s="166"/>
      <c r="B30" s="166"/>
      <c r="C30" s="166"/>
      <c r="D30" s="166"/>
      <c r="E30" s="166"/>
      <c r="F30" s="166"/>
    </row>
    <row r="31" spans="1:7" x14ac:dyDescent="0.25">
      <c r="A31" s="166"/>
      <c r="B31" s="166"/>
      <c r="C31" s="166"/>
      <c r="D31" s="166"/>
      <c r="E31" s="166"/>
      <c r="F31" s="166"/>
    </row>
    <row r="32" spans="1:7" x14ac:dyDescent="0.25">
      <c r="A32" s="166"/>
      <c r="B32" s="166"/>
      <c r="C32" s="166"/>
      <c r="D32" s="166"/>
      <c r="E32" s="166"/>
      <c r="F32" s="166"/>
    </row>
    <row r="33" spans="1:6" x14ac:dyDescent="0.25">
      <c r="A33" s="166"/>
      <c r="B33" s="166"/>
      <c r="C33" s="166"/>
      <c r="D33" s="166"/>
      <c r="E33" s="166"/>
      <c r="F33" s="166"/>
    </row>
  </sheetData>
  <mergeCells count="2">
    <mergeCell ref="P3:R3"/>
    <mergeCell ref="S3:U3"/>
  </mergeCells>
  <dataValidations count="2">
    <dataValidation type="list" allowBlank="1" showInputMessage="1" showErrorMessage="1" sqref="C23:F23">
      <formula1>$S$4:$S$10</formula1>
    </dataValidation>
    <dataValidation type="list" allowBlank="1" showInputMessage="1" showErrorMessage="1" sqref="C22:F22">
      <formula1>$P$4:$P$9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0070C0"/>
  </sheetPr>
  <dimension ref="A1:CC86"/>
  <sheetViews>
    <sheetView showGridLines="0" showRowColHeaders="0" zoomScaleNormal="100" workbookViewId="0">
      <selection activeCell="H15" sqref="H15"/>
    </sheetView>
  </sheetViews>
  <sheetFormatPr baseColWidth="10" defaultRowHeight="15" x14ac:dyDescent="0.25"/>
  <cols>
    <col min="1" max="1" width="7.85546875" style="301" customWidth="1"/>
    <col min="2" max="2" width="5.7109375" style="301" customWidth="1"/>
    <col min="3" max="3" width="11.140625" style="301" customWidth="1"/>
    <col min="4" max="4" width="14" style="301" customWidth="1"/>
    <col min="5" max="5" width="11.140625" style="301" customWidth="1"/>
    <col min="6" max="6" width="18" style="301" customWidth="1"/>
    <col min="7" max="7" width="12.85546875" style="301" customWidth="1"/>
    <col min="8" max="8" width="16.5703125" style="301" customWidth="1"/>
    <col min="9" max="10" width="11.42578125" style="301"/>
    <col min="11" max="11" width="9.42578125" style="301" customWidth="1"/>
    <col min="12" max="12" width="9.28515625" style="301" customWidth="1"/>
    <col min="13" max="81" width="9.140625" style="301" customWidth="1"/>
    <col min="82" max="16384" width="11.42578125" style="301"/>
  </cols>
  <sheetData>
    <row r="1" spans="1:81" x14ac:dyDescent="0.25">
      <c r="A1" s="299"/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/>
      <c r="AA1" s="300"/>
      <c r="AB1" s="300"/>
      <c r="AC1" s="300"/>
      <c r="AD1" s="300"/>
      <c r="AE1" s="300"/>
      <c r="AF1" s="300"/>
      <c r="AG1" s="300"/>
      <c r="AH1" s="300"/>
      <c r="AI1" s="300"/>
      <c r="AJ1" s="300"/>
      <c r="AK1" s="300"/>
      <c r="AL1" s="300"/>
      <c r="AM1" s="300"/>
      <c r="AN1" s="300"/>
      <c r="AO1" s="300"/>
      <c r="AP1" s="300"/>
      <c r="AQ1" s="300"/>
      <c r="AR1" s="300"/>
      <c r="AS1" s="300"/>
      <c r="AT1" s="300"/>
      <c r="AU1" s="300"/>
      <c r="AV1" s="300"/>
      <c r="AW1" s="300"/>
      <c r="AX1" s="300"/>
      <c r="AY1" s="300"/>
      <c r="AZ1" s="300"/>
      <c r="BA1" s="300"/>
      <c r="BB1" s="300"/>
      <c r="BC1" s="300"/>
      <c r="BD1" s="300"/>
      <c r="BE1" s="300"/>
      <c r="BF1" s="300"/>
      <c r="BG1" s="300"/>
      <c r="BH1" s="300"/>
      <c r="BI1" s="300"/>
      <c r="BJ1" s="300"/>
      <c r="BK1" s="300"/>
      <c r="BL1" s="300"/>
      <c r="BM1" s="300"/>
      <c r="BN1" s="300"/>
      <c r="BO1" s="300"/>
      <c r="BP1" s="300"/>
      <c r="BQ1" s="300"/>
      <c r="BR1" s="300"/>
      <c r="BS1" s="300"/>
      <c r="BT1" s="300"/>
      <c r="BU1" s="300"/>
      <c r="BV1" s="300"/>
      <c r="BW1" s="300"/>
      <c r="BX1" s="300"/>
      <c r="BY1" s="300"/>
      <c r="BZ1" s="300"/>
      <c r="CA1" s="300"/>
      <c r="CB1" s="300"/>
      <c r="CC1" s="300"/>
    </row>
    <row r="2" spans="1:81" x14ac:dyDescent="0.25">
      <c r="A2" s="300"/>
      <c r="B2" s="300"/>
      <c r="C2" s="300"/>
      <c r="D2" s="300"/>
      <c r="E2" s="300"/>
      <c r="F2" s="300"/>
      <c r="G2" s="300"/>
      <c r="H2" s="300"/>
      <c r="I2" s="300"/>
      <c r="J2" s="302"/>
      <c r="K2" s="302"/>
      <c r="L2" s="302"/>
      <c r="M2" s="303"/>
      <c r="N2" s="304"/>
      <c r="O2" s="304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0"/>
      <c r="CC2" s="300"/>
    </row>
    <row r="3" spans="1:81" ht="15.75" x14ac:dyDescent="0.25">
      <c r="A3" s="300"/>
      <c r="B3" s="300"/>
      <c r="C3" s="300"/>
      <c r="D3" s="300"/>
      <c r="E3" s="300"/>
      <c r="F3" s="300"/>
      <c r="G3" s="300"/>
      <c r="H3" s="300"/>
      <c r="I3" s="300"/>
      <c r="J3" s="300"/>
      <c r="K3" s="300"/>
      <c r="L3" s="306"/>
      <c r="M3" s="307"/>
      <c r="N3" s="308"/>
      <c r="O3" s="309"/>
      <c r="P3" s="310"/>
      <c r="Q3" s="310"/>
      <c r="R3" s="310"/>
      <c r="S3" s="310"/>
      <c r="T3" s="310"/>
      <c r="U3" s="310"/>
      <c r="V3" s="310"/>
      <c r="W3" s="310"/>
      <c r="X3" s="310"/>
      <c r="Y3" s="310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1"/>
      <c r="AL3" s="309"/>
      <c r="AM3" s="309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0"/>
      <c r="AZ3" s="310"/>
      <c r="BA3" s="310"/>
      <c r="BB3" s="310"/>
      <c r="BC3" s="310"/>
      <c r="BD3" s="310"/>
      <c r="BE3" s="310"/>
      <c r="BF3" s="310"/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2"/>
      <c r="CA3" s="305"/>
      <c r="CB3" s="300"/>
      <c r="CC3" s="300"/>
    </row>
    <row r="4" spans="1:81" x14ac:dyDescent="0.25">
      <c r="A4" s="300"/>
      <c r="B4" s="300"/>
      <c r="C4" s="300"/>
      <c r="D4" s="300"/>
      <c r="E4" s="300"/>
      <c r="F4" s="300"/>
      <c r="G4" s="300"/>
      <c r="H4" s="300"/>
      <c r="I4" s="300"/>
      <c r="J4" s="300"/>
      <c r="K4" s="300"/>
      <c r="L4" s="300"/>
      <c r="M4" s="313"/>
      <c r="N4" s="300"/>
      <c r="O4" s="300"/>
      <c r="P4" s="300"/>
      <c r="Q4" s="300"/>
      <c r="R4" s="300"/>
      <c r="S4" s="300"/>
      <c r="T4" s="300"/>
      <c r="U4" s="300"/>
      <c r="V4" s="300"/>
      <c r="W4" s="300"/>
      <c r="X4" s="300"/>
      <c r="Y4" s="300"/>
      <c r="Z4" s="300"/>
      <c r="AA4" s="300"/>
      <c r="AB4" s="300"/>
      <c r="AC4" s="300"/>
      <c r="AD4" s="300"/>
      <c r="AE4" s="300"/>
      <c r="AF4" s="300"/>
      <c r="AG4" s="300"/>
      <c r="AH4" s="300"/>
      <c r="AI4" s="300"/>
      <c r="AJ4" s="300"/>
      <c r="AK4" s="300"/>
      <c r="AL4" s="300"/>
      <c r="AM4" s="300"/>
      <c r="AN4" s="300"/>
      <c r="AO4" s="300"/>
      <c r="AP4" s="300"/>
      <c r="AQ4" s="300"/>
      <c r="AR4" s="300"/>
      <c r="AS4" s="300"/>
      <c r="AT4" s="300"/>
      <c r="AU4" s="300"/>
      <c r="AV4" s="300"/>
      <c r="AW4" s="300"/>
      <c r="AX4" s="300"/>
      <c r="AY4" s="300"/>
      <c r="AZ4" s="300"/>
      <c r="BA4" s="300"/>
      <c r="BB4" s="300"/>
      <c r="BC4" s="300"/>
      <c r="BD4" s="300"/>
      <c r="BE4" s="300"/>
      <c r="BF4" s="300"/>
      <c r="BG4" s="300"/>
      <c r="BH4" s="300"/>
      <c r="BI4" s="300"/>
      <c r="BJ4" s="300"/>
      <c r="BK4" s="300"/>
      <c r="BL4" s="300"/>
      <c r="BM4" s="300"/>
      <c r="BN4" s="300"/>
      <c r="BO4" s="300"/>
      <c r="BP4" s="300"/>
      <c r="BQ4" s="300"/>
      <c r="BR4" s="300"/>
      <c r="BS4" s="300"/>
      <c r="BT4" s="300"/>
      <c r="BU4" s="300"/>
      <c r="BV4" s="300"/>
      <c r="BW4" s="300"/>
      <c r="BX4" s="300"/>
      <c r="BY4" s="300"/>
      <c r="BZ4" s="300"/>
      <c r="CA4" s="300"/>
      <c r="CB4" s="300"/>
      <c r="CC4" s="300"/>
    </row>
    <row r="5" spans="1:81" ht="15.75" customHeight="1" x14ac:dyDescent="0.25">
      <c r="A5" s="300"/>
      <c r="B5" s="273"/>
      <c r="C5" s="272"/>
      <c r="D5" s="272"/>
      <c r="E5" s="272"/>
      <c r="F5" s="272"/>
      <c r="G5" s="272"/>
      <c r="H5" s="272"/>
      <c r="I5" s="272"/>
      <c r="J5" s="272"/>
      <c r="K5" s="272"/>
      <c r="L5" s="272"/>
      <c r="M5" s="284"/>
      <c r="N5" s="285"/>
      <c r="O5" s="284"/>
      <c r="P5" s="286"/>
      <c r="Q5" s="286"/>
      <c r="R5" s="287"/>
      <c r="S5" s="287"/>
      <c r="T5" s="315"/>
    </row>
    <row r="6" spans="1:81" ht="15" customHeight="1" x14ac:dyDescent="0.25">
      <c r="A6" s="300"/>
      <c r="B6" s="273"/>
      <c r="C6" s="272"/>
      <c r="D6" s="272"/>
      <c r="E6" s="272"/>
      <c r="F6" s="272"/>
      <c r="G6" s="272"/>
      <c r="H6" s="272"/>
      <c r="I6" s="375" t="s">
        <v>269</v>
      </c>
      <c r="J6" s="375"/>
      <c r="K6" s="375"/>
      <c r="L6" s="375"/>
      <c r="M6" s="285"/>
      <c r="N6" s="285"/>
      <c r="O6" s="284"/>
      <c r="P6" s="288"/>
      <c r="Q6" s="289"/>
      <c r="R6" s="290"/>
      <c r="S6" s="290"/>
      <c r="T6" s="316"/>
      <c r="U6" s="316"/>
      <c r="V6" s="316"/>
      <c r="Z6" s="317"/>
    </row>
    <row r="7" spans="1:81" ht="19.5" customHeight="1" x14ac:dyDescent="0.25">
      <c r="A7" s="300"/>
      <c r="B7" s="273"/>
      <c r="C7" s="376" t="s">
        <v>94</v>
      </c>
      <c r="D7" s="376"/>
      <c r="E7" s="376"/>
      <c r="F7" s="291">
        <f>'Análisis Espectral'!F7</f>
        <v>3</v>
      </c>
      <c r="G7" s="272"/>
      <c r="H7" s="272"/>
      <c r="I7" s="363" t="s">
        <v>268</v>
      </c>
      <c r="J7" s="363"/>
      <c r="K7" s="362" t="s">
        <v>43</v>
      </c>
      <c r="L7" s="362"/>
      <c r="M7" s="292"/>
      <c r="N7" s="292"/>
      <c r="O7" s="284"/>
      <c r="P7" s="288"/>
      <c r="Q7" s="289"/>
      <c r="R7" s="290"/>
      <c r="S7" s="290"/>
      <c r="T7" s="318"/>
      <c r="U7" s="316"/>
      <c r="V7" s="316"/>
      <c r="Z7" s="317"/>
    </row>
    <row r="8" spans="1:81" ht="27.75" customHeight="1" x14ac:dyDescent="0.25">
      <c r="A8" s="300"/>
      <c r="B8" s="273"/>
      <c r="C8" s="272"/>
      <c r="D8" s="272"/>
      <c r="E8" s="272"/>
      <c r="F8" s="274"/>
      <c r="G8" s="272"/>
      <c r="H8" s="272"/>
      <c r="I8" s="272"/>
      <c r="J8" s="272"/>
      <c r="K8" s="293"/>
      <c r="L8" s="293"/>
      <c r="M8" s="288"/>
      <c r="N8" s="288"/>
      <c r="O8" s="284"/>
      <c r="P8" s="286"/>
      <c r="Q8" s="286"/>
      <c r="R8" s="290"/>
      <c r="S8" s="290"/>
      <c r="T8" s="316"/>
      <c r="U8" s="316"/>
      <c r="V8" s="316"/>
      <c r="Z8" s="317"/>
    </row>
    <row r="9" spans="1:81" ht="15" customHeight="1" x14ac:dyDescent="0.25">
      <c r="A9" s="300"/>
      <c r="B9" s="273"/>
      <c r="C9" s="272"/>
      <c r="D9" s="272"/>
      <c r="E9" s="272"/>
      <c r="F9" s="272"/>
      <c r="G9" s="272"/>
      <c r="H9" s="272"/>
      <c r="I9" s="272"/>
      <c r="J9" s="272"/>
      <c r="K9" s="275"/>
      <c r="L9" s="275"/>
      <c r="M9" s="285"/>
      <c r="N9" s="285"/>
      <c r="O9" s="284"/>
      <c r="P9" s="288"/>
      <c r="Q9" s="286"/>
      <c r="R9" s="290"/>
      <c r="S9" s="290"/>
      <c r="T9" s="316"/>
      <c r="U9" s="316"/>
      <c r="V9" s="316"/>
      <c r="Z9" s="317"/>
    </row>
    <row r="10" spans="1:81" ht="15" customHeight="1" x14ac:dyDescent="0.25">
      <c r="A10" s="300"/>
      <c r="B10" s="273"/>
      <c r="C10" s="276"/>
      <c r="D10" s="276"/>
      <c r="E10" s="276"/>
      <c r="F10" s="277"/>
      <c r="G10" s="272"/>
      <c r="H10" s="272"/>
      <c r="I10" s="272"/>
      <c r="J10" s="272"/>
      <c r="K10" s="272"/>
      <c r="L10" s="272"/>
      <c r="M10" s="285"/>
      <c r="N10" s="285"/>
      <c r="O10" s="286"/>
      <c r="P10" s="294"/>
      <c r="Q10" s="286"/>
      <c r="R10" s="290"/>
      <c r="S10" s="290"/>
      <c r="T10" s="316"/>
      <c r="U10" s="316"/>
      <c r="V10" s="316"/>
    </row>
    <row r="11" spans="1:81" ht="15" customHeight="1" x14ac:dyDescent="0.25">
      <c r="A11" s="300"/>
      <c r="B11" s="273"/>
      <c r="C11" s="377" t="s">
        <v>1</v>
      </c>
      <c r="D11" s="378"/>
      <c r="E11" s="378"/>
      <c r="F11" s="379"/>
      <c r="G11" s="380" t="s">
        <v>258</v>
      </c>
      <c r="H11" s="272"/>
      <c r="I11" s="272"/>
      <c r="J11" s="272"/>
      <c r="K11" s="272"/>
      <c r="L11" s="272"/>
      <c r="M11" s="285"/>
      <c r="N11" s="285"/>
      <c r="O11" s="286"/>
      <c r="P11" s="286"/>
      <c r="Q11" s="286"/>
      <c r="R11" s="290"/>
      <c r="S11" s="290"/>
      <c r="T11" s="316"/>
      <c r="U11" s="316"/>
      <c r="V11" s="316"/>
    </row>
    <row r="12" spans="1:81" ht="15" customHeight="1" x14ac:dyDescent="0.25">
      <c r="A12" s="300"/>
      <c r="B12" s="273"/>
      <c r="C12" s="295" t="s">
        <v>152</v>
      </c>
      <c r="D12" s="295" t="s">
        <v>153</v>
      </c>
      <c r="E12" s="295" t="s">
        <v>80</v>
      </c>
      <c r="F12" s="295" t="s">
        <v>183</v>
      </c>
      <c r="G12" s="381"/>
      <c r="H12" s="272"/>
      <c r="I12" s="272"/>
      <c r="J12" s="272"/>
      <c r="K12" s="272"/>
      <c r="L12" s="272"/>
      <c r="M12" s="285"/>
      <c r="N12" s="285"/>
      <c r="O12" s="284"/>
      <c r="P12" s="286"/>
      <c r="Q12" s="286"/>
      <c r="R12" s="290"/>
      <c r="S12" s="290"/>
      <c r="T12" s="316"/>
      <c r="U12" s="316"/>
      <c r="V12" s="316"/>
    </row>
    <row r="13" spans="1:81" ht="15" customHeight="1" x14ac:dyDescent="0.25">
      <c r="A13" s="300"/>
      <c r="B13" s="273"/>
      <c r="C13" s="296">
        <v>1</v>
      </c>
      <c r="D13" s="291" t="str">
        <f>IF('Análisis Espectral'!D13&lt;&gt;"",'Análisis Espectral'!D13,"")</f>
        <v>carpeta</v>
      </c>
      <c r="E13" s="291">
        <f>IF('Análisis Espectral'!E13&lt;&gt;"",'Análisis Espectral'!E13,"")</f>
        <v>10</v>
      </c>
      <c r="F13" s="291">
        <f>IF('Análisis Espectral'!F13&lt;&gt;"",'Análisis Espectral'!F13,"")</f>
        <v>3500</v>
      </c>
      <c r="G13" s="283">
        <v>20</v>
      </c>
      <c r="H13" s="272"/>
      <c r="I13" s="272"/>
      <c r="J13" s="272"/>
      <c r="K13" s="272"/>
      <c r="L13" s="272"/>
      <c r="M13" s="285"/>
      <c r="N13" s="285"/>
      <c r="O13" s="284"/>
      <c r="P13" s="288"/>
      <c r="Q13" s="286"/>
      <c r="R13" s="290"/>
      <c r="S13" s="290"/>
      <c r="T13" s="316"/>
      <c r="U13" s="316"/>
      <c r="V13" s="316"/>
    </row>
    <row r="14" spans="1:81" ht="15.75" x14ac:dyDescent="0.25">
      <c r="A14" s="300"/>
      <c r="B14" s="273"/>
      <c r="C14" s="296">
        <v>2</v>
      </c>
      <c r="D14" s="291" t="str">
        <f>IF('Análisis Espectral'!D14&lt;&gt;"",'Análisis Espectral'!D14,"")</f>
        <v>base</v>
      </c>
      <c r="E14" s="291">
        <f>IF('Análisis Espectral'!E14&lt;&gt;"",'Análisis Espectral'!E14,"")</f>
        <v>40</v>
      </c>
      <c r="F14" s="291">
        <f>IF('Análisis Espectral'!F14&lt;&gt;"",'Análisis Espectral'!F14,"")</f>
        <v>400</v>
      </c>
      <c r="G14" s="283">
        <v>20</v>
      </c>
      <c r="H14" s="272"/>
      <c r="I14" s="272"/>
      <c r="J14" s="272"/>
      <c r="K14" s="272"/>
      <c r="L14" s="281"/>
      <c r="M14" s="285"/>
      <c r="N14" s="285"/>
      <c r="O14" s="286"/>
      <c r="P14" s="288"/>
      <c r="Q14" s="286"/>
      <c r="R14" s="290"/>
      <c r="S14" s="290"/>
      <c r="T14" s="316"/>
    </row>
    <row r="15" spans="1:81" ht="15" customHeight="1" x14ac:dyDescent="0.25">
      <c r="A15" s="300"/>
      <c r="B15" s="273"/>
      <c r="C15" s="296">
        <v>3</v>
      </c>
      <c r="D15" s="291" t="str">
        <f>IF('Análisis Espectral'!D15&lt;&gt;"",'Análisis Espectral'!D15,"")</f>
        <v>Subbase</v>
      </c>
      <c r="E15" s="291" t="str">
        <f>IF('Análisis Espectral'!E15&lt;&gt;"",'Análisis Espectral'!E15,"")</f>
        <v/>
      </c>
      <c r="F15" s="291">
        <f>IF('Análisis Espectral'!F15&lt;&gt;"",'Análisis Espectral'!F15,"")</f>
        <v>100</v>
      </c>
      <c r="G15" s="283">
        <v>20</v>
      </c>
      <c r="H15" s="272"/>
      <c r="I15" s="376" t="s">
        <v>155</v>
      </c>
      <c r="J15" s="376"/>
      <c r="K15" s="376"/>
      <c r="L15" s="320">
        <v>6.0808881921956015</v>
      </c>
      <c r="M15" s="286"/>
      <c r="N15" s="286"/>
      <c r="O15" s="286"/>
      <c r="P15" s="286"/>
      <c r="Q15" s="297"/>
      <c r="R15" s="290"/>
      <c r="S15" s="290"/>
      <c r="T15" s="316"/>
    </row>
    <row r="16" spans="1:81" ht="15" customHeight="1" x14ac:dyDescent="0.25">
      <c r="A16" s="300"/>
      <c r="B16" s="273"/>
      <c r="C16" s="296">
        <v>4</v>
      </c>
      <c r="D16" s="291" t="str">
        <f>IF('Análisis Espectral'!D16&lt;&gt;"",'Análisis Espectral'!D16,"")</f>
        <v/>
      </c>
      <c r="E16" s="291" t="str">
        <f>IF('Análisis Espectral'!E16&lt;&gt;"",'Análisis Espectral'!E16,"")</f>
        <v/>
      </c>
      <c r="F16" s="291" t="str">
        <f>IF('Análisis Espectral'!F16&lt;&gt;"",'Análisis Espectral'!F16,"")</f>
        <v/>
      </c>
      <c r="G16" s="283"/>
      <c r="H16" s="272"/>
      <c r="I16" s="376" t="s">
        <v>156</v>
      </c>
      <c r="J16" s="376"/>
      <c r="K16" s="376"/>
      <c r="L16" s="320">
        <v>13.476780088874467</v>
      </c>
      <c r="M16" s="272"/>
      <c r="N16" s="272"/>
      <c r="O16" s="272"/>
      <c r="P16" s="272"/>
      <c r="Q16" s="290"/>
      <c r="R16" s="290"/>
      <c r="S16" s="290"/>
      <c r="T16" s="316"/>
    </row>
    <row r="17" spans="1:20" x14ac:dyDescent="0.25">
      <c r="A17" s="300"/>
      <c r="B17" s="273"/>
      <c r="C17" s="296">
        <v>5</v>
      </c>
      <c r="D17" s="291" t="str">
        <f>IF('Análisis Espectral'!D17&lt;&gt;"",'Análisis Espectral'!D17,"")</f>
        <v/>
      </c>
      <c r="E17" s="291" t="str">
        <f>IF('Análisis Espectral'!E17&lt;&gt;"",'Análisis Espectral'!E17,"")</f>
        <v/>
      </c>
      <c r="F17" s="291" t="str">
        <f>IF('Análisis Espectral'!F17&lt;&gt;"",'Análisis Espectral'!F17,"")</f>
        <v/>
      </c>
      <c r="G17" s="283"/>
      <c r="H17" s="272"/>
      <c r="I17" s="273"/>
      <c r="J17" s="298"/>
      <c r="K17" s="272"/>
      <c r="L17" s="272"/>
      <c r="M17" s="272"/>
      <c r="N17" s="272"/>
      <c r="O17" s="272"/>
      <c r="P17" s="272"/>
      <c r="Q17" s="290"/>
      <c r="R17" s="290"/>
      <c r="S17" s="290"/>
      <c r="T17" s="316"/>
    </row>
    <row r="18" spans="1:20" x14ac:dyDescent="0.25">
      <c r="A18" s="300"/>
      <c r="B18" s="273"/>
      <c r="C18" s="296">
        <v>6</v>
      </c>
      <c r="D18" s="291" t="str">
        <f>IF('Análisis Espectral'!D18&lt;&gt;"",'Análisis Espectral'!D18,"")</f>
        <v/>
      </c>
      <c r="E18" s="291" t="str">
        <f>IF('Análisis Espectral'!E18&lt;&gt;"",'Análisis Espectral'!E18,"")</f>
        <v/>
      </c>
      <c r="F18" s="291" t="str">
        <f>IF('Análisis Espectral'!F18&lt;&gt;"",'Análisis Espectral'!F18,"")</f>
        <v/>
      </c>
      <c r="G18" s="283"/>
      <c r="H18" s="272"/>
      <c r="I18" s="273"/>
      <c r="J18" s="298"/>
      <c r="K18" s="272"/>
      <c r="L18" s="272"/>
      <c r="M18" s="272"/>
      <c r="N18" s="272"/>
      <c r="O18" s="272"/>
      <c r="P18" s="272"/>
      <c r="Q18" s="290"/>
      <c r="R18" s="290"/>
      <c r="S18" s="290"/>
      <c r="T18" s="316"/>
    </row>
    <row r="19" spans="1:20" x14ac:dyDescent="0.25">
      <c r="A19" s="300"/>
      <c r="B19" s="273"/>
      <c r="C19" s="272"/>
      <c r="D19" s="272"/>
      <c r="E19" s="272"/>
      <c r="F19" s="272"/>
      <c r="G19" s="272"/>
      <c r="H19" s="272"/>
      <c r="I19" s="272"/>
      <c r="J19" s="298"/>
      <c r="K19" s="272"/>
      <c r="L19" s="272"/>
      <c r="M19" s="272"/>
      <c r="N19" s="272"/>
      <c r="O19" s="272"/>
      <c r="P19" s="272"/>
      <c r="Q19" s="290"/>
      <c r="R19" s="290"/>
      <c r="S19" s="290"/>
      <c r="T19" s="316"/>
    </row>
    <row r="20" spans="1:20" x14ac:dyDescent="0.25">
      <c r="A20" s="300"/>
      <c r="B20" s="273"/>
      <c r="C20" s="272"/>
      <c r="D20" s="272"/>
      <c r="E20" s="272"/>
      <c r="F20" s="272"/>
      <c r="G20" s="272"/>
      <c r="H20" s="272"/>
      <c r="I20" s="272"/>
      <c r="J20" s="298"/>
      <c r="K20" s="272"/>
      <c r="L20" s="272"/>
      <c r="M20" s="272"/>
      <c r="N20" s="272"/>
      <c r="O20" s="272"/>
      <c r="P20" s="272"/>
      <c r="Q20" s="290"/>
      <c r="R20" s="290"/>
      <c r="S20" s="290"/>
      <c r="T20" s="316"/>
    </row>
    <row r="21" spans="1:20" x14ac:dyDescent="0.25">
      <c r="A21" s="300"/>
      <c r="B21" s="273"/>
      <c r="C21" s="272"/>
      <c r="D21" s="272"/>
      <c r="E21" s="272"/>
      <c r="F21" s="272"/>
      <c r="G21" s="272"/>
      <c r="H21" s="272"/>
      <c r="I21" s="272"/>
      <c r="J21" s="298"/>
      <c r="K21" s="272"/>
      <c r="L21" s="272"/>
      <c r="M21" s="272"/>
      <c r="N21" s="272"/>
      <c r="O21" s="272"/>
      <c r="P21" s="272"/>
      <c r="Q21" s="290"/>
      <c r="R21" s="290"/>
      <c r="S21" s="290"/>
      <c r="T21" s="316"/>
    </row>
    <row r="22" spans="1:20" x14ac:dyDescent="0.25">
      <c r="A22" s="300"/>
      <c r="B22" s="273"/>
      <c r="C22" s="272"/>
      <c r="D22" s="272"/>
      <c r="E22" s="272"/>
      <c r="F22" s="272"/>
      <c r="G22" s="272"/>
      <c r="H22" s="272"/>
      <c r="I22" s="272"/>
      <c r="J22" s="298"/>
      <c r="K22" s="272"/>
      <c r="L22" s="272"/>
      <c r="M22" s="272"/>
      <c r="N22" s="272"/>
      <c r="O22" s="272"/>
      <c r="P22" s="272"/>
      <c r="Q22" s="290"/>
      <c r="R22" s="290"/>
      <c r="S22" s="290"/>
      <c r="T22" s="316"/>
    </row>
    <row r="23" spans="1:20" x14ac:dyDescent="0.25">
      <c r="A23" s="300"/>
      <c r="B23" s="272"/>
      <c r="C23" s="272"/>
      <c r="D23" s="272"/>
      <c r="E23" s="272"/>
      <c r="F23" s="272"/>
      <c r="G23" s="272"/>
      <c r="H23" s="272"/>
      <c r="I23" s="272"/>
      <c r="J23" s="298"/>
      <c r="K23" s="272"/>
      <c r="L23" s="272"/>
      <c r="M23" s="272"/>
      <c r="N23" s="272"/>
      <c r="O23" s="272"/>
      <c r="P23" s="272"/>
      <c r="Q23" s="290"/>
      <c r="R23" s="290"/>
      <c r="S23" s="290"/>
      <c r="T23" s="316"/>
    </row>
    <row r="24" spans="1:20" x14ac:dyDescent="0.25">
      <c r="A24" s="300"/>
      <c r="B24" s="272"/>
      <c r="C24" s="272"/>
      <c r="D24" s="272"/>
      <c r="E24" s="272"/>
      <c r="F24" s="272"/>
      <c r="G24" s="272"/>
      <c r="H24" s="272"/>
      <c r="I24" s="273"/>
      <c r="J24" s="298"/>
      <c r="K24" s="272"/>
      <c r="L24" s="272"/>
      <c r="M24" s="272"/>
      <c r="N24" s="272"/>
      <c r="O24" s="272"/>
      <c r="P24" s="272"/>
      <c r="Q24" s="290"/>
      <c r="R24" s="290"/>
      <c r="S24" s="290"/>
      <c r="T24" s="316"/>
    </row>
    <row r="25" spans="1:20" x14ac:dyDescent="0.25">
      <c r="A25" s="300"/>
      <c r="I25" s="314"/>
      <c r="J25" s="321"/>
      <c r="Q25" s="316"/>
      <c r="R25" s="316"/>
      <c r="S25" s="316"/>
      <c r="T25" s="316"/>
    </row>
    <row r="26" spans="1:20" x14ac:dyDescent="0.25">
      <c r="A26" s="300"/>
      <c r="I26" s="314"/>
      <c r="J26" s="321"/>
      <c r="Q26" s="316"/>
      <c r="R26" s="316"/>
      <c r="S26" s="316"/>
      <c r="T26" s="316"/>
    </row>
    <row r="27" spans="1:20" x14ac:dyDescent="0.25">
      <c r="A27" s="300"/>
      <c r="I27" s="314"/>
      <c r="J27" s="321"/>
      <c r="Q27" s="316"/>
      <c r="R27" s="316"/>
      <c r="S27" s="316"/>
      <c r="T27" s="316"/>
    </row>
    <row r="28" spans="1:20" x14ac:dyDescent="0.25">
      <c r="A28" s="300"/>
      <c r="I28" s="314"/>
      <c r="J28" s="321"/>
      <c r="Q28" s="316"/>
      <c r="R28" s="316"/>
      <c r="S28" s="316"/>
      <c r="T28" s="316"/>
    </row>
    <row r="29" spans="1:20" x14ac:dyDescent="0.25">
      <c r="A29" s="300"/>
      <c r="I29" s="314"/>
      <c r="J29" s="321"/>
      <c r="Q29" s="316"/>
      <c r="R29" s="316"/>
      <c r="S29" s="316"/>
      <c r="T29" s="316"/>
    </row>
    <row r="30" spans="1:20" x14ac:dyDescent="0.25">
      <c r="A30" s="300"/>
      <c r="I30" s="314"/>
      <c r="J30" s="321"/>
      <c r="Q30" s="316"/>
      <c r="R30" s="316"/>
      <c r="S30" s="316"/>
      <c r="T30" s="316"/>
    </row>
    <row r="31" spans="1:20" x14ac:dyDescent="0.25">
      <c r="A31" s="300"/>
      <c r="I31" s="314"/>
      <c r="J31" s="321"/>
      <c r="Q31" s="316"/>
      <c r="R31" s="316"/>
      <c r="S31" s="316"/>
      <c r="T31" s="316"/>
    </row>
    <row r="32" spans="1:20" x14ac:dyDescent="0.25">
      <c r="A32" s="300"/>
      <c r="I32" s="314"/>
      <c r="J32" s="321"/>
      <c r="Q32" s="316"/>
      <c r="R32" s="316"/>
      <c r="S32" s="316"/>
      <c r="T32" s="316"/>
    </row>
    <row r="33" spans="1:20" x14ac:dyDescent="0.25">
      <c r="A33" s="300"/>
      <c r="I33" s="314"/>
      <c r="J33" s="321"/>
      <c r="Q33" s="316"/>
      <c r="R33" s="316"/>
      <c r="S33" s="316"/>
      <c r="T33" s="316"/>
    </row>
    <row r="34" spans="1:20" x14ac:dyDescent="0.25">
      <c r="A34" s="300"/>
      <c r="I34" s="314"/>
      <c r="J34" s="321"/>
      <c r="Q34" s="316"/>
      <c r="R34" s="316"/>
      <c r="S34" s="316"/>
      <c r="T34" s="316"/>
    </row>
    <row r="35" spans="1:20" x14ac:dyDescent="0.25">
      <c r="A35" s="300"/>
      <c r="I35" s="314"/>
      <c r="J35" s="321"/>
      <c r="Q35" s="316"/>
      <c r="R35" s="316"/>
      <c r="S35" s="316"/>
      <c r="T35" s="316"/>
    </row>
    <row r="36" spans="1:20" x14ac:dyDescent="0.25">
      <c r="A36" s="300"/>
      <c r="I36" s="314"/>
      <c r="J36" s="321"/>
      <c r="Q36" s="316"/>
      <c r="R36" s="316"/>
      <c r="S36" s="316"/>
      <c r="T36" s="316"/>
    </row>
    <row r="37" spans="1:20" x14ac:dyDescent="0.25">
      <c r="A37" s="300"/>
      <c r="I37" s="314"/>
      <c r="J37" s="321"/>
      <c r="Q37" s="316"/>
      <c r="R37" s="316"/>
      <c r="S37" s="316"/>
      <c r="T37" s="316"/>
    </row>
    <row r="38" spans="1:20" x14ac:dyDescent="0.25">
      <c r="A38" s="300"/>
      <c r="J38" s="321"/>
      <c r="Q38" s="316"/>
      <c r="R38" s="316"/>
      <c r="S38" s="316"/>
      <c r="T38" s="316"/>
    </row>
    <row r="39" spans="1:20" x14ac:dyDescent="0.25">
      <c r="A39" s="300"/>
      <c r="J39" s="321"/>
      <c r="Q39" s="316"/>
      <c r="R39" s="316"/>
      <c r="S39" s="316"/>
      <c r="T39" s="316"/>
    </row>
    <row r="40" spans="1:20" x14ac:dyDescent="0.25">
      <c r="J40" s="321"/>
      <c r="Q40" s="316"/>
      <c r="R40" s="316"/>
      <c r="S40" s="316"/>
      <c r="T40" s="316"/>
    </row>
    <row r="41" spans="1:20" x14ac:dyDescent="0.25">
      <c r="I41" s="314"/>
      <c r="J41" s="321"/>
      <c r="Q41" s="316"/>
      <c r="R41" s="316"/>
      <c r="S41" s="316"/>
      <c r="T41" s="316"/>
    </row>
    <row r="42" spans="1:20" x14ac:dyDescent="0.25">
      <c r="I42" s="314"/>
      <c r="J42" s="321"/>
      <c r="Q42" s="316"/>
      <c r="R42" s="316"/>
      <c r="S42" s="316"/>
      <c r="T42" s="316"/>
    </row>
    <row r="43" spans="1:20" x14ac:dyDescent="0.25">
      <c r="J43" s="321"/>
      <c r="Q43" s="316"/>
      <c r="R43" s="316"/>
      <c r="S43" s="316"/>
      <c r="T43" s="316"/>
    </row>
    <row r="44" spans="1:20" x14ac:dyDescent="0.25">
      <c r="J44" s="321"/>
      <c r="Q44" s="316"/>
      <c r="R44" s="316"/>
      <c r="S44" s="316"/>
      <c r="T44" s="316"/>
    </row>
    <row r="45" spans="1:20" x14ac:dyDescent="0.25">
      <c r="J45" s="321"/>
      <c r="Q45" s="316"/>
      <c r="R45" s="316"/>
      <c r="S45" s="316"/>
      <c r="T45" s="316"/>
    </row>
    <row r="46" spans="1:20" x14ac:dyDescent="0.25">
      <c r="J46" s="321"/>
      <c r="Q46" s="316"/>
      <c r="R46" s="316"/>
      <c r="S46" s="316"/>
      <c r="T46" s="316"/>
    </row>
    <row r="47" spans="1:20" x14ac:dyDescent="0.25">
      <c r="J47" s="321"/>
      <c r="Q47" s="316"/>
      <c r="R47" s="316"/>
      <c r="S47" s="316"/>
      <c r="T47" s="316"/>
    </row>
    <row r="48" spans="1:20" x14ac:dyDescent="0.25">
      <c r="J48" s="321"/>
      <c r="Q48" s="316"/>
      <c r="R48" s="316"/>
      <c r="S48" s="316"/>
      <c r="T48" s="316"/>
    </row>
    <row r="49" spans="10:20" x14ac:dyDescent="0.25">
      <c r="J49" s="321"/>
      <c r="Q49" s="316"/>
      <c r="R49" s="316"/>
      <c r="S49" s="316"/>
      <c r="T49" s="316"/>
    </row>
    <row r="50" spans="10:20" x14ac:dyDescent="0.25">
      <c r="J50" s="321"/>
      <c r="Q50" s="316"/>
      <c r="R50" s="316"/>
      <c r="S50" s="316"/>
      <c r="T50" s="316"/>
    </row>
    <row r="51" spans="10:20" x14ac:dyDescent="0.25">
      <c r="J51" s="321"/>
      <c r="Q51" s="316"/>
      <c r="R51" s="316"/>
      <c r="S51" s="316"/>
      <c r="T51" s="316"/>
    </row>
    <row r="52" spans="10:20" x14ac:dyDescent="0.25">
      <c r="J52" s="321"/>
      <c r="Q52" s="316"/>
      <c r="R52" s="316"/>
      <c r="S52" s="316"/>
      <c r="T52" s="316"/>
    </row>
    <row r="53" spans="10:20" x14ac:dyDescent="0.25">
      <c r="J53" s="321"/>
      <c r="Q53" s="316"/>
      <c r="R53" s="316"/>
      <c r="S53" s="316"/>
      <c r="T53" s="316"/>
    </row>
    <row r="54" spans="10:20" x14ac:dyDescent="0.25">
      <c r="J54" s="321"/>
      <c r="Q54" s="316"/>
      <c r="R54" s="316"/>
      <c r="S54" s="316"/>
      <c r="T54" s="316"/>
    </row>
    <row r="55" spans="10:20" x14ac:dyDescent="0.25">
      <c r="J55" s="321"/>
      <c r="Q55" s="316"/>
      <c r="R55" s="316"/>
      <c r="S55" s="316"/>
      <c r="T55" s="316"/>
    </row>
    <row r="56" spans="10:20" x14ac:dyDescent="0.25">
      <c r="J56" s="321"/>
      <c r="Q56" s="316"/>
      <c r="R56" s="316"/>
      <c r="S56" s="316"/>
      <c r="T56" s="316"/>
    </row>
    <row r="57" spans="10:20" x14ac:dyDescent="0.25">
      <c r="J57" s="321"/>
      <c r="Q57" s="316"/>
      <c r="R57" s="316"/>
      <c r="S57" s="316"/>
      <c r="T57" s="316"/>
    </row>
    <row r="58" spans="10:20" x14ac:dyDescent="0.25">
      <c r="J58" s="321"/>
      <c r="Q58" s="316"/>
      <c r="R58" s="316"/>
      <c r="S58" s="316"/>
      <c r="T58" s="316"/>
    </row>
    <row r="59" spans="10:20" x14ac:dyDescent="0.25">
      <c r="J59" s="321"/>
      <c r="Q59" s="316"/>
      <c r="R59" s="316"/>
      <c r="S59" s="316"/>
      <c r="T59" s="316"/>
    </row>
    <row r="60" spans="10:20" x14ac:dyDescent="0.25">
      <c r="J60" s="321"/>
      <c r="Q60" s="316"/>
      <c r="R60" s="316"/>
      <c r="S60" s="316"/>
      <c r="T60" s="316"/>
    </row>
    <row r="61" spans="10:20" x14ac:dyDescent="0.25">
      <c r="J61" s="321"/>
      <c r="Q61" s="316"/>
      <c r="R61" s="316"/>
      <c r="S61" s="316"/>
      <c r="T61" s="316"/>
    </row>
    <row r="62" spans="10:20" x14ac:dyDescent="0.25">
      <c r="J62" s="321"/>
      <c r="Q62" s="316"/>
      <c r="R62" s="316"/>
      <c r="S62" s="316"/>
      <c r="T62" s="316"/>
    </row>
    <row r="63" spans="10:20" x14ac:dyDescent="0.25">
      <c r="J63" s="321"/>
      <c r="Q63" s="316"/>
      <c r="R63" s="316"/>
      <c r="S63" s="316"/>
      <c r="T63" s="316"/>
    </row>
    <row r="64" spans="10:20" x14ac:dyDescent="0.25">
      <c r="J64" s="321"/>
      <c r="Q64" s="316"/>
      <c r="R64" s="316"/>
      <c r="S64" s="316"/>
      <c r="T64" s="316"/>
    </row>
    <row r="65" spans="10:20" x14ac:dyDescent="0.25">
      <c r="J65" s="321"/>
      <c r="Q65" s="316"/>
      <c r="R65" s="316"/>
      <c r="S65" s="316"/>
      <c r="T65" s="316"/>
    </row>
    <row r="66" spans="10:20" x14ac:dyDescent="0.25">
      <c r="J66" s="321"/>
      <c r="Q66" s="316"/>
      <c r="R66" s="316"/>
      <c r="S66" s="316"/>
      <c r="T66" s="316"/>
    </row>
    <row r="67" spans="10:20" x14ac:dyDescent="0.25">
      <c r="J67" s="321"/>
      <c r="Q67" s="316"/>
      <c r="R67" s="316"/>
      <c r="S67" s="316"/>
      <c r="T67" s="316"/>
    </row>
    <row r="68" spans="10:20" x14ac:dyDescent="0.25">
      <c r="J68" s="321"/>
      <c r="Q68" s="316"/>
      <c r="R68" s="316"/>
      <c r="S68" s="316"/>
      <c r="T68" s="316"/>
    </row>
    <row r="69" spans="10:20" x14ac:dyDescent="0.25">
      <c r="J69" s="321"/>
      <c r="Q69" s="316"/>
      <c r="R69" s="316"/>
      <c r="S69" s="316"/>
      <c r="T69" s="316"/>
    </row>
    <row r="70" spans="10:20" x14ac:dyDescent="0.25">
      <c r="P70" s="322"/>
      <c r="Q70" s="322"/>
      <c r="R70" s="322"/>
      <c r="S70" s="322"/>
      <c r="T70" s="322"/>
    </row>
    <row r="71" spans="10:20" x14ac:dyDescent="0.25">
      <c r="P71" s="322"/>
      <c r="Q71" s="323"/>
      <c r="R71" s="323"/>
      <c r="S71" s="323"/>
      <c r="T71" s="323"/>
    </row>
    <row r="72" spans="10:20" x14ac:dyDescent="0.25">
      <c r="P72" s="322"/>
      <c r="Q72" s="322"/>
      <c r="R72" s="322"/>
      <c r="S72" s="322"/>
      <c r="T72" s="322"/>
    </row>
    <row r="73" spans="10:20" x14ac:dyDescent="0.25">
      <c r="P73" s="322"/>
      <c r="Q73" s="322"/>
      <c r="R73" s="322"/>
      <c r="S73" s="322"/>
      <c r="T73" s="322"/>
    </row>
    <row r="74" spans="10:20" x14ac:dyDescent="0.25">
      <c r="P74" s="322"/>
      <c r="Q74" s="324"/>
      <c r="R74" s="324"/>
      <c r="S74" s="324"/>
      <c r="T74" s="324"/>
    </row>
    <row r="75" spans="10:20" x14ac:dyDescent="0.25">
      <c r="P75" s="322"/>
      <c r="Q75" s="325"/>
      <c r="R75" s="325"/>
      <c r="S75" s="325"/>
      <c r="T75" s="325"/>
    </row>
    <row r="76" spans="10:20" x14ac:dyDescent="0.25">
      <c r="P76" s="322"/>
      <c r="Q76" s="322"/>
      <c r="R76" s="322"/>
      <c r="S76" s="322"/>
      <c r="T76" s="322"/>
    </row>
    <row r="77" spans="10:20" x14ac:dyDescent="0.25">
      <c r="P77" s="322"/>
      <c r="Q77" s="324"/>
      <c r="R77" s="324"/>
      <c r="S77" s="322"/>
      <c r="T77" s="322"/>
    </row>
    <row r="78" spans="10:20" x14ac:dyDescent="0.25">
      <c r="P78" s="322"/>
      <c r="Q78" s="325"/>
      <c r="R78" s="325"/>
      <c r="S78" s="322"/>
      <c r="T78" s="322"/>
    </row>
    <row r="79" spans="10:20" x14ac:dyDescent="0.25">
      <c r="P79" s="322"/>
      <c r="Q79" s="322"/>
      <c r="R79" s="322"/>
      <c r="S79" s="322"/>
      <c r="T79" s="322"/>
    </row>
    <row r="80" spans="10:20" x14ac:dyDescent="0.25">
      <c r="P80" s="322"/>
      <c r="Q80" s="322"/>
      <c r="R80" s="322"/>
      <c r="S80" s="322"/>
      <c r="T80" s="322"/>
    </row>
    <row r="81" spans="16:20" x14ac:dyDescent="0.25">
      <c r="P81" s="322"/>
      <c r="Q81" s="326"/>
      <c r="R81" s="327"/>
      <c r="S81" s="322"/>
      <c r="T81" s="322"/>
    </row>
    <row r="82" spans="16:20" x14ac:dyDescent="0.25">
      <c r="P82" s="322"/>
      <c r="Q82" s="322"/>
      <c r="R82" s="322"/>
      <c r="S82" s="322"/>
      <c r="T82" s="322"/>
    </row>
    <row r="83" spans="16:20" x14ac:dyDescent="0.25">
      <c r="P83" s="322"/>
      <c r="Q83" s="324"/>
      <c r="R83" s="323"/>
      <c r="S83" s="322"/>
      <c r="T83" s="322"/>
    </row>
    <row r="84" spans="16:20" x14ac:dyDescent="0.25">
      <c r="P84" s="322"/>
      <c r="Q84" s="324"/>
      <c r="R84" s="323"/>
      <c r="S84" s="322"/>
      <c r="T84" s="322"/>
    </row>
    <row r="85" spans="16:20" x14ac:dyDescent="0.25">
      <c r="P85" s="322"/>
      <c r="Q85" s="322"/>
      <c r="R85" s="322"/>
      <c r="S85" s="322"/>
      <c r="T85" s="322"/>
    </row>
    <row r="86" spans="16:20" x14ac:dyDescent="0.25">
      <c r="P86" s="322"/>
      <c r="Q86" s="322"/>
      <c r="R86" s="322"/>
      <c r="S86" s="322"/>
      <c r="T86" s="322"/>
    </row>
  </sheetData>
  <sheetProtection password="8FE7" sheet="1" objects="1" scenarios="1"/>
  <mergeCells count="8">
    <mergeCell ref="C7:E7"/>
    <mergeCell ref="C11:F11"/>
    <mergeCell ref="G11:G12"/>
    <mergeCell ref="I6:L6"/>
    <mergeCell ref="I7:J7"/>
    <mergeCell ref="K7:L7"/>
    <mergeCell ref="I15:K15"/>
    <mergeCell ref="I16:K16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CS108"/>
  <sheetViews>
    <sheetView topLeftCell="BV46" zoomScale="85" zoomScaleNormal="85" workbookViewId="0">
      <selection activeCell="CE9" sqref="CE9"/>
    </sheetView>
  </sheetViews>
  <sheetFormatPr baseColWidth="10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s="130" customFormat="1" ht="15" customHeight="1" x14ac:dyDescent="0.25">
      <c r="A1" s="66"/>
      <c r="B1" s="392"/>
      <c r="C1" s="392"/>
      <c r="D1" s="392"/>
      <c r="E1" s="392"/>
      <c r="F1" s="393"/>
      <c r="T1" s="131"/>
      <c r="AB1" s="382" t="s">
        <v>68</v>
      </c>
      <c r="AC1" s="383"/>
      <c r="AD1" s="383"/>
      <c r="AE1" s="383"/>
      <c r="AF1" s="383"/>
      <c r="AG1" s="383"/>
      <c r="AH1" s="383"/>
      <c r="AI1" s="391"/>
      <c r="AP1" s="382" t="s">
        <v>49</v>
      </c>
      <c r="AQ1" s="383"/>
      <c r="AR1" s="383"/>
      <c r="AS1" s="383"/>
      <c r="AT1" s="383"/>
      <c r="AU1" s="383"/>
      <c r="AV1" s="383"/>
      <c r="AW1" s="391"/>
      <c r="AY1" s="394" t="s">
        <v>62</v>
      </c>
      <c r="AZ1" s="395"/>
      <c r="BB1" s="382" t="s">
        <v>154</v>
      </c>
      <c r="BC1" s="383"/>
      <c r="BD1" s="383"/>
      <c r="BE1" s="383"/>
      <c r="BF1" s="383"/>
      <c r="BG1" s="383"/>
      <c r="BH1" s="383"/>
      <c r="BI1" s="383"/>
      <c r="BJ1" s="383"/>
      <c r="BK1" s="383"/>
      <c r="BM1" s="382" t="s">
        <v>182</v>
      </c>
      <c r="BN1" s="383"/>
      <c r="BO1" s="383"/>
      <c r="BP1" s="383"/>
      <c r="BQ1" s="383"/>
      <c r="BR1" s="383"/>
      <c r="BS1" s="383"/>
      <c r="BT1" s="383"/>
      <c r="BU1" s="383"/>
      <c r="BV1" s="383"/>
      <c r="BZ1" s="199"/>
      <c r="CA1" s="253">
        <v>14.507569019635927</v>
      </c>
      <c r="CB1" s="130">
        <v>85</v>
      </c>
    </row>
    <row r="2" spans="1:97" s="130" customFormat="1" ht="15" customHeight="1" x14ac:dyDescent="0.25">
      <c r="B2" s="138"/>
      <c r="C2" s="139"/>
      <c r="D2" s="139"/>
      <c r="E2" s="139"/>
      <c r="F2" s="140"/>
      <c r="G2" s="398" t="s">
        <v>67</v>
      </c>
      <c r="H2" s="398"/>
      <c r="I2" s="398"/>
      <c r="J2" s="398"/>
      <c r="K2" s="390"/>
      <c r="L2" s="382" t="s">
        <v>50</v>
      </c>
      <c r="M2" s="383"/>
      <c r="N2" s="383"/>
      <c r="O2" s="383"/>
      <c r="P2" s="391"/>
      <c r="Q2" s="399" t="s">
        <v>51</v>
      </c>
      <c r="R2" s="400"/>
      <c r="S2" s="400"/>
      <c r="T2" s="400"/>
      <c r="U2" s="401"/>
      <c r="V2" s="382" t="s">
        <v>52</v>
      </c>
      <c r="W2" s="383"/>
      <c r="X2" s="383"/>
      <c r="Y2" s="383"/>
      <c r="Z2" s="391"/>
      <c r="AB2" s="382" t="s">
        <v>0</v>
      </c>
      <c r="AC2" s="391"/>
      <c r="AD2" s="399" t="s">
        <v>31</v>
      </c>
      <c r="AE2" s="401"/>
      <c r="AF2" s="382" t="s">
        <v>10</v>
      </c>
      <c r="AG2" s="391"/>
      <c r="AH2" s="399" t="s">
        <v>11</v>
      </c>
      <c r="AI2" s="401"/>
      <c r="AK2" s="382" t="s">
        <v>61</v>
      </c>
      <c r="AL2" s="383"/>
      <c r="AM2" s="383"/>
      <c r="AN2" s="391"/>
      <c r="AP2" s="382" t="s">
        <v>0</v>
      </c>
      <c r="AQ2" s="391"/>
      <c r="AR2" s="389" t="s">
        <v>31</v>
      </c>
      <c r="AS2" s="390"/>
      <c r="AT2" s="382" t="s">
        <v>10</v>
      </c>
      <c r="AU2" s="391"/>
      <c r="AV2" s="389" t="s">
        <v>11</v>
      </c>
      <c r="AW2" s="390"/>
      <c r="AY2" s="396"/>
      <c r="AZ2" s="397"/>
      <c r="BB2" s="384" t="s">
        <v>63</v>
      </c>
      <c r="BC2" s="385"/>
      <c r="BD2" s="385"/>
      <c r="BE2" s="385"/>
      <c r="BF2" s="386"/>
      <c r="BG2" s="387" t="s">
        <v>64</v>
      </c>
      <c r="BH2" s="388"/>
      <c r="BI2" s="388"/>
      <c r="BJ2" s="388"/>
      <c r="BK2" s="388"/>
      <c r="BM2" s="384" t="s">
        <v>63</v>
      </c>
      <c r="BN2" s="385"/>
      <c r="BO2" s="385"/>
      <c r="BP2" s="385"/>
      <c r="BQ2" s="386"/>
      <c r="BR2" s="387" t="s">
        <v>64</v>
      </c>
      <c r="BS2" s="388"/>
      <c r="BT2" s="388"/>
      <c r="BU2" s="388"/>
      <c r="BV2" s="388"/>
      <c r="CA2" s="253">
        <v>25.730715138811671</v>
      </c>
      <c r="CB2" s="130">
        <v>3</v>
      </c>
    </row>
    <row r="3" spans="1:97" s="130" customFormat="1" ht="42" customHeight="1" x14ac:dyDescent="0.25">
      <c r="A3" s="148" t="s">
        <v>167</v>
      </c>
      <c r="B3" s="137" t="s">
        <v>30</v>
      </c>
      <c r="C3" s="20" t="s">
        <v>0</v>
      </c>
      <c r="D3" s="20" t="s">
        <v>31</v>
      </c>
      <c r="E3" s="20" t="s">
        <v>10</v>
      </c>
      <c r="F3" s="21" t="s">
        <v>11</v>
      </c>
      <c r="G3" s="132" t="s">
        <v>136</v>
      </c>
      <c r="H3" s="132" t="s">
        <v>124</v>
      </c>
      <c r="I3" s="133" t="s">
        <v>125</v>
      </c>
      <c r="J3" s="133" t="s">
        <v>137</v>
      </c>
      <c r="K3" s="133" t="s">
        <v>127</v>
      </c>
      <c r="L3" s="129" t="s">
        <v>123</v>
      </c>
      <c r="M3" s="129" t="s">
        <v>124</v>
      </c>
      <c r="N3" s="129" t="s">
        <v>125</v>
      </c>
      <c r="O3" s="129" t="s">
        <v>126</v>
      </c>
      <c r="P3" s="129" t="s">
        <v>127</v>
      </c>
      <c r="Q3" s="132" t="s">
        <v>123</v>
      </c>
      <c r="R3" s="132" t="s">
        <v>124</v>
      </c>
      <c r="S3" s="132" t="s">
        <v>125</v>
      </c>
      <c r="T3" s="132" t="s">
        <v>126</v>
      </c>
      <c r="U3" s="132" t="s">
        <v>127</v>
      </c>
      <c r="V3" s="129" t="s">
        <v>123</v>
      </c>
      <c r="W3" s="129" t="s">
        <v>124</v>
      </c>
      <c r="X3" s="129" t="s">
        <v>125</v>
      </c>
      <c r="Y3" s="129" t="s">
        <v>126</v>
      </c>
      <c r="Z3" s="129" t="s">
        <v>127</v>
      </c>
      <c r="AB3" s="143" t="s">
        <v>146</v>
      </c>
      <c r="AC3" s="143" t="s">
        <v>147</v>
      </c>
      <c r="AD3" s="144" t="s">
        <v>146</v>
      </c>
      <c r="AE3" s="144" t="s">
        <v>147</v>
      </c>
      <c r="AF3" s="143" t="s">
        <v>146</v>
      </c>
      <c r="AG3" s="143" t="s">
        <v>147</v>
      </c>
      <c r="AH3" s="144" t="s">
        <v>146</v>
      </c>
      <c r="AI3" s="144" t="s">
        <v>147</v>
      </c>
      <c r="AK3" s="134" t="s">
        <v>66</v>
      </c>
      <c r="AL3" s="134" t="s">
        <v>46</v>
      </c>
      <c r="AM3" s="134" t="s">
        <v>47</v>
      </c>
      <c r="AN3" s="134" t="s">
        <v>48</v>
      </c>
      <c r="AP3" s="143" t="s">
        <v>144</v>
      </c>
      <c r="AQ3" s="143" t="s">
        <v>145</v>
      </c>
      <c r="AR3" s="133" t="s">
        <v>144</v>
      </c>
      <c r="AS3" s="133" t="s">
        <v>145</v>
      </c>
      <c r="AT3" s="143" t="s">
        <v>144</v>
      </c>
      <c r="AU3" s="143" t="s">
        <v>145</v>
      </c>
      <c r="AV3" s="133" t="s">
        <v>144</v>
      </c>
      <c r="AW3" s="133" t="s">
        <v>145</v>
      </c>
      <c r="AY3" s="148" t="s">
        <v>148</v>
      </c>
      <c r="AZ3" s="148" t="s">
        <v>149</v>
      </c>
      <c r="BB3" s="21" t="s">
        <v>0</v>
      </c>
      <c r="BC3" s="21" t="s">
        <v>31</v>
      </c>
      <c r="BD3" s="21" t="s">
        <v>10</v>
      </c>
      <c r="BE3" s="21" t="s">
        <v>11</v>
      </c>
      <c r="BF3" s="21" t="s">
        <v>74</v>
      </c>
      <c r="BG3" s="146" t="s">
        <v>0</v>
      </c>
      <c r="BH3" s="146" t="s">
        <v>31</v>
      </c>
      <c r="BI3" s="146" t="s">
        <v>10</v>
      </c>
      <c r="BJ3" s="146" t="s">
        <v>11</v>
      </c>
      <c r="BK3" s="146" t="s">
        <v>74</v>
      </c>
      <c r="BM3" s="21" t="s">
        <v>0</v>
      </c>
      <c r="BN3" s="21" t="s">
        <v>31</v>
      </c>
      <c r="BO3" s="21" t="s">
        <v>10</v>
      </c>
      <c r="BP3" s="21" t="s">
        <v>11</v>
      </c>
      <c r="BQ3" s="21" t="s">
        <v>74</v>
      </c>
      <c r="BR3" s="146" t="s">
        <v>0</v>
      </c>
      <c r="BS3" s="146" t="s">
        <v>31</v>
      </c>
      <c r="BT3" s="146" t="s">
        <v>10</v>
      </c>
      <c r="BU3" s="146" t="s">
        <v>11</v>
      </c>
      <c r="BV3" s="146" t="s">
        <v>74</v>
      </c>
      <c r="CA3" s="253">
        <v>14.507569019635927</v>
      </c>
      <c r="CC3" s="2"/>
      <c r="CD3" s="146" t="s">
        <v>248</v>
      </c>
      <c r="CE3" s="146" t="s">
        <v>249</v>
      </c>
      <c r="CF3" s="146" t="s">
        <v>250</v>
      </c>
      <c r="CG3" s="146" t="s">
        <v>251</v>
      </c>
      <c r="CH3" s="146" t="s">
        <v>252</v>
      </c>
      <c r="CI3" s="146" t="s">
        <v>253</v>
      </c>
      <c r="CJ3" s="146" t="s">
        <v>254</v>
      </c>
      <c r="CK3" s="146" t="s">
        <v>256</v>
      </c>
      <c r="CL3" s="146" t="s">
        <v>255</v>
      </c>
      <c r="CM3" s="146" t="s">
        <v>257</v>
      </c>
    </row>
    <row r="4" spans="1:97" x14ac:dyDescent="0.25">
      <c r="A4">
        <v>1</v>
      </c>
      <c r="B4" s="135">
        <v>0.5</v>
      </c>
      <c r="C4" s="24">
        <v>1.0110045112736447E-4</v>
      </c>
      <c r="D4" s="24">
        <v>3.3663385203913922E-6</v>
      </c>
      <c r="E4" s="24">
        <v>7.8438329085359596E-64</v>
      </c>
      <c r="F4" s="24">
        <v>1.0086525533139971E-22</v>
      </c>
      <c r="G4" s="23">
        <v>26.580998417691195</v>
      </c>
      <c r="H4" s="23">
        <v>1.9708803563496182</v>
      </c>
      <c r="I4" s="23">
        <v>2.0392027297166647E-5</v>
      </c>
      <c r="J4" s="23">
        <v>-2.5133740045653662E-5</v>
      </c>
      <c r="K4">
        <v>3.2995068878907574E-2</v>
      </c>
      <c r="L4" s="23">
        <v>6.6795865188776675</v>
      </c>
      <c r="M4" s="23">
        <v>1.7297897673065721</v>
      </c>
      <c r="N4" s="23">
        <v>1.7605295293972405E-5</v>
      </c>
      <c r="O4" s="23">
        <v>-1.0238111231968087E-5</v>
      </c>
      <c r="P4" s="23">
        <v>1.8789379042058529E-2</v>
      </c>
      <c r="Q4" s="23">
        <v>3.3414693611361961</v>
      </c>
      <c r="R4" s="23">
        <v>0.90600262832240064</v>
      </c>
      <c r="S4" s="23">
        <v>8.8956709844828333E-6</v>
      </c>
      <c r="T4" s="23">
        <v>-5.0736686778081956E-6</v>
      </c>
      <c r="U4" s="23">
        <v>1.1011727835558887E-2</v>
      </c>
      <c r="V4" s="23">
        <v>2.2276845031799644</v>
      </c>
      <c r="W4" s="23">
        <v>0.60560452367184892</v>
      </c>
      <c r="X4" s="23">
        <v>5.8960174460977204E-6</v>
      </c>
      <c r="Y4" s="23">
        <v>-3.3885631397628233E-6</v>
      </c>
      <c r="Z4">
        <v>8.1679724248237707E-3</v>
      </c>
      <c r="AB4">
        <v>208266721270.02136</v>
      </c>
      <c r="AC4">
        <v>12330972643.697861</v>
      </c>
      <c r="AD4">
        <v>372132315458.05719</v>
      </c>
      <c r="AE4">
        <v>596978050673.55347</v>
      </c>
      <c r="AF4">
        <v>5517375776772.0449</v>
      </c>
      <c r="AG4">
        <v>12391292290719.75</v>
      </c>
      <c r="AH4">
        <v>28007953287459.289</v>
      </c>
      <c r="AI4">
        <v>70866465443911.656</v>
      </c>
      <c r="AK4">
        <v>0.10845204439135511</v>
      </c>
      <c r="AL4">
        <v>1.444449715421693E-3</v>
      </c>
      <c r="AM4">
        <v>7.2121739628462079E-61</v>
      </c>
      <c r="AN4">
        <v>9.274263956659609E-21</v>
      </c>
      <c r="AP4" s="147">
        <v>5.2073631221545558E-13</v>
      </c>
      <c r="AQ4" s="147">
        <v>8.7950924493197219E-12</v>
      </c>
      <c r="AR4" s="147">
        <v>3.8815487272147321E-15</v>
      </c>
      <c r="AS4" s="147">
        <v>2.4196027203880632E-15</v>
      </c>
      <c r="AT4" s="147">
        <v>1.3071746885918489E-73</v>
      </c>
      <c r="AU4" s="147">
        <v>5.8203565807640937E-74</v>
      </c>
      <c r="AV4" s="147">
        <v>3.3112965668977355E-34</v>
      </c>
      <c r="AW4" s="147">
        <v>1.30869571363057E-34</v>
      </c>
      <c r="AY4" s="147">
        <v>5.2461786094267035E-13</v>
      </c>
      <c r="AZ4" s="147">
        <v>8.7975120520401098E-12</v>
      </c>
      <c r="BB4">
        <v>5.2073631221545558E-13</v>
      </c>
      <c r="BC4">
        <v>3.8815487272147321E-15</v>
      </c>
      <c r="BD4">
        <v>1.3071746885918489E-73</v>
      </c>
      <c r="BE4">
        <v>3.3112965668977355E-34</v>
      </c>
      <c r="BF4">
        <v>5.2461786094267035E-13</v>
      </c>
      <c r="BG4">
        <v>8.7950924493197219E-12</v>
      </c>
      <c r="BH4">
        <v>2.4196027203880632E-15</v>
      </c>
      <c r="BI4">
        <v>5.8203565807640937E-74</v>
      </c>
      <c r="BJ4">
        <v>1.30869571363057E-34</v>
      </c>
      <c r="BK4">
        <v>8.7975120520401098E-12</v>
      </c>
      <c r="BM4" s="198" t="str">
        <f>IF((1/BB103)&gt;BM8,"&gt;20",1/BB103)</f>
        <v>&gt;20</v>
      </c>
      <c r="BN4" s="198">
        <f t="shared" ref="BN4:BV4" si="0">1/BC103</f>
        <v>97.65546311094981</v>
      </c>
      <c r="BO4" s="198">
        <f t="shared" si="0"/>
        <v>41.730606251243138</v>
      </c>
      <c r="BP4" s="198">
        <f t="shared" si="0"/>
        <v>2180.0545163554398</v>
      </c>
      <c r="BQ4" s="198">
        <f t="shared" si="0"/>
        <v>25.730715138811671</v>
      </c>
      <c r="BR4" s="198">
        <f t="shared" si="0"/>
        <v>29.47628915197679</v>
      </c>
      <c r="BS4" s="198">
        <f t="shared" si="0"/>
        <v>96.282944478589641</v>
      </c>
      <c r="BT4" s="198">
        <f t="shared" si="0"/>
        <v>41.450210397478465</v>
      </c>
      <c r="BU4" s="198">
        <f t="shared" si="0"/>
        <v>2030.1371066953222</v>
      </c>
      <c r="BV4" s="198">
        <f t="shared" si="0"/>
        <v>14.507569019635927</v>
      </c>
      <c r="CA4" s="253" t="s">
        <v>267</v>
      </c>
      <c r="CC4" s="146">
        <v>1</v>
      </c>
      <c r="CD4">
        <v>4200</v>
      </c>
      <c r="CE4">
        <v>480</v>
      </c>
      <c r="CF4">
        <v>120</v>
      </c>
      <c r="CJ4" s="135">
        <v>31.890228298563471</v>
      </c>
      <c r="CK4" s="135">
        <v>1016.9866609344984</v>
      </c>
      <c r="CL4" s="135">
        <v>52.871030920317459</v>
      </c>
      <c r="CM4" s="135">
        <v>2795.3459105771649</v>
      </c>
      <c r="CP4" s="135"/>
      <c r="CQ4" s="135"/>
      <c r="CR4" s="135"/>
      <c r="CS4" s="135"/>
    </row>
    <row r="5" spans="1:97" x14ac:dyDescent="0.25">
      <c r="A5">
        <v>2</v>
      </c>
      <c r="B5" s="135">
        <v>1</v>
      </c>
      <c r="C5" s="24">
        <v>0.31934053328052636</v>
      </c>
      <c r="D5" s="24">
        <v>1.1929659135301239E-2</v>
      </c>
      <c r="E5" s="24">
        <v>1.1563869899873462E-40</v>
      </c>
      <c r="F5" s="24">
        <v>5.5570753255017591E-12</v>
      </c>
      <c r="G5" s="23">
        <v>51.317034999430639</v>
      </c>
      <c r="H5" s="23">
        <v>3.9313497928228851</v>
      </c>
      <c r="I5" s="23">
        <v>4.0663225537286547E-5</v>
      </c>
      <c r="J5" s="23">
        <v>-4.7987156045384561E-5</v>
      </c>
      <c r="K5">
        <v>5.9445769368950303E-2</v>
      </c>
      <c r="L5" s="23">
        <v>13.359173037755335</v>
      </c>
      <c r="M5" s="23">
        <v>3.4595795346131442</v>
      </c>
      <c r="N5" s="23">
        <v>3.5210590587944811E-5</v>
      </c>
      <c r="O5" s="23">
        <v>-2.0476222463936173E-5</v>
      </c>
      <c r="P5" s="23">
        <v>3.2995068878907574E-2</v>
      </c>
      <c r="Q5" s="23">
        <v>6.6829387222723922</v>
      </c>
      <c r="R5" s="23">
        <v>1.8120052566448013</v>
      </c>
      <c r="S5" s="23">
        <v>1.7791341968965667E-5</v>
      </c>
      <c r="T5" s="23">
        <v>-1.0147337355616391E-5</v>
      </c>
      <c r="U5" s="23">
        <v>1.8789379042058529E-2</v>
      </c>
      <c r="V5" s="23">
        <v>4.4553690063599287</v>
      </c>
      <c r="W5" s="23">
        <v>1.2112090473436978</v>
      </c>
      <c r="X5" s="23">
        <v>1.1792034892195441E-5</v>
      </c>
      <c r="Y5" s="23">
        <v>-6.7771262795256466E-6</v>
      </c>
      <c r="Z5">
        <v>1.3696327422179981E-2</v>
      </c>
      <c r="AB5">
        <v>13634564324.567841</v>
      </c>
      <c r="AC5">
        <v>754480526.7112546</v>
      </c>
      <c r="AD5">
        <v>24078470826.350063</v>
      </c>
      <c r="AE5">
        <v>29888820873.547161</v>
      </c>
      <c r="AF5">
        <v>356996600834.01068</v>
      </c>
      <c r="AG5">
        <v>620393187406.5061</v>
      </c>
      <c r="AH5">
        <v>1812228226693.3997</v>
      </c>
      <c r="AI5">
        <v>3548061924897.7173</v>
      </c>
      <c r="AK5">
        <v>342.56161377231126</v>
      </c>
      <c r="AL5">
        <v>5.1188532105975479</v>
      </c>
      <c r="AM5">
        <v>1.0632638707901157E-37</v>
      </c>
      <c r="AN5">
        <v>5.1095675340742966E-10</v>
      </c>
      <c r="AP5" s="147">
        <v>2.5124500176001705E-8</v>
      </c>
      <c r="AQ5" s="147">
        <v>4.540363888058468E-7</v>
      </c>
      <c r="AR5" s="147">
        <v>2.1259046089404381E-10</v>
      </c>
      <c r="AS5" s="147">
        <v>1.7126313655042659E-10</v>
      </c>
      <c r="AT5" s="147">
        <v>2.9783585286418217E-49</v>
      </c>
      <c r="AU5" s="147">
        <v>1.7138548462064644E-49</v>
      </c>
      <c r="AV5" s="147">
        <v>2.8194945089213393E-22</v>
      </c>
      <c r="AW5" s="147">
        <v>1.4401010022454989E-22</v>
      </c>
      <c r="AY5" s="147">
        <v>2.533709063689603E-8</v>
      </c>
      <c r="AZ5" s="147">
        <v>4.5420765194239736E-7</v>
      </c>
      <c r="BB5">
        <v>2.512502091231392E-8</v>
      </c>
      <c r="BC5">
        <v>2.1259434244277104E-10</v>
      </c>
      <c r="BD5">
        <v>2.9783585286418217E-49</v>
      </c>
      <c r="BE5">
        <v>2.8194945089246505E-22</v>
      </c>
      <c r="BF5">
        <v>2.5337615254756972E-8</v>
      </c>
      <c r="BG5">
        <v>4.5404518389829614E-7</v>
      </c>
      <c r="BH5">
        <v>1.7126555615314697E-10</v>
      </c>
      <c r="BI5">
        <v>1.7138548462064644E-49</v>
      </c>
      <c r="BJ5">
        <v>1.4401010022468077E-22</v>
      </c>
      <c r="BK5">
        <v>4.5421644945444946E-7</v>
      </c>
      <c r="CA5" s="252">
        <v>3500</v>
      </c>
      <c r="CC5" s="146">
        <v>2</v>
      </c>
      <c r="CD5">
        <v>4200</v>
      </c>
      <c r="CE5">
        <v>480</v>
      </c>
      <c r="CF5">
        <v>80</v>
      </c>
      <c r="CJ5" s="135">
        <v>31.890228298563471</v>
      </c>
      <c r="CK5" s="135">
        <v>1016.9866609344984</v>
      </c>
      <c r="CL5" s="135">
        <v>26.01329011570683</v>
      </c>
      <c r="CM5" s="250">
        <v>676.69126264393071</v>
      </c>
      <c r="CP5" s="135"/>
      <c r="CQ5" s="135"/>
      <c r="CR5" s="135"/>
      <c r="CS5" s="250"/>
    </row>
    <row r="6" spans="1:97" x14ac:dyDescent="0.25">
      <c r="A6">
        <v>3</v>
      </c>
      <c r="B6" s="135">
        <v>1.5</v>
      </c>
      <c r="C6" s="24">
        <v>5.7771608833961974</v>
      </c>
      <c r="D6" s="24">
        <v>0.35349637237616993</v>
      </c>
      <c r="E6" s="24">
        <v>1.5763419130999663E-29</v>
      </c>
      <c r="F6" s="24">
        <v>3.0223278662642768E-7</v>
      </c>
      <c r="G6" s="23">
        <v>74.382541315335814</v>
      </c>
      <c r="H6" s="23">
        <v>5.8814851391360277</v>
      </c>
      <c r="I6" s="23">
        <v>6.0814527871635913E-5</v>
      </c>
      <c r="J6" s="23">
        <v>-6.8797558785315205E-5</v>
      </c>
      <c r="K6">
        <v>8.4710317395116155E-2</v>
      </c>
      <c r="L6" s="23">
        <v>20.038759556633</v>
      </c>
      <c r="M6" s="23">
        <v>5.189369301919716</v>
      </c>
      <c r="N6" s="23">
        <v>5.2815885881917216E-5</v>
      </c>
      <c r="O6" s="23">
        <v>-3.071433369590426E-5</v>
      </c>
      <c r="P6" s="23">
        <v>4.6428228780325001E-2</v>
      </c>
      <c r="Q6" s="23">
        <v>10.024408083408586</v>
      </c>
      <c r="R6" s="23">
        <v>2.7180078849672022</v>
      </c>
      <c r="S6" s="23">
        <v>2.6687012953448505E-5</v>
      </c>
      <c r="T6" s="23">
        <v>-1.5221006033424588E-5</v>
      </c>
      <c r="U6" s="23">
        <v>2.6031992520947581E-2</v>
      </c>
      <c r="V6" s="23">
        <v>6.6830535095398931</v>
      </c>
      <c r="W6" s="23">
        <v>1.8168135710155477</v>
      </c>
      <c r="X6" s="23">
        <v>1.7688052338293175E-5</v>
      </c>
      <c r="Y6" s="23">
        <v>-1.0165689419288468E-5</v>
      </c>
      <c r="Z6">
        <v>1.8789379042058529E-2</v>
      </c>
      <c r="AB6">
        <v>2780734237.5811648</v>
      </c>
      <c r="AC6">
        <v>159144856.56142327</v>
      </c>
      <c r="AD6">
        <v>4853649700.447916</v>
      </c>
      <c r="AE6">
        <v>5185546620.8719101</v>
      </c>
      <c r="AF6">
        <v>71962063421.515701</v>
      </c>
      <c r="AG6">
        <v>107634818053.82986</v>
      </c>
      <c r="AH6">
        <v>365302308982.50867</v>
      </c>
      <c r="AI6">
        <v>615569299409.23889</v>
      </c>
      <c r="AK6">
        <v>6197.2513633274993</v>
      </c>
      <c r="AL6">
        <v>151.68044787783046</v>
      </c>
      <c r="AM6">
        <v>1.4494000872750278E-26</v>
      </c>
      <c r="AN6">
        <v>2.7789416983289915E-5</v>
      </c>
      <c r="AP6" s="147">
        <v>2.2286384939533842E-6</v>
      </c>
      <c r="AQ6" s="147">
        <v>3.8940946614480246E-5</v>
      </c>
      <c r="AR6" s="147">
        <v>3.1250802435089765E-8</v>
      </c>
      <c r="AS6" s="147">
        <v>2.9250618877345383E-8</v>
      </c>
      <c r="AT6" s="147">
        <v>2.0141169087734586E-37</v>
      </c>
      <c r="AU6" s="147">
        <v>1.3465903631203799E-37</v>
      </c>
      <c r="AV6" s="147">
        <v>7.607238251707991E-17</v>
      </c>
      <c r="AW6" s="147">
        <v>4.5144254286169544E-17</v>
      </c>
      <c r="AY6" s="147">
        <v>2.2598892964645466E-6</v>
      </c>
      <c r="AZ6" s="147">
        <v>3.8970197233402734E-5</v>
      </c>
      <c r="BB6">
        <v>2.2537635148656981E-6</v>
      </c>
      <c r="BC6">
        <v>3.146339677753254E-8</v>
      </c>
      <c r="BD6">
        <v>2.0141169087764371E-37</v>
      </c>
      <c r="BE6">
        <v>7.6072664466530801E-17</v>
      </c>
      <c r="BF6">
        <v>2.2852269117193034E-6</v>
      </c>
      <c r="BG6">
        <v>3.9394991798378541E-5</v>
      </c>
      <c r="BH6">
        <v>2.9421884433498532E-8</v>
      </c>
      <c r="BI6">
        <v>1.3465903631220938E-37</v>
      </c>
      <c r="BJ6">
        <v>4.5144398296269772E-17</v>
      </c>
      <c r="BK6">
        <v>3.9424413682857183E-5</v>
      </c>
      <c r="BM6" s="220">
        <v>20</v>
      </c>
      <c r="BN6" s="220">
        <f>$BM$6</f>
        <v>20</v>
      </c>
      <c r="BO6" s="220">
        <f t="shared" ref="BO6:BV6" si="1">$BM$6</f>
        <v>20</v>
      </c>
      <c r="BP6" s="220">
        <f t="shared" si="1"/>
        <v>20</v>
      </c>
      <c r="BQ6" s="220">
        <f t="shared" si="1"/>
        <v>20</v>
      </c>
      <c r="BR6" s="220">
        <f t="shared" si="1"/>
        <v>20</v>
      </c>
      <c r="BS6" s="220">
        <f t="shared" si="1"/>
        <v>20</v>
      </c>
      <c r="BT6" s="220">
        <f t="shared" si="1"/>
        <v>20</v>
      </c>
      <c r="BU6" s="220">
        <f t="shared" si="1"/>
        <v>20</v>
      </c>
      <c r="BV6" s="220">
        <f t="shared" si="1"/>
        <v>20</v>
      </c>
      <c r="CA6" s="252">
        <v>400</v>
      </c>
      <c r="CC6" s="146">
        <v>3</v>
      </c>
      <c r="CD6">
        <v>4200</v>
      </c>
      <c r="CE6">
        <v>320</v>
      </c>
      <c r="CF6">
        <v>120</v>
      </c>
      <c r="CJ6" s="135">
        <v>9.6295726059877307</v>
      </c>
      <c r="CK6" s="135">
        <v>92.728668573989339</v>
      </c>
      <c r="CL6" s="135">
        <v>29.941739638174983</v>
      </c>
      <c r="CM6" s="135">
        <v>896.50777256025901</v>
      </c>
      <c r="CP6" s="135"/>
      <c r="CQ6" s="135"/>
      <c r="CR6" s="135"/>
      <c r="CS6" s="135"/>
    </row>
    <row r="7" spans="1:97" x14ac:dyDescent="0.25">
      <c r="A7">
        <v>4</v>
      </c>
      <c r="B7" s="135">
        <v>2</v>
      </c>
      <c r="C7" s="24">
        <v>19.972095289182327</v>
      </c>
      <c r="D7" s="24">
        <v>2.0988683720889028</v>
      </c>
      <c r="E7" s="24">
        <v>1.0356803616722384E-22</v>
      </c>
      <c r="F7" s="24">
        <v>1.4041758223098125E-4</v>
      </c>
      <c r="G7" s="23">
        <v>95.931303744471151</v>
      </c>
      <c r="H7" s="23">
        <v>7.8213624975621219</v>
      </c>
      <c r="I7" s="23">
        <v>8.0846858398054018E-5</v>
      </c>
      <c r="J7" s="23">
        <v>-8.7772742991983529E-5</v>
      </c>
      <c r="K7">
        <v>0.1092759253487606</v>
      </c>
      <c r="L7" s="23">
        <v>26.71834607551067</v>
      </c>
      <c r="M7" s="23">
        <v>6.9191590692262883</v>
      </c>
      <c r="N7" s="23">
        <v>7.0421181175889621E-5</v>
      </c>
      <c r="O7" s="23">
        <v>-4.0952444927872347E-5</v>
      </c>
      <c r="P7" s="23">
        <v>5.9445769368950303E-2</v>
      </c>
      <c r="Q7" s="23">
        <v>13.365877444544784</v>
      </c>
      <c r="R7" s="23">
        <v>3.6240105132896026</v>
      </c>
      <c r="S7" s="23">
        <v>3.5582683937931333E-5</v>
      </c>
      <c r="T7" s="23">
        <v>-2.0294674711232783E-5</v>
      </c>
      <c r="U7" s="23">
        <v>3.2995068878907574E-2</v>
      </c>
      <c r="V7" s="23">
        <v>8.9107380127198574</v>
      </c>
      <c r="W7" s="23">
        <v>2.4224180946873957</v>
      </c>
      <c r="X7" s="23">
        <v>2.3584069784390882E-5</v>
      </c>
      <c r="Y7" s="23">
        <v>-1.3554252559051293E-5</v>
      </c>
      <c r="Z7">
        <v>2.3656222188772537E-2</v>
      </c>
      <c r="AB7">
        <v>903065058.16128385</v>
      </c>
      <c r="AC7">
        <v>55564103.353601232</v>
      </c>
      <c r="AD7">
        <v>1557974766.6411326</v>
      </c>
      <c r="AE7">
        <v>1496439629.9044099</v>
      </c>
      <c r="AF7">
        <v>23099128673.378292</v>
      </c>
      <c r="AG7">
        <v>31061143418.322823</v>
      </c>
      <c r="AH7">
        <v>117258519818.18355</v>
      </c>
      <c r="AI7">
        <v>177640345741.13834</v>
      </c>
      <c r="AK7">
        <v>21424.380808766829</v>
      </c>
      <c r="AL7">
        <v>900.59564847890636</v>
      </c>
      <c r="AM7">
        <v>9.5227767156475977E-20</v>
      </c>
      <c r="AN7">
        <v>1.291098423820353E-2</v>
      </c>
      <c r="AP7" s="147">
        <v>2.3724072385647015E-5</v>
      </c>
      <c r="AQ7" s="147">
        <v>3.8557952915077982E-4</v>
      </c>
      <c r="AR7" s="147">
        <v>5.7805534965146939E-7</v>
      </c>
      <c r="AS7" s="147">
        <v>6.0182558018490522E-7</v>
      </c>
      <c r="AT7" s="147">
        <v>4.1225696649859275E-30</v>
      </c>
      <c r="AU7" s="147">
        <v>3.0658165372077568E-30</v>
      </c>
      <c r="AV7" s="147">
        <v>1.1010700338212349E-13</v>
      </c>
      <c r="AW7" s="147">
        <v>7.2680472357432349E-14</v>
      </c>
      <c r="AY7" s="147">
        <v>2.4302127845405488E-5</v>
      </c>
      <c r="AZ7" s="147">
        <v>3.8618135480364521E-4</v>
      </c>
      <c r="BB7">
        <v>2.5977835900512713E-5</v>
      </c>
      <c r="BC7">
        <v>6.0951874642900194E-7</v>
      </c>
      <c r="BD7">
        <v>4.1225698663976183E-30</v>
      </c>
      <c r="BE7">
        <v>1.1018307604659002E-13</v>
      </c>
      <c r="BF7">
        <v>2.6587354757124791E-5</v>
      </c>
      <c r="BG7">
        <v>4.2497452094915838E-4</v>
      </c>
      <c r="BH7">
        <v>6.3124746461840372E-7</v>
      </c>
      <c r="BI7">
        <v>3.0658166718667932E-30</v>
      </c>
      <c r="BJ7">
        <v>7.2725616755728624E-14</v>
      </c>
      <c r="BK7">
        <v>4.2560576848650242E-4</v>
      </c>
      <c r="CA7" s="252">
        <v>100</v>
      </c>
      <c r="CC7" s="146">
        <v>4</v>
      </c>
      <c r="CD7">
        <v>4200</v>
      </c>
      <c r="CE7">
        <v>320</v>
      </c>
      <c r="CF7">
        <v>80</v>
      </c>
      <c r="CJ7" s="135">
        <v>9.6295726059877307</v>
      </c>
      <c r="CK7" s="135">
        <v>92.728668573989339</v>
      </c>
      <c r="CL7" s="135">
        <v>14.622222476086664</v>
      </c>
      <c r="CM7" s="135">
        <v>213.809390140174</v>
      </c>
      <c r="CP7" s="135"/>
      <c r="CQ7" s="135"/>
      <c r="CR7" s="135"/>
      <c r="CS7" s="135"/>
    </row>
    <row r="8" spans="1:97" x14ac:dyDescent="0.25">
      <c r="A8">
        <v>5</v>
      </c>
      <c r="B8" s="135">
        <v>2.5</v>
      </c>
      <c r="C8" s="24">
        <v>32.826251977169122</v>
      </c>
      <c r="D8" s="24">
        <v>5.8524242366189645</v>
      </c>
      <c r="E8" s="24">
        <v>4.8366706669799916E-18</v>
      </c>
      <c r="F8" s="24">
        <v>6.6090106342129151E-3</v>
      </c>
      <c r="G8" s="23">
        <v>116.09937336138088</v>
      </c>
      <c r="H8" s="23">
        <v>9.7510572513317033</v>
      </c>
      <c r="I8" s="23">
        <v>1.007611322671085E-4</v>
      </c>
      <c r="J8" s="23">
        <v>-1.0509527575862208E-4</v>
      </c>
      <c r="K8">
        <v>0.13332580931480353</v>
      </c>
      <c r="L8" s="23">
        <v>34.575184815249983</v>
      </c>
      <c r="M8" s="23">
        <v>8.6489488365328597</v>
      </c>
      <c r="N8" s="23">
        <v>8.802647646986202E-5</v>
      </c>
      <c r="O8" s="23">
        <v>-4.9955928184237537E-5</v>
      </c>
      <c r="P8" s="23">
        <v>7.2183635359869061E-2</v>
      </c>
      <c r="Q8" s="23">
        <v>16.707346805680974</v>
      </c>
      <c r="R8" s="23">
        <v>4.5300131416120024</v>
      </c>
      <c r="S8" s="23">
        <v>4.4478354922414162E-5</v>
      </c>
      <c r="T8" s="23">
        <v>-2.5368343389040982E-5</v>
      </c>
      <c r="U8" s="23">
        <v>3.977708656646485E-2</v>
      </c>
      <c r="V8" s="23">
        <v>11.138422515899819</v>
      </c>
      <c r="W8" s="23">
        <v>3.0280226183592465</v>
      </c>
      <c r="X8" s="23">
        <v>2.9480087230488626E-5</v>
      </c>
      <c r="Y8" s="23">
        <v>-1.6942815698814112E-5</v>
      </c>
      <c r="Z8">
        <v>2.8377676134295014E-2</v>
      </c>
      <c r="AB8">
        <v>378426003.03237784</v>
      </c>
      <c r="AC8">
        <v>25519296.01892456</v>
      </c>
      <c r="AD8">
        <v>645306245.03226781</v>
      </c>
      <c r="AE8">
        <v>634179365.59413862</v>
      </c>
      <c r="AF8">
        <v>9567556745.3965187</v>
      </c>
      <c r="AG8">
        <v>11845848736.09197</v>
      </c>
      <c r="AH8">
        <v>48567959341.887711</v>
      </c>
      <c r="AI8">
        <v>67747044490.168091</v>
      </c>
      <c r="AK8">
        <v>35213.236903808065</v>
      </c>
      <c r="AL8">
        <v>2511.1950185355754</v>
      </c>
      <c r="AM8">
        <v>4.447176610977291E-15</v>
      </c>
      <c r="AN8">
        <v>0.607679115198551</v>
      </c>
      <c r="AP8" s="147">
        <v>9.3051842689560765E-5</v>
      </c>
      <c r="AQ8" s="147">
        <v>1.3798670965568442E-3</v>
      </c>
      <c r="AR8" s="147">
        <v>3.8914779422443154E-6</v>
      </c>
      <c r="AS8" s="147">
        <v>3.9597551651383862E-6</v>
      </c>
      <c r="AT8" s="147">
        <v>4.6481842013814803E-25</v>
      </c>
      <c r="AU8" s="147">
        <v>3.7542068196663858E-25</v>
      </c>
      <c r="AV8" s="147">
        <v>1.251193427586435E-11</v>
      </c>
      <c r="AW8" s="147">
        <v>8.9698247321584862E-12</v>
      </c>
      <c r="AY8" s="147">
        <v>9.6943333143739358E-5</v>
      </c>
      <c r="AZ8" s="147">
        <v>1.3838268606918072E-3</v>
      </c>
      <c r="BB8">
        <v>1.1902967859007347E-4</v>
      </c>
      <c r="BC8">
        <v>4.5009966886733171E-6</v>
      </c>
      <c r="BD8">
        <v>4.6482254270801443E-25</v>
      </c>
      <c r="BE8">
        <v>1.2622117351910941E-11</v>
      </c>
      <c r="BF8">
        <v>1.2353068790086415E-4</v>
      </c>
      <c r="BG8">
        <v>1.8048416175060027E-3</v>
      </c>
      <c r="BH8">
        <v>4.5910026297567899E-6</v>
      </c>
      <c r="BI8">
        <v>3.7542374778331047E-25</v>
      </c>
      <c r="BJ8">
        <v>9.0425503489142147E-12</v>
      </c>
      <c r="BK8">
        <v>1.8094326291783099E-3</v>
      </c>
      <c r="BM8" s="220">
        <f>IF((1/BB103)&gt;BM6,BM6,1/BB103)</f>
        <v>20</v>
      </c>
      <c r="BN8" s="220">
        <f t="shared" ref="BN8:BV8" si="2">IF((1/BC103)&gt;BN6,BN6,1/BC103)</f>
        <v>20</v>
      </c>
      <c r="BO8" s="220">
        <f t="shared" si="2"/>
        <v>20</v>
      </c>
      <c r="BP8" s="220">
        <f t="shared" si="2"/>
        <v>20</v>
      </c>
      <c r="BQ8" s="220">
        <f t="shared" si="2"/>
        <v>20</v>
      </c>
      <c r="BR8" s="220">
        <f t="shared" si="2"/>
        <v>20</v>
      </c>
      <c r="BS8" s="220">
        <f t="shared" si="2"/>
        <v>20</v>
      </c>
      <c r="BT8" s="220">
        <f t="shared" si="2"/>
        <v>20</v>
      </c>
      <c r="BU8" s="220">
        <f t="shared" si="2"/>
        <v>20</v>
      </c>
      <c r="BV8" s="220">
        <f t="shared" si="2"/>
        <v>14.507569019635927</v>
      </c>
      <c r="CA8" s="252"/>
      <c r="CC8" s="146">
        <v>5</v>
      </c>
      <c r="CD8">
        <v>2800</v>
      </c>
      <c r="CE8">
        <v>480</v>
      </c>
      <c r="CF8">
        <v>120</v>
      </c>
      <c r="CJ8" s="135">
        <v>19.373926644212286</v>
      </c>
      <c r="CK8" s="135">
        <v>375.34903361531872</v>
      </c>
      <c r="CL8" s="135">
        <v>39.651209996392595</v>
      </c>
      <c r="CM8" s="135">
        <v>1572.2184541780241</v>
      </c>
      <c r="CP8" s="135"/>
      <c r="CQ8" s="135"/>
      <c r="CR8" s="135"/>
      <c r="CS8" s="135"/>
    </row>
    <row r="9" spans="1:97" x14ac:dyDescent="0.25">
      <c r="A9">
        <v>6</v>
      </c>
      <c r="B9" s="135">
        <v>3</v>
      </c>
      <c r="C9" s="24">
        <v>36.433346807019589</v>
      </c>
      <c r="D9" s="24">
        <v>10.73704767342532</v>
      </c>
      <c r="E9" s="24">
        <v>1.2541340929892088E-14</v>
      </c>
      <c r="F9" s="24">
        <v>8.5114240255030851E-2</v>
      </c>
      <c r="G9" s="23">
        <v>135.00750323402607</v>
      </c>
      <c r="H9" s="23">
        <v>11.670644072919284</v>
      </c>
      <c r="I9" s="23">
        <v>1.2055825578678564E-4</v>
      </c>
      <c r="J9" s="23">
        <v>-1.2092607407191923E-4</v>
      </c>
      <c r="K9">
        <v>0.15695305114217187</v>
      </c>
      <c r="L9" s="23">
        <v>41.085413569752269</v>
      </c>
      <c r="M9" s="23">
        <v>10.378738603839432</v>
      </c>
      <c r="N9" s="23">
        <v>1.0563177176383443E-4</v>
      </c>
      <c r="O9" s="23">
        <v>-5.9146921614286466E-5</v>
      </c>
      <c r="P9" s="23">
        <v>8.4710317395116155E-2</v>
      </c>
      <c r="Q9" s="23">
        <v>20.048816166817172</v>
      </c>
      <c r="R9" s="23">
        <v>5.4360157699344045</v>
      </c>
      <c r="S9" s="23">
        <v>5.337402590689701E-5</v>
      </c>
      <c r="T9" s="23">
        <v>-3.0442012066849176E-5</v>
      </c>
      <c r="U9" s="23">
        <v>4.6428228780325001E-2</v>
      </c>
      <c r="V9" s="23">
        <v>13.366107019079786</v>
      </c>
      <c r="W9" s="23">
        <v>3.6336271420310955</v>
      </c>
      <c r="X9" s="23">
        <v>3.537610467658635E-5</v>
      </c>
      <c r="Y9" s="23">
        <v>-2.0331378838576936E-5</v>
      </c>
      <c r="Z9">
        <v>3.2995068878907574E-2</v>
      </c>
      <c r="AB9">
        <v>186320438.93151137</v>
      </c>
      <c r="AC9">
        <v>13919444.025372786</v>
      </c>
      <c r="AD9">
        <v>314050830.46793348</v>
      </c>
      <c r="AE9">
        <v>305746304.83976007</v>
      </c>
      <c r="AF9">
        <v>4656237506.721489</v>
      </c>
      <c r="AG9">
        <v>5388938157.6726694</v>
      </c>
      <c r="AH9">
        <v>23636541692.991005</v>
      </c>
      <c r="AI9">
        <v>30819626457.855526</v>
      </c>
      <c r="AK9">
        <v>39082.624272989509</v>
      </c>
      <c r="AL9">
        <v>4607.1199798840089</v>
      </c>
      <c r="AM9">
        <v>1.1531394608790511E-11</v>
      </c>
      <c r="AN9">
        <v>7.8260043857735102</v>
      </c>
      <c r="AP9" s="147">
        <v>2.0976026300236283E-4</v>
      </c>
      <c r="AQ9" s="147">
        <v>2.8077719341195319E-3</v>
      </c>
      <c r="AR9" s="147">
        <v>1.4669981840262716E-5</v>
      </c>
      <c r="AS9" s="147">
        <v>1.5068440425792144E-5</v>
      </c>
      <c r="AT9" s="147">
        <v>2.4765477689109334E-21</v>
      </c>
      <c r="AU9" s="147">
        <v>2.1398268585384168E-21</v>
      </c>
      <c r="AV9" s="147">
        <v>3.3109769133841491E-10</v>
      </c>
      <c r="AW9" s="147">
        <v>2.5392924201969888E-10</v>
      </c>
      <c r="AY9" s="147">
        <v>2.2443057594031689E-4</v>
      </c>
      <c r="AZ9" s="147">
        <v>2.8228406284745663E-3</v>
      </c>
      <c r="BB9">
        <v>3.287899415924363E-4</v>
      </c>
      <c r="BC9">
        <v>1.9170978528936032E-5</v>
      </c>
      <c r="BD9">
        <v>2.4770125914536415E-21</v>
      </c>
      <c r="BE9">
        <v>3.4371980869032582E-10</v>
      </c>
      <c r="BF9">
        <v>3.4796126384118104E-4</v>
      </c>
      <c r="BG9">
        <v>4.612613551625535E-3</v>
      </c>
      <c r="BH9">
        <v>1.9659443055548933E-5</v>
      </c>
      <c r="BI9">
        <v>2.1402022822862001E-21</v>
      </c>
      <c r="BJ9">
        <v>2.6297179236861311E-10</v>
      </c>
      <c r="BK9">
        <v>4.6322732576528766E-3</v>
      </c>
      <c r="CA9" s="252"/>
      <c r="CC9" s="146">
        <v>6</v>
      </c>
      <c r="CD9">
        <v>2800</v>
      </c>
      <c r="CE9">
        <v>480</v>
      </c>
      <c r="CF9">
        <v>80</v>
      </c>
      <c r="CJ9" s="135">
        <v>19.373926644212286</v>
      </c>
      <c r="CK9" s="135">
        <v>375.34903361531872</v>
      </c>
      <c r="CL9" s="135">
        <v>19.451140607883548</v>
      </c>
      <c r="CM9" s="135">
        <v>378.34687094765638</v>
      </c>
      <c r="CP9" s="135"/>
      <c r="CQ9" s="135"/>
      <c r="CR9" s="135"/>
      <c r="CS9" s="135"/>
    </row>
    <row r="10" spans="1:97" x14ac:dyDescent="0.25">
      <c r="A10">
        <v>7</v>
      </c>
      <c r="B10" s="135">
        <v>3.5</v>
      </c>
      <c r="C10" s="24">
        <v>32.198756240991251</v>
      </c>
      <c r="D10" s="24">
        <v>15.251744787765858</v>
      </c>
      <c r="E10" s="24">
        <v>5.0477405694844542E-12</v>
      </c>
      <c r="F10" s="24">
        <v>0.48772439844907328</v>
      </c>
      <c r="G10" s="23">
        <v>152.76319953232559</v>
      </c>
      <c r="H10" s="23">
        <v>13.580196932215665</v>
      </c>
      <c r="I10" s="23">
        <v>1.4023912652572364E-4</v>
      </c>
      <c r="J10" s="23">
        <v>-1.3540740334212883E-4</v>
      </c>
      <c r="K10">
        <v>0.18021376973965436</v>
      </c>
      <c r="L10" s="23">
        <v>50.566926069839766</v>
      </c>
      <c r="M10" s="23">
        <v>12.108528371146004</v>
      </c>
      <c r="N10" s="23">
        <v>1.2323706705780684E-4</v>
      </c>
      <c r="O10" s="23">
        <v>-6.9810394666507399E-5</v>
      </c>
      <c r="P10" s="23">
        <v>9.706583703666502E-2</v>
      </c>
      <c r="Q10" s="23">
        <v>23.390285527953367</v>
      </c>
      <c r="R10" s="23">
        <v>6.3420183982568048</v>
      </c>
      <c r="S10" s="23">
        <v>6.2269696891379845E-5</v>
      </c>
      <c r="T10" s="23">
        <v>-3.5515680744657375E-5</v>
      </c>
      <c r="U10" s="23">
        <v>5.2978083286374412E-2</v>
      </c>
      <c r="V10" s="23">
        <v>15.593791522259746</v>
      </c>
      <c r="W10" s="23">
        <v>4.2392316657029436</v>
      </c>
      <c r="X10" s="23">
        <v>4.1272122122684057E-5</v>
      </c>
      <c r="Y10" s="23">
        <v>-2.3719941978339759E-5</v>
      </c>
      <c r="Z10">
        <v>3.7532861784335833E-2</v>
      </c>
      <c r="AB10">
        <v>102530988.06203623</v>
      </c>
      <c r="AC10">
        <v>8539115.2948710509</v>
      </c>
      <c r="AD10">
        <v>170828421.19669408</v>
      </c>
      <c r="AE10">
        <v>149407804.9112469</v>
      </c>
      <c r="AF10">
        <v>2532767389.2945824</v>
      </c>
      <c r="AG10">
        <v>2768809450.0234981</v>
      </c>
      <c r="AH10">
        <v>12857132375.50499</v>
      </c>
      <c r="AI10">
        <v>15834969800.350767</v>
      </c>
      <c r="AK10">
        <v>34540.112356128091</v>
      </c>
      <c r="AL10">
        <v>6544.3146269826993</v>
      </c>
      <c r="AM10">
        <v>4.6412491865833538E-9</v>
      </c>
      <c r="AN10">
        <v>44.844825846701802</v>
      </c>
      <c r="AP10" s="147">
        <v>3.3687486104424982E-4</v>
      </c>
      <c r="AQ10" s="147">
        <v>4.044928679774862E-3</v>
      </c>
      <c r="AR10" s="147">
        <v>3.8309284726383382E-5</v>
      </c>
      <c r="AS10" s="147">
        <v>4.3801691825070555E-5</v>
      </c>
      <c r="AT10" s="147">
        <v>1.8324814217842635E-18</v>
      </c>
      <c r="AU10" s="147">
        <v>1.6762616822706831E-18</v>
      </c>
      <c r="AV10" s="147">
        <v>3.4879337426857931E-9</v>
      </c>
      <c r="AW10" s="147">
        <v>2.8320120854103822E-9</v>
      </c>
      <c r="AY10" s="147">
        <v>3.7518763370437768E-4</v>
      </c>
      <c r="AZ10" s="147">
        <v>4.0887332036120203E-3</v>
      </c>
      <c r="BB10">
        <v>6.6566480263668612E-4</v>
      </c>
      <c r="BC10">
        <v>5.7480263255319411E-5</v>
      </c>
      <c r="BD10">
        <v>1.8349584343757172E-18</v>
      </c>
      <c r="BE10">
        <v>3.8316535513761188E-9</v>
      </c>
      <c r="BF10">
        <v>7.2314889754555877E-4</v>
      </c>
      <c r="BG10">
        <v>8.6575422314003961E-3</v>
      </c>
      <c r="BH10">
        <v>6.3461134880619485E-5</v>
      </c>
      <c r="BI10">
        <v>1.6784018845529693E-18</v>
      </c>
      <c r="BJ10">
        <v>3.0949838777789952E-9</v>
      </c>
      <c r="BK10">
        <v>8.721006461264896E-3</v>
      </c>
      <c r="CA10" s="252"/>
      <c r="CC10" s="146">
        <v>7</v>
      </c>
      <c r="CD10">
        <v>2800</v>
      </c>
      <c r="CE10">
        <v>320</v>
      </c>
      <c r="CF10">
        <v>120</v>
      </c>
      <c r="CJ10" s="135">
        <v>5.532779840733272</v>
      </c>
      <c r="CK10" s="135">
        <v>30.611652766024491</v>
      </c>
      <c r="CL10" s="135">
        <v>21.973457681569556</v>
      </c>
      <c r="CM10" s="135">
        <v>482.83284248372814</v>
      </c>
      <c r="CP10" s="135"/>
      <c r="CQ10" s="135"/>
      <c r="CR10" s="135"/>
      <c r="CS10" s="135"/>
    </row>
    <row r="11" spans="1:97" x14ac:dyDescent="0.25">
      <c r="A11">
        <v>8</v>
      </c>
      <c r="B11" s="135">
        <v>4</v>
      </c>
      <c r="C11" s="24">
        <v>24.732148373171594</v>
      </c>
      <c r="D11" s="24">
        <v>18.332820738567907</v>
      </c>
      <c r="E11" s="24">
        <v>5.6366985082697354E-10</v>
      </c>
      <c r="F11" s="24">
        <v>1.6272984625312026</v>
      </c>
      <c r="G11" s="23">
        <v>169.46245537122874</v>
      </c>
      <c r="H11" s="23">
        <v>15.479789104592131</v>
      </c>
      <c r="I11" s="23">
        <v>1.5980463341508377E-4</v>
      </c>
      <c r="J11" s="23">
        <v>-1.4866540186086896E-4</v>
      </c>
      <c r="K11">
        <v>0.20314594744052758</v>
      </c>
      <c r="L11" s="23">
        <v>59.081784386877615</v>
      </c>
      <c r="M11" s="23">
        <v>13.838318138452577</v>
      </c>
      <c r="N11" s="23">
        <v>1.4084236235177924E-4</v>
      </c>
      <c r="O11" s="23">
        <v>-7.977359097978667E-5</v>
      </c>
      <c r="P11" s="23">
        <v>0.1092759253487606</v>
      </c>
      <c r="Q11" s="23">
        <v>26.731754889089569</v>
      </c>
      <c r="R11" s="23">
        <v>7.2480210265792051</v>
      </c>
      <c r="S11" s="23">
        <v>7.1165367875862667E-5</v>
      </c>
      <c r="T11" s="23">
        <v>-4.0589349422465565E-5</v>
      </c>
      <c r="U11" s="23">
        <v>5.9445769368950303E-2</v>
      </c>
      <c r="V11" s="23">
        <v>17.821476025439715</v>
      </c>
      <c r="W11" s="23">
        <v>4.8448361893747913</v>
      </c>
      <c r="X11" s="23">
        <v>4.7168139568781763E-5</v>
      </c>
      <c r="Y11" s="23">
        <v>-2.7108505118102587E-5</v>
      </c>
      <c r="Z11">
        <v>4.2006924857768663E-2</v>
      </c>
      <c r="AB11">
        <v>61208322.137477919</v>
      </c>
      <c r="AC11">
        <v>5703760.4902726039</v>
      </c>
      <c r="AD11">
        <v>100807289.25834501</v>
      </c>
      <c r="AE11">
        <v>83960805.056923747</v>
      </c>
      <c r="AF11">
        <v>1494607355.4279473</v>
      </c>
      <c r="AG11">
        <v>1555134147.2443469</v>
      </c>
      <c r="AH11">
        <v>7587102036.832778</v>
      </c>
      <c r="AI11">
        <v>8893895626.1144867</v>
      </c>
      <c r="AK11">
        <v>26530.564634986004</v>
      </c>
      <c r="AL11">
        <v>7866.3620839957875</v>
      </c>
      <c r="AM11">
        <v>5.1827787118612698E-7</v>
      </c>
      <c r="AN11">
        <v>149.62531377326061</v>
      </c>
      <c r="AP11" s="147">
        <v>4.3344701681899742E-4</v>
      </c>
      <c r="AQ11" s="147">
        <v>4.651416320904809E-3</v>
      </c>
      <c r="AR11" s="147">
        <v>7.8033663456976603E-5</v>
      </c>
      <c r="AS11" s="147">
        <v>9.3690884439025468E-5</v>
      </c>
      <c r="AT11" s="147">
        <v>3.4676523523312228E-16</v>
      </c>
      <c r="AU11" s="147">
        <v>3.3326891580671706E-16</v>
      </c>
      <c r="AV11" s="147">
        <v>1.9721009819939293E-8</v>
      </c>
      <c r="AW11" s="147">
        <v>1.6823371901726269E-8</v>
      </c>
      <c r="AY11" s="147">
        <v>5.1150040128614073E-4</v>
      </c>
      <c r="AZ11" s="147">
        <v>4.7451240287160685E-3</v>
      </c>
      <c r="BB11">
        <v>1.0991118194556835E-3</v>
      </c>
      <c r="BC11">
        <v>1.3551392671229601E-4</v>
      </c>
      <c r="BD11">
        <v>3.4860019366749802E-16</v>
      </c>
      <c r="BE11">
        <v>2.3552663371315412E-8</v>
      </c>
      <c r="BF11">
        <v>1.2346492988316994E-3</v>
      </c>
      <c r="BG11">
        <v>1.3308958552305204E-2</v>
      </c>
      <c r="BH11">
        <v>1.5715201931964495E-4</v>
      </c>
      <c r="BI11">
        <v>3.3494731769127001E-16</v>
      </c>
      <c r="BJ11">
        <v>1.9918355779505265E-8</v>
      </c>
      <c r="BK11">
        <v>1.3466130489980964E-2</v>
      </c>
      <c r="CA11" s="199"/>
      <c r="CC11" s="146">
        <v>8</v>
      </c>
      <c r="CD11">
        <v>2800</v>
      </c>
      <c r="CE11">
        <v>320</v>
      </c>
      <c r="CF11">
        <v>80</v>
      </c>
      <c r="CJ11" s="135">
        <v>5.532779840733272</v>
      </c>
      <c r="CK11" s="135">
        <v>30.611652766024491</v>
      </c>
      <c r="CL11" s="135">
        <v>10.657548198947261</v>
      </c>
      <c r="CM11" s="135">
        <v>113.583333612884</v>
      </c>
      <c r="CP11" s="135"/>
      <c r="CQ11" s="135"/>
      <c r="CR11" s="135"/>
      <c r="CS11" s="135"/>
    </row>
    <row r="12" spans="1:97" x14ac:dyDescent="0.25">
      <c r="A12">
        <v>9</v>
      </c>
      <c r="B12" s="135">
        <v>4.5</v>
      </c>
      <c r="C12" s="24">
        <v>17.367074133946065</v>
      </c>
      <c r="D12" s="24">
        <v>19.658106154827941</v>
      </c>
      <c r="E12" s="24">
        <v>2.5995995894986197E-8</v>
      </c>
      <c r="F12" s="24">
        <v>3.7170737901928574</v>
      </c>
      <c r="G12" s="23">
        <v>185.1912226954679</v>
      </c>
      <c r="H12" s="23">
        <v>17.369493178852643</v>
      </c>
      <c r="I12" s="23">
        <v>1.7925565684896651E-4</v>
      </c>
      <c r="J12" s="23">
        <v>-1.608122151414743E-4</v>
      </c>
      <c r="K12">
        <v>0.22577752117402439</v>
      </c>
      <c r="L12" s="23">
        <v>66.721676792846452</v>
      </c>
      <c r="M12" s="23">
        <v>15.568107905759145</v>
      </c>
      <c r="N12" s="23">
        <v>1.5844765764575161E-4</v>
      </c>
      <c r="O12" s="23">
        <v>-8.9271814290724374E-5</v>
      </c>
      <c r="P12" s="23">
        <v>0.12135829802250524</v>
      </c>
      <c r="Q12" s="23">
        <v>30.073224250225753</v>
      </c>
      <c r="R12" s="23">
        <v>8.1540236549016036</v>
      </c>
      <c r="S12" s="23">
        <v>8.0061038860345488E-5</v>
      </c>
      <c r="T12" s="23">
        <v>-4.5663018100273755E-5</v>
      </c>
      <c r="U12" s="23">
        <v>6.584445264433246E-2</v>
      </c>
      <c r="V12" s="23">
        <v>20.049160528619677</v>
      </c>
      <c r="W12" s="23">
        <v>5.4504407130466435</v>
      </c>
      <c r="X12" s="23">
        <v>5.3064157014879518E-5</v>
      </c>
      <c r="Y12" s="23">
        <v>-3.049706825786541E-5</v>
      </c>
      <c r="Z12">
        <v>4.6428228780325001E-2</v>
      </c>
      <c r="AB12">
        <v>38883973.588749789</v>
      </c>
      <c r="AC12">
        <v>4062654.2177011902</v>
      </c>
      <c r="AD12">
        <v>63305212.786104739</v>
      </c>
      <c r="AE12">
        <v>51644258.702379547</v>
      </c>
      <c r="AF12">
        <v>938587252.59999907</v>
      </c>
      <c r="AG12">
        <v>934951237.18110085</v>
      </c>
      <c r="AH12">
        <v>4764567249.1071939</v>
      </c>
      <c r="AI12">
        <v>5347036288.6249352</v>
      </c>
      <c r="AK12">
        <v>18629.933634518427</v>
      </c>
      <c r="AL12">
        <v>8435.0238899233609</v>
      </c>
      <c r="AM12">
        <v>2.3902554646217043E-5</v>
      </c>
      <c r="AN12">
        <v>341.77401686404232</v>
      </c>
      <c r="AP12" s="147">
        <v>4.7911599343099503E-4</v>
      </c>
      <c r="AQ12" s="147">
        <v>4.5856557403647262E-3</v>
      </c>
      <c r="AR12" s="147">
        <v>1.3324374911152369E-4</v>
      </c>
      <c r="AS12" s="147">
        <v>1.6332936326056145E-4</v>
      </c>
      <c r="AT12" s="147">
        <v>2.5466523842087249E-14</v>
      </c>
      <c r="AU12" s="147">
        <v>2.556556288249191E-14</v>
      </c>
      <c r="AV12" s="147">
        <v>7.1732436335762805E-8</v>
      </c>
      <c r="AW12" s="147">
        <v>6.3918402347692737E-8</v>
      </c>
      <c r="AY12" s="147">
        <v>6.1243147500432101E-4</v>
      </c>
      <c r="AZ12" s="147">
        <v>4.7490490220532013E-3</v>
      </c>
      <c r="BB12">
        <v>1.5782278128866785E-3</v>
      </c>
      <c r="BC12">
        <v>2.6875767582381971E-4</v>
      </c>
      <c r="BD12">
        <v>2.5815124035754746E-14</v>
      </c>
      <c r="BE12">
        <v>9.528509970707822E-8</v>
      </c>
      <c r="BF12">
        <v>1.8470807738360205E-3</v>
      </c>
      <c r="BG12">
        <v>1.789461429266993E-2</v>
      </c>
      <c r="BH12">
        <v>3.204813825802064E-4</v>
      </c>
      <c r="BI12">
        <v>2.5900510200183178E-14</v>
      </c>
      <c r="BJ12">
        <v>8.3836758127198005E-8</v>
      </c>
      <c r="BK12">
        <v>1.8215179512034163E-2</v>
      </c>
      <c r="CA12" s="199"/>
      <c r="CC12" s="146">
        <v>9</v>
      </c>
      <c r="CJ12" s="135"/>
      <c r="CK12" s="135"/>
      <c r="CL12" s="135"/>
      <c r="CM12" s="135"/>
    </row>
    <row r="13" spans="1:97" x14ac:dyDescent="0.25">
      <c r="A13">
        <v>10</v>
      </c>
      <c r="B13" s="135">
        <v>5</v>
      </c>
      <c r="C13" s="24">
        <v>11.500303185486164</v>
      </c>
      <c r="D13" s="24">
        <v>19.442372050506624</v>
      </c>
      <c r="E13" s="24">
        <v>1.403175015102248E-6</v>
      </c>
      <c r="F13" s="24">
        <v>6.4478624519406171</v>
      </c>
      <c r="G13" s="23">
        <v>200.02666683467422</v>
      </c>
      <c r="H13" s="23">
        <v>19.249381065081103</v>
      </c>
      <c r="I13" s="23">
        <v>1.9859306878350827E-4</v>
      </c>
      <c r="J13" s="23">
        <v>-1.7194780769321701E-4</v>
      </c>
      <c r="K13">
        <v>0.24813033318794925</v>
      </c>
      <c r="L13" s="23">
        <v>73.972840699937564</v>
      </c>
      <c r="M13" s="23">
        <v>17.297897673065719</v>
      </c>
      <c r="N13" s="23">
        <v>1.7605295293972404E-4</v>
      </c>
      <c r="O13" s="23">
        <v>-9.8374671584723736E-5</v>
      </c>
      <c r="P13" s="23">
        <v>0.13332580931480353</v>
      </c>
      <c r="Q13" s="23">
        <v>33.414693611361947</v>
      </c>
      <c r="R13" s="23">
        <v>9.0600262832240048</v>
      </c>
      <c r="S13" s="23">
        <v>8.8956709844828323E-5</v>
      </c>
      <c r="T13" s="23">
        <v>-5.0736686778081965E-5</v>
      </c>
      <c r="U13" s="23">
        <v>7.2183635359869061E-2</v>
      </c>
      <c r="V13" s="23">
        <v>22.276845031799638</v>
      </c>
      <c r="W13" s="23">
        <v>6.0560452367184929</v>
      </c>
      <c r="X13" s="23">
        <v>5.8960174460977252E-5</v>
      </c>
      <c r="Y13" s="23">
        <v>-3.3885631397628224E-5</v>
      </c>
      <c r="Z13">
        <v>5.0804719817859993E-2</v>
      </c>
      <c r="AB13">
        <v>25943605.513326682</v>
      </c>
      <c r="AC13">
        <v>3042247.8317033318</v>
      </c>
      <c r="AD13">
        <v>41753932.538605988</v>
      </c>
      <c r="AE13">
        <v>33950975.047076523</v>
      </c>
      <c r="AF13">
        <v>619059744.08568633</v>
      </c>
      <c r="AG13">
        <v>593084537.31039834</v>
      </c>
      <c r="AH13">
        <v>3142544045.5756555</v>
      </c>
      <c r="AI13">
        <v>3391882289.7998514</v>
      </c>
      <c r="AK13">
        <v>12336.556144691671</v>
      </c>
      <c r="AL13">
        <v>8342.4553429082353</v>
      </c>
      <c r="AM13">
        <v>1.2901782109896627E-3</v>
      </c>
      <c r="AN13">
        <v>592.862013178447</v>
      </c>
      <c r="AP13" s="147">
        <v>4.7551432812045508E-4</v>
      </c>
      <c r="AQ13" s="147">
        <v>4.0550792792527117E-3</v>
      </c>
      <c r="AR13" s="147">
        <v>1.9980046993644827E-4</v>
      </c>
      <c r="AS13" s="147">
        <v>2.4572064075746168E-4</v>
      </c>
      <c r="AT13" s="147">
        <v>2.084093212837119E-12</v>
      </c>
      <c r="AU13" s="147">
        <v>2.1753698331784892E-12</v>
      </c>
      <c r="AV13" s="147">
        <v>1.8865670761659786E-7</v>
      </c>
      <c r="AW13" s="147">
        <v>1.747884986932818E-7</v>
      </c>
      <c r="AY13" s="147">
        <v>6.7550345684861313E-4</v>
      </c>
      <c r="AZ13" s="147">
        <v>4.3009747106842362E-3</v>
      </c>
      <c r="BB13">
        <v>2.0537421410071338E-3</v>
      </c>
      <c r="BC13">
        <v>4.68558145760268E-4</v>
      </c>
      <c r="BD13">
        <v>2.1099083368728736E-12</v>
      </c>
      <c r="BE13">
        <v>2.839418073236761E-7</v>
      </c>
      <c r="BF13">
        <v>2.5225842306846337E-3</v>
      </c>
      <c r="BG13">
        <v>2.194969357192264E-2</v>
      </c>
      <c r="BH13">
        <v>5.6620202333766809E-4</v>
      </c>
      <c r="BI13">
        <v>2.2012703433786722E-12</v>
      </c>
      <c r="BJ13">
        <v>2.5862525682047982E-7</v>
      </c>
      <c r="BK13">
        <v>2.2516154222718399E-2</v>
      </c>
      <c r="CA13" s="199"/>
      <c r="CC13" s="146">
        <v>10</v>
      </c>
      <c r="CJ13" s="135"/>
      <c r="CK13" s="135"/>
      <c r="CL13" s="135"/>
      <c r="CM13" s="135"/>
    </row>
    <row r="14" spans="1:97" x14ac:dyDescent="0.25">
      <c r="A14">
        <v>11</v>
      </c>
      <c r="B14" s="135">
        <v>5.5</v>
      </c>
      <c r="C14" s="24">
        <v>7.3259697526529637</v>
      </c>
      <c r="D14" s="24">
        <v>18.132462519735419</v>
      </c>
      <c r="E14" s="24">
        <v>1.4407539622807571E-4</v>
      </c>
      <c r="F14" s="24">
        <v>9.1067098637074917</v>
      </c>
      <c r="G14" s="23">
        <v>214.03823993214613</v>
      </c>
      <c r="H14" s="23">
        <v>21.119524002380452</v>
      </c>
      <c r="I14" s="23">
        <v>2.1781773283458759E-4</v>
      </c>
      <c r="J14" s="23">
        <v>-1.8216150687048137E-4</v>
      </c>
      <c r="K14">
        <v>0.27022224828631136</v>
      </c>
      <c r="L14" s="23">
        <v>80.561767735254591</v>
      </c>
      <c r="M14" s="23">
        <v>19.02768744037229</v>
      </c>
      <c r="N14" s="23">
        <v>1.9365824823369644E-4</v>
      </c>
      <c r="O14" s="23">
        <v>-1.0686390751728499E-4</v>
      </c>
      <c r="P14" s="23">
        <v>0.14518818663504848</v>
      </c>
      <c r="Q14" s="23">
        <v>36.756162972498153</v>
      </c>
      <c r="R14" s="23">
        <v>9.966028911546406</v>
      </c>
      <c r="S14" s="23">
        <v>9.7852380829311172E-5</v>
      </c>
      <c r="T14" s="23">
        <v>-5.5810355455890168E-5</v>
      </c>
      <c r="U14" s="23">
        <v>7.8470429895957719E-2</v>
      </c>
      <c r="V14" s="23">
        <v>24.504529534979596</v>
      </c>
      <c r="W14" s="23">
        <v>6.6616497603903397</v>
      </c>
      <c r="X14" s="23">
        <v>6.4856191907074952E-5</v>
      </c>
      <c r="Y14" s="23">
        <v>-3.7274194537391048E-5</v>
      </c>
      <c r="Z14">
        <v>5.5142363839476398E-2</v>
      </c>
      <c r="AB14">
        <v>18010269.16056503</v>
      </c>
      <c r="AC14">
        <v>2371021.7182019502</v>
      </c>
      <c r="AD14">
        <v>28654727.239273321</v>
      </c>
      <c r="AE14">
        <v>23744222.369103964</v>
      </c>
      <c r="AF14">
        <v>424845925.47511733</v>
      </c>
      <c r="AG14">
        <v>392916440.93812889</v>
      </c>
      <c r="AH14">
        <v>2156652966.2831955</v>
      </c>
      <c r="AI14">
        <v>2247110206.9749799</v>
      </c>
      <c r="AK14">
        <v>7858.6830025469126</v>
      </c>
      <c r="AL14">
        <v>7780.3911186808273</v>
      </c>
      <c r="AM14">
        <v>0.13247309491155698</v>
      </c>
      <c r="AN14">
        <v>837.33522286982054</v>
      </c>
      <c r="AP14" s="147">
        <v>4.3634456167674312E-4</v>
      </c>
      <c r="AQ14" s="147">
        <v>3.314471116910096E-3</v>
      </c>
      <c r="AR14" s="147">
        <v>2.7152207919178004E-4</v>
      </c>
      <c r="AS14" s="147">
        <v>3.2767512861590659E-4</v>
      </c>
      <c r="AT14" s="147">
        <v>3.1181444134931631E-10</v>
      </c>
      <c r="AU14" s="147">
        <v>3.371533514740785E-10</v>
      </c>
      <c r="AV14" s="147">
        <v>3.882568201563255E-7</v>
      </c>
      <c r="AW14" s="147">
        <v>3.7262757308063961E-7</v>
      </c>
      <c r="AY14" s="147">
        <v>7.0825520950312077E-4</v>
      </c>
      <c r="AZ14" s="147">
        <v>3.6425192102524347E-3</v>
      </c>
      <c r="BB14">
        <v>2.4900867026838771E-3</v>
      </c>
      <c r="BC14">
        <v>7.4008022495204804E-4</v>
      </c>
      <c r="BD14">
        <v>3.1392434968618916E-10</v>
      </c>
      <c r="BE14">
        <v>6.721986274800016E-7</v>
      </c>
      <c r="BF14">
        <v>3.2308394401877548E-3</v>
      </c>
      <c r="BG14">
        <v>2.5264164688832736E-2</v>
      </c>
      <c r="BH14">
        <v>8.9387715195357468E-4</v>
      </c>
      <c r="BI14">
        <v>3.3935462181745718E-10</v>
      </c>
      <c r="BJ14">
        <v>6.3125282990111948E-7</v>
      </c>
      <c r="BK14">
        <v>2.6158673432970833E-2</v>
      </c>
      <c r="CA14" s="199"/>
      <c r="CC14" s="146">
        <v>11</v>
      </c>
      <c r="CJ14" s="135"/>
      <c r="CK14" s="135"/>
      <c r="CL14" s="135"/>
      <c r="CM14" s="135"/>
    </row>
    <row r="15" spans="1:97" x14ac:dyDescent="0.25">
      <c r="A15">
        <v>12</v>
      </c>
      <c r="B15" s="135">
        <v>6</v>
      </c>
      <c r="C15" s="24">
        <v>4.5493809445334197</v>
      </c>
      <c r="D15" s="24">
        <v>16.190927262447772</v>
      </c>
      <c r="E15" s="24">
        <v>6.4555443459605134E-3</v>
      </c>
      <c r="F15" s="24">
        <v>10.993484898103247</v>
      </c>
      <c r="G15" s="23">
        <v>227.28860276426471</v>
      </c>
      <c r="H15" s="23">
        <v>22.979992566510241</v>
      </c>
      <c r="I15" s="23">
        <v>2.3693050437423983E-4</v>
      </c>
      <c r="J15" s="23">
        <v>-1.915333232182424E-4</v>
      </c>
      <c r="K15">
        <v>0.29206837413711156</v>
      </c>
      <c r="L15" s="23">
        <v>85.818134777997358</v>
      </c>
      <c r="M15" s="23">
        <v>20.757477207678864</v>
      </c>
      <c r="N15" s="23">
        <v>2.1126354352766886E-4</v>
      </c>
      <c r="O15" s="23">
        <v>-1.144386484084738E-4</v>
      </c>
      <c r="P15" s="23">
        <v>0.15695305114217187</v>
      </c>
      <c r="Q15" s="23">
        <v>40.097632333634344</v>
      </c>
      <c r="R15" s="23">
        <v>10.872031539868809</v>
      </c>
      <c r="S15" s="23">
        <v>1.0674805181379402E-4</v>
      </c>
      <c r="T15" s="23">
        <v>-6.0884024133698351E-5</v>
      </c>
      <c r="U15" s="23">
        <v>8.4710317395116155E-2</v>
      </c>
      <c r="V15" s="23">
        <v>26.732214038159572</v>
      </c>
      <c r="W15" s="23">
        <v>7.267254284062191</v>
      </c>
      <c r="X15" s="23">
        <v>7.0752209353172699E-5</v>
      </c>
      <c r="Y15" s="23">
        <v>-4.0662757677153871E-5</v>
      </c>
      <c r="Z15">
        <v>5.9445769368950303E-2</v>
      </c>
      <c r="AB15">
        <v>12919199.604369301</v>
      </c>
      <c r="AC15">
        <v>1909028.98311782</v>
      </c>
      <c r="AD15">
        <v>20320363.067919157</v>
      </c>
      <c r="AE15">
        <v>17663385.123525497</v>
      </c>
      <c r="AF15">
        <v>301277460.4864617</v>
      </c>
      <c r="AG15">
        <v>269807251.89405549</v>
      </c>
      <c r="AH15">
        <v>1529380158.4792423</v>
      </c>
      <c r="AI15">
        <v>1543042149.6220121</v>
      </c>
      <c r="AK15">
        <v>4880.1925080251158</v>
      </c>
      <c r="AL15">
        <v>6947.3049531384904</v>
      </c>
      <c r="AM15">
        <v>5.9356834076958354</v>
      </c>
      <c r="AN15">
        <v>1010.8186452666548</v>
      </c>
      <c r="AP15" s="147">
        <v>3.7774727982177968E-4</v>
      </c>
      <c r="AQ15" s="147">
        <v>2.5563742358980851E-3</v>
      </c>
      <c r="AR15" s="147">
        <v>3.4188882009232265E-4</v>
      </c>
      <c r="AS15" s="147">
        <v>3.9331673428133089E-4</v>
      </c>
      <c r="AT15" s="147">
        <v>1.9701717473692537E-8</v>
      </c>
      <c r="AU15" s="147">
        <v>2.1999717820878235E-8</v>
      </c>
      <c r="AV15" s="147">
        <v>6.6093354203821666E-7</v>
      </c>
      <c r="AW15" s="147">
        <v>6.5508168102489475E-7</v>
      </c>
      <c r="AY15" s="147">
        <v>7.2031673517361429E-4</v>
      </c>
      <c r="AZ15" s="147">
        <v>2.9503680515782617E-3</v>
      </c>
      <c r="BB15">
        <v>2.8678339825056569E-3</v>
      </c>
      <c r="BC15">
        <v>1.0819690450443707E-3</v>
      </c>
      <c r="BD15">
        <v>2.0015641823378725E-8</v>
      </c>
      <c r="BE15">
        <v>1.3331321695182183E-6</v>
      </c>
      <c r="BF15">
        <v>3.9511561753613695E-3</v>
      </c>
      <c r="BG15">
        <v>2.7820538924730822E-2</v>
      </c>
      <c r="BH15">
        <v>1.2871938862349056E-3</v>
      </c>
      <c r="BI15">
        <v>2.2339072442695691E-8</v>
      </c>
      <c r="BJ15">
        <v>1.2863345109260142E-6</v>
      </c>
      <c r="BK15">
        <v>2.9109041484549097E-2</v>
      </c>
      <c r="CA15" s="199"/>
      <c r="CC15" s="146">
        <v>12</v>
      </c>
      <c r="CJ15" s="135"/>
      <c r="CK15" s="135"/>
      <c r="CL15" s="135"/>
      <c r="CM15" s="135"/>
    </row>
    <row r="16" spans="1:97" x14ac:dyDescent="0.25">
      <c r="A16">
        <v>13</v>
      </c>
      <c r="B16" s="135">
        <v>6.5</v>
      </c>
      <c r="C16" s="24">
        <v>2.7791264220493628</v>
      </c>
      <c r="D16" s="24">
        <v>13.991958130077077</v>
      </c>
      <c r="E16" s="24">
        <v>0.11284869452581664</v>
      </c>
      <c r="F16" s="24">
        <v>11.746573678926673</v>
      </c>
      <c r="G16" s="23">
        <v>239.83441913203004</v>
      </c>
      <c r="H16" s="23">
        <v>24.83085667741932</v>
      </c>
      <c r="I16" s="23">
        <v>2.5593223062573184E-4</v>
      </c>
      <c r="J16" s="23">
        <v>-2.0013508360052071E-4</v>
      </c>
      <c r="K16">
        <v>0.31368180798202056</v>
      </c>
      <c r="L16" s="23">
        <v>91.189688134543417</v>
      </c>
      <c r="M16" s="23">
        <v>22.487266974985435</v>
      </c>
      <c r="N16" s="23">
        <v>2.2886883882164126E-4</v>
      </c>
      <c r="O16" s="23">
        <v>-1.2190353785332525E-4</v>
      </c>
      <c r="P16" s="23">
        <v>0.16862655074477703</v>
      </c>
      <c r="Q16" s="23">
        <v>43.439101694770535</v>
      </c>
      <c r="R16" s="23">
        <v>11.778034168191207</v>
      </c>
      <c r="S16" s="23">
        <v>1.1564372279827683E-4</v>
      </c>
      <c r="T16" s="23">
        <v>-6.5957692811506548E-5</v>
      </c>
      <c r="U16" s="23">
        <v>9.0907624638759885E-2</v>
      </c>
      <c r="V16" s="23">
        <v>28.95989854133953</v>
      </c>
      <c r="W16" s="23">
        <v>7.8728588077340378</v>
      </c>
      <c r="X16" s="23">
        <v>7.6648226799270393E-5</v>
      </c>
      <c r="Y16" s="23">
        <v>-4.4051320816916682E-5</v>
      </c>
      <c r="Z16">
        <v>6.3718580098783562E-2</v>
      </c>
      <c r="AB16">
        <v>9525653.8708490636</v>
      </c>
      <c r="AC16">
        <v>1579034.9677573401</v>
      </c>
      <c r="AD16">
        <v>14812253.756981144</v>
      </c>
      <c r="AE16">
        <v>13443663.38831801</v>
      </c>
      <c r="AF16">
        <v>219612129.02882019</v>
      </c>
      <c r="AG16">
        <v>190933142.02997187</v>
      </c>
      <c r="AH16">
        <v>1114820976.5036633</v>
      </c>
      <c r="AI16">
        <v>1091956883.4558234</v>
      </c>
      <c r="AK16">
        <v>2981.2126329049197</v>
      </c>
      <c r="AL16">
        <v>6003.7574405417354</v>
      </c>
      <c r="AM16">
        <v>103.76105991683987</v>
      </c>
      <c r="AN16">
        <v>1080.0629466190669</v>
      </c>
      <c r="AP16" s="147">
        <v>3.1296671843475149E-4</v>
      </c>
      <c r="AQ16" s="147">
        <v>1.8879965889159846E-3</v>
      </c>
      <c r="AR16" s="147">
        <v>4.0532369611289657E-4</v>
      </c>
      <c r="AS16" s="147">
        <v>4.4658641525930747E-4</v>
      </c>
      <c r="AT16" s="147">
        <v>4.7247417697600425E-7</v>
      </c>
      <c r="AU16" s="147">
        <v>5.4344184992541477E-7</v>
      </c>
      <c r="AV16" s="147">
        <v>9.688218730924801E-7</v>
      </c>
      <c r="AW16" s="147">
        <v>9.8910768637758433E-7</v>
      </c>
      <c r="AY16" s="147">
        <v>7.1973171059771645E-4</v>
      </c>
      <c r="AZ16" s="147">
        <v>2.336115553711595E-3</v>
      </c>
      <c r="BB16">
        <v>3.1808007009404083E-3</v>
      </c>
      <c r="BC16">
        <v>1.4872927411572674E-3</v>
      </c>
      <c r="BD16">
        <v>4.9248981879938296E-7</v>
      </c>
      <c r="BE16">
        <v>2.3019540426106981E-6</v>
      </c>
      <c r="BF16">
        <v>4.6708878859590868E-3</v>
      </c>
      <c r="BG16">
        <v>2.9708535513646807E-2</v>
      </c>
      <c r="BH16">
        <v>1.7337803014942131E-3</v>
      </c>
      <c r="BI16">
        <v>5.6578092236811044E-7</v>
      </c>
      <c r="BJ16">
        <v>2.2754421973035986E-6</v>
      </c>
      <c r="BK16">
        <v>3.1445157038260695E-2</v>
      </c>
      <c r="CA16" s="199"/>
      <c r="CC16" s="146">
        <v>13</v>
      </c>
      <c r="CJ16" s="135"/>
      <c r="CK16" s="135"/>
      <c r="CL16" s="135"/>
      <c r="CM16" s="135"/>
    </row>
    <row r="17" spans="1:91" x14ac:dyDescent="0.25">
      <c r="A17">
        <v>14</v>
      </c>
      <c r="B17" s="135">
        <v>7</v>
      </c>
      <c r="C17" s="24">
        <v>1.6806773415264196</v>
      </c>
      <c r="D17" s="24">
        <v>11.794553489163007</v>
      </c>
      <c r="E17" s="24">
        <v>0.9051986981833543</v>
      </c>
      <c r="F17" s="24">
        <v>11.399912182498205</v>
      </c>
      <c r="G17" s="23">
        <v>251.72704272613004</v>
      </c>
      <c r="H17" s="23">
        <v>26.672185606679264</v>
      </c>
      <c r="I17" s="23">
        <v>2.7482375075737309E-4</v>
      </c>
      <c r="J17" s="23">
        <v>-2.0803140688940508E-4</v>
      </c>
      <c r="K17">
        <v>0.33507411745700938</v>
      </c>
      <c r="L17" s="23">
        <v>99.893177282712728</v>
      </c>
      <c r="M17" s="23">
        <v>24.217056742292009</v>
      </c>
      <c r="N17" s="23">
        <v>2.4647413411561369E-4</v>
      </c>
      <c r="O17" s="23">
        <v>-1.3095082537829258E-4</v>
      </c>
      <c r="P17" s="23">
        <v>0.18021376973965436</v>
      </c>
      <c r="Q17" s="23">
        <v>46.780571055906734</v>
      </c>
      <c r="R17" s="23">
        <v>12.68403679651361</v>
      </c>
      <c r="S17" s="23">
        <v>1.2453939378275969E-4</v>
      </c>
      <c r="T17" s="23">
        <v>-7.1031361489314751E-5</v>
      </c>
      <c r="U17" s="23">
        <v>9.706583703666502E-2</v>
      </c>
      <c r="V17" s="23">
        <v>31.187583044519492</v>
      </c>
      <c r="W17" s="23">
        <v>8.4784633314058873</v>
      </c>
      <c r="X17" s="23">
        <v>8.2544244245368113E-5</v>
      </c>
      <c r="Y17" s="23">
        <v>-4.7439883956679519E-5</v>
      </c>
      <c r="Z17">
        <v>6.7963733175998145E-2</v>
      </c>
      <c r="AB17">
        <v>7189921.3247615639</v>
      </c>
      <c r="AC17">
        <v>1335953.1042213035</v>
      </c>
      <c r="AD17">
        <v>11053292.028758639</v>
      </c>
      <c r="AE17">
        <v>9867349.0373413917</v>
      </c>
      <c r="AF17">
        <v>163880327.39912376</v>
      </c>
      <c r="AG17">
        <v>138625615.44995698</v>
      </c>
      <c r="AH17">
        <v>831908635.59660494</v>
      </c>
      <c r="AI17">
        <v>792807332.47514677</v>
      </c>
      <c r="AK17">
        <v>1802.8890239188345</v>
      </c>
      <c r="AL17">
        <v>5060.8812297839422</v>
      </c>
      <c r="AM17">
        <v>832.3036146187867</v>
      </c>
      <c r="AN17">
        <v>1048.1884402697297</v>
      </c>
      <c r="AP17" s="147">
        <v>2.5075226034947231E-4</v>
      </c>
      <c r="AQ17" s="147">
        <v>1.3495152024589196E-3</v>
      </c>
      <c r="AR17" s="147">
        <v>4.5786189459361582E-4</v>
      </c>
      <c r="AS17" s="147">
        <v>5.128916804941077E-4</v>
      </c>
      <c r="AT17" s="147">
        <v>5.078728043981421E-6</v>
      </c>
      <c r="AU17" s="147">
        <v>6.0039669574577526E-6</v>
      </c>
      <c r="AV17" s="147">
        <v>1.2599802375149276E-6</v>
      </c>
      <c r="AW17" s="147">
        <v>1.322122535114909E-6</v>
      </c>
      <c r="AY17" s="147">
        <v>7.149528632245844E-4</v>
      </c>
      <c r="AZ17" s="147">
        <v>1.8697329724455998E-3</v>
      </c>
      <c r="BB17">
        <v>3.4315529612898806E-3</v>
      </c>
      <c r="BC17">
        <v>1.9451546357508831E-3</v>
      </c>
      <c r="BD17">
        <v>5.5712178627808042E-6</v>
      </c>
      <c r="BE17">
        <v>3.5619342801256256E-6</v>
      </c>
      <c r="BF17">
        <v>5.3858407491836702E-3</v>
      </c>
      <c r="BG17">
        <v>3.1058050716105727E-2</v>
      </c>
      <c r="BH17">
        <v>2.246671981988321E-3</v>
      </c>
      <c r="BI17">
        <v>6.5697478798258627E-6</v>
      </c>
      <c r="BJ17">
        <v>3.5975647324185076E-6</v>
      </c>
      <c r="BK17">
        <v>3.3314890010706297E-2</v>
      </c>
      <c r="CC17" s="146">
        <v>14</v>
      </c>
      <c r="CJ17" s="135"/>
      <c r="CK17" s="135"/>
      <c r="CL17" s="135"/>
      <c r="CM17" s="135"/>
    </row>
    <row r="18" spans="1:91" x14ac:dyDescent="0.25">
      <c r="A18">
        <v>15</v>
      </c>
      <c r="B18" s="135">
        <v>7.5</v>
      </c>
      <c r="C18" s="24">
        <v>1.0107306444274524</v>
      </c>
      <c r="D18" s="24">
        <v>9.7545333705612656</v>
      </c>
      <c r="E18" s="24">
        <v>3.8427381110484249</v>
      </c>
      <c r="F18" s="24">
        <v>10.247971787423898</v>
      </c>
      <c r="G18" s="23">
        <v>263.01311291628815</v>
      </c>
      <c r="H18" s="23">
        <v>28.504047984817646</v>
      </c>
      <c r="I18" s="23">
        <v>2.9360589597504801E-4</v>
      </c>
      <c r="J18" s="23">
        <v>-2.1528054675772206E-4</v>
      </c>
      <c r="K18">
        <v>0.35625566431168049</v>
      </c>
      <c r="L18" s="23">
        <v>108.53848649557989</v>
      </c>
      <c r="M18" s="23">
        <v>25.946846509598579</v>
      </c>
      <c r="N18" s="23">
        <v>2.6407942940958609E-4</v>
      </c>
      <c r="O18" s="23">
        <v>-1.3985101246357938E-4</v>
      </c>
      <c r="P18" s="23">
        <v>0.19171900337861814</v>
      </c>
      <c r="Q18" s="23">
        <v>50.122040417042925</v>
      </c>
      <c r="R18" s="23">
        <v>13.590039424836007</v>
      </c>
      <c r="S18" s="23">
        <v>1.3343506476724248E-4</v>
      </c>
      <c r="T18" s="23">
        <v>-7.6105030167122954E-5</v>
      </c>
      <c r="U18" s="23">
        <v>0.10318781146421499</v>
      </c>
      <c r="V18" s="23">
        <v>33.41526754769945</v>
      </c>
      <c r="W18" s="23">
        <v>9.0840678550777376</v>
      </c>
      <c r="X18" s="23">
        <v>8.8440261691465847E-5</v>
      </c>
      <c r="Y18" s="23">
        <v>-5.0828447096442343E-5</v>
      </c>
      <c r="Z18">
        <v>7.2183635359869061E-2</v>
      </c>
      <c r="AB18">
        <v>5537549.5290614283</v>
      </c>
      <c r="AC18">
        <v>1152198.7638188107</v>
      </c>
      <c r="AD18">
        <v>8416604.3441907167</v>
      </c>
      <c r="AE18">
        <v>7427328.4899104079</v>
      </c>
      <c r="AF18">
        <v>124787789.18770413</v>
      </c>
      <c r="AG18">
        <v>102896916.92264886</v>
      </c>
      <c r="AH18">
        <v>633462485.03293276</v>
      </c>
      <c r="AI18">
        <v>588472988.63615155</v>
      </c>
      <c r="AK18">
        <v>1084.22666263929</v>
      </c>
      <c r="AL18">
        <v>4185.5365602210568</v>
      </c>
      <c r="AM18">
        <v>3533.2848205346509</v>
      </c>
      <c r="AN18">
        <v>942.27090453200867</v>
      </c>
      <c r="AP18" s="147">
        <v>1.9579538872730552E-4</v>
      </c>
      <c r="AQ18" s="147">
        <v>9.4100661855057359E-4</v>
      </c>
      <c r="AR18" s="147">
        <v>4.9729515479838204E-4</v>
      </c>
      <c r="AS18" s="147">
        <v>5.6353190328216449E-4</v>
      </c>
      <c r="AT18" s="147">
        <v>2.8314347449652552E-5</v>
      </c>
      <c r="AU18" s="147">
        <v>3.4338101919912162E-5</v>
      </c>
      <c r="AV18" s="147">
        <v>1.4874928299550706E-6</v>
      </c>
      <c r="AW18" s="147">
        <v>1.6012135182547991E-6</v>
      </c>
      <c r="AY18" s="147">
        <v>7.2289238380529521E-4</v>
      </c>
      <c r="AZ18" s="147">
        <v>1.5404778372709053E-3</v>
      </c>
      <c r="BB18">
        <v>3.6273483500171861E-3</v>
      </c>
      <c r="BC18">
        <v>2.4424497905492651E-3</v>
      </c>
      <c r="BD18">
        <v>3.3885565312433358E-5</v>
      </c>
      <c r="BE18">
        <v>5.0494271100806966E-6</v>
      </c>
      <c r="BF18">
        <v>6.1087331329889652E-3</v>
      </c>
      <c r="BG18">
        <v>3.19990573346563E-2</v>
      </c>
      <c r="BH18">
        <v>2.8102038852704852E-3</v>
      </c>
      <c r="BI18">
        <v>4.0907849799738025E-5</v>
      </c>
      <c r="BJ18">
        <v>5.1987782506733071E-6</v>
      </c>
      <c r="BK18">
        <v>3.4855367847977194E-2</v>
      </c>
      <c r="CC18" s="146">
        <v>15</v>
      </c>
      <c r="CJ18" s="135"/>
      <c r="CK18" s="135"/>
      <c r="CL18" s="135"/>
      <c r="CM18" s="135"/>
    </row>
    <row r="19" spans="1:91" x14ac:dyDescent="0.25">
      <c r="A19">
        <v>16</v>
      </c>
      <c r="B19" s="135">
        <v>8</v>
      </c>
      <c r="C19" s="24">
        <v>0.60641325785716615</v>
      </c>
      <c r="D19" s="24">
        <v>7.9498750127547133</v>
      </c>
      <c r="E19" s="24">
        <v>9.6629287571602465</v>
      </c>
      <c r="F19" s="24">
        <v>8.668280239931935</v>
      </c>
      <c r="G19" s="23">
        <v>273.73507312028397</v>
      </c>
      <c r="H19" s="23">
        <v>30.326511808553857</v>
      </c>
      <c r="I19" s="23">
        <v>3.1227948961350078E-4</v>
      </c>
      <c r="J19" s="23">
        <v>-2.2193512188872712E-4</v>
      </c>
      <c r="K19">
        <v>0.37723583114517756</v>
      </c>
      <c r="L19" s="23">
        <v>117.03473507848075</v>
      </c>
      <c r="M19" s="23">
        <v>27.676636276905153</v>
      </c>
      <c r="N19" s="23">
        <v>2.8168472470355848E-4</v>
      </c>
      <c r="O19" s="23">
        <v>-1.4853386925518322E-4</v>
      </c>
      <c r="P19" s="23">
        <v>0.20314594744052758</v>
      </c>
      <c r="Q19" s="23">
        <v>53.463509778179137</v>
      </c>
      <c r="R19" s="23">
        <v>14.49604205315841</v>
      </c>
      <c r="S19" s="23">
        <v>1.4233073575172533E-4</v>
      </c>
      <c r="T19" s="23">
        <v>-8.117869884493113E-5</v>
      </c>
      <c r="U19" s="23">
        <v>0.1092759253487606</v>
      </c>
      <c r="V19" s="23">
        <v>35.64295205087943</v>
      </c>
      <c r="W19" s="23">
        <v>9.6896723787495826</v>
      </c>
      <c r="X19" s="23">
        <v>9.4336279137563527E-5</v>
      </c>
      <c r="Y19" s="23">
        <v>-5.4217010236205173E-5</v>
      </c>
      <c r="Z19">
        <v>7.6380286824020038E-2</v>
      </c>
      <c r="AB19">
        <v>4340520.4288365636</v>
      </c>
      <c r="AC19">
        <v>1010209.8814400772</v>
      </c>
      <c r="AD19">
        <v>6522640.6647935146</v>
      </c>
      <c r="AE19">
        <v>5725612.4974980447</v>
      </c>
      <c r="AF19">
        <v>96707160.624367252</v>
      </c>
      <c r="AG19">
        <v>77860695.060529381</v>
      </c>
      <c r="AH19">
        <v>490916288.27115279</v>
      </c>
      <c r="AI19">
        <v>445289492.5316503</v>
      </c>
      <c r="AK19">
        <v>650.50904152524424</v>
      </c>
      <c r="AL19">
        <v>3411.1823960225083</v>
      </c>
      <c r="AM19">
        <v>8884.7791634353762</v>
      </c>
      <c r="AN19">
        <v>797.0229067610278</v>
      </c>
      <c r="AP19" s="147">
        <v>1.4986890447595639E-4</v>
      </c>
      <c r="AQ19" s="147">
        <v>6.4393454615384359E-4</v>
      </c>
      <c r="AR19" s="147">
        <v>5.2297567370752831E-4</v>
      </c>
      <c r="AS19" s="147">
        <v>5.9577597986470673E-4</v>
      </c>
      <c r="AT19" s="147">
        <v>9.1873022701451158E-5</v>
      </c>
      <c r="AU19" s="147">
        <v>1.1411122333968756E-4</v>
      </c>
      <c r="AV19" s="147">
        <v>1.623541377223157E-6</v>
      </c>
      <c r="AW19" s="147">
        <v>1.7898983024046473E-6</v>
      </c>
      <c r="AY19" s="147">
        <v>7.6634114226215911E-4</v>
      </c>
      <c r="AZ19" s="147">
        <v>1.3556116476606424E-3</v>
      </c>
      <c r="BB19">
        <v>3.7772172544931425E-3</v>
      </c>
      <c r="BC19">
        <v>2.9654254642567934E-3</v>
      </c>
      <c r="BD19">
        <v>1.257585880138845E-4</v>
      </c>
      <c r="BE19">
        <v>6.6729684873038536E-6</v>
      </c>
      <c r="BF19">
        <v>6.8750742752511241E-3</v>
      </c>
      <c r="BG19">
        <v>3.2642991880810143E-2</v>
      </c>
      <c r="BH19">
        <v>3.4059798651351917E-3</v>
      </c>
      <c r="BI19">
        <v>1.5501907313942559E-4</v>
      </c>
      <c r="BJ19">
        <v>6.9886765530779546E-6</v>
      </c>
      <c r="BK19">
        <v>3.6210979495637834E-2</v>
      </c>
      <c r="CC19" s="146">
        <v>16</v>
      </c>
      <c r="CJ19" s="135"/>
      <c r="CK19" s="135"/>
      <c r="CL19" s="135"/>
      <c r="CM19" s="135"/>
    </row>
    <row r="20" spans="1:91" x14ac:dyDescent="0.25">
      <c r="A20">
        <v>17</v>
      </c>
      <c r="B20" s="135">
        <v>8.5</v>
      </c>
      <c r="C20" s="24">
        <v>0.3638364884260587</v>
      </c>
      <c r="D20" s="24">
        <v>6.406251162912902</v>
      </c>
      <c r="E20" s="24">
        <v>15.73520966632859</v>
      </c>
      <c r="F20" s="24">
        <v>6.9957002884223778</v>
      </c>
      <c r="G20" s="23">
        <v>283.93162313315645</v>
      </c>
      <c r="H20" s="23">
        <v>32.139644447938387</v>
      </c>
      <c r="I20" s="23">
        <v>3.3084534722640059E-4</v>
      </c>
      <c r="J20" s="23">
        <v>-2.2804275048272354E-4</v>
      </c>
      <c r="K20">
        <v>0.3980231859195193</v>
      </c>
      <c r="L20" s="23">
        <v>125.19513680785842</v>
      </c>
      <c r="M20" s="23">
        <v>29.406426044211717</v>
      </c>
      <c r="N20" s="23">
        <v>2.9929001999753077E-4</v>
      </c>
      <c r="O20" s="23">
        <v>-1.5687089555956846E-4</v>
      </c>
      <c r="P20" s="23">
        <v>0.21449783250069054</v>
      </c>
      <c r="Q20" s="23">
        <v>63.002004809443399</v>
      </c>
      <c r="R20" s="23">
        <v>15.402044681480808</v>
      </c>
      <c r="S20" s="23">
        <v>1.5122640673620816E-4</v>
      </c>
      <c r="T20" s="23">
        <v>-8.2712967436598988E-5</v>
      </c>
      <c r="U20" s="23">
        <v>0.11533218376099592</v>
      </c>
      <c r="V20" s="23">
        <v>37.870636554059374</v>
      </c>
      <c r="W20" s="23">
        <v>10.295276902421433</v>
      </c>
      <c r="X20" s="23">
        <v>1.0023229658366127E-4</v>
      </c>
      <c r="Y20" s="23">
        <v>-5.7605573375967977E-5</v>
      </c>
      <c r="Z20">
        <v>8.0555370409267468E-2</v>
      </c>
      <c r="AB20">
        <v>3455171.4381822646</v>
      </c>
      <c r="AC20">
        <v>898416.66558911081</v>
      </c>
      <c r="AD20">
        <v>5133625.05332663</v>
      </c>
      <c r="AE20">
        <v>4522358.8857847815</v>
      </c>
      <c r="AF20">
        <v>76113084.88861084</v>
      </c>
      <c r="AG20">
        <v>71810859.935582355</v>
      </c>
      <c r="AH20">
        <v>386374213.46200776</v>
      </c>
      <c r="AI20">
        <v>342690000.34527439</v>
      </c>
      <c r="AK20">
        <v>390.29312484736789</v>
      </c>
      <c r="AL20">
        <v>2748.8345610926735</v>
      </c>
      <c r="AM20">
        <v>14468.063098580569</v>
      </c>
      <c r="AN20">
        <v>643.23409308132216</v>
      </c>
      <c r="AP20" s="147">
        <v>1.1295911992508762E-4</v>
      </c>
      <c r="AQ20" s="147">
        <v>4.3442329132601791E-4</v>
      </c>
      <c r="AR20" s="147">
        <v>5.3545682291530167E-4</v>
      </c>
      <c r="AS20" s="147">
        <v>6.0783202539124845E-4</v>
      </c>
      <c r="AT20" s="147">
        <v>1.900864105002988E-4</v>
      </c>
      <c r="AU20" s="147">
        <v>2.0147458353178178E-4</v>
      </c>
      <c r="AV20" s="147">
        <v>1.6647956066161528E-6</v>
      </c>
      <c r="AW20" s="147">
        <v>1.8770144808230096E-6</v>
      </c>
      <c r="AY20" s="147">
        <v>8.4016714894730421E-4</v>
      </c>
      <c r="AZ20" s="147">
        <v>1.2456069147298711E-3</v>
      </c>
      <c r="BB20">
        <v>3.8901763744182303E-3</v>
      </c>
      <c r="BC20">
        <v>3.500882287172095E-3</v>
      </c>
      <c r="BD20">
        <v>3.158449985141833E-4</v>
      </c>
      <c r="BE20">
        <v>8.3377640939200058E-6</v>
      </c>
      <c r="BF20">
        <v>7.7152414241984284E-3</v>
      </c>
      <c r="BG20">
        <v>3.3077415172136158E-2</v>
      </c>
      <c r="BH20">
        <v>4.0138118905264399E-3</v>
      </c>
      <c r="BI20">
        <v>3.5649365667120736E-4</v>
      </c>
      <c r="BJ20">
        <v>8.8656910339009649E-6</v>
      </c>
      <c r="BK20">
        <v>3.7456586410367712E-2</v>
      </c>
      <c r="CC20" s="146">
        <v>17</v>
      </c>
      <c r="CJ20" s="135"/>
      <c r="CK20" s="135"/>
      <c r="CL20" s="135"/>
      <c r="CM20" s="135"/>
    </row>
    <row r="21" spans="1:91" x14ac:dyDescent="0.25">
      <c r="A21">
        <v>18</v>
      </c>
      <c r="B21" s="135">
        <v>9</v>
      </c>
      <c r="C21" s="24">
        <v>0.21867287610841205</v>
      </c>
      <c r="D21" s="24">
        <v>5.1176580963874736</v>
      </c>
      <c r="E21" s="24">
        <v>17.830920602712148</v>
      </c>
      <c r="F21" s="24">
        <v>5.4688642321964105</v>
      </c>
      <c r="G21" s="23">
        <v>293.63811493762205</v>
      </c>
      <c r="H21" s="23">
        <v>33.943512653396937</v>
      </c>
      <c r="I21" s="23">
        <v>3.4930427667517999E-4</v>
      </c>
      <c r="J21" s="23">
        <v>-2.3364660314115798E-4</v>
      </c>
      <c r="K21">
        <v>0.41862560515055519</v>
      </c>
      <c r="L21" s="23">
        <v>132.23893178401298</v>
      </c>
      <c r="M21" s="23">
        <v>31.136215811518291</v>
      </c>
      <c r="N21" s="23">
        <v>3.1689531529150323E-4</v>
      </c>
      <c r="O21" s="23">
        <v>-1.6440146834389687E-4</v>
      </c>
      <c r="P21" s="23">
        <v>0.22577752117402439</v>
      </c>
      <c r="Q21" s="23">
        <v>66.777298841550973</v>
      </c>
      <c r="R21" s="23">
        <v>16.308047309803207</v>
      </c>
      <c r="S21" s="23">
        <v>1.6012207772069098E-4</v>
      </c>
      <c r="T21" s="23">
        <v>-8.7540997792624964E-5</v>
      </c>
      <c r="U21" s="23">
        <v>0.12135829802250524</v>
      </c>
      <c r="V21" s="23">
        <v>40.098321057239353</v>
      </c>
      <c r="W21" s="23">
        <v>10.900881426093287</v>
      </c>
      <c r="X21" s="23">
        <v>1.0612831402975904E-4</v>
      </c>
      <c r="Y21" s="23">
        <v>-6.0994136515730821E-5</v>
      </c>
      <c r="Z21">
        <v>8.4710317395116155E-2</v>
      </c>
      <c r="AB21">
        <v>2788258.6525013382</v>
      </c>
      <c r="AC21">
        <v>808967.68086623761</v>
      </c>
      <c r="AD21">
        <v>4096104.1433605566</v>
      </c>
      <c r="AE21">
        <v>3693137.6776975044</v>
      </c>
      <c r="AF21">
        <v>60730403.786339112</v>
      </c>
      <c r="AG21">
        <v>56202345.561434165</v>
      </c>
      <c r="AH21">
        <v>308286834.39275503</v>
      </c>
      <c r="AI21">
        <v>267709356.57475269</v>
      </c>
      <c r="AK21">
        <v>234.57383426527372</v>
      </c>
      <c r="AL21">
        <v>2195.9169394802711</v>
      </c>
      <c r="AM21">
        <v>16395.007747361808</v>
      </c>
      <c r="AN21">
        <v>502.84600248005205</v>
      </c>
      <c r="AP21" s="147">
        <v>8.4129151380858539E-5</v>
      </c>
      <c r="AQ21" s="147">
        <v>2.8996687978201244E-4</v>
      </c>
      <c r="AR21" s="147">
        <v>5.3609890340304686E-4</v>
      </c>
      <c r="AS21" s="147">
        <v>5.9459384705346831E-4</v>
      </c>
      <c r="AT21" s="147">
        <v>2.6996375332926325E-4</v>
      </c>
      <c r="AU21" s="147">
        <v>2.9171394153720159E-4</v>
      </c>
      <c r="AV21" s="147">
        <v>1.6310978815249378E-6</v>
      </c>
      <c r="AW21" s="147">
        <v>1.8783280827901956E-6</v>
      </c>
      <c r="AY21" s="147">
        <v>8.9182290599469356E-4</v>
      </c>
      <c r="AZ21" s="147">
        <v>1.1781529964554726E-3</v>
      </c>
      <c r="BB21">
        <v>3.9743055257990892E-3</v>
      </c>
      <c r="BC21">
        <v>4.0369811905751419E-3</v>
      </c>
      <c r="BD21">
        <v>5.858087518434466E-4</v>
      </c>
      <c r="BE21">
        <v>9.9688619754449432E-6</v>
      </c>
      <c r="BF21">
        <v>8.6070643301931222E-3</v>
      </c>
      <c r="BG21">
        <v>3.3367382051918172E-2</v>
      </c>
      <c r="BH21">
        <v>4.6084057375799081E-3</v>
      </c>
      <c r="BI21">
        <v>6.4820759820840895E-4</v>
      </c>
      <c r="BJ21">
        <v>1.0744019116691161E-5</v>
      </c>
      <c r="BK21">
        <v>3.8634739406823188E-2</v>
      </c>
      <c r="CC21" s="146">
        <v>18</v>
      </c>
      <c r="CJ21" s="135"/>
      <c r="CK21" s="135"/>
      <c r="CL21" s="135"/>
      <c r="CM21" s="135"/>
    </row>
    <row r="22" spans="1:91" x14ac:dyDescent="0.25">
      <c r="A22">
        <v>19</v>
      </c>
      <c r="B22" s="135">
        <v>9.5</v>
      </c>
      <c r="C22" s="24">
        <v>0.13182007004262689</v>
      </c>
      <c r="D22" s="24">
        <v>4.0611748899722455</v>
      </c>
      <c r="E22" s="24">
        <v>14.939640889072523</v>
      </c>
      <c r="F22" s="24">
        <v>4.2282891391295685</v>
      </c>
      <c r="G22" s="23">
        <v>302.88689999042873</v>
      </c>
      <c r="H22" s="23">
        <v>35.738182562682333</v>
      </c>
      <c r="I22" s="23">
        <v>3.6765707821671242E-4</v>
      </c>
      <c r="J22" s="23">
        <v>-2.3878588591679444E-4</v>
      </c>
      <c r="K22">
        <v>0.43905036878272102</v>
      </c>
      <c r="L22" s="23">
        <v>139.19677022560467</v>
      </c>
      <c r="M22" s="23">
        <v>32.866005578824861</v>
      </c>
      <c r="N22" s="23">
        <v>3.3450061058547563E-4</v>
      </c>
      <c r="O22" s="23">
        <v>-1.718550624604422E-4</v>
      </c>
      <c r="P22" s="23">
        <v>0.23698757994710878</v>
      </c>
      <c r="Q22" s="23">
        <v>70.454075092850971</v>
      </c>
      <c r="R22" s="23">
        <v>17.214049938125608</v>
      </c>
      <c r="S22" s="23">
        <v>1.690177487051738E-4</v>
      </c>
      <c r="T22" s="23">
        <v>-9.2258584491172011E-5</v>
      </c>
      <c r="U22" s="23">
        <v>0.12735574450047321</v>
      </c>
      <c r="V22" s="23">
        <v>42.326005560419311</v>
      </c>
      <c r="W22" s="23">
        <v>11.506485949765137</v>
      </c>
      <c r="X22" s="23">
        <v>1.1202433147585677E-4</v>
      </c>
      <c r="Y22" s="23">
        <v>-6.4382699655493624E-5</v>
      </c>
      <c r="Z22">
        <v>8.8846356900289788E-2</v>
      </c>
      <c r="AB22">
        <v>2277660.0038740779</v>
      </c>
      <c r="AC22">
        <v>736394.78927205992</v>
      </c>
      <c r="AD22">
        <v>3308420.1819166322</v>
      </c>
      <c r="AE22">
        <v>3049346.8231885866</v>
      </c>
      <c r="AF22">
        <v>49051900.662327617</v>
      </c>
      <c r="AG22">
        <v>44800077.795023859</v>
      </c>
      <c r="AH22">
        <v>249003040.21259379</v>
      </c>
      <c r="AI22">
        <v>211945995.86712447</v>
      </c>
      <c r="AK22">
        <v>141.40546286904774</v>
      </c>
      <c r="AL22">
        <v>1742.594477223312</v>
      </c>
      <c r="AM22">
        <v>13736.560976099667</v>
      </c>
      <c r="AN22">
        <v>388.7787666082188</v>
      </c>
      <c r="AP22" s="147">
        <v>6.2083657186994909E-5</v>
      </c>
      <c r="AQ22" s="147">
        <v>1.9202398622188743E-4</v>
      </c>
      <c r="AR22" s="147">
        <v>5.2671498219848028E-4</v>
      </c>
      <c r="AS22" s="147">
        <v>5.7146483436119834E-4</v>
      </c>
      <c r="AT22" s="147">
        <v>2.8004136008229121E-4</v>
      </c>
      <c r="AU22" s="147">
        <v>3.0661913220216431E-4</v>
      </c>
      <c r="AV22" s="147">
        <v>1.5613414449730706E-6</v>
      </c>
      <c r="AW22" s="147">
        <v>1.8343293772436083E-6</v>
      </c>
      <c r="AY22" s="147">
        <v>8.7040134091273948E-4</v>
      </c>
      <c r="AZ22" s="147">
        <v>1.0719422821624937E-3</v>
      </c>
      <c r="BB22">
        <v>4.0363891829860842E-3</v>
      </c>
      <c r="BC22">
        <v>4.5636961727736226E-3</v>
      </c>
      <c r="BD22">
        <v>8.6585011192573781E-4</v>
      </c>
      <c r="BE22">
        <v>1.1530203420418014E-5</v>
      </c>
      <c r="BF22">
        <v>9.4774656711058627E-3</v>
      </c>
      <c r="BG22">
        <v>3.3559406038140061E-2</v>
      </c>
      <c r="BH22">
        <v>5.1798705719411061E-3</v>
      </c>
      <c r="BI22">
        <v>9.5482673041057326E-4</v>
      </c>
      <c r="BJ22">
        <v>1.257834849393477E-5</v>
      </c>
      <c r="BK22">
        <v>3.9706681688985675E-2</v>
      </c>
      <c r="CC22" s="146">
        <v>19</v>
      </c>
      <c r="CJ22" s="135"/>
      <c r="CK22" s="135"/>
      <c r="CL22" s="135"/>
      <c r="CM22" s="135"/>
    </row>
    <row r="23" spans="1:91" x14ac:dyDescent="0.25">
      <c r="A23">
        <v>20</v>
      </c>
      <c r="B23" s="135">
        <v>10</v>
      </c>
      <c r="C23" s="24">
        <v>7.9774834435544395E-2</v>
      </c>
      <c r="D23" s="24">
        <v>3.2066356694793998</v>
      </c>
      <c r="E23" s="24">
        <v>9.8096095572294804</v>
      </c>
      <c r="F23" s="24">
        <v>3.3376920793750076</v>
      </c>
      <c r="G23" s="23">
        <v>311.70763472145023</v>
      </c>
      <c r="H23" s="23">
        <v>37.523719707732944</v>
      </c>
      <c r="I23" s="23">
        <v>3.8590454458977693E-4</v>
      </c>
      <c r="J23" s="23">
        <v>-2.4349626343447031E-4</v>
      </c>
      <c r="K23">
        <v>0.45930423509440294</v>
      </c>
      <c r="L23" s="23">
        <v>146.03297922132776</v>
      </c>
      <c r="M23" s="23">
        <v>34.595795346131439</v>
      </c>
      <c r="N23" s="23">
        <v>3.5210590587944808E-4</v>
      </c>
      <c r="O23" s="23">
        <v>-1.7919019672663769E-4</v>
      </c>
      <c r="P23" s="23">
        <v>0.24813033318794925</v>
      </c>
      <c r="Q23" s="23">
        <v>74.024966762886351</v>
      </c>
      <c r="R23" s="23">
        <v>18.12005256644801</v>
      </c>
      <c r="S23" s="23">
        <v>1.7791341968965665E-4</v>
      </c>
      <c r="T23" s="23">
        <v>-9.6852815635513082E-5</v>
      </c>
      <c r="U23" s="23">
        <v>0.13332580931480353</v>
      </c>
      <c r="V23" s="23">
        <v>44.553690063599277</v>
      </c>
      <c r="W23" s="23">
        <v>12.112090473436986</v>
      </c>
      <c r="X23" s="23">
        <v>1.179203489219545E-4</v>
      </c>
      <c r="Y23" s="23">
        <v>-6.7771262795256448E-5</v>
      </c>
      <c r="Z23">
        <v>9.2964553612900916E-2</v>
      </c>
      <c r="AB23">
        <v>1881017.7664137115</v>
      </c>
      <c r="AC23">
        <v>676801.55379911629</v>
      </c>
      <c r="AD23">
        <v>2701648.8618536214</v>
      </c>
      <c r="AE23">
        <v>2545602.2383662625</v>
      </c>
      <c r="AF23">
        <v>40055677.425883174</v>
      </c>
      <c r="AG23">
        <v>36316431.270721741</v>
      </c>
      <c r="AH23">
        <v>203335351.37569094</v>
      </c>
      <c r="AI23">
        <v>169820920.66802335</v>
      </c>
      <c r="AK23">
        <v>85.575719880986085</v>
      </c>
      <c r="AL23">
        <v>1375.9234112028769</v>
      </c>
      <c r="AM23">
        <v>9019.6478506504664</v>
      </c>
      <c r="AN23">
        <v>306.89098291054057</v>
      </c>
      <c r="AP23" s="147">
        <v>4.5494370871436279E-5</v>
      </c>
      <c r="AQ23" s="147">
        <v>1.2644137620639403E-4</v>
      </c>
      <c r="AR23" s="147">
        <v>5.0929024516489004E-4</v>
      </c>
      <c r="AS23" s="147">
        <v>5.4050997852906051E-4</v>
      </c>
      <c r="AT23" s="147">
        <v>2.2517776331058007E-4</v>
      </c>
      <c r="AU23" s="147">
        <v>2.4836272549505972E-4</v>
      </c>
      <c r="AV23" s="147">
        <v>1.5092849366046336E-6</v>
      </c>
      <c r="AW23" s="147">
        <v>1.8071447363689096E-6</v>
      </c>
      <c r="AY23" s="147">
        <v>7.8147166428351106E-4</v>
      </c>
      <c r="AZ23" s="147">
        <v>9.1712122496688314E-4</v>
      </c>
      <c r="BB23">
        <v>4.0818835538575203E-3</v>
      </c>
      <c r="BC23">
        <v>5.0729864179385126E-3</v>
      </c>
      <c r="BD23">
        <v>1.0910278752363179E-3</v>
      </c>
      <c r="BE23">
        <v>1.3039488357022647E-5</v>
      </c>
      <c r="BF23">
        <v>1.0258937335389373E-2</v>
      </c>
      <c r="BG23">
        <v>3.3685847414346458E-2</v>
      </c>
      <c r="BH23">
        <v>5.7203805504701666E-3</v>
      </c>
      <c r="BI23">
        <v>1.203189455905633E-3</v>
      </c>
      <c r="BJ23">
        <v>1.438549323030368E-5</v>
      </c>
      <c r="BK23">
        <v>4.062380291395256E-2</v>
      </c>
      <c r="CC23" s="146">
        <v>20</v>
      </c>
      <c r="CJ23" s="135"/>
      <c r="CK23" s="135"/>
      <c r="CL23" s="135"/>
      <c r="CM23" s="135"/>
    </row>
    <row r="24" spans="1:91" x14ac:dyDescent="0.25">
      <c r="A24">
        <v>21</v>
      </c>
      <c r="B24" s="135">
        <v>10.5</v>
      </c>
      <c r="C24" s="24">
        <v>4.8499637236258782E-2</v>
      </c>
      <c r="D24" s="24">
        <v>2.5224779575037775</v>
      </c>
      <c r="E24" s="24">
        <v>5.4575179444150512</v>
      </c>
      <c r="F24" s="24">
        <v>2.8083297511684151</v>
      </c>
      <c r="G24" s="23">
        <v>320.12754994160099</v>
      </c>
      <c r="H24" s="23">
        <v>39.300189021441547</v>
      </c>
      <c r="I24" s="23">
        <v>4.040474611004099E-4</v>
      </c>
      <c r="J24" s="23">
        <v>-2.4781023043213382E-4</v>
      </c>
      <c r="K24">
        <v>0.47939350114242379</v>
      </c>
      <c r="L24" s="23">
        <v>152.72439755456753</v>
      </c>
      <c r="M24" s="23">
        <v>36.325585113438009</v>
      </c>
      <c r="N24" s="23">
        <v>3.6971120117342048E-4</v>
      </c>
      <c r="O24" s="23">
        <v>-1.8637953317549597E-4</v>
      </c>
      <c r="P24" s="23">
        <v>0.25920790441316843</v>
      </c>
      <c r="Q24" s="23">
        <v>77.486616924214005</v>
      </c>
      <c r="R24" s="23">
        <v>19.026055194770414</v>
      </c>
      <c r="S24" s="23">
        <v>1.8680909067413952E-4</v>
      </c>
      <c r="T24" s="23">
        <v>-1.0131670974205956E-4</v>
      </c>
      <c r="U24" s="23">
        <v>0.13926962283310559</v>
      </c>
      <c r="V24" s="23">
        <v>50.642187884264381</v>
      </c>
      <c r="W24" s="23">
        <v>12.717694997108833</v>
      </c>
      <c r="X24" s="23">
        <v>1.238163663680522E-4</v>
      </c>
      <c r="Y24" s="23">
        <v>-6.7575865725081361E-5</v>
      </c>
      <c r="Z24">
        <v>9.706583703666502E-2</v>
      </c>
      <c r="AB24">
        <v>1568846.9061482605</v>
      </c>
      <c r="AC24">
        <v>627354.48597350577</v>
      </c>
      <c r="AD24">
        <v>2228082.0045115836</v>
      </c>
      <c r="AE24">
        <v>2147770.0366081051</v>
      </c>
      <c r="AF24">
        <v>33034394.406791203</v>
      </c>
      <c r="AG24">
        <v>29892747.424507048</v>
      </c>
      <c r="AH24">
        <v>167693086.86931935</v>
      </c>
      <c r="AI24">
        <v>171952421.98314029</v>
      </c>
      <c r="AK24">
        <v>52.026323837912962</v>
      </c>
      <c r="AL24">
        <v>1082.3607150032544</v>
      </c>
      <c r="AM24">
        <v>5018.0274464595632</v>
      </c>
      <c r="AN24">
        <v>258.21767172553939</v>
      </c>
      <c r="AP24" s="147">
        <v>3.3162141974480416E-5</v>
      </c>
      <c r="AQ24" s="147">
        <v>8.2929707208804625E-5</v>
      </c>
      <c r="AR24" s="147">
        <v>4.8578136388679197E-4</v>
      </c>
      <c r="AS24" s="147">
        <v>5.0394627755985793E-4</v>
      </c>
      <c r="AT24" s="147">
        <v>1.5190311602709321E-4</v>
      </c>
      <c r="AU24" s="147">
        <v>1.6786772307003206E-4</v>
      </c>
      <c r="AV24" s="147">
        <v>1.5398229977528202E-6</v>
      </c>
      <c r="AW24" s="147">
        <v>1.5016809228244385E-6</v>
      </c>
      <c r="AY24" s="147">
        <v>6.7238644488611837E-4</v>
      </c>
      <c r="AZ24" s="147">
        <v>7.5624538876151908E-4</v>
      </c>
      <c r="BB24">
        <v>4.1150456958320009E-3</v>
      </c>
      <c r="BC24">
        <v>5.5587677818253042E-3</v>
      </c>
      <c r="BD24">
        <v>1.2429309912634111E-3</v>
      </c>
      <c r="BE24">
        <v>1.4579311354775467E-5</v>
      </c>
      <c r="BF24">
        <v>1.0931323780275493E-2</v>
      </c>
      <c r="BG24">
        <v>3.3768777121555266E-2</v>
      </c>
      <c r="BH24">
        <v>6.2243268280300244E-3</v>
      </c>
      <c r="BI24">
        <v>1.3710571789756652E-3</v>
      </c>
      <c r="BJ24">
        <v>1.5887174153128119E-5</v>
      </c>
      <c r="BK24">
        <v>4.1380048302714079E-2</v>
      </c>
      <c r="CC24" s="146">
        <v>21</v>
      </c>
      <c r="CJ24" s="135"/>
      <c r="CK24" s="135"/>
      <c r="CL24" s="135"/>
      <c r="CM24" s="135"/>
    </row>
    <row r="25" spans="1:91" x14ac:dyDescent="0.25">
      <c r="A25">
        <v>22</v>
      </c>
      <c r="B25" s="135">
        <v>11</v>
      </c>
      <c r="C25" s="24">
        <v>2.9635187369113847E-2</v>
      </c>
      <c r="D25" s="24">
        <v>1.9789599917165033</v>
      </c>
      <c r="E25" s="24">
        <v>2.996508578861568</v>
      </c>
      <c r="F25" s="24">
        <v>2.6174059369234306</v>
      </c>
      <c r="G25" s="23">
        <v>328.17168899140518</v>
      </c>
      <c r="H25" s="23">
        <v>41.067654844334683</v>
      </c>
      <c r="I25" s="23">
        <v>4.2208660570608805E-4</v>
      </c>
      <c r="J25" s="23">
        <v>-2.5175743878402964E-4</v>
      </c>
      <c r="K25">
        <v>0.49932405247561185</v>
      </c>
      <c r="L25" s="23">
        <v>159.25663210959695</v>
      </c>
      <c r="M25" s="23">
        <v>38.05537488074458</v>
      </c>
      <c r="N25" s="23">
        <v>3.8731649646739287E-4</v>
      </c>
      <c r="O25" s="23">
        <v>-1.9340567997990364E-4</v>
      </c>
      <c r="P25" s="23">
        <v>0.27022224828631136</v>
      </c>
      <c r="Q25" s="23">
        <v>80.610886652891026</v>
      </c>
      <c r="R25" s="23">
        <v>19.932057823092812</v>
      </c>
      <c r="S25" s="23">
        <v>1.9570476165862234E-4</v>
      </c>
      <c r="T25" s="23">
        <v>-1.0552313207762799E-4</v>
      </c>
      <c r="U25" s="23">
        <v>0.14518818663504848</v>
      </c>
      <c r="V25" s="23">
        <v>53.705386332847759</v>
      </c>
      <c r="W25" s="23">
        <v>13.323299520780679</v>
      </c>
      <c r="X25" s="23">
        <v>1.297123838141499E-4</v>
      </c>
      <c r="Y25" s="23">
        <v>-7.1094181337433792E-5</v>
      </c>
      <c r="Z25">
        <v>0.10115102446149868</v>
      </c>
      <c r="AB25">
        <v>1320238.1281136139</v>
      </c>
      <c r="AC25">
        <v>585955.31979330757</v>
      </c>
      <c r="AD25">
        <v>1854077.1258163585</v>
      </c>
      <c r="AE25">
        <v>1830463.3539207161</v>
      </c>
      <c r="AF25">
        <v>27489255.2925823</v>
      </c>
      <c r="AG25">
        <v>25075300.12463982</v>
      </c>
      <c r="AH25">
        <v>139544198.0557158</v>
      </c>
      <c r="AI25">
        <v>138097227.37990698</v>
      </c>
      <c r="AK25">
        <v>31.790131698347498</v>
      </c>
      <c r="AL25">
        <v>849.14460609073592</v>
      </c>
      <c r="AM25">
        <v>2755.2016219509728</v>
      </c>
      <c r="AN25">
        <v>240.66278780537729</v>
      </c>
      <c r="AP25" s="147">
        <v>2.4079089235038193E-5</v>
      </c>
      <c r="AQ25" s="147">
        <v>5.4253508116559614E-5</v>
      </c>
      <c r="AR25" s="147">
        <v>4.5798774725558074E-4</v>
      </c>
      <c r="AS25" s="147">
        <v>4.6389598801414487E-4</v>
      </c>
      <c r="AT25" s="147">
        <v>1.0022831075727383E-4</v>
      </c>
      <c r="AU25" s="147">
        <v>1.0987711446147839E-4</v>
      </c>
      <c r="AV25" s="147">
        <v>1.7246348551824984E-6</v>
      </c>
      <c r="AW25" s="147">
        <v>1.7427054284247962E-6</v>
      </c>
      <c r="AY25" s="147">
        <v>5.8401978210307519E-4</v>
      </c>
      <c r="AZ25" s="147">
        <v>6.2976931602060765E-4</v>
      </c>
      <c r="BB25">
        <v>4.1391247850670393E-3</v>
      </c>
      <c r="BC25">
        <v>6.0167555290808854E-3</v>
      </c>
      <c r="BD25">
        <v>1.343159302020685E-3</v>
      </c>
      <c r="BE25">
        <v>1.6303946209957964E-5</v>
      </c>
      <c r="BF25">
        <v>1.1515343562378568E-2</v>
      </c>
      <c r="BG25">
        <v>3.3823030629671826E-2</v>
      </c>
      <c r="BH25">
        <v>6.6882228160441695E-3</v>
      </c>
      <c r="BI25">
        <v>1.4809342934371437E-3</v>
      </c>
      <c r="BJ25">
        <v>1.7629879581552914E-5</v>
      </c>
      <c r="BK25">
        <v>4.2009817618734693E-2</v>
      </c>
      <c r="CC25" s="146">
        <v>22</v>
      </c>
      <c r="CJ25" s="135"/>
      <c r="CK25" s="135"/>
      <c r="CL25" s="135"/>
      <c r="CM25" s="135"/>
    </row>
    <row r="26" spans="1:91" x14ac:dyDescent="0.25">
      <c r="A26">
        <v>23</v>
      </c>
      <c r="B26" s="135">
        <v>11.5</v>
      </c>
      <c r="C26" s="24">
        <v>1.8206222364111842E-2</v>
      </c>
      <c r="D26" s="24">
        <v>1.549687188059611</v>
      </c>
      <c r="E26" s="24">
        <v>2.0911514956989032</v>
      </c>
      <c r="F26" s="24">
        <v>2.7195421242811308</v>
      </c>
      <c r="G26" s="23">
        <v>335.8631187417871</v>
      </c>
      <c r="H26" s="23">
        <v>42.82618093116411</v>
      </c>
      <c r="I26" s="23">
        <v>4.4002274909881085E-4</v>
      </c>
      <c r="J26" s="23">
        <v>-2.553649859973595E-4</v>
      </c>
      <c r="K26">
        <v>0.51910140470401056</v>
      </c>
      <c r="L26" s="23">
        <v>165.85148498360672</v>
      </c>
      <c r="M26" s="23">
        <v>39.785164648051158</v>
      </c>
      <c r="N26" s="23">
        <v>4.0492179176136533E-4</v>
      </c>
      <c r="O26" s="23">
        <v>-2.0034570861526889E-4</v>
      </c>
      <c r="P26" s="23">
        <v>0.28117517576837026</v>
      </c>
      <c r="Q26" s="23">
        <v>83.283010448942278</v>
      </c>
      <c r="R26" s="23">
        <v>20.838060451415213</v>
      </c>
      <c r="S26" s="23">
        <v>2.0460043264310519E-4</v>
      </c>
      <c r="T26" s="23">
        <v>-1.094363017129818E-4</v>
      </c>
      <c r="U26" s="23">
        <v>0.15108239483798977</v>
      </c>
      <c r="V26" s="23">
        <v>56.531098066458775</v>
      </c>
      <c r="W26" s="23">
        <v>13.928904044452532</v>
      </c>
      <c r="X26" s="23">
        <v>1.3560840126024764E-4</v>
      </c>
      <c r="Y26" s="23">
        <v>-7.4485311792551171E-5</v>
      </c>
      <c r="Z26">
        <v>0.10522083921942754</v>
      </c>
      <c r="AB26">
        <v>1120112.6746614217</v>
      </c>
      <c r="AC26">
        <v>551024.68994477403</v>
      </c>
      <c r="AD26">
        <v>1555508.6586421612</v>
      </c>
      <c r="AE26">
        <v>1571876.0489734495</v>
      </c>
      <c r="AF26">
        <v>23062565.214707188</v>
      </c>
      <c r="AG26">
        <v>21425492.076397754</v>
      </c>
      <c r="AH26">
        <v>117072912.07930152</v>
      </c>
      <c r="AI26">
        <v>112917933.88392818</v>
      </c>
      <c r="AK26">
        <v>19.530101142121499</v>
      </c>
      <c r="AL26">
        <v>664.94953024661731</v>
      </c>
      <c r="AM26">
        <v>1922.7523769959448</v>
      </c>
      <c r="AN26">
        <v>250.05391022875227</v>
      </c>
      <c r="AP26" s="147">
        <v>1.7435836218909758E-5</v>
      </c>
      <c r="AQ26" s="147">
        <v>3.5443241470865648E-5</v>
      </c>
      <c r="AR26" s="147">
        <v>4.2748044284566492E-4</v>
      </c>
      <c r="AS26" s="147">
        <v>4.2302923992058926E-4</v>
      </c>
      <c r="AT26" s="147">
        <v>8.3371141028569965E-5</v>
      </c>
      <c r="AU26" s="147">
        <v>8.9741340368748967E-5</v>
      </c>
      <c r="AV26" s="147">
        <v>2.1358818687227461E-6</v>
      </c>
      <c r="AW26" s="147">
        <v>2.2144747218434795E-6</v>
      </c>
      <c r="AY26" s="147">
        <v>5.3042330196186732E-4</v>
      </c>
      <c r="AZ26" s="147">
        <v>5.504282964820474E-4</v>
      </c>
      <c r="BB26">
        <v>4.156560621285949E-3</v>
      </c>
      <c r="BC26">
        <v>6.4442359719265501E-3</v>
      </c>
      <c r="BD26">
        <v>1.4265304430492549E-3</v>
      </c>
      <c r="BE26">
        <v>1.843982807868071E-5</v>
      </c>
      <c r="BF26">
        <v>1.2045766864340435E-2</v>
      </c>
      <c r="BG26">
        <v>3.3858473871142693E-2</v>
      </c>
      <c r="BH26">
        <v>7.1112520559647591E-3</v>
      </c>
      <c r="BI26">
        <v>1.5706756338058926E-3</v>
      </c>
      <c r="BJ26">
        <v>1.9844354303396394E-5</v>
      </c>
      <c r="BK26">
        <v>4.2560245915216739E-2</v>
      </c>
      <c r="CC26" s="146">
        <v>23</v>
      </c>
      <c r="CJ26" s="135"/>
      <c r="CK26" s="135"/>
      <c r="CL26" s="135"/>
      <c r="CM26" s="135"/>
    </row>
    <row r="27" spans="1:91" x14ac:dyDescent="0.25">
      <c r="A27">
        <v>24</v>
      </c>
      <c r="B27" s="135">
        <v>12</v>
      </c>
      <c r="C27" s="24">
        <v>1.1247970563587192E-2</v>
      </c>
      <c r="D27" s="24">
        <v>1.212119623598219</v>
      </c>
      <c r="E27" s="24">
        <v>2.0791656996679553</v>
      </c>
      <c r="F27" s="24">
        <v>3.0538706818013619</v>
      </c>
      <c r="G27" s="23">
        <v>343.22311695632317</v>
      </c>
      <c r="H27" s="23">
        <v>44.575830457411868</v>
      </c>
      <c r="I27" s="23">
        <v>4.5785665478707626E-4</v>
      </c>
      <c r="J27" s="23">
        <v>-2.5865767028082078E-4</v>
      </c>
      <c r="K27">
        <v>0.53873073875775934</v>
      </c>
      <c r="L27" s="23">
        <v>174.42299192268885</v>
      </c>
      <c r="M27" s="23">
        <v>41.514954415357728</v>
      </c>
      <c r="N27" s="23">
        <v>4.2252708705533773E-4</v>
      </c>
      <c r="O27" s="23">
        <v>-2.0793024269589688E-4</v>
      </c>
      <c r="P27" s="23">
        <v>0.29206837413711156</v>
      </c>
      <c r="Q27" s="23">
        <v>85.864632886818001</v>
      </c>
      <c r="R27" s="23">
        <v>21.744063079737618</v>
      </c>
      <c r="S27" s="23">
        <v>2.1349610362758804E-4</v>
      </c>
      <c r="T27" s="23">
        <v>-1.132602536880279E-4</v>
      </c>
      <c r="U27" s="23">
        <v>0.15695305114217187</v>
      </c>
      <c r="V27" s="23">
        <v>59.141538951671947</v>
      </c>
      <c r="W27" s="23">
        <v>14.534508568124382</v>
      </c>
      <c r="X27" s="23">
        <v>1.415044187063454E-4</v>
      </c>
      <c r="Y27" s="23">
        <v>-7.7796142781477571E-5</v>
      </c>
      <c r="Z27">
        <v>0.1092759253487606</v>
      </c>
      <c r="AB27">
        <v>957429.55157043901</v>
      </c>
      <c r="AC27">
        <v>521356.1801204572</v>
      </c>
      <c r="AD27">
        <v>1314809.9452461537</v>
      </c>
      <c r="AE27">
        <v>1338763.288933706</v>
      </c>
      <c r="AF27">
        <v>19493874.199102521</v>
      </c>
      <c r="AG27">
        <v>18471116.956325907</v>
      </c>
      <c r="AH27">
        <v>98957102.080782905</v>
      </c>
      <c r="AI27">
        <v>93577028.111806676</v>
      </c>
      <c r="AK27">
        <v>12.065874971596813</v>
      </c>
      <c r="AL27">
        <v>520.1039155028094</v>
      </c>
      <c r="AM27">
        <v>1911.731789603738</v>
      </c>
      <c r="AN27">
        <v>280.79443907096334</v>
      </c>
      <c r="AP27" s="147">
        <v>1.2602363225373157E-5</v>
      </c>
      <c r="AQ27" s="147">
        <v>2.3143247230346521E-5</v>
      </c>
      <c r="AR27" s="147">
        <v>3.9557345712458659E-4</v>
      </c>
      <c r="AS27" s="147">
        <v>3.8849580041671158E-4</v>
      </c>
      <c r="AT27" s="147">
        <v>9.8068335215364849E-5</v>
      </c>
      <c r="AU27" s="147">
        <v>1.0349843997652867E-4</v>
      </c>
      <c r="AV27" s="147">
        <v>2.8375370050927609E-6</v>
      </c>
      <c r="AW27" s="147">
        <v>3.0006770329943329E-6</v>
      </c>
      <c r="AY27" s="147">
        <v>5.0908169257041734E-4</v>
      </c>
      <c r="AZ27" s="147">
        <v>5.1813816465658114E-4</v>
      </c>
      <c r="BB27">
        <v>4.169162984511322E-3</v>
      </c>
      <c r="BC27">
        <v>6.8398094290511363E-3</v>
      </c>
      <c r="BD27">
        <v>1.5245987782646197E-3</v>
      </c>
      <c r="BE27">
        <v>2.1277365083773471E-5</v>
      </c>
      <c r="BF27">
        <v>1.2554848556910851E-2</v>
      </c>
      <c r="BG27">
        <v>3.3881617118373036E-2</v>
      </c>
      <c r="BH27">
        <v>7.4997478563814703E-3</v>
      </c>
      <c r="BI27">
        <v>1.6741740737824212E-3</v>
      </c>
      <c r="BJ27">
        <v>2.2845031336390726E-5</v>
      </c>
      <c r="BK27">
        <v>4.3078384079873314E-2</v>
      </c>
      <c r="CC27" s="146">
        <v>24</v>
      </c>
      <c r="CJ27" s="135"/>
      <c r="CK27" s="135"/>
      <c r="CL27" s="135"/>
      <c r="CM27" s="135"/>
    </row>
    <row r="28" spans="1:91" x14ac:dyDescent="0.25">
      <c r="A28">
        <v>25</v>
      </c>
      <c r="B28" s="135">
        <v>12.5</v>
      </c>
      <c r="C28" s="24">
        <v>6.9893017855030349E-3</v>
      </c>
      <c r="D28" s="24">
        <v>0.94750968921062662</v>
      </c>
      <c r="E28" s="24">
        <v>2.529141658805484</v>
      </c>
      <c r="F28" s="24">
        <v>3.549654558683299</v>
      </c>
      <c r="G28" s="23">
        <v>350.27133901880256</v>
      </c>
      <c r="H28" s="23">
        <v>46.31666602571017</v>
      </c>
      <c r="I28" s="23">
        <v>4.7558907917676243E-4</v>
      </c>
      <c r="J28" s="23">
        <v>-2.6165821653613126E-4</v>
      </c>
      <c r="K28">
        <v>0.55821693116348259</v>
      </c>
      <c r="L28" s="23">
        <v>182.92340796250963</v>
      </c>
      <c r="M28" s="23">
        <v>43.244744182664299</v>
      </c>
      <c r="N28" s="23">
        <v>4.4013238234931012E-4</v>
      </c>
      <c r="O28" s="23">
        <v>-2.1538356188180132E-4</v>
      </c>
      <c r="P28" s="23">
        <v>0.3029034231112398</v>
      </c>
      <c r="Q28" s="23">
        <v>88.361139143490249</v>
      </c>
      <c r="R28" s="23">
        <v>22.650065708060016</v>
      </c>
      <c r="S28" s="23">
        <v>2.2239177461207086E-4</v>
      </c>
      <c r="T28" s="23">
        <v>-1.1693897230328362E-4</v>
      </c>
      <c r="U28" s="23">
        <v>0.16280088258608583</v>
      </c>
      <c r="V28" s="23">
        <v>61.723764923276043</v>
      </c>
      <c r="W28" s="23">
        <v>15.140113091796225</v>
      </c>
      <c r="X28" s="23">
        <v>1.4740043615244305E-4</v>
      </c>
      <c r="Y28" s="23">
        <v>-8.1082499841264116E-5</v>
      </c>
      <c r="Z28">
        <v>0.11331685948735407</v>
      </c>
      <c r="AB28">
        <v>823991.20244436327</v>
      </c>
      <c r="AC28">
        <v>496015.87894671614</v>
      </c>
      <c r="AD28">
        <v>1119010.987704935</v>
      </c>
      <c r="AE28">
        <v>1149819.9811437421</v>
      </c>
      <c r="AF28">
        <v>16590884.105040409</v>
      </c>
      <c r="AG28">
        <v>16088813.949363975</v>
      </c>
      <c r="AH28">
        <v>84220601.570749402</v>
      </c>
      <c r="AI28">
        <v>78260548.415124267</v>
      </c>
      <c r="AK28">
        <v>7.4975339778754622</v>
      </c>
      <c r="AL28">
        <v>406.5634197657759</v>
      </c>
      <c r="AM28">
        <v>2325.4714669070077</v>
      </c>
      <c r="AN28">
        <v>326.38031028649709</v>
      </c>
      <c r="AP28" s="147">
        <v>9.0990461495633549E-6</v>
      </c>
      <c r="AQ28" s="147">
        <v>1.5115512015051588E-5</v>
      </c>
      <c r="AR28" s="147">
        <v>3.633238853173621E-4</v>
      </c>
      <c r="AS28" s="147">
        <v>3.5358875861711981E-4</v>
      </c>
      <c r="AT28" s="147">
        <v>1.4016561457388011E-4</v>
      </c>
      <c r="AU28" s="147">
        <v>1.4453964563366329E-4</v>
      </c>
      <c r="AV28" s="147">
        <v>3.8753025293024265E-6</v>
      </c>
      <c r="AW28" s="147">
        <v>4.170432189604007E-6</v>
      </c>
      <c r="AY28" s="147">
        <v>5.1646384857010805E-4</v>
      </c>
      <c r="AZ28" s="147">
        <v>5.1741434845543877E-4</v>
      </c>
      <c r="BB28">
        <v>4.1782620306608856E-3</v>
      </c>
      <c r="BC28">
        <v>7.2031333143684987E-3</v>
      </c>
      <c r="BD28">
        <v>1.6647643928384998E-3</v>
      </c>
      <c r="BE28">
        <v>2.5152667613075898E-5</v>
      </c>
      <c r="BF28">
        <v>1.3071312405480961E-2</v>
      </c>
      <c r="BG28">
        <v>3.3896732630388088E-2</v>
      </c>
      <c r="BH28">
        <v>7.8533366149985892E-3</v>
      </c>
      <c r="BI28">
        <v>1.8187137194160844E-3</v>
      </c>
      <c r="BJ28">
        <v>2.7015463525994732E-5</v>
      </c>
      <c r="BK28">
        <v>4.3595798428328753E-2</v>
      </c>
      <c r="CC28" s="146">
        <v>25</v>
      </c>
      <c r="CJ28" s="135"/>
      <c r="CK28" s="135"/>
      <c r="CL28" s="135"/>
      <c r="CM28" s="135"/>
    </row>
    <row r="29" spans="1:91" x14ac:dyDescent="0.25">
      <c r="A29">
        <v>26</v>
      </c>
      <c r="B29" s="135">
        <v>13</v>
      </c>
      <c r="C29" s="24">
        <v>4.3685187415609264E-3</v>
      </c>
      <c r="D29" s="24">
        <v>0.74055429965628061</v>
      </c>
      <c r="E29" s="24">
        <v>3.2905867388116405</v>
      </c>
      <c r="F29" s="24">
        <v>4.1321307244486052</v>
      </c>
      <c r="G29" s="23">
        <v>357.02596660455748</v>
      </c>
      <c r="H29" s="23">
        <v>48.048749672177195</v>
      </c>
      <c r="I29" s="23">
        <v>4.9322077165095542E-4</v>
      </c>
      <c r="J29" s="23">
        <v>-2.6438747699628117E-4</v>
      </c>
      <c r="K29">
        <v>0.57756458031861335</v>
      </c>
      <c r="L29" s="23">
        <v>191.32580981694252</v>
      </c>
      <c r="M29" s="23">
        <v>44.974533949970869</v>
      </c>
      <c r="N29" s="23">
        <v>4.5773767764328252E-4</v>
      </c>
      <c r="O29" s="23">
        <v>-2.2269362879660007E-4</v>
      </c>
      <c r="P29" s="23">
        <v>0.31368180798202056</v>
      </c>
      <c r="Q29" s="23">
        <v>91.243052210907564</v>
      </c>
      <c r="R29" s="23">
        <v>23.556068336382413</v>
      </c>
      <c r="S29" s="23">
        <v>2.3128744559655366E-4</v>
      </c>
      <c r="T29" s="23">
        <v>-1.2066265778614361E-4</v>
      </c>
      <c r="U29" s="23">
        <v>0.16862655074477703</v>
      </c>
      <c r="V29" s="23">
        <v>64.270709095586682</v>
      </c>
      <c r="W29" s="23">
        <v>15.745717615468076</v>
      </c>
      <c r="X29" s="23">
        <v>1.5329645359854079E-4</v>
      </c>
      <c r="Y29" s="23">
        <v>-8.4333464641942699E-5</v>
      </c>
      <c r="Z29">
        <v>0.11734416060360894</v>
      </c>
      <c r="AB29">
        <v>713633.30421556276</v>
      </c>
      <c r="AC29">
        <v>474271.99872938055</v>
      </c>
      <c r="AD29">
        <v>958412.92235251481</v>
      </c>
      <c r="AE29">
        <v>995429.31381892995</v>
      </c>
      <c r="AF29">
        <v>14209795.877104016</v>
      </c>
      <c r="AG29">
        <v>14051193.538973287</v>
      </c>
      <c r="AH29">
        <v>72133440.833552182</v>
      </c>
      <c r="AI29">
        <v>66037152.102495432</v>
      </c>
      <c r="AK29">
        <v>4.686178777653323</v>
      </c>
      <c r="AL29">
        <v>317.76169892398593</v>
      </c>
      <c r="AM29">
        <v>3025.5978520804474</v>
      </c>
      <c r="AN29">
        <v>379.9372828239849</v>
      </c>
      <c r="AP29" s="147">
        <v>6.5666480949966962E-6</v>
      </c>
      <c r="AQ29" s="147">
        <v>9.8807831586263542E-6</v>
      </c>
      <c r="AR29" s="147">
        <v>3.3154988994097648E-4</v>
      </c>
      <c r="AS29" s="147">
        <v>3.1922075682592089E-4</v>
      </c>
      <c r="AT29" s="147">
        <v>2.1292338596893835E-4</v>
      </c>
      <c r="AU29" s="147">
        <v>2.1532675097588372E-4</v>
      </c>
      <c r="AV29" s="147">
        <v>5.2671448697517383E-6</v>
      </c>
      <c r="AW29" s="147">
        <v>5.7533868546343284E-6</v>
      </c>
      <c r="AY29" s="147">
        <v>5.5630706887466327E-4</v>
      </c>
      <c r="AZ29" s="147">
        <v>5.5018167781506532E-4</v>
      </c>
      <c r="BB29">
        <v>4.184828678755882E-3</v>
      </c>
      <c r="BC29">
        <v>7.5346832043094751E-3</v>
      </c>
      <c r="BD29">
        <v>1.8776877788074381E-3</v>
      </c>
      <c r="BE29">
        <v>3.0419812482827637E-5</v>
      </c>
      <c r="BF29">
        <v>1.3627619474355623E-2</v>
      </c>
      <c r="BG29">
        <v>3.3906613413546713E-2</v>
      </c>
      <c r="BH29">
        <v>8.1725573718245108E-3</v>
      </c>
      <c r="BI29">
        <v>2.034040470391968E-3</v>
      </c>
      <c r="BJ29">
        <v>3.2768850380629062E-5</v>
      </c>
      <c r="BK29">
        <v>4.4145980106143824E-2</v>
      </c>
      <c r="CC29" s="146">
        <v>26</v>
      </c>
      <c r="CJ29" s="135"/>
      <c r="CK29" s="135"/>
      <c r="CL29" s="135"/>
      <c r="CM29" s="135"/>
    </row>
    <row r="30" spans="1:91" x14ac:dyDescent="0.25">
      <c r="A30">
        <v>27</v>
      </c>
      <c r="B30" s="135">
        <v>13.5</v>
      </c>
      <c r="C30" s="24">
        <v>2.746563737673938E-3</v>
      </c>
      <c r="D30" s="24">
        <v>0.57893249975697791</v>
      </c>
      <c r="E30" s="24">
        <v>4.3669794764885843</v>
      </c>
      <c r="F30" s="24">
        <v>4.7288351172054774</v>
      </c>
      <c r="G30" s="23">
        <v>363.5038405148473</v>
      </c>
      <c r="H30" s="23">
        <v>49.772142872670351</v>
      </c>
      <c r="I30" s="23">
        <v>5.1075247464871525E-4</v>
      </c>
      <c r="J30" s="23">
        <v>-2.6686460970591614E-4</v>
      </c>
      <c r="K30">
        <v>0.59677802950099301</v>
      </c>
      <c r="L30" s="23">
        <v>199.61048642729378</v>
      </c>
      <c r="M30" s="23">
        <v>46.70432371727744</v>
      </c>
      <c r="N30" s="23">
        <v>4.7534297293725492E-4</v>
      </c>
      <c r="O30" s="23">
        <v>-2.2985268351891544E-4</v>
      </c>
      <c r="P30" s="23">
        <v>0.32440493042005569</v>
      </c>
      <c r="Q30" s="23">
        <v>95.599287513550706</v>
      </c>
      <c r="R30" s="23">
        <v>24.462070964704811</v>
      </c>
      <c r="S30" s="23">
        <v>2.4018311658103648E-4</v>
      </c>
      <c r="T30" s="23">
        <v>-1.2512835718891748E-4</v>
      </c>
      <c r="U30" s="23">
        <v>0.17443066092015885</v>
      </c>
      <c r="V30" s="23">
        <v>66.777298841550973</v>
      </c>
      <c r="W30" s="23">
        <v>16.351322139139924</v>
      </c>
      <c r="X30" s="23">
        <v>1.5919247104463852E-4</v>
      </c>
      <c r="Y30" s="23">
        <v>-8.7540997792624964E-5</v>
      </c>
      <c r="Z30">
        <v>0.12135829802250524</v>
      </c>
      <c r="AB30">
        <v>621665.95036538632</v>
      </c>
      <c r="AC30">
        <v>455544.74276668928</v>
      </c>
      <c r="AD30">
        <v>825677.62678138027</v>
      </c>
      <c r="AE30">
        <v>868252.23315323959</v>
      </c>
      <c r="AF30">
        <v>12241811.711027481</v>
      </c>
      <c r="AG30">
        <v>12009675.67681656</v>
      </c>
      <c r="AH30">
        <v>62143327.63046366</v>
      </c>
      <c r="AI30">
        <v>56202345.561434165</v>
      </c>
      <c r="AK30">
        <v>2.9462821291138304</v>
      </c>
      <c r="AL30">
        <v>248.41199999847598</v>
      </c>
      <c r="AM30">
        <v>4015.309357538737</v>
      </c>
      <c r="AN30">
        <v>434.80249904083973</v>
      </c>
      <c r="AP30" s="147">
        <v>4.7393332824198318E-6</v>
      </c>
      <c r="AQ30" s="147">
        <v>6.4676020871626898E-6</v>
      </c>
      <c r="AR30" s="147">
        <v>3.0085833979397571E-4</v>
      </c>
      <c r="AS30" s="147">
        <v>2.8610580026533977E-4</v>
      </c>
      <c r="AT30" s="147">
        <v>3.2799960106572523E-4</v>
      </c>
      <c r="AU30" s="147">
        <v>3.3433953302251763E-4</v>
      </c>
      <c r="AV30" s="147">
        <v>6.9967688506544108E-6</v>
      </c>
      <c r="AW30" s="147">
        <v>7.736376386027553E-6</v>
      </c>
      <c r="AY30" s="147">
        <v>6.4059404299277511E-4</v>
      </c>
      <c r="AZ30" s="147">
        <v>6.3464931176104768E-4</v>
      </c>
      <c r="BB30">
        <v>4.1895680120383021E-3</v>
      </c>
      <c r="BC30">
        <v>7.8355415441034512E-3</v>
      </c>
      <c r="BD30">
        <v>2.2056873798731633E-3</v>
      </c>
      <c r="BE30">
        <v>3.7416581333482047E-5</v>
      </c>
      <c r="BF30">
        <v>1.4268213517348399E-2</v>
      </c>
      <c r="BG30">
        <v>3.3913081015633874E-2</v>
      </c>
      <c r="BH30">
        <v>8.458663172089851E-3</v>
      </c>
      <c r="BI30">
        <v>2.3683800034144855E-3</v>
      </c>
      <c r="BJ30">
        <v>4.0505226766656613E-5</v>
      </c>
      <c r="BK30">
        <v>4.4780629417904873E-2</v>
      </c>
      <c r="CC30" s="146">
        <v>27</v>
      </c>
      <c r="CJ30" s="135"/>
      <c r="CK30" s="135"/>
      <c r="CL30" s="135"/>
      <c r="CM30" s="135"/>
    </row>
    <row r="31" spans="1:91" x14ac:dyDescent="0.25">
      <c r="A31">
        <v>28</v>
      </c>
      <c r="B31" s="135">
        <v>14</v>
      </c>
      <c r="C31" s="24">
        <v>1.7369936243790973E-3</v>
      </c>
      <c r="D31" s="24">
        <v>0.45282500371091672</v>
      </c>
      <c r="E31" s="24">
        <v>5.7690436253279955</v>
      </c>
      <c r="F31" s="24">
        <v>5.2757112970277253</v>
      </c>
      <c r="G31" s="23">
        <v>369.72057958943361</v>
      </c>
      <c r="H31" s="23">
        <v>51.48690654895848</v>
      </c>
      <c r="I31" s="23">
        <v>5.2818492374280546E-4</v>
      </c>
      <c r="J31" s="23">
        <v>-2.6910723759302635E-4</v>
      </c>
      <c r="K31">
        <v>0.61586138717797401</v>
      </c>
      <c r="L31" s="23">
        <v>207.76325148796553</v>
      </c>
      <c r="M31" s="23">
        <v>48.434113484584017</v>
      </c>
      <c r="N31" s="23">
        <v>4.9294826823122737E-4</v>
      </c>
      <c r="O31" s="23">
        <v>-2.3685617059295786E-4</v>
      </c>
      <c r="P31" s="23">
        <v>0.33507411745700938</v>
      </c>
      <c r="Q31" s="23">
        <v>99.955395140891952</v>
      </c>
      <c r="R31" s="23">
        <v>25.368073593027219</v>
      </c>
      <c r="S31" s="23">
        <v>2.4907878756551938E-4</v>
      </c>
      <c r="T31" s="23">
        <v>-1.2958086355470221E-4</v>
      </c>
      <c r="U31" s="23">
        <v>0.18021376973965436</v>
      </c>
      <c r="V31" s="23">
        <v>69.239982252124165</v>
      </c>
      <c r="W31" s="23">
        <v>16.956926662811775</v>
      </c>
      <c r="X31" s="23">
        <v>1.6508848849073623E-4</v>
      </c>
      <c r="Y31" s="23">
        <v>-9.0699268424778654E-5</v>
      </c>
      <c r="Z31">
        <v>0.1253596980943506</v>
      </c>
      <c r="AB31">
        <v>544482.3072820591</v>
      </c>
      <c r="AC31">
        <v>439370.05471225677</v>
      </c>
      <c r="AD31">
        <v>715192.84564683225</v>
      </c>
      <c r="AE31">
        <v>762665.61933133448</v>
      </c>
      <c r="AF31">
        <v>10603722.166497115</v>
      </c>
      <c r="AG31">
        <v>10325985.961751169</v>
      </c>
      <c r="AH31">
        <v>53827864.392118968</v>
      </c>
      <c r="AI31">
        <v>48223612.492773294</v>
      </c>
      <c r="AK31">
        <v>1.8633003864774491</v>
      </c>
      <c r="AL31">
        <v>194.30100204836586</v>
      </c>
      <c r="AM31">
        <v>5304.4661596291462</v>
      </c>
      <c r="AN31">
        <v>485.08615743854256</v>
      </c>
      <c r="AP31" s="147">
        <v>3.4221504749688779E-6</v>
      </c>
      <c r="AQ31" s="147">
        <v>4.2408451975584078E-6</v>
      </c>
      <c r="AR31" s="147">
        <v>2.7167637823982541E-4</v>
      </c>
      <c r="AS31" s="147">
        <v>2.5476564974663324E-4</v>
      </c>
      <c r="AT31" s="147">
        <v>5.0024567565423576E-4</v>
      </c>
      <c r="AU31" s="147">
        <v>5.1370069446904127E-4</v>
      </c>
      <c r="AV31" s="147">
        <v>9.011803884784344E-6</v>
      </c>
      <c r="AW31" s="147">
        <v>1.0059100352783332E-5</v>
      </c>
      <c r="AY31" s="147">
        <v>7.8435600825381435E-4</v>
      </c>
      <c r="AZ31" s="147">
        <v>7.8276628976601626E-4</v>
      </c>
      <c r="BB31">
        <v>4.1929901625132708E-3</v>
      </c>
      <c r="BC31">
        <v>8.1072179223432763E-3</v>
      </c>
      <c r="BD31">
        <v>2.7059330555273993E-3</v>
      </c>
      <c r="BE31">
        <v>4.6428385218266394E-5</v>
      </c>
      <c r="BF31">
        <v>1.5052569525602213E-2</v>
      </c>
      <c r="BG31">
        <v>3.3917321860831434E-2</v>
      </c>
      <c r="BH31">
        <v>8.7134288218364848E-3</v>
      </c>
      <c r="BI31">
        <v>2.8820806978835265E-3</v>
      </c>
      <c r="BJ31">
        <v>5.0564327119439947E-5</v>
      </c>
      <c r="BK31">
        <v>4.556339570767088E-2</v>
      </c>
      <c r="CC31" s="146">
        <v>28</v>
      </c>
      <c r="CJ31" s="135"/>
      <c r="CK31" s="135"/>
      <c r="CL31" s="135"/>
      <c r="CM31" s="135"/>
    </row>
    <row r="32" spans="1:91" x14ac:dyDescent="0.25">
      <c r="A32">
        <v>29</v>
      </c>
      <c r="B32" s="135">
        <v>14.5</v>
      </c>
      <c r="C32" s="24">
        <v>1.1049569374177457E-3</v>
      </c>
      <c r="D32" s="24">
        <v>0.35446568457382693</v>
      </c>
      <c r="E32" s="24">
        <v>7.4004138721786434</v>
      </c>
      <c r="F32" s="24">
        <v>5.7220167430347049</v>
      </c>
      <c r="G32" s="23">
        <v>375.69068735417261</v>
      </c>
      <c r="H32" s="23">
        <v>53.193101074812638</v>
      </c>
      <c r="I32" s="23">
        <v>5.4551884771639593E-4</v>
      </c>
      <c r="J32" s="23">
        <v>-2.7113159050312343E-4</v>
      </c>
      <c r="K32">
        <v>0.63481854505379176</v>
      </c>
      <c r="L32" s="23">
        <v>215.77416661708781</v>
      </c>
      <c r="M32" s="23">
        <v>50.163903251890588</v>
      </c>
      <c r="N32" s="23">
        <v>5.1055356352519977E-4</v>
      </c>
      <c r="O32" s="23">
        <v>-2.4370193562991076E-4</v>
      </c>
      <c r="P32" s="23">
        <v>0.34569062902054526</v>
      </c>
      <c r="Q32" s="23">
        <v>104.29543638776413</v>
      </c>
      <c r="R32" s="23">
        <v>26.274076221349617</v>
      </c>
      <c r="S32" s="23">
        <v>2.5797445855000218E-4</v>
      </c>
      <c r="T32" s="23">
        <v>-1.3400585825010497E-4</v>
      </c>
      <c r="U32" s="23">
        <v>0.1859763914822038</v>
      </c>
      <c r="V32" s="23">
        <v>71.656370646115178</v>
      </c>
      <c r="W32" s="23">
        <v>17.562531186483628</v>
      </c>
      <c r="X32" s="23">
        <v>1.7098450593683401E-4</v>
      </c>
      <c r="Y32" s="23">
        <v>-9.3804146518260373E-5</v>
      </c>
      <c r="Z32">
        <v>0.12934874977353189</v>
      </c>
      <c r="AB32">
        <v>479280.67997452751</v>
      </c>
      <c r="AC32">
        <v>425373.04118893063</v>
      </c>
      <c r="AD32">
        <v>622623.19181935897</v>
      </c>
      <c r="AE32">
        <v>674337.48265754327</v>
      </c>
      <c r="AF32">
        <v>9231249.1388236079</v>
      </c>
      <c r="AG32">
        <v>8931683.7792432737</v>
      </c>
      <c r="AH32">
        <v>46860755.026610516</v>
      </c>
      <c r="AI32">
        <v>41697391.855069242</v>
      </c>
      <c r="AK32">
        <v>1.1853046894558308</v>
      </c>
      <c r="AL32">
        <v>152.09636645511534</v>
      </c>
      <c r="AM32">
        <v>6804.4631834431439</v>
      </c>
      <c r="AN32">
        <v>526.1226322678973</v>
      </c>
      <c r="AP32" s="147">
        <v>2.4730909026394022E-6</v>
      </c>
      <c r="AQ32" s="147">
        <v>2.7865063713085062E-6</v>
      </c>
      <c r="AR32" s="147">
        <v>2.4428316910373441E-4</v>
      </c>
      <c r="AS32" s="147">
        <v>2.2554932858797681E-4</v>
      </c>
      <c r="AT32" s="147">
        <v>7.3711185573204841E-4</v>
      </c>
      <c r="AU32" s="147">
        <v>7.6183431384531668E-4</v>
      </c>
      <c r="AV32" s="147">
        <v>1.1227361402289217E-5</v>
      </c>
      <c r="AW32" s="147">
        <v>1.2617638870473752E-5</v>
      </c>
      <c r="AY32" s="147">
        <v>9.9509547714071137E-4</v>
      </c>
      <c r="AZ32" s="147">
        <v>1.0027877876750758E-3</v>
      </c>
      <c r="BB32">
        <v>4.1954632534159106E-3</v>
      </c>
      <c r="BC32">
        <v>8.3515010914470104E-3</v>
      </c>
      <c r="BD32">
        <v>3.4430449112594478E-3</v>
      </c>
      <c r="BE32">
        <v>5.7655746620555612E-5</v>
      </c>
      <c r="BF32">
        <v>1.6047665002742927E-2</v>
      </c>
      <c r="BG32">
        <v>3.3920108367202745E-2</v>
      </c>
      <c r="BH32">
        <v>8.9389781504244613E-3</v>
      </c>
      <c r="BI32">
        <v>3.6439150117288433E-3</v>
      </c>
      <c r="BJ32">
        <v>6.3181965989913701E-5</v>
      </c>
      <c r="BK32">
        <v>4.656618349534597E-2</v>
      </c>
      <c r="CC32" s="146">
        <v>29</v>
      </c>
      <c r="CJ32" s="135"/>
      <c r="CK32" s="135"/>
      <c r="CL32" s="135"/>
      <c r="CM32" s="135"/>
    </row>
    <row r="33" spans="1:91" x14ac:dyDescent="0.25">
      <c r="A33">
        <v>30</v>
      </c>
      <c r="B33" s="135">
        <v>15</v>
      </c>
      <c r="C33" s="24">
        <v>7.0697991766523974E-4</v>
      </c>
      <c r="D33" s="24">
        <v>0.27774715563191105</v>
      </c>
      <c r="E33" s="24">
        <v>9.0187754473050816</v>
      </c>
      <c r="F33" s="24">
        <v>6.0332716031878562</v>
      </c>
      <c r="G33" s="23">
        <v>381.42764784047881</v>
      </c>
      <c r="H33" s="23">
        <v>54.890786282019732</v>
      </c>
      <c r="I33" s="23">
        <v>5.627549686387836E-4</v>
      </c>
      <c r="J33" s="23">
        <v>-2.7295263224603501E-4</v>
      </c>
      <c r="K33">
        <v>0.65365319420161971</v>
      </c>
      <c r="L33" s="23">
        <v>223.63656816229317</v>
      </c>
      <c r="M33" s="23">
        <v>51.893693019197158</v>
      </c>
      <c r="N33" s="23">
        <v>5.2815885881917217E-4</v>
      </c>
      <c r="O33" s="23">
        <v>-2.5038961993566861E-4</v>
      </c>
      <c r="P33" s="23">
        <v>0.35625566431168049</v>
      </c>
      <c r="Q33" s="23">
        <v>108.60691637940489</v>
      </c>
      <c r="R33" s="23">
        <v>27.180078849672014</v>
      </c>
      <c r="S33" s="23">
        <v>2.6687012953448497E-4</v>
      </c>
      <c r="T33" s="23">
        <v>-1.3839222869114804E-4</v>
      </c>
      <c r="U33" s="23">
        <v>0.19171900337861814</v>
      </c>
      <c r="V33" s="23">
        <v>74.024966762886351</v>
      </c>
      <c r="W33" s="23">
        <v>18.168135710155475</v>
      </c>
      <c r="X33" s="23">
        <v>1.7688052338293169E-4</v>
      </c>
      <c r="Y33" s="23">
        <v>-9.6852815635513082E-5</v>
      </c>
      <c r="Z33">
        <v>0.13332580931480353</v>
      </c>
      <c r="AB33">
        <v>423864.5438357598</v>
      </c>
      <c r="AC33">
        <v>413248.23652264563</v>
      </c>
      <c r="AD33">
        <v>544588.45346197556</v>
      </c>
      <c r="AE33">
        <v>599909.28198279475</v>
      </c>
      <c r="AF33">
        <v>8074276.3168588979</v>
      </c>
      <c r="AG33">
        <v>7771512.1377900662</v>
      </c>
      <c r="AH33">
        <v>40987593.207749292</v>
      </c>
      <c r="AI33">
        <v>36316431.270721741</v>
      </c>
      <c r="AK33">
        <v>0.75838847957102995</v>
      </c>
      <c r="AL33">
        <v>119.17749729609888</v>
      </c>
      <c r="AM33">
        <v>8292.499115709863</v>
      </c>
      <c r="AN33">
        <v>554.74160241147331</v>
      </c>
      <c r="AP33" s="147">
        <v>1.7892236814808752E-6</v>
      </c>
      <c r="AQ33" s="147">
        <v>1.8351886651776938E-6</v>
      </c>
      <c r="AR33" s="147">
        <v>2.188395595581979E-4</v>
      </c>
      <c r="AS33" s="147">
        <v>1.986591987745188E-4</v>
      </c>
      <c r="AT33" s="147">
        <v>1.0270269173715694E-3</v>
      </c>
      <c r="AU33" s="147">
        <v>1.0670380446794164E-3</v>
      </c>
      <c r="AV33" s="147">
        <v>1.3534378552058807E-5</v>
      </c>
      <c r="AW33" s="147">
        <v>1.5275223445721807E-5</v>
      </c>
      <c r="AY33" s="147">
        <v>1.2611900791633069E-3</v>
      </c>
      <c r="AZ33" s="147">
        <v>1.2828076555648346E-3</v>
      </c>
      <c r="BB33">
        <v>4.1972524770973914E-3</v>
      </c>
      <c r="BC33">
        <v>8.570340651005209E-3</v>
      </c>
      <c r="BD33">
        <v>4.470071828631017E-3</v>
      </c>
      <c r="BE33">
        <v>7.1190125172614421E-5</v>
      </c>
      <c r="BF33">
        <v>1.730885508190623E-2</v>
      </c>
      <c r="BG33">
        <v>3.3921943555867924E-2</v>
      </c>
      <c r="BH33">
        <v>9.1376373491989793E-3</v>
      </c>
      <c r="BI33">
        <v>4.7109530564082595E-3</v>
      </c>
      <c r="BJ33">
        <v>7.8457189435635511E-5</v>
      </c>
      <c r="BK33">
        <v>4.7848991150910798E-2</v>
      </c>
      <c r="CC33" s="146">
        <v>30</v>
      </c>
      <c r="CJ33" s="135"/>
      <c r="CK33" s="135"/>
      <c r="CL33" s="135"/>
      <c r="CM33" s="135"/>
    </row>
    <row r="34" spans="1:91" x14ac:dyDescent="0.25">
      <c r="A34">
        <v>31</v>
      </c>
      <c r="B34" s="135">
        <v>15.5</v>
      </c>
      <c r="C34" s="24">
        <v>4.5493799292717623E-4</v>
      </c>
      <c r="D34" s="24">
        <v>0.21788671659433456</v>
      </c>
      <c r="E34" s="24">
        <v>10.296030842217348</v>
      </c>
      <c r="F34" s="24">
        <v>6.1919737584578183</v>
      </c>
      <c r="G34" s="23">
        <v>386.94401182567498</v>
      </c>
      <c r="H34" s="23">
        <v>56.580021466317014</v>
      </c>
      <c r="I34" s="23">
        <v>5.7989400194008976E-4</v>
      </c>
      <c r="J34" s="23">
        <v>-2.7458417443202929E-4</v>
      </c>
      <c r="K34">
        <v>0.67236883955762261</v>
      </c>
      <c r="L34" s="23">
        <v>230.95353627925604</v>
      </c>
      <c r="M34" s="23">
        <v>53.623482786503736</v>
      </c>
      <c r="N34" s="23">
        <v>5.4576415411314457E-4</v>
      </c>
      <c r="O34" s="23">
        <v>-2.5640087674964164E-4</v>
      </c>
      <c r="P34" s="23">
        <v>0.36677036724779566</v>
      </c>
      <c r="Q34" s="23">
        <v>112.88008086670362</v>
      </c>
      <c r="R34" s="23">
        <v>28.086081477994423</v>
      </c>
      <c r="S34" s="23">
        <v>2.7576580051896787E-4</v>
      </c>
      <c r="T34" s="23">
        <v>-1.427314058210897E-4</v>
      </c>
      <c r="U34" s="23">
        <v>0.19744205007918655</v>
      </c>
      <c r="V34" s="23">
        <v>76.344956791850962</v>
      </c>
      <c r="W34" s="23">
        <v>18.773740233827329</v>
      </c>
      <c r="X34" s="23">
        <v>1.8277654082902946E-4</v>
      </c>
      <c r="Y34" s="23">
        <v>-9.9843475557788528E-5</v>
      </c>
      <c r="Z34">
        <v>0.13729120424979641</v>
      </c>
      <c r="AB34">
        <v>376496.92987348995</v>
      </c>
      <c r="AC34">
        <v>402744.77442793595</v>
      </c>
      <c r="AD34">
        <v>478430.31973218825</v>
      </c>
      <c r="AE34">
        <v>541471.77405503043</v>
      </c>
      <c r="AF34">
        <v>7093390.5691971416</v>
      </c>
      <c r="AG34">
        <v>6801170.4736508876</v>
      </c>
      <c r="AH34">
        <v>36008305.352007501</v>
      </c>
      <c r="AI34">
        <v>31845423.254335403</v>
      </c>
      <c r="AK34">
        <v>0.48801914189379642</v>
      </c>
      <c r="AL34">
        <v>93.492203434805347</v>
      </c>
      <c r="AM34">
        <v>9466.8979345661992</v>
      </c>
      <c r="AN34">
        <v>569.33379943341663</v>
      </c>
      <c r="AP34" s="147">
        <v>1.2962101498617267E-6</v>
      </c>
      <c r="AQ34" s="147">
        <v>1.2117330202160545E-6</v>
      </c>
      <c r="AR34" s="147">
        <v>1.9541446179067336E-4</v>
      </c>
      <c r="AS34" s="147">
        <v>1.7266311544672248E-4</v>
      </c>
      <c r="AT34" s="147">
        <v>1.334608300813993E-3</v>
      </c>
      <c r="AU34" s="147">
        <v>1.391951278275244E-3</v>
      </c>
      <c r="AV34" s="147">
        <v>1.5811180056038813E-5</v>
      </c>
      <c r="AW34" s="147">
        <v>1.7878041528492109E-5</v>
      </c>
      <c r="AY34" s="147">
        <v>1.5471301528105668E-3</v>
      </c>
      <c r="AZ34" s="147">
        <v>1.5837041682706745E-3</v>
      </c>
      <c r="BB34">
        <v>4.1985486872472529E-3</v>
      </c>
      <c r="BC34">
        <v>8.7657551127958821E-3</v>
      </c>
      <c r="BD34">
        <v>5.8046801294450098E-3</v>
      </c>
      <c r="BE34">
        <v>8.7001305228653241E-5</v>
      </c>
      <c r="BF34">
        <v>1.88559852347168E-2</v>
      </c>
      <c r="BG34">
        <v>3.3923155288888139E-2</v>
      </c>
      <c r="BH34">
        <v>9.3103004646457009E-3</v>
      </c>
      <c r="BI34">
        <v>6.1029043346835033E-3</v>
      </c>
      <c r="BJ34">
        <v>9.6335230964127616E-5</v>
      </c>
      <c r="BK34">
        <v>4.9432695319181465E-2</v>
      </c>
      <c r="CC34" s="146">
        <v>31</v>
      </c>
      <c r="CJ34" s="135"/>
      <c r="CK34" s="135"/>
      <c r="CL34" s="135"/>
      <c r="CM34" s="135"/>
    </row>
    <row r="35" spans="1:91" x14ac:dyDescent="0.25">
      <c r="A35">
        <v>32</v>
      </c>
      <c r="B35" s="135">
        <v>16</v>
      </c>
      <c r="C35" s="24">
        <v>2.9440430919613192E-4</v>
      </c>
      <c r="D35" s="24">
        <v>0.17115052274618436</v>
      </c>
      <c r="E35" s="24">
        <v>10.944427809615279</v>
      </c>
      <c r="F35" s="24">
        <v>6.1962858533972218</v>
      </c>
      <c r="G35" s="23">
        <v>392.25147458243822</v>
      </c>
      <c r="H35" s="23">
        <v>58.260865393250064</v>
      </c>
      <c r="I35" s="23">
        <v>5.969366564850065E-4</v>
      </c>
      <c r="J35" s="23">
        <v>-2.7603897864050364E-4</v>
      </c>
      <c r="K35">
        <v>0.69096881300191404</v>
      </c>
      <c r="L35" s="23">
        <v>238.22683923456538</v>
      </c>
      <c r="M35" s="23">
        <v>55.353272553810307</v>
      </c>
      <c r="N35" s="23">
        <v>5.6336944940711697E-4</v>
      </c>
      <c r="O35" s="23">
        <v>-2.6233837356984545E-4</v>
      </c>
      <c r="P35" s="23">
        <v>0.37723583114517756</v>
      </c>
      <c r="Q35" s="23">
        <v>117.10736549891226</v>
      </c>
      <c r="R35" s="23">
        <v>28.99208410631682</v>
      </c>
      <c r="S35" s="23">
        <v>2.8466147150345067E-4</v>
      </c>
      <c r="T35" s="23">
        <v>-1.4701684613829645E-4</v>
      </c>
      <c r="U35" s="23">
        <v>0.20314594744052758</v>
      </c>
      <c r="V35" s="23">
        <v>78.616050358181397</v>
      </c>
      <c r="W35" s="23">
        <v>19.379344757499165</v>
      </c>
      <c r="X35" s="23">
        <v>1.8867255827512705E-4</v>
      </c>
      <c r="Y35" s="23">
        <v>-1.0277511261026222E-4</v>
      </c>
      <c r="Z35">
        <v>0.14124523677233256</v>
      </c>
      <c r="AB35">
        <v>335793.19649038522</v>
      </c>
      <c r="AC35">
        <v>393655.1241518457</v>
      </c>
      <c r="AD35">
        <v>422041.31819263304</v>
      </c>
      <c r="AE35">
        <v>490484.19582242687</v>
      </c>
      <c r="AF35">
        <v>6257345.704918839</v>
      </c>
      <c r="AG35">
        <v>5985248.7965571266</v>
      </c>
      <c r="AH35">
        <v>31764275.861845415</v>
      </c>
      <c r="AI35">
        <v>28102961.938088574</v>
      </c>
      <c r="AK35">
        <v>0.31581213391146878</v>
      </c>
      <c r="AL35">
        <v>73.438343285290514</v>
      </c>
      <c r="AM35">
        <v>10063.079900753522</v>
      </c>
      <c r="AN35">
        <v>569.73028389719764</v>
      </c>
      <c r="AP35" s="147">
        <v>9.4049592788730447E-7</v>
      </c>
      <c r="AQ35" s="147">
        <v>8.02255869504825E-7</v>
      </c>
      <c r="AR35" s="147">
        <v>1.7400747301185077E-4</v>
      </c>
      <c r="AS35" s="147">
        <v>1.4972621729870755E-4</v>
      </c>
      <c r="AT35" s="147">
        <v>1.6082026429901472E-3</v>
      </c>
      <c r="AU35" s="147">
        <v>1.68131354982972E-3</v>
      </c>
      <c r="AV35" s="147">
        <v>1.793619619648077E-5</v>
      </c>
      <c r="AW35" s="147">
        <v>2.0272962157950669E-5</v>
      </c>
      <c r="AY35" s="147">
        <v>1.8010868081263661E-3</v>
      </c>
      <c r="AZ35" s="147">
        <v>1.8521149851558831E-3</v>
      </c>
      <c r="BB35">
        <v>4.1994891831751398E-3</v>
      </c>
      <c r="BC35">
        <v>8.9397625858077326E-3</v>
      </c>
      <c r="BD35">
        <v>7.4128827724351566E-3</v>
      </c>
      <c r="BE35">
        <v>1.0493750142513401E-4</v>
      </c>
      <c r="BF35">
        <v>2.0657072042843162E-2</v>
      </c>
      <c r="BG35">
        <v>3.3923957544757646E-2</v>
      </c>
      <c r="BH35">
        <v>9.4600266819444088E-3</v>
      </c>
      <c r="BI35">
        <v>7.7842178845132235E-3</v>
      </c>
      <c r="BJ35">
        <v>1.1660819312207828E-4</v>
      </c>
      <c r="BK35">
        <v>5.1284810304337354E-2</v>
      </c>
      <c r="CC35" s="146">
        <v>32</v>
      </c>
      <c r="CJ35" s="135"/>
      <c r="CK35" s="135"/>
      <c r="CL35" s="135"/>
      <c r="CM35" s="135"/>
    </row>
    <row r="36" spans="1:91" x14ac:dyDescent="0.25">
      <c r="A36">
        <v>33</v>
      </c>
      <c r="B36" s="135">
        <v>16.5</v>
      </c>
      <c r="C36" s="24">
        <v>1.9157657203389543E-4</v>
      </c>
      <c r="D36" s="24">
        <v>0.1346298789690463</v>
      </c>
      <c r="E36" s="24">
        <v>10.831837706180487</v>
      </c>
      <c r="F36" s="24">
        <v>6.0572342815526632</v>
      </c>
      <c r="G36" s="23">
        <v>397.3609460875341</v>
      </c>
      <c r="H36" s="23">
        <v>59.933376303955711</v>
      </c>
      <c r="I36" s="23">
        <v>6.138836346455713E-4</v>
      </c>
      <c r="J36" s="23">
        <v>-2.7732884826463223E-4</v>
      </c>
      <c r="K36">
        <v>0.70945628521098481</v>
      </c>
      <c r="L36" s="23">
        <v>245.44682307241393</v>
      </c>
      <c r="M36" s="23">
        <v>57.08306232111687</v>
      </c>
      <c r="N36" s="23">
        <v>5.8097474470108937E-4</v>
      </c>
      <c r="O36" s="23">
        <v>-2.6820145825222743E-4</v>
      </c>
      <c r="P36" s="23">
        <v>0.38765310277766463</v>
      </c>
      <c r="Q36" s="23">
        <v>121.28296181607517</v>
      </c>
      <c r="R36" s="23">
        <v>29.898086734639215</v>
      </c>
      <c r="S36" s="23">
        <v>2.9355714248793346E-4</v>
      </c>
      <c r="T36" s="23">
        <v>-1.5124362424121147E-4</v>
      </c>
      <c r="U36" s="23">
        <v>0.20883108575235565</v>
      </c>
      <c r="V36" s="23">
        <v>80.610886652891026</v>
      </c>
      <c r="W36" s="23">
        <v>19.984949281171019</v>
      </c>
      <c r="X36" s="23">
        <v>1.9456857572122484E-4</v>
      </c>
      <c r="Y36" s="23">
        <v>-1.0552313207762799E-4</v>
      </c>
      <c r="Z36">
        <v>0.14518818663504848</v>
      </c>
      <c r="AB36">
        <v>300641.2404652058</v>
      </c>
      <c r="AC36">
        <v>385806.44685426605</v>
      </c>
      <c r="AD36">
        <v>373738.05634192837</v>
      </c>
      <c r="AE36">
        <v>445816.3434504348</v>
      </c>
      <c r="AF36">
        <v>5541183.1041350001</v>
      </c>
      <c r="AG36">
        <v>5295453.034778472</v>
      </c>
      <c r="AH36">
        <v>28128806.848945495</v>
      </c>
      <c r="AI36">
        <v>25075300.12463982</v>
      </c>
      <c r="AK36">
        <v>0.20550720261761593</v>
      </c>
      <c r="AL36">
        <v>57.767835642829539</v>
      </c>
      <c r="AM36">
        <v>9959.5566077492949</v>
      </c>
      <c r="AN36">
        <v>556.94490030164945</v>
      </c>
      <c r="AP36" s="147">
        <v>6.8356291472061015E-7</v>
      </c>
      <c r="AQ36" s="147">
        <v>5.3266917723446941E-7</v>
      </c>
      <c r="AR36" s="147">
        <v>1.5456771035909293E-4</v>
      </c>
      <c r="AS36" s="147">
        <v>1.2957765342501868E-4</v>
      </c>
      <c r="AT36" s="147">
        <v>1.7973700598915726E-3</v>
      </c>
      <c r="AU36" s="147">
        <v>1.8807751749168216E-3</v>
      </c>
      <c r="AV36" s="147">
        <v>1.9799805348747967E-5</v>
      </c>
      <c r="AW36" s="147">
        <v>2.2210896680529736E-5</v>
      </c>
      <c r="AY36" s="147">
        <v>1.972421138514134E-3</v>
      </c>
      <c r="AZ36" s="147">
        <v>2.0330963941996042E-3</v>
      </c>
      <c r="BB36">
        <v>4.2001727460898603E-3</v>
      </c>
      <c r="BC36">
        <v>9.0943302961668249E-3</v>
      </c>
      <c r="BD36">
        <v>9.2102528323267287E-3</v>
      </c>
      <c r="BE36">
        <v>1.2473730677388199E-4</v>
      </c>
      <c r="BF36">
        <v>2.2629493181357294E-2</v>
      </c>
      <c r="BG36">
        <v>3.3924490213934878E-2</v>
      </c>
      <c r="BH36">
        <v>9.5896043353694282E-3</v>
      </c>
      <c r="BI36">
        <v>9.6649930594300444E-3</v>
      </c>
      <c r="BJ36">
        <v>1.3881908980260802E-4</v>
      </c>
      <c r="BK36">
        <v>5.3317906698536963E-2</v>
      </c>
      <c r="CC36" s="146">
        <v>33</v>
      </c>
      <c r="CJ36" s="135"/>
      <c r="CK36" s="135"/>
      <c r="CL36" s="135"/>
      <c r="CM36" s="135"/>
    </row>
    <row r="37" spans="1:91" x14ac:dyDescent="0.25">
      <c r="A37">
        <v>34</v>
      </c>
      <c r="B37" s="135">
        <v>17</v>
      </c>
      <c r="C37" s="24">
        <v>1.2534399286555335E-4</v>
      </c>
      <c r="D37" s="24">
        <v>0.10606215707444815</v>
      </c>
      <c r="E37" s="24">
        <v>10.021369085393141</v>
      </c>
      <c r="F37" s="24">
        <v>5.795098622816381</v>
      </c>
      <c r="G37" s="23">
        <v>402.28261452129641</v>
      </c>
      <c r="H37" s="23">
        <v>61.597611920870285</v>
      </c>
      <c r="I37" s="23">
        <v>6.307356323729962E-4</v>
      </c>
      <c r="J37" s="23">
        <v>-2.7846471120388866E-4</v>
      </c>
      <c r="K37">
        <v>0.72783427643472132</v>
      </c>
      <c r="L37" s="23">
        <v>252.60122102398518</v>
      </c>
      <c r="M37" s="23">
        <v>58.812852088423433</v>
      </c>
      <c r="N37" s="23">
        <v>5.9858003999506155E-4</v>
      </c>
      <c r="O37" s="23">
        <v>-2.7398419486723472E-4</v>
      </c>
      <c r="P37" s="23">
        <v>0.3980231859195193</v>
      </c>
      <c r="Q37" s="23">
        <v>125.27086813348662</v>
      </c>
      <c r="R37" s="23">
        <v>30.804089362961616</v>
      </c>
      <c r="S37" s="23">
        <v>3.0245281347241631E-4</v>
      </c>
      <c r="T37" s="23">
        <v>-1.5528072884210715E-4</v>
      </c>
      <c r="U37" s="23">
        <v>0.21449783250069054</v>
      </c>
      <c r="V37" s="23">
        <v>82.402494775965764</v>
      </c>
      <c r="W37" s="23">
        <v>20.590553804842866</v>
      </c>
      <c r="X37" s="23">
        <v>2.0046459316732255E-4</v>
      </c>
      <c r="Y37" s="23">
        <v>-1.0814159249856521E-4</v>
      </c>
      <c r="Z37">
        <v>0.14912031363960274</v>
      </c>
      <c r="AB37">
        <v>270141.54393674969</v>
      </c>
      <c r="AC37">
        <v>379053.89957767644</v>
      </c>
      <c r="AD37">
        <v>332166.37186639884</v>
      </c>
      <c r="AE37">
        <v>406568.64448645193</v>
      </c>
      <c r="AF37">
        <v>4924825.4394087484</v>
      </c>
      <c r="AG37">
        <v>4725853.1813786533</v>
      </c>
      <c r="AH37">
        <v>24999979.417126097</v>
      </c>
      <c r="AI37">
        <v>22555858.511994563</v>
      </c>
      <c r="AK37">
        <v>0.13445847300245434</v>
      </c>
      <c r="AL37">
        <v>45.509817766451292</v>
      </c>
      <c r="AM37">
        <v>9214.3545167938191</v>
      </c>
      <c r="AN37">
        <v>532.84229645074436</v>
      </c>
      <c r="AP37" s="147">
        <v>4.9773341427979742E-7</v>
      </c>
      <c r="AQ37" s="147">
        <v>3.5472124980711575E-7</v>
      </c>
      <c r="AR37" s="147">
        <v>1.3700910634251642E-4</v>
      </c>
      <c r="AS37" s="147">
        <v>1.1193636888534776E-4</v>
      </c>
      <c r="AT37" s="147">
        <v>1.8710012426146117E-3</v>
      </c>
      <c r="AU37" s="147">
        <v>1.9497758739313511E-3</v>
      </c>
      <c r="AV37" s="147">
        <v>2.13137094059255E-5</v>
      </c>
      <c r="AW37" s="147">
        <v>2.3623232791932704E-5</v>
      </c>
      <c r="AY37" s="147">
        <v>2.0298217917773332E-3</v>
      </c>
      <c r="AZ37" s="147">
        <v>2.0856901968584387E-3</v>
      </c>
      <c r="BB37">
        <v>4.2006704795041405E-3</v>
      </c>
      <c r="BC37">
        <v>9.2313394025093417E-3</v>
      </c>
      <c r="BD37">
        <v>1.108125407494134E-2</v>
      </c>
      <c r="BE37">
        <v>1.4605101617980751E-4</v>
      </c>
      <c r="BF37">
        <v>2.465931497313463E-2</v>
      </c>
      <c r="BG37">
        <v>3.3924844935184682E-2</v>
      </c>
      <c r="BH37">
        <v>9.7015407042547758E-3</v>
      </c>
      <c r="BI37">
        <v>1.1614768933361396E-2</v>
      </c>
      <c r="BJ37">
        <v>1.6244232259454071E-4</v>
      </c>
      <c r="BK37">
        <v>5.5403596895395389E-2</v>
      </c>
      <c r="CC37" s="146">
        <v>34</v>
      </c>
      <c r="CJ37" s="135"/>
      <c r="CK37" s="135"/>
      <c r="CL37" s="135"/>
      <c r="CM37" s="135"/>
    </row>
    <row r="38" spans="1:91" x14ac:dyDescent="0.25">
      <c r="A38">
        <v>35</v>
      </c>
      <c r="B38" s="135">
        <v>17.5</v>
      </c>
      <c r="C38" s="24">
        <v>8.2448393330531008E-5</v>
      </c>
      <c r="D38" s="24">
        <v>8.3688808498185274E-2</v>
      </c>
      <c r="E38" s="24">
        <v>8.7249514223273348</v>
      </c>
      <c r="F38" s="24">
        <v>5.4356377388943473</v>
      </c>
      <c r="G38" s="23">
        <v>407.02600378691074</v>
      </c>
      <c r="H38" s="23">
        <v>63.25362945336461</v>
      </c>
      <c r="I38" s="23">
        <v>6.4749333926856622E-4</v>
      </c>
      <c r="J38" s="23">
        <v>-2.7945669442887132E-4</v>
      </c>
      <c r="K38">
        <v>0.74610566632629904</v>
      </c>
      <c r="L38" s="23">
        <v>259.68037209750253</v>
      </c>
      <c r="M38" s="23">
        <v>60.542641855730004</v>
      </c>
      <c r="N38" s="23">
        <v>6.1618533528903406E-4</v>
      </c>
      <c r="O38" s="23">
        <v>-2.7968221268180783E-4</v>
      </c>
      <c r="P38" s="23">
        <v>0.40834704445880166</v>
      </c>
      <c r="Q38" s="23">
        <v>128.80257856163828</v>
      </c>
      <c r="R38" s="23">
        <v>31.710091991284013</v>
      </c>
      <c r="S38" s="23">
        <v>3.113484844568991E-4</v>
      </c>
      <c r="T38" s="23">
        <v>-1.5895740633190897E-4</v>
      </c>
      <c r="U38" s="23">
        <v>0.22014653474524945</v>
      </c>
      <c r="V38" s="23">
        <v>84.15346638084786</v>
      </c>
      <c r="W38" s="23">
        <v>21.19615832851472</v>
      </c>
      <c r="X38" s="23">
        <v>2.0636061061342031E-4</v>
      </c>
      <c r="Y38" s="23">
        <v>-1.1072107698343364E-4</v>
      </c>
      <c r="Z38">
        <v>0.15304185978700008</v>
      </c>
      <c r="AB38">
        <v>243561.71281248861</v>
      </c>
      <c r="AC38">
        <v>373275.40187965205</v>
      </c>
      <c r="AD38">
        <v>296229.70768217009</v>
      </c>
      <c r="AE38">
        <v>371976.8819138378</v>
      </c>
      <c r="AF38">
        <v>4392014.736785423</v>
      </c>
      <c r="AG38">
        <v>4271448.4630744765</v>
      </c>
      <c r="AH38">
        <v>22295262.922564019</v>
      </c>
      <c r="AI38">
        <v>20371977.390063625</v>
      </c>
      <c r="AK38">
        <v>8.844368856686971E-2</v>
      </c>
      <c r="AL38">
        <v>35.909720572347403</v>
      </c>
      <c r="AM38">
        <v>8022.336555222746</v>
      </c>
      <c r="AN38">
        <v>499.79092401695721</v>
      </c>
      <c r="AP38" s="147">
        <v>3.63126402526821E-7</v>
      </c>
      <c r="AQ38" s="147">
        <v>2.3693950397348951E-7</v>
      </c>
      <c r="AR38" s="147">
        <v>1.2122255007210673E-4</v>
      </c>
      <c r="AS38" s="147">
        <v>9.6537506276170374E-5</v>
      </c>
      <c r="AT38" s="147">
        <v>1.8265732325603275E-3</v>
      </c>
      <c r="AU38" s="147">
        <v>1.8781302465834923E-3</v>
      </c>
      <c r="AV38" s="147">
        <v>2.2416910971305101E-5</v>
      </c>
      <c r="AW38" s="147">
        <v>2.4533255385445735E-5</v>
      </c>
      <c r="AY38" s="147">
        <v>1.970575820006266E-3</v>
      </c>
      <c r="AZ38" s="147">
        <v>1.9994379477490816E-3</v>
      </c>
      <c r="BB38">
        <v>4.2010336059066676E-3</v>
      </c>
      <c r="BC38">
        <v>9.3525619525814483E-3</v>
      </c>
      <c r="BD38">
        <v>1.2907827307501667E-2</v>
      </c>
      <c r="BE38">
        <v>1.6846792715111261E-4</v>
      </c>
      <c r="BF38">
        <v>2.6629890793140893E-2</v>
      </c>
      <c r="BG38">
        <v>3.3925081874688658E-2</v>
      </c>
      <c r="BH38">
        <v>9.7980782105309468E-3</v>
      </c>
      <c r="BI38">
        <v>1.3492899179944888E-2</v>
      </c>
      <c r="BJ38">
        <v>1.8697557797998644E-4</v>
      </c>
      <c r="BK38">
        <v>5.7403034843144483E-2</v>
      </c>
      <c r="CC38" s="146">
        <f t="shared" ref="CC38:CC67" si="3">CC37+1</f>
        <v>35</v>
      </c>
      <c r="CJ38" s="135"/>
      <c r="CK38" s="135"/>
      <c r="CL38" s="135"/>
      <c r="CM38" s="135"/>
    </row>
    <row r="39" spans="1:91" x14ac:dyDescent="0.25">
      <c r="A39">
        <v>36</v>
      </c>
      <c r="B39" s="135">
        <v>18</v>
      </c>
      <c r="C39" s="24">
        <v>5.4516982097750608E-5</v>
      </c>
      <c r="D39" s="24">
        <v>6.6143592620634559E-2</v>
      </c>
      <c r="E39" s="24">
        <v>7.2102871819005712</v>
      </c>
      <c r="F39" s="24">
        <v>5.0066563179050165</v>
      </c>
      <c r="G39" s="23">
        <v>411.60002569005957</v>
      </c>
      <c r="H39" s="23">
        <v>64.901485603306909</v>
      </c>
      <c r="I39" s="23">
        <v>6.641574386536225E-4</v>
      </c>
      <c r="J39" s="23">
        <v>-2.8031419131572171E-4</v>
      </c>
      <c r="K39">
        <v>0.76427320293341672</v>
      </c>
      <c r="L39" s="23">
        <v>266.90412491502349</v>
      </c>
      <c r="M39" s="23">
        <v>62.272431623036582</v>
      </c>
      <c r="N39" s="23">
        <v>6.3379063058300645E-4</v>
      </c>
      <c r="O39" s="23">
        <v>-2.8532329981833848E-4</v>
      </c>
      <c r="P39" s="23">
        <v>0.41862560515055519</v>
      </c>
      <c r="Q39" s="23">
        <v>132.31819569025672</v>
      </c>
      <c r="R39" s="23">
        <v>32.616094619606415</v>
      </c>
      <c r="S39" s="23">
        <v>3.2024415544138195E-4</v>
      </c>
      <c r="T39" s="23">
        <v>-1.6263275679554188E-4</v>
      </c>
      <c r="U39" s="23">
        <v>0.22577752117402439</v>
      </c>
      <c r="V39" s="23">
        <v>85.864632886818001</v>
      </c>
      <c r="W39" s="23">
        <v>21.801762852186574</v>
      </c>
      <c r="X39" s="23">
        <v>2.1225662805951807E-4</v>
      </c>
      <c r="Y39" s="23">
        <v>-1.132602536880279E-4</v>
      </c>
      <c r="Z39">
        <v>0.15695305114217187</v>
      </c>
      <c r="AB39">
        <v>220301.70710375829</v>
      </c>
      <c r="AC39">
        <v>368367.51161811041</v>
      </c>
      <c r="AD39">
        <v>265034.55900140729</v>
      </c>
      <c r="AE39">
        <v>341233.1533912195</v>
      </c>
      <c r="AF39">
        <v>3929503.5531700286</v>
      </c>
      <c r="AG39">
        <v>3869808.0632113609</v>
      </c>
      <c r="AH39">
        <v>19947409.133057177</v>
      </c>
      <c r="AI39">
        <v>18471116.956325907</v>
      </c>
      <c r="AK39">
        <v>5.8481224333010451E-2</v>
      </c>
      <c r="AL39">
        <v>28.381308938215685</v>
      </c>
      <c r="AM39">
        <v>6629.6472763152124</v>
      </c>
      <c r="AN39">
        <v>460.34734240219422</v>
      </c>
      <c r="AP39" s="147">
        <v>2.6545969662171891E-7</v>
      </c>
      <c r="AQ39" s="147">
        <v>1.5875782333822753E-7</v>
      </c>
      <c r="AR39" s="147">
        <v>1.070853138743502E-4</v>
      </c>
      <c r="AS39" s="147">
        <v>8.3172776900950401E-5</v>
      </c>
      <c r="AT39" s="147">
        <v>1.6871462734693065E-3</v>
      </c>
      <c r="AU39" s="147">
        <v>1.7131721181059296E-3</v>
      </c>
      <c r="AV39" s="147">
        <v>2.3078051857837467E-5</v>
      </c>
      <c r="AW39" s="147">
        <v>2.492255035202603E-5</v>
      </c>
      <c r="AY39" s="147">
        <v>1.8175750988981159E-3</v>
      </c>
      <c r="AZ39" s="147">
        <v>1.8214262031822442E-3</v>
      </c>
      <c r="BB39">
        <v>4.2012990656032896E-3</v>
      </c>
      <c r="BC39">
        <v>9.4596472664557982E-3</v>
      </c>
      <c r="BD39">
        <v>1.4594973580970973E-2</v>
      </c>
      <c r="BE39">
        <v>1.9154597900895008E-4</v>
      </c>
      <c r="BF39">
        <v>2.8447465892039014E-2</v>
      </c>
      <c r="BG39">
        <v>3.3925240632511997E-2</v>
      </c>
      <c r="BH39">
        <v>9.8812509874318978E-3</v>
      </c>
      <c r="BI39">
        <v>1.5206071298050818E-2</v>
      </c>
      <c r="BJ39">
        <v>2.1189812833201247E-4</v>
      </c>
      <c r="BK39">
        <v>5.9224461046326726E-2</v>
      </c>
      <c r="CC39" s="146">
        <f t="shared" si="3"/>
        <v>36</v>
      </c>
      <c r="CJ39" s="135"/>
      <c r="CK39" s="135"/>
      <c r="CL39" s="135"/>
      <c r="CM39" s="135"/>
    </row>
    <row r="40" spans="1:91" x14ac:dyDescent="0.25">
      <c r="A40">
        <v>37</v>
      </c>
      <c r="B40" s="135">
        <v>18.5</v>
      </c>
      <c r="C40" s="24">
        <v>3.6233062091893961E-5</v>
      </c>
      <c r="D40" s="24">
        <v>5.2365059700163342E-2</v>
      </c>
      <c r="E40" s="24">
        <v>5.713667953708657</v>
      </c>
      <c r="F40" s="24">
        <v>4.5352283185998434</v>
      </c>
      <c r="G40" s="23">
        <v>416.01302734282115</v>
      </c>
      <c r="H40" s="23">
        <v>66.541236570554304</v>
      </c>
      <c r="I40" s="23">
        <v>6.8072860763862899E-4</v>
      </c>
      <c r="J40" s="23">
        <v>-2.8104592253759428E-4</v>
      </c>
      <c r="K40">
        <v>0.78233951094331422</v>
      </c>
      <c r="L40" s="23">
        <v>274.88774777926432</v>
      </c>
      <c r="M40" s="23">
        <v>64.002221390343152</v>
      </c>
      <c r="N40" s="23">
        <v>6.5139592587697885E-4</v>
      </c>
      <c r="O40" s="23">
        <v>-2.9099606166059993E-4</v>
      </c>
      <c r="P40" s="23">
        <v>0.42885976006590099</v>
      </c>
      <c r="Q40" s="23">
        <v>135.8117711052823</v>
      </c>
      <c r="R40" s="23">
        <v>33.522097247928812</v>
      </c>
      <c r="S40" s="23">
        <v>3.291398264258648E-4</v>
      </c>
      <c r="T40" s="23">
        <v>-1.6629871409820196E-4</v>
      </c>
      <c r="U40" s="23">
        <v>0.23139110388642445</v>
      </c>
      <c r="V40" s="23">
        <v>87.536907330860871</v>
      </c>
      <c r="W40" s="23">
        <v>22.407367375858417</v>
      </c>
      <c r="X40" s="23">
        <v>2.1815264550561575E-4</v>
      </c>
      <c r="Y40" s="23">
        <v>-1.1575824226716912E-4</v>
      </c>
      <c r="Z40">
        <v>0.16085409945713863</v>
      </c>
      <c r="AB40">
        <v>199867.03338095214</v>
      </c>
      <c r="AC40">
        <v>364242.14947943651</v>
      </c>
      <c r="AD40">
        <v>237848.58667289015</v>
      </c>
      <c r="AE40">
        <v>313412.10568921402</v>
      </c>
      <c r="AF40">
        <v>3526433.9487237521</v>
      </c>
      <c r="AG40">
        <v>3514536.6671422916</v>
      </c>
      <c r="AH40">
        <v>17901299.694498941</v>
      </c>
      <c r="AI40">
        <v>16809847.675559092</v>
      </c>
      <c r="AK40">
        <v>3.8867775708284785E-2</v>
      </c>
      <c r="AL40">
        <v>22.469129329615569</v>
      </c>
      <c r="AM40">
        <v>5253.5498561222857</v>
      </c>
      <c r="AN40">
        <v>417.00092258943386</v>
      </c>
      <c r="AP40" s="147">
        <v>1.94468167415092E-7</v>
      </c>
      <c r="AQ40" s="147">
        <v>1.0670861613306806E-7</v>
      </c>
      <c r="AR40" s="147">
        <v>9.4468206197571608E-5</v>
      </c>
      <c r="AS40" s="147">
        <v>7.1691963781055819E-5</v>
      </c>
      <c r="AT40" s="147">
        <v>1.4897627270244471E-3</v>
      </c>
      <c r="AU40" s="147">
        <v>1.4948058175742423E-3</v>
      </c>
      <c r="AV40" s="147">
        <v>2.3294449548687126E-5</v>
      </c>
      <c r="AW40" s="147">
        <v>2.4806942373174388E-5</v>
      </c>
      <c r="AY40" s="147">
        <v>1.607719850938121E-3</v>
      </c>
      <c r="AZ40" s="147">
        <v>1.5914114323446055E-3</v>
      </c>
      <c r="BB40">
        <v>4.2014935337707044E-3</v>
      </c>
      <c r="BC40">
        <v>9.5541154726533697E-3</v>
      </c>
      <c r="BD40">
        <v>1.608473630799542E-2</v>
      </c>
      <c r="BE40">
        <v>2.1484042855763721E-4</v>
      </c>
      <c r="BF40">
        <v>3.0055185742977133E-2</v>
      </c>
      <c r="BG40">
        <v>3.3925347341128127E-2</v>
      </c>
      <c r="BH40">
        <v>9.9529429512129532E-3</v>
      </c>
      <c r="BI40">
        <v>1.6700877115625061E-2</v>
      </c>
      <c r="BJ40">
        <v>2.3670507070518685E-4</v>
      </c>
      <c r="BK40">
        <v>6.0815872478671332E-2</v>
      </c>
      <c r="CC40" s="146">
        <f t="shared" si="3"/>
        <v>37</v>
      </c>
      <c r="CJ40" s="135"/>
      <c r="CK40" s="135"/>
      <c r="CL40" s="135"/>
      <c r="CM40" s="135"/>
    </row>
    <row r="41" spans="1:91" x14ac:dyDescent="0.25">
      <c r="A41">
        <v>38</v>
      </c>
      <c r="B41" s="135">
        <v>19</v>
      </c>
      <c r="C41" s="24">
        <v>2.4202169709192039E-5</v>
      </c>
      <c r="D41" s="24">
        <v>4.1528295710865547E-2</v>
      </c>
      <c r="E41" s="24">
        <v>4.3913072837354123</v>
      </c>
      <c r="F41" s="24">
        <v>4.0457127506921458</v>
      </c>
      <c r="G41" s="23">
        <v>420.2728342891599</v>
      </c>
      <c r="H41" s="23">
        <v>68.172938058374513</v>
      </c>
      <c r="I41" s="23">
        <v>6.9720751719135976E-4</v>
      </c>
      <c r="J41" s="23">
        <v>-2.8165999120553423E-4</v>
      </c>
      <c r="K41">
        <v>0.80030709926095933</v>
      </c>
      <c r="L41" s="23">
        <v>282.82681813697872</v>
      </c>
      <c r="M41" s="23">
        <v>65.732011157649723</v>
      </c>
      <c r="N41" s="23">
        <v>6.6900122117095125E-4</v>
      </c>
      <c r="O41" s="23">
        <v>-2.9659366213905913E-4</v>
      </c>
      <c r="P41" s="23">
        <v>0.43905036878272102</v>
      </c>
      <c r="Q41" s="23">
        <v>139.27845668293241</v>
      </c>
      <c r="R41" s="23">
        <v>34.428099876251217</v>
      </c>
      <c r="S41" s="23">
        <v>3.380354974103476E-4</v>
      </c>
      <c r="T41" s="23">
        <v>-1.6994859598632134E-4</v>
      </c>
      <c r="U41" s="23">
        <v>0.23698757994710878</v>
      </c>
      <c r="V41" s="23">
        <v>89.176015336033458</v>
      </c>
      <c r="W41" s="23">
        <v>23.012971899530275</v>
      </c>
      <c r="X41" s="23">
        <v>2.2404866295171354E-4</v>
      </c>
      <c r="Y41" s="23">
        <v>-1.1810875642030187E-4</v>
      </c>
      <c r="Z41">
        <v>0.16474520358925795</v>
      </c>
      <c r="AB41">
        <v>181847.91848357825</v>
      </c>
      <c r="AC41">
        <v>360823.97853411367</v>
      </c>
      <c r="AD41">
        <v>214068.21047919989</v>
      </c>
      <c r="AE41">
        <v>288648.18104994611</v>
      </c>
      <c r="AF41">
        <v>3173857.0127162132</v>
      </c>
      <c r="AG41">
        <v>3199898.0215902389</v>
      </c>
      <c r="AH41">
        <v>16111507.091372646</v>
      </c>
      <c r="AI41">
        <v>15411660.371845726</v>
      </c>
      <c r="AK41">
        <v>2.5962048184748083E-2</v>
      </c>
      <c r="AL41">
        <v>17.819222445440026</v>
      </c>
      <c r="AM41">
        <v>4037.6780617226032</v>
      </c>
      <c r="AN41">
        <v>371.9914039722056</v>
      </c>
      <c r="AP41" s="147">
        <v>1.4276791508665293E-7</v>
      </c>
      <c r="AQ41" s="147">
        <v>7.1952114408309848E-8</v>
      </c>
      <c r="AR41" s="147">
        <v>8.324086236602349E-5</v>
      </c>
      <c r="AS41" s="147">
        <v>6.1733361286474506E-5</v>
      </c>
      <c r="AT41" s="147">
        <v>1.2721676009805889E-3</v>
      </c>
      <c r="AU41" s="147">
        <v>1.2618146061154837E-3</v>
      </c>
      <c r="AV41" s="147">
        <v>2.3088554153409941E-5</v>
      </c>
      <c r="AW41" s="147">
        <v>2.41370102245288E-5</v>
      </c>
      <c r="AY41" s="147">
        <v>1.3786397854151089E-3</v>
      </c>
      <c r="AZ41" s="147">
        <v>1.3477569297408953E-3</v>
      </c>
      <c r="BB41">
        <v>4.2016363016857908E-3</v>
      </c>
      <c r="BC41">
        <v>9.6373563350193939E-3</v>
      </c>
      <c r="BD41">
        <v>1.7356903908976009E-2</v>
      </c>
      <c r="BE41">
        <v>2.3792898271104716E-4</v>
      </c>
      <c r="BF41">
        <v>3.1433825528392245E-2</v>
      </c>
      <c r="BG41">
        <v>3.3925419293242533E-2</v>
      </c>
      <c r="BH41">
        <v>1.0014676312499428E-2</v>
      </c>
      <c r="BI41">
        <v>1.7962691721740545E-2</v>
      </c>
      <c r="BJ41">
        <v>2.6084208092971568E-4</v>
      </c>
      <c r="BK41">
        <v>6.2163629408412226E-2</v>
      </c>
      <c r="CC41" s="146">
        <f t="shared" si="3"/>
        <v>38</v>
      </c>
      <c r="CJ41" s="135"/>
      <c r="CK41" s="135"/>
      <c r="CL41" s="135"/>
      <c r="CM41" s="135"/>
    </row>
    <row r="42" spans="1:91" x14ac:dyDescent="0.25">
      <c r="A42">
        <v>39</v>
      </c>
      <c r="B42" s="135">
        <v>19.5</v>
      </c>
      <c r="C42" s="24">
        <v>1.6245462275469062E-5</v>
      </c>
      <c r="D42" s="24">
        <v>3.2991842726129185E-2</v>
      </c>
      <c r="E42" s="24">
        <v>3.312806414628223</v>
      </c>
      <c r="F42" s="24">
        <v>3.5585532691909822</v>
      </c>
      <c r="G42" s="23">
        <v>424.38678979145823</v>
      </c>
      <c r="H42" s="23">
        <v>69.796645278798309</v>
      </c>
      <c r="I42" s="23">
        <v>7.1359483220420335E-4</v>
      </c>
      <c r="J42" s="23">
        <v>-2.8216393286862587E-4</v>
      </c>
      <c r="K42">
        <v>0.81817836798902555</v>
      </c>
      <c r="L42" s="23">
        <v>290.7104067819086</v>
      </c>
      <c r="M42" s="23">
        <v>67.461800924956293</v>
      </c>
      <c r="N42" s="23">
        <v>6.8660651646492365E-4</v>
      </c>
      <c r="O42" s="23">
        <v>-3.0211334469436004E-4</v>
      </c>
      <c r="P42" s="23">
        <v>0.44919826035538457</v>
      </c>
      <c r="Q42" s="23">
        <v>142.71432123674339</v>
      </c>
      <c r="R42" s="23">
        <v>35.334102504573622</v>
      </c>
      <c r="S42" s="23">
        <v>3.469311683948305E-4</v>
      </c>
      <c r="T42" s="23">
        <v>-1.7357687886110541E-4</v>
      </c>
      <c r="U42" s="23">
        <v>0.2425672327452425</v>
      </c>
      <c r="V42" s="23">
        <v>91.243052210907564</v>
      </c>
      <c r="W42" s="23">
        <v>23.618576423202118</v>
      </c>
      <c r="X42" s="23">
        <v>2.2994468039781119E-4</v>
      </c>
      <c r="Y42" s="23">
        <v>-1.2066265778614361E-4</v>
      </c>
      <c r="Z42">
        <v>0.16862655074477703</v>
      </c>
      <c r="AB42">
        <v>165903.01356323829</v>
      </c>
      <c r="AC42">
        <v>358048.29338520265</v>
      </c>
      <c r="AD42">
        <v>193193.35629865006</v>
      </c>
      <c r="AE42">
        <v>266547.17328877107</v>
      </c>
      <c r="AF42">
        <v>2864358.4553075484</v>
      </c>
      <c r="AG42">
        <v>2920809.2033330132</v>
      </c>
      <c r="AH42">
        <v>14540394.031622125</v>
      </c>
      <c r="AI42">
        <v>14051193.538973287</v>
      </c>
      <c r="AK42">
        <v>1.7426762949234568E-2</v>
      </c>
      <c r="AL42">
        <v>14.15634748208682</v>
      </c>
      <c r="AM42">
        <v>3046.0281913362523</v>
      </c>
      <c r="AN42">
        <v>327.19852057953608</v>
      </c>
      <c r="AP42" s="147">
        <v>1.0504187100008222E-7</v>
      </c>
      <c r="AQ42" s="147">
        <v>4.8671543116353194E-8</v>
      </c>
      <c r="AR42" s="147">
        <v>7.3275539870030915E-5</v>
      </c>
      <c r="AS42" s="147">
        <v>5.3110101703273961E-5</v>
      </c>
      <c r="AT42" s="147">
        <v>1.0634242322891106E-3</v>
      </c>
      <c r="AU42" s="147">
        <v>1.0428713343755382E-3</v>
      </c>
      <c r="AV42" s="147">
        <v>2.2502727221005981E-5</v>
      </c>
      <c r="AW42" s="147">
        <v>2.3286172784681769E-5</v>
      </c>
      <c r="AY42" s="147">
        <v>1.1593075412511477E-3</v>
      </c>
      <c r="AZ42" s="147">
        <v>1.1193162804066102E-3</v>
      </c>
      <c r="BB42">
        <v>4.2017413435567908E-3</v>
      </c>
      <c r="BC42">
        <v>9.7106318748894256E-3</v>
      </c>
      <c r="BD42">
        <v>1.8420328141265121E-2</v>
      </c>
      <c r="BE42">
        <v>2.6043170993205313E-4</v>
      </c>
      <c r="BF42">
        <v>3.2593133069643392E-2</v>
      </c>
      <c r="BG42">
        <v>3.3925467964785648E-2</v>
      </c>
      <c r="BH42">
        <v>1.0067786414202702E-2</v>
      </c>
      <c r="BI42">
        <v>1.9005563056116084E-2</v>
      </c>
      <c r="BJ42">
        <v>2.8412825371439745E-4</v>
      </c>
      <c r="BK42">
        <v>6.3282945688818829E-2</v>
      </c>
      <c r="CC42" s="146">
        <f t="shared" si="3"/>
        <v>39</v>
      </c>
      <c r="CJ42" s="135"/>
      <c r="CK42" s="135"/>
      <c r="CL42" s="135"/>
      <c r="CM42" s="135"/>
    </row>
    <row r="43" spans="1:91" x14ac:dyDescent="0.25">
      <c r="A43">
        <v>40</v>
      </c>
      <c r="B43" s="135">
        <v>20</v>
      </c>
      <c r="C43" s="24">
        <v>1.0956987436690861E-5</v>
      </c>
      <c r="D43" s="24">
        <v>2.6256504539057337E-2</v>
      </c>
      <c r="E43" s="24">
        <v>2.4816378978953622</v>
      </c>
      <c r="F43" s="24">
        <v>3.0897578500636231</v>
      </c>
      <c r="G43" s="23">
        <v>428.3617906670695</v>
      </c>
      <c r="H43" s="23">
        <v>71.412412957904223</v>
      </c>
      <c r="I43" s="23">
        <v>7.2989121156060289E-4</v>
      </c>
      <c r="J43" s="23">
        <v>-2.8256476091155193E-4</v>
      </c>
      <c r="K43">
        <v>0.83595561486934056</v>
      </c>
      <c r="L43" s="23">
        <v>298.52956924525233</v>
      </c>
      <c r="M43" s="23">
        <v>69.191590692262878</v>
      </c>
      <c r="N43" s="23">
        <v>7.0421181175889616E-4</v>
      </c>
      <c r="O43" s="23">
        <v>-3.0755315881748392E-4</v>
      </c>
      <c r="P43" s="23">
        <v>0.45930423509440294</v>
      </c>
      <c r="Q43" s="23">
        <v>146.11619939713171</v>
      </c>
      <c r="R43" s="23">
        <v>36.240105132896019</v>
      </c>
      <c r="S43" s="23">
        <v>3.5582683937931329E-4</v>
      </c>
      <c r="T43" s="23">
        <v>-1.7717901170197594E-4</v>
      </c>
      <c r="U43" s="23">
        <v>0.24813033318794925</v>
      </c>
      <c r="V43" s="23">
        <v>94.146320868395463</v>
      </c>
      <c r="W43" s="23">
        <v>24.224180946873972</v>
      </c>
      <c r="X43" s="23">
        <v>2.3584069784390901E-4</v>
      </c>
      <c r="Y43" s="23">
        <v>-1.2364044198431338E-4</v>
      </c>
      <c r="Z43">
        <v>0.17249831757283651</v>
      </c>
      <c r="AB43">
        <v>151746.55627507315</v>
      </c>
      <c r="AC43">
        <v>355859.3087718765</v>
      </c>
      <c r="AD43">
        <v>174807.64395081458</v>
      </c>
      <c r="AE43">
        <v>246770.28284959827</v>
      </c>
      <c r="AF43">
        <v>2591764.8649826073</v>
      </c>
      <c r="AG43">
        <v>2672803.6799478424</v>
      </c>
      <c r="AH43">
        <v>13156622.3160134</v>
      </c>
      <c r="AI43">
        <v>12646621.385110252</v>
      </c>
      <c r="AK43">
        <v>1.1753732793758848E-2</v>
      </c>
      <c r="AL43">
        <v>11.266306189848137</v>
      </c>
      <c r="AM43">
        <v>2281.7931540759914</v>
      </c>
      <c r="AN43">
        <v>284.09415878145973</v>
      </c>
      <c r="AP43" s="147">
        <v>7.7456339585411669E-8</v>
      </c>
      <c r="AQ43" s="147">
        <v>3.3029156478504755E-8</v>
      </c>
      <c r="AR43" s="147">
        <v>6.444973420623485E-5</v>
      </c>
      <c r="AS43" s="147">
        <v>4.5655036172709395E-5</v>
      </c>
      <c r="AT43" s="147">
        <v>8.8040129909365984E-4</v>
      </c>
      <c r="AU43" s="147">
        <v>8.5370772690664609E-4</v>
      </c>
      <c r="AV43" s="147">
        <v>2.1593244220112518E-5</v>
      </c>
      <c r="AW43" s="147">
        <v>2.2464036055981209E-5</v>
      </c>
      <c r="AY43" s="147">
        <v>9.6652173385959259E-4</v>
      </c>
      <c r="AZ43" s="147">
        <v>9.2185982829181526E-4</v>
      </c>
      <c r="BB43">
        <v>4.2018187998963761E-3</v>
      </c>
      <c r="BC43">
        <v>9.7750816090956608E-3</v>
      </c>
      <c r="BD43">
        <v>1.930072944035878E-2</v>
      </c>
      <c r="BE43">
        <v>2.8202495415216567E-4</v>
      </c>
      <c r="BF43">
        <v>3.3559654803502981E-2</v>
      </c>
      <c r="BG43">
        <v>3.3925500993942127E-2</v>
      </c>
      <c r="BH43">
        <v>1.0113441450375411E-2</v>
      </c>
      <c r="BI43">
        <v>1.9859270783022728E-2</v>
      </c>
      <c r="BJ43">
        <v>3.0659228977037865E-4</v>
      </c>
      <c r="BK43">
        <v>6.420480551711065E-2</v>
      </c>
      <c r="CC43" s="146">
        <f t="shared" si="3"/>
        <v>40</v>
      </c>
      <c r="CJ43" s="135"/>
      <c r="CK43" s="135"/>
      <c r="CL43" s="135"/>
      <c r="CM43" s="135"/>
    </row>
    <row r="44" spans="1:91" x14ac:dyDescent="0.25">
      <c r="A44">
        <v>41</v>
      </c>
      <c r="B44" s="135">
        <v>20.5</v>
      </c>
      <c r="C44" s="24">
        <v>7.4248027457524445E-6</v>
      </c>
      <c r="D44" s="24">
        <v>2.0933419533786767E-2</v>
      </c>
      <c r="E44" s="24">
        <v>1.8639422247439734</v>
      </c>
      <c r="F44" s="24">
        <v>2.6509063713460965</v>
      </c>
      <c r="G44" s="23">
        <v>432.20432001980288</v>
      </c>
      <c r="H44" s="23">
        <v>73.020295341035308</v>
      </c>
      <c r="I44" s="23">
        <v>7.4609730820063681E-4</v>
      </c>
      <c r="J44" s="23">
        <v>-2.8286900782523373E-4</v>
      </c>
      <c r="K44">
        <v>0.85364104123799633</v>
      </c>
      <c r="L44" s="23">
        <v>306.27702806916329</v>
      </c>
      <c r="M44" s="23">
        <v>70.921380459569448</v>
      </c>
      <c r="N44" s="23">
        <v>7.2181710705286855E-4</v>
      </c>
      <c r="O44" s="23">
        <v>-3.129118167382258E-4</v>
      </c>
      <c r="P44" s="23">
        <v>0.46936906618163343</v>
      </c>
      <c r="Q44" s="23">
        <v>149.48156658950751</v>
      </c>
      <c r="R44" s="23">
        <v>37.146107761218424</v>
      </c>
      <c r="S44" s="23">
        <v>3.647225103637962E-4</v>
      </c>
      <c r="T44" s="23">
        <v>-1.8075126173665152E-4</v>
      </c>
      <c r="U44" s="23">
        <v>0.25367714075191411</v>
      </c>
      <c r="V44" s="23">
        <v>97.052204468296253</v>
      </c>
      <c r="W44" s="23">
        <v>24.829785470545808</v>
      </c>
      <c r="X44" s="23">
        <v>2.4173671529000658E-4</v>
      </c>
      <c r="Y44" s="23">
        <v>-1.2661477335822359E-4</v>
      </c>
      <c r="Z44">
        <v>0.17636067113095599</v>
      </c>
      <c r="AB44">
        <v>139138.19216613201</v>
      </c>
      <c r="AC44">
        <v>354208.76353560475</v>
      </c>
      <c r="AD44">
        <v>158562.74337294573</v>
      </c>
      <c r="AE44">
        <v>229026.21895510345</v>
      </c>
      <c r="AF44">
        <v>2350911.7672502054</v>
      </c>
      <c r="AG44">
        <v>2451978.7931929762</v>
      </c>
      <c r="AH44">
        <v>11933975.430363823</v>
      </c>
      <c r="AI44">
        <v>11412362.500956304</v>
      </c>
      <c r="AK44">
        <v>7.9647027090411233E-3</v>
      </c>
      <c r="AL44">
        <v>8.9822433796306456</v>
      </c>
      <c r="AM44">
        <v>1713.8401261606234</v>
      </c>
      <c r="AN44">
        <v>243.74305434986547</v>
      </c>
      <c r="AP44" s="147">
        <v>5.7243109063334748E-8</v>
      </c>
      <c r="AQ44" s="147">
        <v>2.248589964161211E-8</v>
      </c>
      <c r="AR44" s="147">
        <v>5.6647880760388086E-5</v>
      </c>
      <c r="AS44" s="147">
        <v>3.9219279873766135E-5</v>
      </c>
      <c r="AT44" s="147">
        <v>7.2901082466623297E-4</v>
      </c>
      <c r="AU44" s="147">
        <v>6.9896205094370099E-4</v>
      </c>
      <c r="AV44" s="147">
        <v>2.0424296645500522E-5</v>
      </c>
      <c r="AW44" s="147">
        <v>2.135780863335185E-5</v>
      </c>
      <c r="AY44" s="147">
        <v>8.0614024518118493E-4</v>
      </c>
      <c r="AZ44" s="147">
        <v>7.5956162535046061E-4</v>
      </c>
      <c r="BB44">
        <v>4.2018760430054397E-3</v>
      </c>
      <c r="BC44">
        <v>9.8317294898560489E-3</v>
      </c>
      <c r="BD44">
        <v>2.0029740265025013E-2</v>
      </c>
      <c r="BE44">
        <v>3.0244925079766621E-4</v>
      </c>
      <c r="BF44">
        <v>3.4365795048684165E-2</v>
      </c>
      <c r="BG44">
        <v>3.392552347984177E-2</v>
      </c>
      <c r="BH44">
        <v>1.0152660730249178E-2</v>
      </c>
      <c r="BI44">
        <v>2.055823283396643E-2</v>
      </c>
      <c r="BJ44">
        <v>3.2795009840373051E-4</v>
      </c>
      <c r="BK44">
        <v>6.4964367142461121E-2</v>
      </c>
      <c r="CC44" s="146">
        <f t="shared" si="3"/>
        <v>41</v>
      </c>
      <c r="CJ44" s="135"/>
      <c r="CK44" s="135"/>
      <c r="CL44" s="135"/>
      <c r="CM44" s="135"/>
    </row>
    <row r="45" spans="1:91" x14ac:dyDescent="0.25">
      <c r="A45">
        <v>42</v>
      </c>
      <c r="B45" s="135">
        <v>21</v>
      </c>
      <c r="C45" s="24">
        <v>5.054374204406671E-6</v>
      </c>
      <c r="D45" s="24">
        <v>1.6719336035930649E-2</v>
      </c>
      <c r="E45" s="24">
        <v>1.4128880458914774</v>
      </c>
      <c r="F45" s="24">
        <v>2.2495226770276995</v>
      </c>
      <c r="G45" s="23">
        <v>435.92047717268542</v>
      </c>
      <c r="H45" s="23">
        <v>74.620346197951278</v>
      </c>
      <c r="I45" s="23">
        <v>7.6221376918577158E-4</v>
      </c>
      <c r="J45" s="23">
        <v>-2.8308276277171166E-4</v>
      </c>
      <c r="K45">
        <v>0.8712367575399903</v>
      </c>
      <c r="L45" s="23">
        <v>313.94690853319798</v>
      </c>
      <c r="M45" s="23">
        <v>72.651170226876019</v>
      </c>
      <c r="N45" s="23">
        <v>7.3942240234684095E-4</v>
      </c>
      <c r="O45" s="23">
        <v>-3.1818857538235944E-4</v>
      </c>
      <c r="P45" s="23">
        <v>0.47939350114242379</v>
      </c>
      <c r="Q45" s="23">
        <v>152.80843524244506</v>
      </c>
      <c r="R45" s="23">
        <v>38.052110389540829</v>
      </c>
      <c r="S45" s="23">
        <v>3.7361818134827904E-4</v>
      </c>
      <c r="T45" s="23">
        <v>-1.8429058597593706E-4</v>
      </c>
      <c r="U45" s="23">
        <v>0.25920790441316843</v>
      </c>
      <c r="V45" s="23">
        <v>99.955395140891952</v>
      </c>
      <c r="W45" s="23">
        <v>25.435389994217665</v>
      </c>
      <c r="X45" s="23">
        <v>2.4763273273610439E-4</v>
      </c>
      <c r="Y45" s="23">
        <v>-1.2958086355470221E-4</v>
      </c>
      <c r="Z45">
        <v>0.18021376973965436</v>
      </c>
      <c r="AB45">
        <v>127874.85518906213</v>
      </c>
      <c r="AC45">
        <v>353054.77524456132</v>
      </c>
      <c r="AD45">
        <v>144165.94666956426</v>
      </c>
      <c r="AE45">
        <v>213064.3026946325</v>
      </c>
      <c r="AF45">
        <v>2137459.3631057949</v>
      </c>
      <c r="AG45">
        <v>2254937.3282963969</v>
      </c>
      <c r="AH45">
        <v>10850423.175405711</v>
      </c>
      <c r="AI45">
        <v>10325985.961751169</v>
      </c>
      <c r="AK45">
        <v>5.4219067222190153E-3</v>
      </c>
      <c r="AL45">
        <v>7.1740379147406195</v>
      </c>
      <c r="AM45">
        <v>1299.1090574999409</v>
      </c>
      <c r="AN45">
        <v>206.83700263981592</v>
      </c>
      <c r="AP45" s="147">
        <v>4.2400100584299879E-8</v>
      </c>
      <c r="AQ45" s="147">
        <v>1.5357126152629593E-8</v>
      </c>
      <c r="AR45" s="147">
        <v>4.9762361226565399E-5</v>
      </c>
      <c r="AS45" s="147">
        <v>3.3670764290452617E-5</v>
      </c>
      <c r="AT45" s="147">
        <v>6.0778187409013247E-4</v>
      </c>
      <c r="AU45" s="147">
        <v>5.7611758925531502E-4</v>
      </c>
      <c r="AV45" s="147">
        <v>1.9062574730600959E-5</v>
      </c>
      <c r="AW45" s="147">
        <v>2.0030726693409017E-5</v>
      </c>
      <c r="AY45" s="147">
        <v>6.7664921014788312E-4</v>
      </c>
      <c r="AZ45" s="147">
        <v>6.298344373653293E-4</v>
      </c>
      <c r="BB45">
        <v>4.2019184431060239E-3</v>
      </c>
      <c r="BC45">
        <v>9.881491851082615E-3</v>
      </c>
      <c r="BD45">
        <v>2.0637522139115145E-2</v>
      </c>
      <c r="BE45">
        <v>3.2151182552826718E-4</v>
      </c>
      <c r="BF45">
        <v>3.5042444258832052E-2</v>
      </c>
      <c r="BG45">
        <v>3.3925538836967924E-2</v>
      </c>
      <c r="BH45">
        <v>1.0186331494539631E-2</v>
      </c>
      <c r="BI45">
        <v>2.1134350423221746E-2</v>
      </c>
      <c r="BJ45">
        <v>3.479808250971395E-4</v>
      </c>
      <c r="BK45">
        <v>6.5594201579826442E-2</v>
      </c>
      <c r="CC45" s="146">
        <f t="shared" si="3"/>
        <v>42</v>
      </c>
      <c r="CJ45" s="135"/>
      <c r="CK45" s="135"/>
      <c r="CL45" s="135"/>
      <c r="CM45" s="135"/>
    </row>
    <row r="46" spans="1:91" x14ac:dyDescent="0.25">
      <c r="A46">
        <v>43</v>
      </c>
      <c r="B46" s="135">
        <v>21.5</v>
      </c>
      <c r="C46" s="24">
        <v>3.4561568789551759E-6</v>
      </c>
      <c r="D46" s="24">
        <v>1.3377472350792129E-2</v>
      </c>
      <c r="E46" s="24">
        <v>1.0838074233493558</v>
      </c>
      <c r="F46" s="24">
        <v>1.8896615091499986</v>
      </c>
      <c r="G46" s="23">
        <v>439.51600507453611</v>
      </c>
      <c r="H46" s="23">
        <v>76.212618827914298</v>
      </c>
      <c r="I46" s="23">
        <v>7.7824123576277773E-4</v>
      </c>
      <c r="J46" s="23">
        <v>-2.8321170581676133E-4</v>
      </c>
      <c r="K46">
        <v>0.88874478844388261</v>
      </c>
      <c r="L46" s="23">
        <v>321.53451810630327</v>
      </c>
      <c r="M46" s="23">
        <v>74.380959994182589</v>
      </c>
      <c r="N46" s="23">
        <v>7.5702769764081335E-4</v>
      </c>
      <c r="O46" s="23">
        <v>-3.2338313887392213E-4</v>
      </c>
      <c r="P46" s="23">
        <v>0.48937826319262473</v>
      </c>
      <c r="Q46" s="23">
        <v>156.09526834117671</v>
      </c>
      <c r="R46" s="23">
        <v>38.958113017863219</v>
      </c>
      <c r="S46" s="23">
        <v>3.8251385233276178E-4</v>
      </c>
      <c r="T46" s="23">
        <v>-1.8779452391488418E-4</v>
      </c>
      <c r="U46" s="23">
        <v>0.2647228634718769</v>
      </c>
      <c r="V46" s="23">
        <v>102.85137482252634</v>
      </c>
      <c r="W46" s="23">
        <v>26.040994517889509</v>
      </c>
      <c r="X46" s="23">
        <v>2.5352875018220205E-4</v>
      </c>
      <c r="Y46" s="23">
        <v>-1.3253466083268869E-4</v>
      </c>
      <c r="Z46">
        <v>0.18405776374111296</v>
      </c>
      <c r="AB46">
        <v>117784.25325447028</v>
      </c>
      <c r="AC46">
        <v>352360.8953243444</v>
      </c>
      <c r="AD46">
        <v>131370.23768008899</v>
      </c>
      <c r="AE46">
        <v>198668.51264201294</v>
      </c>
      <c r="AF46">
        <v>1947745.2966500113</v>
      </c>
      <c r="AG46">
        <v>2078728.9094623269</v>
      </c>
      <c r="AH46">
        <v>9887374.2684167828</v>
      </c>
      <c r="AI46">
        <v>9367954.5107336976</v>
      </c>
      <c r="AK46">
        <v>3.7074738547678053E-3</v>
      </c>
      <c r="AL46">
        <v>5.7400900156400887</v>
      </c>
      <c r="AM46">
        <v>996.52909114284262</v>
      </c>
      <c r="AN46">
        <v>173.7488252720575</v>
      </c>
      <c r="AP46" s="147">
        <v>3.1476820986909765E-8</v>
      </c>
      <c r="AQ46" s="147">
        <v>1.0521808475242736E-8</v>
      </c>
      <c r="AR46" s="147">
        <v>4.3693991249511763E-5</v>
      </c>
      <c r="AS46" s="147">
        <v>2.8892802081743763E-5</v>
      </c>
      <c r="AT46" s="147">
        <v>5.1163213837908091E-4</v>
      </c>
      <c r="AU46" s="147">
        <v>4.7939348252995604E-4</v>
      </c>
      <c r="AV46" s="147">
        <v>1.7572797444015342E-5</v>
      </c>
      <c r="AW46" s="147">
        <v>1.8547146559366619E-5</v>
      </c>
      <c r="AY46" s="147">
        <v>5.7293040389359493E-4</v>
      </c>
      <c r="AZ46" s="147">
        <v>5.2684395297954167E-4</v>
      </c>
      <c r="BB46">
        <v>4.2019499199270104E-3</v>
      </c>
      <c r="BC46">
        <v>9.9251858423321272E-3</v>
      </c>
      <c r="BD46">
        <v>2.1149154277494225E-2</v>
      </c>
      <c r="BE46">
        <v>3.3908462297228251E-4</v>
      </c>
      <c r="BF46">
        <v>3.5615374662725643E-2</v>
      </c>
      <c r="BG46">
        <v>3.3925549358776397E-2</v>
      </c>
      <c r="BH46">
        <v>1.0215224296621375E-2</v>
      </c>
      <c r="BI46">
        <v>2.1613743905751701E-2</v>
      </c>
      <c r="BJ46">
        <v>3.6652797165650613E-4</v>
      </c>
      <c r="BK46">
        <v>6.6121045532805983E-2</v>
      </c>
      <c r="CC46" s="146">
        <f t="shared" si="3"/>
        <v>43</v>
      </c>
      <c r="CJ46" s="135"/>
      <c r="CK46" s="135"/>
      <c r="CL46" s="135"/>
      <c r="CM46" s="135"/>
    </row>
    <row r="47" spans="1:91" x14ac:dyDescent="0.25">
      <c r="A47">
        <v>44</v>
      </c>
      <c r="B47" s="135">
        <v>22</v>
      </c>
      <c r="C47" s="24">
        <v>2.3736619286178769E-6</v>
      </c>
      <c r="D47" s="24">
        <v>1.0722700119707381E-2</v>
      </c>
      <c r="E47" s="24">
        <v>0.8408347544294863</v>
      </c>
      <c r="F47" s="24">
        <v>1.5725881603621026</v>
      </c>
      <c r="G47" s="23">
        <v>442.99631542319526</v>
      </c>
      <c r="H47" s="23">
        <v>77.797166064711121</v>
      </c>
      <c r="I47" s="23">
        <v>7.941803434268369E-4</v>
      </c>
      <c r="J47" s="23">
        <v>-2.8326113916199712E-4</v>
      </c>
      <c r="K47">
        <v>0.90616707759236581</v>
      </c>
      <c r="L47" s="23">
        <v>329.03616181628655</v>
      </c>
      <c r="M47" s="23">
        <v>76.11074976148916</v>
      </c>
      <c r="N47" s="23">
        <v>7.7463299293478575E-4</v>
      </c>
      <c r="O47" s="23">
        <v>-3.2849557780753152E-4</v>
      </c>
      <c r="P47" s="23">
        <v>0.49932405247561185</v>
      </c>
      <c r="Q47" s="23">
        <v>159.34090721098676</v>
      </c>
      <c r="R47" s="23">
        <v>39.864115646185624</v>
      </c>
      <c r="S47" s="23">
        <v>3.9140952331724469E-4</v>
      </c>
      <c r="T47" s="23">
        <v>-1.9126110762828489E-4</v>
      </c>
      <c r="U47" s="23">
        <v>0.27022224828631136</v>
      </c>
      <c r="V47" s="23">
        <v>105.73630208420293</v>
      </c>
      <c r="W47" s="23">
        <v>26.646599041561359</v>
      </c>
      <c r="X47" s="23">
        <v>2.5942476762829981E-4</v>
      </c>
      <c r="Y47" s="23">
        <v>-1.3547274330155269E-4</v>
      </c>
      <c r="Z47">
        <v>0.18789279617448915</v>
      </c>
      <c r="AB47">
        <v>108719.61275306896</v>
      </c>
      <c r="AC47">
        <v>352095.32555221586</v>
      </c>
      <c r="AD47">
        <v>119966.31340339452</v>
      </c>
      <c r="AE47">
        <v>185652.38350977784</v>
      </c>
      <c r="AF47">
        <v>1778666.3616832122</v>
      </c>
      <c r="AG47">
        <v>1920794.4343293046</v>
      </c>
      <c r="AH47">
        <v>9029075.8482910432</v>
      </c>
      <c r="AI47">
        <v>8521337.5840232167</v>
      </c>
      <c r="AK47">
        <v>2.5462644922150937E-3</v>
      </c>
      <c r="AL47">
        <v>4.6009636412509991</v>
      </c>
      <c r="AM47">
        <v>773.12285889634143</v>
      </c>
      <c r="AN47">
        <v>144.59486218913733</v>
      </c>
      <c r="AP47" s="147">
        <v>2.3420470582417682E-8</v>
      </c>
      <c r="AQ47" s="147">
        <v>7.2317475053711894E-9</v>
      </c>
      <c r="AR47" s="147">
        <v>3.8352129949846505E-5</v>
      </c>
      <c r="AS47" s="147">
        <v>2.478268015885009E-5</v>
      </c>
      <c r="AT47" s="147">
        <v>4.346643505219883E-4</v>
      </c>
      <c r="AU47" s="147">
        <v>4.0250161343595176E-4</v>
      </c>
      <c r="AV47" s="147">
        <v>1.6014359012888919E-5</v>
      </c>
      <c r="AW47" s="147">
        <v>1.6968564003407211E-5</v>
      </c>
      <c r="AY47" s="147">
        <v>4.8905425995530614E-4</v>
      </c>
      <c r="AZ47" s="147">
        <v>4.442600893457144E-4</v>
      </c>
      <c r="BB47">
        <v>4.2019733403975924E-3</v>
      </c>
      <c r="BC47">
        <v>9.9635379722819734E-3</v>
      </c>
      <c r="BD47">
        <v>2.1583818628016213E-2</v>
      </c>
      <c r="BE47">
        <v>3.5509898198517144E-4</v>
      </c>
      <c r="BF47">
        <v>3.6104428922680953E-2</v>
      </c>
      <c r="BG47">
        <v>3.3925556590523903E-2</v>
      </c>
      <c r="BH47">
        <v>1.0240006976780226E-2</v>
      </c>
      <c r="BI47">
        <v>2.2016245519187651E-2</v>
      </c>
      <c r="BJ47">
        <v>3.8349653565991333E-4</v>
      </c>
      <c r="BK47">
        <v>6.6565305622151696E-2</v>
      </c>
      <c r="CC47" s="146">
        <f t="shared" si="3"/>
        <v>44</v>
      </c>
      <c r="CJ47" s="135"/>
      <c r="CK47" s="135"/>
      <c r="CL47" s="135"/>
      <c r="CM47" s="135"/>
    </row>
    <row r="48" spans="1:91" x14ac:dyDescent="0.25">
      <c r="A48">
        <v>45</v>
      </c>
      <c r="B48" s="135">
        <v>22.5</v>
      </c>
      <c r="C48" s="24">
        <v>1.6371949461751938E-6</v>
      </c>
      <c r="D48" s="24">
        <v>8.6100710904967164E-3</v>
      </c>
      <c r="E48" s="24">
        <v>0.65798838781716451</v>
      </c>
      <c r="F48" s="24">
        <v>1.2974608647763806</v>
      </c>
      <c r="G48" s="23">
        <v>446.36651172213118</v>
      </c>
      <c r="H48" s="23">
        <v>79.374040281611897</v>
      </c>
      <c r="I48" s="23">
        <v>8.1003172198383427E-4</v>
      </c>
      <c r="J48" s="23">
        <v>-2.8323601567158867E-4</v>
      </c>
      <c r="K48">
        <v>0.92350549202068399</v>
      </c>
      <c r="L48" s="23">
        <v>336.44898723921557</v>
      </c>
      <c r="M48" s="23">
        <v>77.84053952879573</v>
      </c>
      <c r="N48" s="23">
        <v>7.9223828822875804E-4</v>
      </c>
      <c r="O48" s="23">
        <v>-3.3352626225956937E-4</v>
      </c>
      <c r="P48" s="23">
        <v>0.50923154720214681</v>
      </c>
      <c r="Q48" s="23">
        <v>162.54451102008593</v>
      </c>
      <c r="R48" s="23">
        <v>40.770118274508029</v>
      </c>
      <c r="S48" s="23">
        <v>4.0030519430172754E-4</v>
      </c>
      <c r="T48" s="23">
        <v>-1.9468878621749962E-4</v>
      </c>
      <c r="U48" s="23">
        <v>0.27570628092801663</v>
      </c>
      <c r="V48" s="23">
        <v>108.60691637940489</v>
      </c>
      <c r="W48" s="23">
        <v>27.252203565233209</v>
      </c>
      <c r="X48" s="23">
        <v>2.6532078507439751E-4</v>
      </c>
      <c r="Y48" s="23">
        <v>-1.3839222869114804E-4</v>
      </c>
      <c r="Z48">
        <v>0.19171900337861814</v>
      </c>
      <c r="AB48">
        <v>100555.4165126422</v>
      </c>
      <c r="AC48">
        <v>352230.26516288274</v>
      </c>
      <c r="AD48">
        <v>109776.13998312991</v>
      </c>
      <c r="AE48">
        <v>173854.65779340506</v>
      </c>
      <c r="AF48">
        <v>1627582.9602837132</v>
      </c>
      <c r="AG48">
        <v>1778915.1669854282</v>
      </c>
      <c r="AH48">
        <v>8262128.4769116594</v>
      </c>
      <c r="AI48">
        <v>7771512.1377900662</v>
      </c>
      <c r="AK48">
        <v>1.7562447743799993E-3</v>
      </c>
      <c r="AL48">
        <v>3.6944634834236889</v>
      </c>
      <c r="AM48">
        <v>605.00099553444625</v>
      </c>
      <c r="AN48">
        <v>119.2977154902029</v>
      </c>
      <c r="AP48" s="147">
        <v>1.7465441796058769E-8</v>
      </c>
      <c r="AQ48" s="147">
        <v>4.9860700458771043E-9</v>
      </c>
      <c r="AR48" s="147">
        <v>3.365452168377795E-5</v>
      </c>
      <c r="AS48" s="147">
        <v>2.125029913097809E-5</v>
      </c>
      <c r="AT48" s="147">
        <v>3.7171745483805332E-4</v>
      </c>
      <c r="AU48" s="147">
        <v>3.400954732201696E-4</v>
      </c>
      <c r="AV48" s="147">
        <v>1.4439101960660357E-5</v>
      </c>
      <c r="AW48" s="147">
        <v>1.5350643912669333E-5</v>
      </c>
      <c r="AY48" s="147">
        <v>4.1982854392428768E-4</v>
      </c>
      <c r="AZ48" s="147">
        <v>3.7670140233386291E-4</v>
      </c>
      <c r="BB48">
        <v>4.2019908058393883E-3</v>
      </c>
      <c r="BC48">
        <v>9.9971924939657522E-3</v>
      </c>
      <c r="BD48">
        <v>2.1955536082854266E-2</v>
      </c>
      <c r="BE48">
        <v>3.6953808394583177E-4</v>
      </c>
      <c r="BF48">
        <v>3.6524257466605238E-2</v>
      </c>
      <c r="BG48">
        <v>3.3925561576593946E-2</v>
      </c>
      <c r="BH48">
        <v>1.0261257275911203E-2</v>
      </c>
      <c r="BI48">
        <v>2.2356340992407821E-2</v>
      </c>
      <c r="BJ48">
        <v>3.9884717957258269E-4</v>
      </c>
      <c r="BK48">
        <v>6.6942007024485564E-2</v>
      </c>
      <c r="CC48" s="146">
        <f t="shared" si="3"/>
        <v>45</v>
      </c>
      <c r="CJ48" s="135"/>
      <c r="CK48" s="135"/>
      <c r="CL48" s="135"/>
      <c r="CM48" s="135"/>
    </row>
    <row r="49" spans="1:91" x14ac:dyDescent="0.25">
      <c r="A49">
        <v>46</v>
      </c>
      <c r="B49" s="135">
        <v>23</v>
      </c>
      <c r="C49" s="24">
        <v>1.1339549835821426E-6</v>
      </c>
      <c r="D49" s="24">
        <v>6.9259280692677292E-3</v>
      </c>
      <c r="E49" s="24">
        <v>0.51759012123245474</v>
      </c>
      <c r="F49" s="24">
        <v>1.0619567625359432</v>
      </c>
      <c r="G49" s="23">
        <v>449.63141046412534</v>
      </c>
      <c r="H49" s="23">
        <v>80.943293396266981</v>
      </c>
      <c r="I49" s="23">
        <v>8.2579599561187944E-4</v>
      </c>
      <c r="J49" s="23">
        <v>-2.8314096495653111E-4</v>
      </c>
      <c r="K49">
        <v>0.94076182627140548</v>
      </c>
      <c r="L49" s="23">
        <v>343.77085400628823</v>
      </c>
      <c r="M49" s="23">
        <v>79.570329296102315</v>
      </c>
      <c r="N49" s="23">
        <v>8.0984358352273066E-4</v>
      </c>
      <c r="O49" s="23">
        <v>-3.3847580609361967E-4</v>
      </c>
      <c r="P49" s="23">
        <v>0.51910140470401056</v>
      </c>
      <c r="Q49" s="23">
        <v>165.93552570130595</v>
      </c>
      <c r="R49" s="23">
        <v>41.676120902830426</v>
      </c>
      <c r="S49" s="23">
        <v>4.0920086528621038E-4</v>
      </c>
      <c r="T49" s="23">
        <v>-1.9816379119909263E-4</v>
      </c>
      <c r="U49" s="23">
        <v>0.28117517576837026</v>
      </c>
      <c r="V49" s="23">
        <v>111.46045678325717</v>
      </c>
      <c r="W49" s="23">
        <v>27.857808088905063</v>
      </c>
      <c r="X49" s="23">
        <v>2.7121680252049528E-4</v>
      </c>
      <c r="Y49" s="23">
        <v>-1.4129069786407395E-4</v>
      </c>
      <c r="Z49">
        <v>0.19553651553125445</v>
      </c>
      <c r="AB49">
        <v>93183.930132741632</v>
      </c>
      <c r="AC49">
        <v>352741.36425443785</v>
      </c>
      <c r="AD49">
        <v>100647.72206398625</v>
      </c>
      <c r="AE49">
        <v>163135.59123174741</v>
      </c>
      <c r="AF49">
        <v>1492241.5512869149</v>
      </c>
      <c r="AG49">
        <v>1648022.3666551015</v>
      </c>
      <c r="AH49">
        <v>7575092.4629791472</v>
      </c>
      <c r="AI49">
        <v>7105873.3841584949</v>
      </c>
      <c r="AK49">
        <v>1.2164113497606583E-3</v>
      </c>
      <c r="AL49">
        <v>2.9718207982011684</v>
      </c>
      <c r="AM49">
        <v>475.90891332179996</v>
      </c>
      <c r="AN49">
        <v>97.643805034339096</v>
      </c>
      <c r="AP49" s="147">
        <v>1.305387471882615E-8</v>
      </c>
      <c r="AQ49" s="147">
        <v>3.4484511118555458E-9</v>
      </c>
      <c r="AR49" s="147">
        <v>2.9526955377210118E-5</v>
      </c>
      <c r="AS49" s="147">
        <v>1.8216875764280369E-5</v>
      </c>
      <c r="AT49" s="147">
        <v>3.1892216974616094E-4</v>
      </c>
      <c r="AU49" s="147">
        <v>2.8877576114924071E-4</v>
      </c>
      <c r="AV49" s="147">
        <v>1.2890113950627283E-5</v>
      </c>
      <c r="AW49" s="147">
        <v>1.3741281297246539E-5</v>
      </c>
      <c r="AY49" s="147">
        <v>3.6135229294871721E-4</v>
      </c>
      <c r="AZ49" s="147">
        <v>3.2073736666187944E-4</v>
      </c>
      <c r="BB49">
        <v>4.2020038597141074E-3</v>
      </c>
      <c r="BC49">
        <v>1.0026719449342962E-2</v>
      </c>
      <c r="BD49">
        <v>2.2274458252600427E-2</v>
      </c>
      <c r="BE49">
        <v>3.8242819789645907E-4</v>
      </c>
      <c r="BF49">
        <v>3.6885609759553954E-2</v>
      </c>
      <c r="BG49">
        <v>3.3925565025045061E-2</v>
      </c>
      <c r="BH49">
        <v>1.0279474151675483E-2</v>
      </c>
      <c r="BI49">
        <v>2.2645116753557064E-2</v>
      </c>
      <c r="BJ49">
        <v>4.1258846086982925E-4</v>
      </c>
      <c r="BK49">
        <v>6.7262744391147433E-2</v>
      </c>
      <c r="CC49" s="146">
        <f t="shared" si="3"/>
        <v>46</v>
      </c>
      <c r="CJ49" s="135"/>
      <c r="CK49" s="135"/>
      <c r="CL49" s="135"/>
      <c r="CM49" s="135"/>
    </row>
    <row r="50" spans="1:91" x14ac:dyDescent="0.25">
      <c r="A50">
        <v>47</v>
      </c>
      <c r="B50" s="135">
        <v>23.5</v>
      </c>
      <c r="C50" s="24">
        <v>7.8861301898841043E-7</v>
      </c>
      <c r="D50" s="24">
        <v>5.5810128953871418E-3</v>
      </c>
      <c r="E50" s="24">
        <v>0.40796722979147498</v>
      </c>
      <c r="F50" s="24">
        <v>0.86280834629135927</v>
      </c>
      <c r="G50" s="23">
        <v>452.79556061541228</v>
      </c>
      <c r="H50" s="23">
        <v>82.504976875541502</v>
      </c>
      <c r="I50" s="23">
        <v>8.4147378292201457E-4</v>
      </c>
      <c r="J50" s="23">
        <v>-2.8298031725106223E-4</v>
      </c>
      <c r="K50">
        <v>0.95793780623109304</v>
      </c>
      <c r="L50" s="23">
        <v>351.00975760288293</v>
      </c>
      <c r="M50" s="23">
        <v>81.300119063408886</v>
      </c>
      <c r="N50" s="23">
        <v>8.2744887881670305E-4</v>
      </c>
      <c r="O50" s="23">
        <v>-3.432952021689576E-4</v>
      </c>
      <c r="P50" s="23">
        <v>0.52893426241077257</v>
      </c>
      <c r="Q50" s="23">
        <v>170.22787801855785</v>
      </c>
      <c r="R50" s="23">
        <v>42.582123531152831</v>
      </c>
      <c r="S50" s="23">
        <v>4.1809653627069318E-4</v>
      </c>
      <c r="T50" s="23">
        <v>-2.0195868984917043E-4</v>
      </c>
      <c r="U50" s="23">
        <v>0.2866291400052301</v>
      </c>
      <c r="V50" s="23">
        <v>114.29459283164911</v>
      </c>
      <c r="W50" s="23">
        <v>28.463412612576906</v>
      </c>
      <c r="X50" s="23">
        <v>2.7711281996659298E-4</v>
      </c>
      <c r="Y50" s="23">
        <v>-1.4416612979322401E-4</v>
      </c>
      <c r="Z50">
        <v>0.19934545713269594</v>
      </c>
      <c r="AB50">
        <v>86512.3573699064</v>
      </c>
      <c r="AC50">
        <v>353607.26416020608</v>
      </c>
      <c r="AD50">
        <v>92450.836780130252</v>
      </c>
      <c r="AE50">
        <v>153469.99459334754</v>
      </c>
      <c r="AF50">
        <v>1370711.4007691927</v>
      </c>
      <c r="AG50">
        <v>1518356.996762868</v>
      </c>
      <c r="AH50">
        <v>6958166.787362094</v>
      </c>
      <c r="AI50">
        <v>6513567.1118460251</v>
      </c>
      <c r="AK50">
        <v>8.4595759157579545E-4</v>
      </c>
      <c r="AL50">
        <v>2.3947361323511442</v>
      </c>
      <c r="AM50">
        <v>375.11388459009811</v>
      </c>
      <c r="AN50">
        <v>79.332693118400428</v>
      </c>
      <c r="AP50" s="147">
        <v>9.7784596015420161E-9</v>
      </c>
      <c r="AQ50" s="147">
        <v>2.3923648559225413E-9</v>
      </c>
      <c r="AR50" s="147">
        <v>2.5902806461842934E-5</v>
      </c>
      <c r="AS50" s="147">
        <v>1.5603937034705213E-5</v>
      </c>
      <c r="AT50" s="147">
        <v>2.7366364967826052E-4</v>
      </c>
      <c r="AU50" s="147">
        <v>2.4705249515748906E-4</v>
      </c>
      <c r="AV50" s="147">
        <v>1.1401378487001775E-5</v>
      </c>
      <c r="AW50" s="147">
        <v>1.2179607848688699E-5</v>
      </c>
      <c r="AY50" s="147">
        <v>3.1097761308670677E-4</v>
      </c>
      <c r="AZ50" s="147">
        <v>2.7483843240573889E-4</v>
      </c>
      <c r="BB50">
        <v>4.2020136381737093E-3</v>
      </c>
      <c r="BC50">
        <v>1.0052622255804805E-2</v>
      </c>
      <c r="BD50">
        <v>2.2548121902278687E-2</v>
      </c>
      <c r="BE50">
        <v>3.9382957638346087E-4</v>
      </c>
      <c r="BF50">
        <v>3.7196587372640665E-2</v>
      </c>
      <c r="BG50">
        <v>3.3925567417409916E-2</v>
      </c>
      <c r="BH50">
        <v>1.0295078088710188E-2</v>
      </c>
      <c r="BI50">
        <v>2.2892169248714553E-2</v>
      </c>
      <c r="BJ50">
        <v>4.2476806871851797E-4</v>
      </c>
      <c r="BK50">
        <v>6.7537582823553183E-2</v>
      </c>
      <c r="CC50" s="146">
        <f t="shared" si="3"/>
        <v>47</v>
      </c>
      <c r="CJ50" s="135"/>
      <c r="CK50" s="135"/>
      <c r="CL50" s="135"/>
      <c r="CM50" s="135"/>
    </row>
    <row r="51" spans="1:91" x14ac:dyDescent="0.25">
      <c r="A51">
        <v>48</v>
      </c>
      <c r="B51" s="135">
        <v>24</v>
      </c>
      <c r="C51" s="24">
        <v>5.506360847713136E-7</v>
      </c>
      <c r="D51" s="24">
        <v>4.5051179214364205E-3</v>
      </c>
      <c r="E51" s="24">
        <v>0.32140457096498271</v>
      </c>
      <c r="F51" s="24">
        <v>0.6962372740704732</v>
      </c>
      <c r="G51" s="23">
        <v>455.86326155568821</v>
      </c>
      <c r="H51" s="23">
        <v>84.059141740290471</v>
      </c>
      <c r="I51" s="23">
        <v>8.5706569701819626E-4</v>
      </c>
      <c r="J51" s="23">
        <v>-2.8275812529084826E-4</v>
      </c>
      <c r="K51">
        <v>0.97503509271180011</v>
      </c>
      <c r="L51" s="23">
        <v>358.26766957124028</v>
      </c>
      <c r="M51" s="23">
        <v>83.029908830715456</v>
      </c>
      <c r="N51" s="23">
        <v>8.4505417411067545E-4</v>
      </c>
      <c r="O51" s="23">
        <v>-3.4762666383304709E-4</v>
      </c>
      <c r="P51" s="23">
        <v>0.53873073875775934</v>
      </c>
      <c r="Q51" s="23">
        <v>174.50641334467869</v>
      </c>
      <c r="R51" s="23">
        <v>43.488126159475236</v>
      </c>
      <c r="S51" s="23">
        <v>4.2699220725517608E-4</v>
      </c>
      <c r="T51" s="23">
        <v>-2.0572614712000459E-4</v>
      </c>
      <c r="U51" s="23">
        <v>0.29206837413711156</v>
      </c>
      <c r="V51" s="23">
        <v>117.10736549891226</v>
      </c>
      <c r="W51" s="23">
        <v>29.069017136248764</v>
      </c>
      <c r="X51" s="23">
        <v>2.830088374126908E-4</v>
      </c>
      <c r="Y51" s="23">
        <v>-1.4701684613829645E-4</v>
      </c>
      <c r="Z51">
        <v>0.20314594744052758</v>
      </c>
      <c r="AB51">
        <v>80460.50005165716</v>
      </c>
      <c r="AC51">
        <v>354809.20932297426</v>
      </c>
      <c r="AD51">
        <v>85073.538614446559</v>
      </c>
      <c r="AE51">
        <v>145378.29802456594</v>
      </c>
      <c r="AF51">
        <v>1261332.761756704</v>
      </c>
      <c r="AG51">
        <v>1401836.8754823206</v>
      </c>
      <c r="AH51">
        <v>6402926.0468265694</v>
      </c>
      <c r="AI51">
        <v>5985248.7965571266</v>
      </c>
      <c r="AK51">
        <v>5.9067599049453636E-4</v>
      </c>
      <c r="AL51">
        <v>1.9330843467291619</v>
      </c>
      <c r="AM51">
        <v>295.52206240023804</v>
      </c>
      <c r="AN51">
        <v>64.016972296154123</v>
      </c>
      <c r="AP51" s="147">
        <v>7.3411921391901765E-9</v>
      </c>
      <c r="AQ51" s="147">
        <v>1.6647707414968991E-9</v>
      </c>
      <c r="AR51" s="147">
        <v>2.2722510174284671E-5</v>
      </c>
      <c r="AS51" s="147">
        <v>1.3296925146300106E-5</v>
      </c>
      <c r="AT51" s="147">
        <v>2.342934960229319E-4</v>
      </c>
      <c r="AU51" s="147">
        <v>2.1081059256524391E-4</v>
      </c>
      <c r="AV51" s="147">
        <v>9.9980808505327556E-6</v>
      </c>
      <c r="AW51" s="147">
        <v>1.0695791348386115E-5</v>
      </c>
      <c r="AY51" s="147">
        <v>2.6702142823988853E-4</v>
      </c>
      <c r="AZ51" s="147">
        <v>2.3480497383067164E-4</v>
      </c>
      <c r="BB51">
        <v>4.2020209793658487E-3</v>
      </c>
      <c r="BC51">
        <v>1.0075344765979089E-2</v>
      </c>
      <c r="BD51">
        <v>2.2782415398301618E-2</v>
      </c>
      <c r="BE51">
        <v>4.0382765723399362E-4</v>
      </c>
      <c r="BF51">
        <v>3.7463608800880545E-2</v>
      </c>
      <c r="BG51">
        <v>3.3925569082180661E-2</v>
      </c>
      <c r="BH51">
        <v>1.0308375013856487E-2</v>
      </c>
      <c r="BI51">
        <v>2.3102979841279798E-2</v>
      </c>
      <c r="BJ51">
        <v>4.3546386006690406E-4</v>
      </c>
      <c r="BK51">
        <v>6.7772387797383843E-2</v>
      </c>
      <c r="CC51" s="146">
        <f t="shared" si="3"/>
        <v>48</v>
      </c>
      <c r="CJ51" s="135"/>
      <c r="CK51" s="135"/>
      <c r="CL51" s="135"/>
      <c r="CM51" s="135"/>
    </row>
    <row r="52" spans="1:91" x14ac:dyDescent="0.25">
      <c r="A52">
        <v>49</v>
      </c>
      <c r="B52" s="135">
        <v>24.5</v>
      </c>
      <c r="C52" s="24">
        <v>3.8597480108420847E-7</v>
      </c>
      <c r="D52" s="24">
        <v>3.6429309625135575E-3</v>
      </c>
      <c r="E52" s="24">
        <v>0.25265302856682031</v>
      </c>
      <c r="F52" s="24">
        <v>0.5582863311517593</v>
      </c>
      <c r="G52" s="23">
        <v>458.83857961348298</v>
      </c>
      <c r="H52" s="23">
        <v>85.605838570073615</v>
      </c>
      <c r="I52" s="23">
        <v>8.725723455564803E-4</v>
      </c>
      <c r="J52" s="23">
        <v>-2.8247818438047824E-4</v>
      </c>
      <c r="K52">
        <v>0.99205528479804406</v>
      </c>
      <c r="L52" s="23">
        <v>365.484799410324</v>
      </c>
      <c r="M52" s="23">
        <v>84.759698598022027</v>
      </c>
      <c r="N52" s="23">
        <v>8.6265946940464774E-4</v>
      </c>
      <c r="O52" s="23">
        <v>-3.5190496535771179E-4</v>
      </c>
      <c r="P52" s="23">
        <v>0.54849143403218359</v>
      </c>
      <c r="Q52" s="23">
        <v>178.77142972129258</v>
      </c>
      <c r="R52" s="23">
        <v>44.394128787797627</v>
      </c>
      <c r="S52" s="23">
        <v>4.3588787823965882E-4</v>
      </c>
      <c r="T52" s="23">
        <v>-2.0938943891661934E-4</v>
      </c>
      <c r="U52" s="23">
        <v>0.29749307239127798</v>
      </c>
      <c r="V52" s="23">
        <v>119.89713669886449</v>
      </c>
      <c r="W52" s="23">
        <v>29.674621659920614</v>
      </c>
      <c r="X52" s="23">
        <v>2.889048548587885E-4</v>
      </c>
      <c r="Y52" s="23">
        <v>-1.4984146388536976E-4</v>
      </c>
      <c r="Z52">
        <v>0.20693810086129671</v>
      </c>
      <c r="AB52">
        <v>74958.824654667755</v>
      </c>
      <c r="AC52">
        <v>356330.71823704842</v>
      </c>
      <c r="AD52">
        <v>78419.283347200399</v>
      </c>
      <c r="AE52">
        <v>137895.5917093727</v>
      </c>
      <c r="AF52">
        <v>1162674.2327902787</v>
      </c>
      <c r="AG52">
        <v>1298923.1826772792</v>
      </c>
      <c r="AH52">
        <v>5902103.9925568262</v>
      </c>
      <c r="AI52">
        <v>5512870.8286374118</v>
      </c>
      <c r="AK52">
        <v>4.1404124110578787E-4</v>
      </c>
      <c r="AL52">
        <v>1.5631317409788559</v>
      </c>
      <c r="AM52">
        <v>232.30703860110239</v>
      </c>
      <c r="AN52">
        <v>51.33278829746498</v>
      </c>
      <c r="AP52" s="147">
        <v>5.5235823535555552E-9</v>
      </c>
      <c r="AQ52" s="147">
        <v>1.1619577541736034E-9</v>
      </c>
      <c r="AR52" s="147">
        <v>1.9933002117069975E-5</v>
      </c>
      <c r="AS52" s="147">
        <v>1.1335617923691831E-5</v>
      </c>
      <c r="AT52" s="147">
        <v>1.9980406553226295E-4</v>
      </c>
      <c r="AU52" s="147">
        <v>1.788458637887131E-4</v>
      </c>
      <c r="AV52" s="147">
        <v>8.6973710328047456E-6</v>
      </c>
      <c r="AW52" s="147">
        <v>9.3114440539417913E-6</v>
      </c>
      <c r="AY52" s="147">
        <v>2.2843996226449122E-4</v>
      </c>
      <c r="AZ52" s="147">
        <v>1.9949408772410092E-4</v>
      </c>
      <c r="BB52">
        <v>4.2020265029482024E-3</v>
      </c>
      <c r="BC52">
        <v>1.0095277768096159E-2</v>
      </c>
      <c r="BD52">
        <v>2.2982219463833879E-2</v>
      </c>
      <c r="BE52">
        <v>4.1252502826679836E-4</v>
      </c>
      <c r="BF52">
        <v>3.7692048763145032E-2</v>
      </c>
      <c r="BG52">
        <v>3.3925570244138413E-2</v>
      </c>
      <c r="BH52">
        <v>1.031971063178018E-2</v>
      </c>
      <c r="BI52">
        <v>2.3281825705068513E-2</v>
      </c>
      <c r="BJ52">
        <v>4.4477530412084587E-4</v>
      </c>
      <c r="BK52">
        <v>6.7971881885107957E-2</v>
      </c>
      <c r="CC52" s="146">
        <f t="shared" si="3"/>
        <v>49</v>
      </c>
      <c r="CJ52" s="135"/>
      <c r="CK52" s="135"/>
      <c r="CL52" s="135"/>
      <c r="CM52" s="135"/>
    </row>
    <row r="53" spans="1:91" x14ac:dyDescent="0.25">
      <c r="A53">
        <v>50</v>
      </c>
      <c r="B53" s="135">
        <v>25</v>
      </c>
      <c r="C53" s="24">
        <v>2.7158690278083494E-7</v>
      </c>
      <c r="D53" s="24">
        <v>2.9508036389736532E-3</v>
      </c>
      <c r="E53" s="24">
        <v>0.19796764464896194</v>
      </c>
      <c r="F53" s="24">
        <v>0.44505893980542705</v>
      </c>
      <c r="G53" s="23">
        <v>461.72536332228617</v>
      </c>
      <c r="H53" s="23">
        <v>87.145117507811449</v>
      </c>
      <c r="I53" s="23">
        <v>8.8799433080348554E-4</v>
      </c>
      <c r="J53" s="23">
        <v>-2.8214405081830119E-4</v>
      </c>
      <c r="K53">
        <v>1.0089999229779081</v>
      </c>
      <c r="L53" s="23">
        <v>372.65596817709582</v>
      </c>
      <c r="M53" s="23">
        <v>86.489488365328597</v>
      </c>
      <c r="N53" s="23">
        <v>8.8026476469862025E-4</v>
      </c>
      <c r="O53" s="23">
        <v>-3.5612960566946429E-4</v>
      </c>
      <c r="P53" s="23">
        <v>0.55821693116348259</v>
      </c>
      <c r="Q53" s="23">
        <v>183.01697627281382</v>
      </c>
      <c r="R53" s="23">
        <v>45.300131416120031</v>
      </c>
      <c r="S53" s="23">
        <v>4.4478354922414172E-4</v>
      </c>
      <c r="T53" s="23">
        <v>-2.1298180043672612E-4</v>
      </c>
      <c r="U53" s="23">
        <v>0.3029034231112398</v>
      </c>
      <c r="V53" s="23">
        <v>122.66254597404506</v>
      </c>
      <c r="W53" s="23">
        <v>30.28022618359245</v>
      </c>
      <c r="X53" s="23">
        <v>2.948008723048861E-4</v>
      </c>
      <c r="Y53" s="23">
        <v>-1.5263885478073531E-4</v>
      </c>
      <c r="Z53">
        <v>0.21072202730413486</v>
      </c>
      <c r="AB53">
        <v>69946.858221095012</v>
      </c>
      <c r="AC53">
        <v>358157.30340744503</v>
      </c>
      <c r="AD53">
        <v>72404.551560250868</v>
      </c>
      <c r="AE53">
        <v>130966.79133871167</v>
      </c>
      <c r="AF53">
        <v>1073497.523091611</v>
      </c>
      <c r="AG53">
        <v>1206892.2928050449</v>
      </c>
      <c r="AH53">
        <v>5449414.6669385536</v>
      </c>
      <c r="AI53">
        <v>5089496.9752235264</v>
      </c>
      <c r="AK53">
        <v>2.9133554309655806E-4</v>
      </c>
      <c r="AL53">
        <v>1.2661493936994872</v>
      </c>
      <c r="AM53">
        <v>182.02543435996347</v>
      </c>
      <c r="AN53">
        <v>40.921862245479055</v>
      </c>
      <c r="AP53" s="147">
        <v>4.1650983404526271E-9</v>
      </c>
      <c r="AQ53" s="147">
        <v>8.134290165936682E-10</v>
      </c>
      <c r="AR53" s="147">
        <v>1.7487151931959293E-5</v>
      </c>
      <c r="AS53" s="147">
        <v>9.6677133245550762E-6</v>
      </c>
      <c r="AT53" s="147">
        <v>1.6956297564221733E-4</v>
      </c>
      <c r="AU53" s="147">
        <v>1.5082160640607131E-4</v>
      </c>
      <c r="AV53" s="147">
        <v>7.5094050914772272E-6</v>
      </c>
      <c r="AW53" s="147">
        <v>8.0404532009141823E-6</v>
      </c>
      <c r="AY53" s="147">
        <v>1.9456369776399432E-4</v>
      </c>
      <c r="AZ53" s="147">
        <v>1.6853058636055716E-4</v>
      </c>
      <c r="BB53">
        <v>4.2020306680465433E-3</v>
      </c>
      <c r="BC53">
        <v>1.0112764920028119E-2</v>
      </c>
      <c r="BD53">
        <v>2.3151782439476097E-2</v>
      </c>
      <c r="BE53">
        <v>4.200344333582756E-4</v>
      </c>
      <c r="BF53">
        <v>3.7886612460909033E-2</v>
      </c>
      <c r="BG53">
        <v>3.3925571057567432E-2</v>
      </c>
      <c r="BH53">
        <v>1.0329378345104735E-2</v>
      </c>
      <c r="BI53">
        <v>2.3432647311474583E-2</v>
      </c>
      <c r="BJ53">
        <v>4.5281575732176007E-4</v>
      </c>
      <c r="BK53">
        <v>6.8140412471468514E-2</v>
      </c>
      <c r="CC53" s="146">
        <f t="shared" si="3"/>
        <v>50</v>
      </c>
      <c r="CJ53" s="135"/>
      <c r="CK53" s="135"/>
      <c r="CL53" s="135"/>
      <c r="CM53" s="135"/>
    </row>
    <row r="54" spans="1:91" x14ac:dyDescent="0.25">
      <c r="A54">
        <v>51</v>
      </c>
      <c r="B54" s="135">
        <v>25.5</v>
      </c>
      <c r="C54" s="24">
        <v>1.9181270508546093E-7</v>
      </c>
      <c r="D54" s="24">
        <v>2.3942347299925415E-3</v>
      </c>
      <c r="E54" s="24">
        <v>0.15453618169083144</v>
      </c>
      <c r="F54" s="24">
        <v>0.35288007778500063</v>
      </c>
      <c r="G54" s="23">
        <v>464.52725751027327</v>
      </c>
      <c r="H54" s="23">
        <v>88.677028264382983</v>
      </c>
      <c r="I54" s="23">
        <v>9.0333224969410119E-4</v>
      </c>
      <c r="J54" s="23">
        <v>-2.8175905882934875E-4</v>
      </c>
      <c r="K54">
        <v>1.0258704920751371</v>
      </c>
      <c r="L54" s="23">
        <v>379.77677514366923</v>
      </c>
      <c r="M54" s="23">
        <v>88.219278132635168</v>
      </c>
      <c r="N54" s="23">
        <v>8.9787005999259254E-4</v>
      </c>
      <c r="O54" s="23">
        <v>-3.60300303042403E-4</v>
      </c>
      <c r="P54" s="23">
        <v>0.56790779646313971</v>
      </c>
      <c r="Q54" s="23">
        <v>187.23725286763505</v>
      </c>
      <c r="R54" s="23">
        <v>46.206134044442422</v>
      </c>
      <c r="S54" s="23">
        <v>4.5367922020862441E-4</v>
      </c>
      <c r="T54" s="23">
        <v>-2.1654622007366326E-4</v>
      </c>
      <c r="U54" s="23">
        <v>0.30829960910840953</v>
      </c>
      <c r="V54" s="23">
        <v>125.27086813348662</v>
      </c>
      <c r="W54" s="23">
        <v>30.885830707264301</v>
      </c>
      <c r="X54" s="23">
        <v>3.0069688975098381E-4</v>
      </c>
      <c r="Y54" s="23">
        <v>-1.5528072884210715E-4</v>
      </c>
      <c r="Z54">
        <v>0.21449783250069054</v>
      </c>
      <c r="AB54">
        <v>65371.852202326219</v>
      </c>
      <c r="AC54">
        <v>360276.23216231534</v>
      </c>
      <c r="AD54">
        <v>66956.8770764254</v>
      </c>
      <c r="AE54">
        <v>124542.30453816656</v>
      </c>
      <c r="AF54">
        <v>992728.22145275562</v>
      </c>
      <c r="AG54">
        <v>1123387.182794461</v>
      </c>
      <c r="AH54">
        <v>5039404.017150024</v>
      </c>
      <c r="AI54">
        <v>4725853.1813786533</v>
      </c>
      <c r="AK54">
        <v>2.057605062567697E-4</v>
      </c>
      <c r="AL54">
        <v>1.0273333039567187</v>
      </c>
      <c r="AM54">
        <v>142.09147988037813</v>
      </c>
      <c r="AN54">
        <v>32.446286639259284</v>
      </c>
      <c r="AP54" s="147">
        <v>3.1475397946495361E-9</v>
      </c>
      <c r="AQ54" s="147">
        <v>5.7111873581510195E-10</v>
      </c>
      <c r="AR54" s="147">
        <v>1.5343208178363933E-5</v>
      </c>
      <c r="AS54" s="147">
        <v>8.2488701952828221E-6</v>
      </c>
      <c r="AT54" s="147">
        <v>1.431323063148561E-4</v>
      </c>
      <c r="AU54" s="147">
        <v>1.2648486831309672E-4</v>
      </c>
      <c r="AV54" s="147">
        <v>6.4385166438012455E-6</v>
      </c>
      <c r="AW54" s="147">
        <v>6.8656992492081324E-6</v>
      </c>
      <c r="AY54" s="147">
        <v>1.6491717867681593E-4</v>
      </c>
      <c r="AZ54" s="147">
        <v>1.4160000887632348E-4</v>
      </c>
      <c r="BB54">
        <v>4.202033815586338E-3</v>
      </c>
      <c r="BC54">
        <v>1.0128108128206484E-2</v>
      </c>
      <c r="BD54">
        <v>2.3294914745790953E-2</v>
      </c>
      <c r="BE54">
        <v>4.2647295000207685E-4</v>
      </c>
      <c r="BF54">
        <v>3.805152963958585E-2</v>
      </c>
      <c r="BG54">
        <v>3.3925571628686167E-2</v>
      </c>
      <c r="BH54">
        <v>1.0337627215300018E-2</v>
      </c>
      <c r="BI54">
        <v>2.3559132179787681E-2</v>
      </c>
      <c r="BJ54">
        <v>4.5968145657096819E-4</v>
      </c>
      <c r="BK54">
        <v>6.8282012480344823E-2</v>
      </c>
      <c r="CC54" s="146">
        <f t="shared" si="3"/>
        <v>51</v>
      </c>
      <c r="CJ54" s="135"/>
      <c r="CK54" s="135"/>
      <c r="CL54" s="135"/>
      <c r="CM54" s="135"/>
    </row>
    <row r="55" spans="1:91" x14ac:dyDescent="0.25">
      <c r="A55">
        <v>52</v>
      </c>
      <c r="B55" s="135">
        <v>26</v>
      </c>
      <c r="C55" s="24">
        <v>1.3596550303513534E-7</v>
      </c>
      <c r="D55" s="24">
        <v>1.9459077106992065E-3</v>
      </c>
      <c r="E55" s="24">
        <v>0.12015658205805299</v>
      </c>
      <c r="F55" s="24">
        <v>0.27839393785466426</v>
      </c>
      <c r="G55" s="23">
        <v>467.24771632533367</v>
      </c>
      <c r="H55" s="23">
        <v>90.201620123168354</v>
      </c>
      <c r="I55" s="23">
        <v>9.1858669388849971E-4</v>
      </c>
      <c r="J55" s="23">
        <v>-2.8132633614174257E-4</v>
      </c>
      <c r="K55">
        <v>1.0426684239975232</v>
      </c>
      <c r="L55" s="23">
        <v>386.94487401531086</v>
      </c>
      <c r="M55" s="23">
        <v>89.949067899941738</v>
      </c>
      <c r="N55" s="23">
        <v>9.1547535528656505E-4</v>
      </c>
      <c r="O55" s="23">
        <v>-3.643307474925975E-4</v>
      </c>
      <c r="P55" s="23">
        <v>0.57756458031861335</v>
      </c>
      <c r="Q55" s="23">
        <v>191.42966305658223</v>
      </c>
      <c r="R55" s="23">
        <v>47.112136672764827</v>
      </c>
      <c r="S55" s="23">
        <v>4.6257489119310731E-4</v>
      </c>
      <c r="T55" s="23">
        <v>-2.2008106626429202E-4</v>
      </c>
      <c r="U55" s="23">
        <v>0.31368180798202056</v>
      </c>
      <c r="V55" s="23">
        <v>127.62680040614028</v>
      </c>
      <c r="W55" s="23">
        <v>31.491435230936151</v>
      </c>
      <c r="X55" s="23">
        <v>3.0659290719708157E-4</v>
      </c>
      <c r="Y55" s="23">
        <v>-1.5773155146126826E-4</v>
      </c>
      <c r="Z55">
        <v>0.2182656182951504</v>
      </c>
      <c r="AB55">
        <v>61187.665219605151</v>
      </c>
      <c r="AC55">
        <v>362676.32165601046</v>
      </c>
      <c r="AD55">
        <v>62013.205066741772</v>
      </c>
      <c r="AE55">
        <v>118698.74433741932</v>
      </c>
      <c r="AF55">
        <v>919431.45290697552</v>
      </c>
      <c r="AG55">
        <v>1047492.4563312108</v>
      </c>
      <c r="AH55">
        <v>4667326.3206852442</v>
      </c>
      <c r="AI55">
        <v>4416719.7537421398</v>
      </c>
      <c r="AK55">
        <v>1.4585233405420734E-4</v>
      </c>
      <c r="AL55">
        <v>0.83496232536635961</v>
      </c>
      <c r="AM55">
        <v>110.48044784847812</v>
      </c>
      <c r="AN55">
        <v>25.597504860469964</v>
      </c>
      <c r="AP55" s="147">
        <v>2.3836885020982098E-9</v>
      </c>
      <c r="AQ55" s="147">
        <v>4.0215565600818207E-10</v>
      </c>
      <c r="AR55" s="147">
        <v>1.3464266593989628E-5</v>
      </c>
      <c r="AS55" s="147">
        <v>7.0342978775988696E-6</v>
      </c>
      <c r="AT55" s="147">
        <v>1.2016170155933973E-4</v>
      </c>
      <c r="AU55" s="147">
        <v>1.054713541665305E-4</v>
      </c>
      <c r="AV55" s="147">
        <v>5.4844043680905107E-6</v>
      </c>
      <c r="AW55" s="147">
        <v>5.7955918164791979E-6</v>
      </c>
      <c r="AY55" s="147">
        <v>1.3911275620992198E-4</v>
      </c>
      <c r="AZ55" s="147">
        <v>1.1830164601626458E-4</v>
      </c>
      <c r="BB55">
        <v>4.2020361992748398E-3</v>
      </c>
      <c r="BC55">
        <v>1.0141572394800473E-2</v>
      </c>
      <c r="BD55">
        <v>2.3415076447350292E-2</v>
      </c>
      <c r="BE55">
        <v>4.3195735437016734E-4</v>
      </c>
      <c r="BF55">
        <v>3.8190642395795775E-2</v>
      </c>
      <c r="BG55">
        <v>3.3925572030841823E-2</v>
      </c>
      <c r="BH55">
        <v>1.0344661513177617E-2</v>
      </c>
      <c r="BI55">
        <v>2.366460353395421E-2</v>
      </c>
      <c r="BJ55">
        <v>4.6547704838744737E-4</v>
      </c>
      <c r="BK55">
        <v>6.8400314126361106E-2</v>
      </c>
      <c r="CC55" s="146">
        <f t="shared" si="3"/>
        <v>52</v>
      </c>
      <c r="CJ55" s="135"/>
      <c r="CK55" s="135"/>
      <c r="CL55" s="135"/>
      <c r="CM55" s="135"/>
    </row>
    <row r="56" spans="1:91" x14ac:dyDescent="0.25">
      <c r="A56">
        <v>53</v>
      </c>
      <c r="B56" s="135">
        <v>26.5</v>
      </c>
      <c r="C56" s="24">
        <v>9.6722626698470732E-8</v>
      </c>
      <c r="D56" s="24">
        <v>1.5841582847357762E-3</v>
      </c>
      <c r="E56" s="24">
        <v>9.3057716558251749E-2</v>
      </c>
      <c r="F56" s="24">
        <v>0.21861317333316263</v>
      </c>
      <c r="G56" s="23">
        <v>469.89001528716432</v>
      </c>
      <c r="H56" s="23">
        <v>91.718941944531309</v>
      </c>
      <c r="I56" s="23">
        <v>9.3375824982839053E-4</v>
      </c>
      <c r="J56" s="23">
        <v>-2.80848818328377E-4</v>
      </c>
      <c r="K56">
        <v>1.0593951003154836</v>
      </c>
      <c r="L56" s="23">
        <v>394.17593760041871</v>
      </c>
      <c r="M56" s="23">
        <v>91.678857667248309</v>
      </c>
      <c r="N56" s="23">
        <v>9.3308065058053734E-4</v>
      </c>
      <c r="O56" s="23">
        <v>-3.6821022043053461E-4</v>
      </c>
      <c r="P56" s="23">
        <v>0.58718781784542251</v>
      </c>
      <c r="Q56" s="23">
        <v>195.59199670718391</v>
      </c>
      <c r="R56" s="23">
        <v>48.018139301087231</v>
      </c>
      <c r="S56" s="23">
        <v>4.7147056217759022E-4</v>
      </c>
      <c r="T56" s="23">
        <v>-2.2358498307089485E-4</v>
      </c>
      <c r="U56" s="23">
        <v>0.31905019241087995</v>
      </c>
      <c r="V56" s="23">
        <v>129.97655773130643</v>
      </c>
      <c r="W56" s="23">
        <v>32.097039754607998</v>
      </c>
      <c r="X56" s="23">
        <v>3.1248892464317922E-4</v>
      </c>
      <c r="Y56" s="23">
        <v>-1.6018310017610211E-4</v>
      </c>
      <c r="Z56">
        <v>0.22202548290766028</v>
      </c>
      <c r="AB56">
        <v>57353.825443382069</v>
      </c>
      <c r="AC56">
        <v>365347.76260073745</v>
      </c>
      <c r="AD56">
        <v>57518.519670951784</v>
      </c>
      <c r="AE56">
        <v>113389.81931588122</v>
      </c>
      <c r="AF56">
        <v>852791.53130699799</v>
      </c>
      <c r="AG56">
        <v>978398.82316342578</v>
      </c>
      <c r="AH56">
        <v>4329040.8953731302</v>
      </c>
      <c r="AI56">
        <v>4132034.7652226663</v>
      </c>
      <c r="AK56">
        <v>1.0375588325650697E-4</v>
      </c>
      <c r="AL56">
        <v>0.67974060532196989</v>
      </c>
      <c r="AM56">
        <v>85.563836995173133</v>
      </c>
      <c r="AN56">
        <v>20.100839156489691</v>
      </c>
      <c r="AP56" s="147">
        <v>1.8090490469363997E-9</v>
      </c>
      <c r="AQ56" s="147">
        <v>2.8399211348091484E-10</v>
      </c>
      <c r="AR56" s="147">
        <v>1.1817769462958814E-5</v>
      </c>
      <c r="AS56" s="147">
        <v>5.9947234189371916E-6</v>
      </c>
      <c r="AT56" s="147">
        <v>1.0033382585781196E-4</v>
      </c>
      <c r="AU56" s="147">
        <v>8.7452923050870306E-5</v>
      </c>
      <c r="AV56" s="147">
        <v>4.6432546243611204E-6</v>
      </c>
      <c r="AW56" s="147">
        <v>4.8646345683411747E-6</v>
      </c>
      <c r="AY56" s="147">
        <v>1.1679665899417883E-4</v>
      </c>
      <c r="AZ56" s="147">
        <v>9.8312565030262152E-5</v>
      </c>
      <c r="BB56">
        <v>4.2020380083238867E-3</v>
      </c>
      <c r="BC56">
        <v>1.0153390164263433E-2</v>
      </c>
      <c r="BD56">
        <v>2.3515410273208102E-2</v>
      </c>
      <c r="BE56">
        <v>4.3660060899452846E-4</v>
      </c>
      <c r="BF56">
        <v>3.8307439054789949E-2</v>
      </c>
      <c r="BG56">
        <v>3.3925572314833938E-2</v>
      </c>
      <c r="BH56">
        <v>1.0350656236596553E-2</v>
      </c>
      <c r="BI56">
        <v>2.375205645700508E-2</v>
      </c>
      <c r="BJ56">
        <v>4.7034168295578854E-4</v>
      </c>
      <c r="BK56">
        <v>6.8498626691391368E-2</v>
      </c>
      <c r="CC56" s="146">
        <f t="shared" si="3"/>
        <v>53</v>
      </c>
      <c r="CJ56" s="135"/>
      <c r="CK56" s="135"/>
      <c r="CL56" s="135"/>
      <c r="CM56" s="135"/>
    </row>
    <row r="57" spans="1:91" x14ac:dyDescent="0.25">
      <c r="A57">
        <v>54</v>
      </c>
      <c r="B57" s="135">
        <v>27</v>
      </c>
      <c r="C57" s="24">
        <v>6.9046488078788535E-8</v>
      </c>
      <c r="D57" s="24">
        <v>1.2917759487955742E-3</v>
      </c>
      <c r="E57" s="24">
        <v>7.1796448869929363E-2</v>
      </c>
      <c r="F57" s="24">
        <v>0.17093295504720418</v>
      </c>
      <c r="G57" s="23">
        <v>472.45726244933229</v>
      </c>
      <c r="H57" s="23">
        <v>93.229042170250722</v>
      </c>
      <c r="I57" s="23">
        <v>9.4884749879262185E-4</v>
      </c>
      <c r="J57" s="23">
        <v>-2.8032926202352804E-4</v>
      </c>
      <c r="K57">
        <v>1.0760518546834728</v>
      </c>
      <c r="L57" s="23">
        <v>401.35675269141535</v>
      </c>
      <c r="M57" s="23">
        <v>93.408647434554879</v>
      </c>
      <c r="N57" s="23">
        <v>9.5068594587450984E-4</v>
      </c>
      <c r="O57" s="23">
        <v>-3.7203435067979096E-4</v>
      </c>
      <c r="P57" s="23">
        <v>0.59677802950099301</v>
      </c>
      <c r="Q57" s="23">
        <v>199.7223819509741</v>
      </c>
      <c r="R57" s="23">
        <v>48.924141929409622</v>
      </c>
      <c r="S57" s="23">
        <v>4.8036623316207296E-4</v>
      </c>
      <c r="T57" s="23">
        <v>-2.2705685479758954E-4</v>
      </c>
      <c r="U57" s="23">
        <v>0.32440493042005569</v>
      </c>
      <c r="V57" s="23">
        <v>132.31819569025672</v>
      </c>
      <c r="W57" s="23">
        <v>32.702644278279848</v>
      </c>
      <c r="X57" s="23">
        <v>3.1838494208927704E-4</v>
      </c>
      <c r="Y57" s="23">
        <v>-1.6263275679554188E-4</v>
      </c>
      <c r="Z57">
        <v>0.22577752117402439</v>
      </c>
      <c r="AB57">
        <v>53834.740938608993</v>
      </c>
      <c r="AC57">
        <v>368281.96722976095</v>
      </c>
      <c r="AD57">
        <v>53424.692837959679</v>
      </c>
      <c r="AE57">
        <v>108439.96053409475</v>
      </c>
      <c r="AF57">
        <v>792094.8917935841</v>
      </c>
      <c r="AG57">
        <v>915390.79222345748</v>
      </c>
      <c r="AH57">
        <v>4020925.4591626069</v>
      </c>
      <c r="AI57">
        <v>3869808.0632113609</v>
      </c>
      <c r="AK57">
        <v>7.4067253970552604E-5</v>
      </c>
      <c r="AL57">
        <v>0.55428335276554797</v>
      </c>
      <c r="AM57">
        <v>66.01472586202398</v>
      </c>
      <c r="AN57">
        <v>15.716783135987368</v>
      </c>
      <c r="AP57" s="147">
        <v>1.3758263284858372E-9</v>
      </c>
      <c r="AQ57" s="147">
        <v>2.0111561401632269E-10</v>
      </c>
      <c r="AR57" s="147">
        <v>1.0375040516315608E-5</v>
      </c>
      <c r="AS57" s="147">
        <v>5.1114307865436287E-6</v>
      </c>
      <c r="AT57" s="147">
        <v>8.3341941156246064E-5</v>
      </c>
      <c r="AU57" s="147">
        <v>7.2116440784461176E-5</v>
      </c>
      <c r="AV57" s="147">
        <v>3.9087476989092276E-6</v>
      </c>
      <c r="AW57" s="147">
        <v>4.0613857016321351E-6</v>
      </c>
      <c r="AY57" s="147">
        <v>9.7627105197799384E-5</v>
      </c>
      <c r="AZ57" s="147">
        <v>8.1289458388250955E-5</v>
      </c>
      <c r="BB57">
        <v>4.2020393841502154E-3</v>
      </c>
      <c r="BC57">
        <v>1.0163765204779749E-2</v>
      </c>
      <c r="BD57">
        <v>2.359875221436435E-2</v>
      </c>
      <c r="BE57">
        <v>4.4050935669343771E-4</v>
      </c>
      <c r="BF57">
        <v>3.8405066159987754E-2</v>
      </c>
      <c r="BG57">
        <v>3.3925572515949555E-2</v>
      </c>
      <c r="BH57">
        <v>1.0355767667383097E-2</v>
      </c>
      <c r="BI57">
        <v>2.3824172897789542E-2</v>
      </c>
      <c r="BJ57">
        <v>4.7440306865742066E-4</v>
      </c>
      <c r="BK57">
        <v>6.8579916149779624E-2</v>
      </c>
      <c r="CC57" s="146">
        <f t="shared" si="3"/>
        <v>54</v>
      </c>
      <c r="CJ57" s="135"/>
      <c r="CK57" s="135"/>
      <c r="CL57" s="135"/>
      <c r="CM57" s="135"/>
    </row>
    <row r="58" spans="1:91" x14ac:dyDescent="0.25">
      <c r="A58">
        <v>55</v>
      </c>
      <c r="B58" s="135">
        <v>27.5</v>
      </c>
      <c r="C58" s="24">
        <v>4.9457986872646788E-8</v>
      </c>
      <c r="D58" s="24">
        <v>1.0550653717106666E-3</v>
      </c>
      <c r="E58" s="24">
        <v>5.51931237251128E-2</v>
      </c>
      <c r="F58" s="24">
        <v>0.13312092148941038</v>
      </c>
      <c r="G58" s="23">
        <v>474.95240874629371</v>
      </c>
      <c r="H58" s="23">
        <v>94.731968827893823</v>
      </c>
      <c r="I58" s="23">
        <v>9.6385501695203689E-4</v>
      </c>
      <c r="J58" s="23">
        <v>-2.7977025711326252E-4</v>
      </c>
      <c r="K58">
        <v>1.0926399751157705</v>
      </c>
      <c r="L58" s="23">
        <v>408.48415313215207</v>
      </c>
      <c r="M58" s="23">
        <v>95.13843720186145</v>
      </c>
      <c r="N58" s="23">
        <v>9.6829124116848213E-4</v>
      </c>
      <c r="O58" s="23">
        <v>-3.7580375846352562E-4</v>
      </c>
      <c r="P58" s="23">
        <v>0.60633572166341732</v>
      </c>
      <c r="Q58" s="23">
        <v>203.81924337346311</v>
      </c>
      <c r="R58" s="23">
        <v>49.830144557732027</v>
      </c>
      <c r="S58" s="23">
        <v>4.8926190414655586E-4</v>
      </c>
      <c r="T58" s="23">
        <v>-2.3049577527327976E-4</v>
      </c>
      <c r="U58" s="23">
        <v>0.32974618562522029</v>
      </c>
      <c r="V58" s="23">
        <v>134.65001478910972</v>
      </c>
      <c r="W58" s="23">
        <v>33.308248801951699</v>
      </c>
      <c r="X58" s="23">
        <v>3.2428095953537475E-4</v>
      </c>
      <c r="Y58" s="23">
        <v>-1.6507821031923282E-4</v>
      </c>
      <c r="Z58">
        <v>0.22952182476421751</v>
      </c>
      <c r="AB58">
        <v>50599.032370759487</v>
      </c>
      <c r="AC58">
        <v>371471.43777406728</v>
      </c>
      <c r="AD58">
        <v>49689.515446780446</v>
      </c>
      <c r="AE58">
        <v>103818.811536612</v>
      </c>
      <c r="AF58">
        <v>736715.72582496249</v>
      </c>
      <c r="AG58">
        <v>857835.58745285124</v>
      </c>
      <c r="AH58">
        <v>3739803.2089657863</v>
      </c>
      <c r="AI58">
        <v>3628176.1152262827</v>
      </c>
      <c r="AK58">
        <v>5.3054360569193776E-5</v>
      </c>
      <c r="AL58">
        <v>0.45271408882002945</v>
      </c>
      <c r="AM58">
        <v>50.748456080090769</v>
      </c>
      <c r="AN58">
        <v>12.240077715464995</v>
      </c>
      <c r="AP58" s="147">
        <v>1.0485252006489592E-9</v>
      </c>
      <c r="AQ58" s="147">
        <v>1.4282218004998269E-10</v>
      </c>
      <c r="AR58" s="147">
        <v>9.1108573860999961E-6</v>
      </c>
      <c r="AS58" s="147">
        <v>4.3606171378717672E-6</v>
      </c>
      <c r="AT58" s="147">
        <v>6.8884719439460127E-5</v>
      </c>
      <c r="AU58" s="147">
        <v>5.9158720881208519E-5</v>
      </c>
      <c r="AV58" s="147">
        <v>3.2729202665318571E-6</v>
      </c>
      <c r="AW58" s="147">
        <v>3.3736173015685054E-6</v>
      </c>
      <c r="AY58" s="147">
        <v>8.1269545617292636E-5</v>
      </c>
      <c r="AZ58" s="147">
        <v>6.6893098142828836E-5</v>
      </c>
      <c r="BB58">
        <v>4.2020404326754161E-3</v>
      </c>
      <c r="BC58">
        <v>1.0172876062165848E-2</v>
      </c>
      <c r="BD58">
        <v>2.3667636933803811E-2</v>
      </c>
      <c r="BE58">
        <v>4.4378227695996954E-4</v>
      </c>
      <c r="BF58">
        <v>3.8486335705605043E-2</v>
      </c>
      <c r="BG58">
        <v>3.3925572658771733E-2</v>
      </c>
      <c r="BH58">
        <v>1.0360128284520969E-2</v>
      </c>
      <c r="BI58">
        <v>2.3883331618670751E-2</v>
      </c>
      <c r="BJ58">
        <v>4.7777668595898917E-4</v>
      </c>
      <c r="BK58">
        <v>6.8646809247922436E-2</v>
      </c>
      <c r="CC58" s="146">
        <f t="shared" si="3"/>
        <v>55</v>
      </c>
      <c r="CJ58" s="135"/>
      <c r="CK58" s="135"/>
      <c r="CL58" s="135"/>
      <c r="CM58" s="135"/>
    </row>
    <row r="59" spans="1:91" x14ac:dyDescent="0.25">
      <c r="A59">
        <v>56</v>
      </c>
      <c r="B59" s="135">
        <v>28</v>
      </c>
      <c r="C59" s="24">
        <v>3.5545181342800917E-8</v>
      </c>
      <c r="D59" s="24">
        <v>8.6311013175962995E-4</v>
      </c>
      <c r="E59" s="24">
        <v>4.2285969614683491E-2</v>
      </c>
      <c r="F59" s="24">
        <v>0.10329184828400383</v>
      </c>
      <c r="G59" s="23">
        <v>477.37825759327552</v>
      </c>
      <c r="H59" s="23">
        <v>96.227769535137355</v>
      </c>
      <c r="I59" s="23">
        <v>9.7878137542368321E-4</v>
      </c>
      <c r="J59" s="23">
        <v>-2.7917423798887772E-4</v>
      </c>
      <c r="K59">
        <v>1.1091607061271698</v>
      </c>
      <c r="L59" s="23">
        <v>415.55546147037393</v>
      </c>
      <c r="M59" s="23">
        <v>96.868226969168035</v>
      </c>
      <c r="N59" s="23">
        <v>9.8589653646245475E-4</v>
      </c>
      <c r="O59" s="23">
        <v>-3.7951912630888857E-4</v>
      </c>
      <c r="P59" s="23">
        <v>0.61586138717797401</v>
      </c>
      <c r="Q59" s="23">
        <v>207.88126556859106</v>
      </c>
      <c r="R59" s="23">
        <v>50.736147186054438</v>
      </c>
      <c r="S59" s="23">
        <v>4.9815757513103876E-4</v>
      </c>
      <c r="T59" s="23">
        <v>-2.3390102113849954E-4</v>
      </c>
      <c r="U59" s="23">
        <v>0.33507411745700938</v>
      </c>
      <c r="V59" s="23">
        <v>136.97053214905262</v>
      </c>
      <c r="W59" s="23">
        <v>33.913853325623549</v>
      </c>
      <c r="X59" s="23">
        <v>3.3017697698147245E-4</v>
      </c>
      <c r="Y59" s="23">
        <v>-1.6751742222518705E-4</v>
      </c>
      <c r="Z59">
        <v>0.23325848238193136</v>
      </c>
      <c r="AB59">
        <v>47618.967273082468</v>
      </c>
      <c r="AC59">
        <v>374909.65236636263</v>
      </c>
      <c r="AD59">
        <v>46275.879180029107</v>
      </c>
      <c r="AE59">
        <v>99498.983556336636</v>
      </c>
      <c r="AF59">
        <v>686103.85132086009</v>
      </c>
      <c r="AG59">
        <v>805173.25199839298</v>
      </c>
      <c r="AH59">
        <v>3482881.2456531897</v>
      </c>
      <c r="AI59">
        <v>3405406.5600894219</v>
      </c>
      <c r="AK59">
        <v>3.8129875207300716E-5</v>
      </c>
      <c r="AL59">
        <v>0.37034872656028245</v>
      </c>
      <c r="AM59">
        <v>38.880706996810446</v>
      </c>
      <c r="AN59">
        <v>9.4973820510309501</v>
      </c>
      <c r="AP59" s="147">
        <v>8.0072873039509105E-10</v>
      </c>
      <c r="AQ59" s="147">
        <v>1.0170417050249778E-10</v>
      </c>
      <c r="AR59" s="147">
        <v>8.0030619217302888E-6</v>
      </c>
      <c r="AS59" s="147">
        <v>3.7221357779056086E-6</v>
      </c>
      <c r="AT59" s="147">
        <v>5.6668836535400351E-5</v>
      </c>
      <c r="AU59" s="147">
        <v>4.8288622231688398E-5</v>
      </c>
      <c r="AV59" s="147">
        <v>2.7268750730115071E-6</v>
      </c>
      <c r="AW59" s="147">
        <v>2.7889128312425523E-6</v>
      </c>
      <c r="AY59" s="147">
        <v>6.7399574258872533E-5</v>
      </c>
      <c r="AZ59" s="147">
        <v>5.4799772545007067E-5</v>
      </c>
      <c r="BB59">
        <v>4.2020412334041468E-3</v>
      </c>
      <c r="BC59">
        <v>1.0180879124087579E-2</v>
      </c>
      <c r="BD59">
        <v>2.372430577033921E-2</v>
      </c>
      <c r="BE59">
        <v>4.4650915203298103E-4</v>
      </c>
      <c r="BF59">
        <v>3.8553735279863915E-2</v>
      </c>
      <c r="BG59">
        <v>3.3925572760475906E-2</v>
      </c>
      <c r="BH59">
        <v>1.0363850420298875E-2</v>
      </c>
      <c r="BI59">
        <v>2.3931620240902438E-2</v>
      </c>
      <c r="BJ59">
        <v>4.8056559879023172E-4</v>
      </c>
      <c r="BK59">
        <v>6.8701609020467444E-2</v>
      </c>
      <c r="CC59" s="146">
        <f t="shared" si="3"/>
        <v>56</v>
      </c>
      <c r="CJ59" s="135"/>
      <c r="CK59" s="135"/>
      <c r="CL59" s="135"/>
      <c r="CM59" s="135"/>
    </row>
    <row r="60" spans="1:91" x14ac:dyDescent="0.25">
      <c r="A60">
        <v>57</v>
      </c>
      <c r="B60" s="135">
        <v>28.5</v>
      </c>
      <c r="C60" s="24">
        <v>2.5629702090279795E-8</v>
      </c>
      <c r="D60" s="24">
        <v>7.0719428249271332E-4</v>
      </c>
      <c r="E60" s="24">
        <v>3.2295214642262975E-2</v>
      </c>
      <c r="F60" s="24">
        <v>7.9873747979460383E-2</v>
      </c>
      <c r="G60" s="23">
        <v>479.73747380058529</v>
      </c>
      <c r="H60" s="23">
        <v>97.716491504034579</v>
      </c>
      <c r="I60" s="23">
        <v>9.9362714032432244E-4</v>
      </c>
      <c r="J60" s="23">
        <v>-2.7854349394400957E-4</v>
      </c>
      <c r="K60">
        <v>1.125615250748212</v>
      </c>
      <c r="L60" s="23">
        <v>422.5684300361786</v>
      </c>
      <c r="M60" s="23">
        <v>98.598016736474605</v>
      </c>
      <c r="N60" s="23">
        <v>1.0035018317564271E-3</v>
      </c>
      <c r="O60" s="23">
        <v>-3.8318118706369452E-4</v>
      </c>
      <c r="P60" s="23">
        <v>0.62535550587391664</v>
      </c>
      <c r="Q60" s="23">
        <v>211.90736131384634</v>
      </c>
      <c r="R60" s="23">
        <v>51.642149814376829</v>
      </c>
      <c r="S60" s="23">
        <v>5.0705324611552145E-4</v>
      </c>
      <c r="T60" s="23">
        <v>-2.3727202857559682E-4</v>
      </c>
      <c r="U60" s="23">
        <v>0.34038888136748779</v>
      </c>
      <c r="V60" s="23">
        <v>139.27845668293241</v>
      </c>
      <c r="W60" s="23">
        <v>34.519457849295399</v>
      </c>
      <c r="X60" s="23">
        <v>3.3607299442757021E-4</v>
      </c>
      <c r="Y60" s="23">
        <v>-1.6994859598632134E-4</v>
      </c>
      <c r="Z60">
        <v>0.23698757994710878</v>
      </c>
      <c r="AB60">
        <v>44869.978911728758</v>
      </c>
      <c r="AC60">
        <v>378590.96580092149</v>
      </c>
      <c r="AD60">
        <v>43151.08352025225</v>
      </c>
      <c r="AE60">
        <v>95455.737398030033</v>
      </c>
      <c r="AF60">
        <v>639774.43792553735</v>
      </c>
      <c r="AG60">
        <v>756907.87012222945</v>
      </c>
      <c r="AH60">
        <v>3247698.4162228587</v>
      </c>
      <c r="AI60">
        <v>3199898.0215902389</v>
      </c>
      <c r="AK60">
        <v>2.7493384627241185E-5</v>
      </c>
      <c r="AL60">
        <v>0.30344737283750101</v>
      </c>
      <c r="AM60">
        <v>29.694501257667987</v>
      </c>
      <c r="AN60">
        <v>7.3441565139092884</v>
      </c>
      <c r="AP60" s="147">
        <v>6.1273451189553756E-10</v>
      </c>
      <c r="AQ60" s="147">
        <v>7.2620287092899951E-11</v>
      </c>
      <c r="AR60" s="147">
        <v>7.0322074924279243E-6</v>
      </c>
      <c r="AS60" s="147">
        <v>3.178932781925829E-6</v>
      </c>
      <c r="AT60" s="147">
        <v>4.6414016405457105E-5</v>
      </c>
      <c r="AU60" s="147">
        <v>3.9231328448035247E-5</v>
      </c>
      <c r="AV60" s="147">
        <v>2.2613419020755926E-6</v>
      </c>
      <c r="AW60" s="147">
        <v>2.2951220521269912E-6</v>
      </c>
      <c r="AY60" s="147">
        <v>5.5708178534472514E-5</v>
      </c>
      <c r="AZ60" s="147">
        <v>4.4705455902375157E-5</v>
      </c>
      <c r="BB60">
        <v>4.2020418461386584E-3</v>
      </c>
      <c r="BC60">
        <v>1.0187911331580007E-2</v>
      </c>
      <c r="BD60">
        <v>2.3770719786744669E-2</v>
      </c>
      <c r="BE60">
        <v>4.4877049393505662E-4</v>
      </c>
      <c r="BF60">
        <v>3.8609443458398389E-2</v>
      </c>
      <c r="BG60">
        <v>3.392557283309619E-2</v>
      </c>
      <c r="BH60">
        <v>1.0367029353080801E-2</v>
      </c>
      <c r="BI60">
        <v>2.3970851569350474E-2</v>
      </c>
      <c r="BJ60">
        <v>4.8286072084235873E-4</v>
      </c>
      <c r="BK60">
        <v>6.8746314476369821E-2</v>
      </c>
      <c r="CC60" s="146">
        <f t="shared" si="3"/>
        <v>57</v>
      </c>
      <c r="CJ60" s="135"/>
      <c r="CK60" s="135"/>
      <c r="CL60" s="135"/>
      <c r="CM60" s="135"/>
    </row>
    <row r="61" spans="1:91" x14ac:dyDescent="0.25">
      <c r="A61">
        <v>58</v>
      </c>
      <c r="B61" s="135">
        <v>29</v>
      </c>
      <c r="C61" s="24">
        <v>1.8539366262839398E-8</v>
      </c>
      <c r="D61" s="24">
        <v>5.8034719439965083E-4</v>
      </c>
      <c r="E61" s="24">
        <v>2.4592939344483502E-2</v>
      </c>
      <c r="F61" s="24">
        <v>6.1570270486520917E-2</v>
      </c>
      <c r="G61" s="23">
        <v>482.03259185822543</v>
      </c>
      <c r="H61" s="23">
        <v>99.198181545231179</v>
      </c>
      <c r="I61" s="23">
        <v>1.0083928728233031E-3</v>
      </c>
      <c r="J61" s="23">
        <v>-2.7788017878835065E-4</v>
      </c>
      <c r="K61">
        <v>1.1420047724237787</v>
      </c>
      <c r="L61" s="23">
        <v>429.52118935611043</v>
      </c>
      <c r="M61" s="23">
        <v>100.32780650378118</v>
      </c>
      <c r="N61" s="23">
        <v>1.0211071270503995E-3</v>
      </c>
      <c r="O61" s="23">
        <v>-3.8679071365636363E-4</v>
      </c>
      <c r="P61" s="23">
        <v>0.63481854505379176</v>
      </c>
      <c r="Q61" s="23">
        <v>215.89664373431373</v>
      </c>
      <c r="R61" s="23">
        <v>52.548152442699234</v>
      </c>
      <c r="S61" s="23">
        <v>5.1594891710000435E-4</v>
      </c>
      <c r="T61" s="23">
        <v>-2.4060837300675581E-4</v>
      </c>
      <c r="U61" s="23">
        <v>0.34569062902054526</v>
      </c>
      <c r="V61" s="23">
        <v>141.57266728962534</v>
      </c>
      <c r="W61" s="23">
        <v>35.125062372967257</v>
      </c>
      <c r="X61" s="23">
        <v>3.4196901187366803E-4</v>
      </c>
      <c r="Y61" s="23">
        <v>-1.7237015025093477E-4</v>
      </c>
      <c r="Z61">
        <v>0.24070920076319596</v>
      </c>
      <c r="AB61">
        <v>42330.255860587167</v>
      </c>
      <c r="AC61">
        <v>382510.52299883211</v>
      </c>
      <c r="AD61">
        <v>40286.246953796501</v>
      </c>
      <c r="AE61">
        <v>91666.700816732482</v>
      </c>
      <c r="AF61">
        <v>597299.27729156264</v>
      </c>
      <c r="AG61">
        <v>712599.81737805915</v>
      </c>
      <c r="AH61">
        <v>3032080.9989858363</v>
      </c>
      <c r="AI61">
        <v>3010176.6875740732</v>
      </c>
      <c r="AK61">
        <v>1.9887469843157203E-5</v>
      </c>
      <c r="AL61">
        <v>0.24901902607789117</v>
      </c>
      <c r="AM61">
        <v>22.612485359947012</v>
      </c>
      <c r="AN61">
        <v>5.6612055211559422</v>
      </c>
      <c r="AP61" s="147">
        <v>4.6981690610743551E-10</v>
      </c>
      <c r="AQ61" s="147">
        <v>5.1991954854580366E-11</v>
      </c>
      <c r="AR61" s="147">
        <v>6.1812416123915977E-6</v>
      </c>
      <c r="AS61" s="147">
        <v>2.7165701815291712E-6</v>
      </c>
      <c r="AT61" s="147">
        <v>3.7857881667767474E-5</v>
      </c>
      <c r="AU61" s="147">
        <v>3.17323760243827E-5</v>
      </c>
      <c r="AV61" s="147">
        <v>1.8671023376517611E-6</v>
      </c>
      <c r="AW61" s="147">
        <v>1.8806887796737125E-6</v>
      </c>
      <c r="AY61" s="147">
        <v>4.5906695434716938E-5</v>
      </c>
      <c r="AZ61" s="147">
        <v>3.6329686977540437E-5</v>
      </c>
      <c r="BB61">
        <v>4.2020423159555642E-3</v>
      </c>
      <c r="BC61">
        <v>1.0194092573192398E-2</v>
      </c>
      <c r="BD61">
        <v>2.3808577668412437E-2</v>
      </c>
      <c r="BE61">
        <v>4.5063759627270839E-4</v>
      </c>
      <c r="BF61">
        <v>3.8655350153833111E-2</v>
      </c>
      <c r="BG61">
        <v>3.3925572885088143E-2</v>
      </c>
      <c r="BH61">
        <v>1.0369745923262329E-2</v>
      </c>
      <c r="BI61">
        <v>2.4002583945374856E-2</v>
      </c>
      <c r="BJ61">
        <v>4.8474140962203243E-4</v>
      </c>
      <c r="BK61">
        <v>6.8782644163347353E-2</v>
      </c>
      <c r="CC61" s="146">
        <f t="shared" si="3"/>
        <v>58</v>
      </c>
      <c r="CJ61" s="135"/>
      <c r="CK61" s="135"/>
      <c r="CL61" s="135"/>
      <c r="CM61" s="135"/>
    </row>
    <row r="62" spans="1:91" x14ac:dyDescent="0.25">
      <c r="A62">
        <v>59</v>
      </c>
      <c r="B62" s="135">
        <v>29.5</v>
      </c>
      <c r="C62" s="24">
        <v>1.3452579758900682E-8</v>
      </c>
      <c r="D62" s="24">
        <v>4.7698482721420486E-4</v>
      </c>
      <c r="E62" s="24">
        <v>1.8677081454722046E-2</v>
      </c>
      <c r="F62" s="24">
        <v>4.7322759638940275E-2</v>
      </c>
      <c r="G62" s="23">
        <v>484.26602364158651</v>
      </c>
      <c r="H62" s="23">
        <v>100.67288607212808</v>
      </c>
      <c r="I62" s="23">
        <v>1.0230791291947418E-3</v>
      </c>
      <c r="J62" s="23">
        <v>-2.7718631974404283E-4</v>
      </c>
      <c r="K62">
        <v>1.1583303968031546</v>
      </c>
      <c r="L62" s="23">
        <v>436.41220291741115</v>
      </c>
      <c r="M62" s="23">
        <v>102.05759627108775</v>
      </c>
      <c r="N62" s="23">
        <v>1.0387124223443719E-3</v>
      </c>
      <c r="O62" s="23">
        <v>-3.9034851034554631E-4</v>
      </c>
      <c r="P62" s="23">
        <v>0.64425095995731185</v>
      </c>
      <c r="Q62" s="23">
        <v>219.84840191770726</v>
      </c>
      <c r="R62" s="23">
        <v>53.454155071021638</v>
      </c>
      <c r="S62" s="23">
        <v>5.2484458808448725E-4</v>
      </c>
      <c r="T62" s="23">
        <v>-2.4390975135545929E-4</v>
      </c>
      <c r="U62" s="23">
        <v>0.35097950846783532</v>
      </c>
      <c r="V62" s="23">
        <v>143.85219366637864</v>
      </c>
      <c r="W62" s="23">
        <v>35.730666896639093</v>
      </c>
      <c r="X62" s="23">
        <v>3.4786502931976557E-4</v>
      </c>
      <c r="Y62" s="23">
        <v>-1.7478069520479559E-4</v>
      </c>
      <c r="Z62">
        <v>0.24442342567063458</v>
      </c>
      <c r="AB62">
        <v>39980.390873170501</v>
      </c>
      <c r="AC62">
        <v>386664.18337384309</v>
      </c>
      <c r="AD62">
        <v>37655.805250625548</v>
      </c>
      <c r="AE62">
        <v>88111.617583217158</v>
      </c>
      <c r="AF62">
        <v>558299.3443848429</v>
      </c>
      <c r="AG62">
        <v>671858.94217416621</v>
      </c>
      <c r="AH62">
        <v>2834104.9423858873</v>
      </c>
      <c r="AI62">
        <v>2834890.7719178386</v>
      </c>
      <c r="AK62">
        <v>1.4430793937334381E-5</v>
      </c>
      <c r="AL62">
        <v>0.20466765114576724</v>
      </c>
      <c r="AM62">
        <v>17.173027796540111</v>
      </c>
      <c r="AN62">
        <v>4.3511887478706841</v>
      </c>
      <c r="AP62" s="147">
        <v>3.6094679472026879E-10</v>
      </c>
      <c r="AQ62" s="147">
        <v>3.732125849210628E-11</v>
      </c>
      <c r="AR62" s="147">
        <v>5.4352217349638874E-6</v>
      </c>
      <c r="AS62" s="147">
        <v>2.3228225375895357E-6</v>
      </c>
      <c r="AT62" s="147">
        <v>3.0759534234205588E-5</v>
      </c>
      <c r="AU62" s="147">
        <v>2.5560466220732897E-5</v>
      </c>
      <c r="AV62" s="147">
        <v>1.5352955646757533E-6</v>
      </c>
      <c r="AW62" s="147">
        <v>1.5348699819312797E-6</v>
      </c>
      <c r="AY62" s="147">
        <v>3.7730412480639949E-5</v>
      </c>
      <c r="AZ62" s="147">
        <v>2.9418196061512205E-5</v>
      </c>
      <c r="BB62">
        <v>4.2020426769023593E-3</v>
      </c>
      <c r="BC62">
        <v>1.0199527794927362E-2</v>
      </c>
      <c r="BD62">
        <v>2.3839337202646645E-2</v>
      </c>
      <c r="BE62">
        <v>4.5217289183738414E-4</v>
      </c>
      <c r="BF62">
        <v>3.8693080566313751E-2</v>
      </c>
      <c r="BG62">
        <v>3.39255729224094E-2</v>
      </c>
      <c r="BH62">
        <v>1.0372068745799918E-2</v>
      </c>
      <c r="BI62">
        <v>2.4028144411595589E-2</v>
      </c>
      <c r="BJ62">
        <v>4.8627627960396374E-4</v>
      </c>
      <c r="BK62">
        <v>6.8812062359408871E-2</v>
      </c>
      <c r="CC62" s="146">
        <f t="shared" si="3"/>
        <v>59</v>
      </c>
      <c r="CJ62" s="135"/>
      <c r="CK62" s="135"/>
      <c r="CL62" s="135"/>
      <c r="CM62" s="135"/>
    </row>
    <row r="63" spans="1:91" x14ac:dyDescent="0.25">
      <c r="A63">
        <v>60</v>
      </c>
      <c r="B63" s="135">
        <v>30</v>
      </c>
      <c r="C63" s="24">
        <v>9.7914577032337287E-9</v>
      </c>
      <c r="D63" s="24">
        <v>3.9262654794933194E-4</v>
      </c>
      <c r="E63" s="24">
        <v>1.4148970154449606E-2</v>
      </c>
      <c r="F63" s="24">
        <v>3.6274131488165648E-2</v>
      </c>
      <c r="G63" s="23">
        <v>486.44006558439952</v>
      </c>
      <c r="H63" s="23">
        <v>102.14065110499403</v>
      </c>
      <c r="I63" s="23">
        <v>1.0376864608690932E-3</v>
      </c>
      <c r="J63" s="23">
        <v>-2.7646382568462398E-4</v>
      </c>
      <c r="K63">
        <v>1.1745932134289825</v>
      </c>
      <c r="L63" s="23">
        <v>443.24022744076285</v>
      </c>
      <c r="M63" s="23">
        <v>103.78738603839432</v>
      </c>
      <c r="N63" s="23">
        <v>1.0563177176383443E-3</v>
      </c>
      <c r="O63" s="23">
        <v>-3.938554052446997E-4</v>
      </c>
      <c r="P63" s="23">
        <v>0.65365319420161971</v>
      </c>
      <c r="Q63" s="23">
        <v>223.76207952114493</v>
      </c>
      <c r="R63" s="23">
        <v>54.360157699344029</v>
      </c>
      <c r="S63" s="23">
        <v>5.3374025906896994E-4</v>
      </c>
      <c r="T63" s="23">
        <v>-2.4717596652658341E-4</v>
      </c>
      <c r="U63" s="23">
        <v>0.35625566431168049</v>
      </c>
      <c r="V63" s="23">
        <v>146.11619939713171</v>
      </c>
      <c r="W63" s="23">
        <v>36.33627142031095</v>
      </c>
      <c r="X63" s="23">
        <v>3.5376104676586339E-4</v>
      </c>
      <c r="Y63" s="23">
        <v>-1.7717901170197594E-4</v>
      </c>
      <c r="Z63">
        <v>0.24813033318794925</v>
      </c>
      <c r="AB63">
        <v>37803.079639515134</v>
      </c>
      <c r="AC63">
        <v>391048.45457909798</v>
      </c>
      <c r="AD63">
        <v>35237.082737387849</v>
      </c>
      <c r="AE63">
        <v>84772.124742098153</v>
      </c>
      <c r="AF63">
        <v>522438.44101544772</v>
      </c>
      <c r="AG63">
        <v>634338.58155558002</v>
      </c>
      <c r="AH63">
        <v>2652063.5975413709</v>
      </c>
      <c r="AI63">
        <v>2672803.6799478424</v>
      </c>
      <c r="AK63">
        <v>1.050345071308746E-5</v>
      </c>
      <c r="AL63">
        <v>0.16847066984412373</v>
      </c>
      <c r="AM63">
        <v>13.00956245994996</v>
      </c>
      <c r="AN63">
        <v>3.3352998424929243</v>
      </c>
      <c r="AP63" s="147">
        <v>2.7784642979479169E-10</v>
      </c>
      <c r="AQ63" s="147">
        <v>2.6859716718207644E-11</v>
      </c>
      <c r="AR63" s="147">
        <v>4.7810617893566458E-6</v>
      </c>
      <c r="AS63" s="147">
        <v>1.9873356997558016E-6</v>
      </c>
      <c r="AT63" s="147">
        <v>2.4901617948831768E-5</v>
      </c>
      <c r="AU63" s="147">
        <v>2.0508862046585252E-5</v>
      </c>
      <c r="AV63" s="147">
        <v>1.2576243818530431E-6</v>
      </c>
      <c r="AW63" s="147">
        <v>1.2478656279603783E-6</v>
      </c>
      <c r="AY63" s="147">
        <v>3.0940581966471255E-5</v>
      </c>
      <c r="AZ63" s="147">
        <v>2.3744090234018149E-5</v>
      </c>
      <c r="BB63">
        <v>4.2020429547487892E-3</v>
      </c>
      <c r="BC63">
        <v>1.0204308856716719E-2</v>
      </c>
      <c r="BD63">
        <v>2.3864238820595476E-2</v>
      </c>
      <c r="BE63">
        <v>4.5343051621923717E-4</v>
      </c>
      <c r="BF63">
        <v>3.8724021148280219E-2</v>
      </c>
      <c r="BG63">
        <v>3.3925572949269116E-2</v>
      </c>
      <c r="BH63">
        <v>1.0374056081499675E-2</v>
      </c>
      <c r="BI63">
        <v>2.4048653273642175E-2</v>
      </c>
      <c r="BJ63">
        <v>4.8752414523192412E-4</v>
      </c>
      <c r="BK63">
        <v>6.8835806449642892E-2</v>
      </c>
      <c r="CC63" s="146">
        <f t="shared" si="3"/>
        <v>60</v>
      </c>
      <c r="CJ63" s="135"/>
      <c r="CK63" s="135"/>
      <c r="CL63" s="135"/>
      <c r="CM63" s="135"/>
    </row>
    <row r="64" spans="1:91" x14ac:dyDescent="0.25">
      <c r="A64">
        <v>61</v>
      </c>
      <c r="B64" s="135">
        <v>30.5</v>
      </c>
      <c r="C64" s="24">
        <v>7.1481353304894041E-9</v>
      </c>
      <c r="D64" s="24">
        <v>3.2367122413369179E-4</v>
      </c>
      <c r="E64" s="24">
        <v>1.0694080683394213E-2</v>
      </c>
      <c r="F64" s="24">
        <v>2.7735844383296047E-2</v>
      </c>
      <c r="G64" s="23">
        <v>488.55690536099678</v>
      </c>
      <c r="H64" s="23">
        <v>103.60152227502761</v>
      </c>
      <c r="I64" s="23">
        <v>1.0522154144840526E-3</v>
      </c>
      <c r="J64" s="23">
        <v>-2.7571449477088072E-4</v>
      </c>
      <c r="K64">
        <v>1.1907942773319589</v>
      </c>
      <c r="L64" s="23">
        <v>450.00427794094605</v>
      </c>
      <c r="M64" s="23">
        <v>105.51717580570089</v>
      </c>
      <c r="N64" s="23">
        <v>1.0739230129323165E-3</v>
      </c>
      <c r="O64" s="23">
        <v>-3.9731224393939574E-4</v>
      </c>
      <c r="P64" s="23">
        <v>0.66302568019958175</v>
      </c>
      <c r="Q64" s="23">
        <v>227.4292309453393</v>
      </c>
      <c r="R64" s="23">
        <v>55.266160327666434</v>
      </c>
      <c r="S64" s="23">
        <v>5.4263593005345284E-4</v>
      </c>
      <c r="T64" s="23">
        <v>-2.5014870291822184E-4</v>
      </c>
      <c r="U64" s="23">
        <v>0.36151923785620266</v>
      </c>
      <c r="V64" s="23">
        <v>148.36396702355822</v>
      </c>
      <c r="W64" s="23">
        <v>36.941875943982808</v>
      </c>
      <c r="X64" s="23">
        <v>3.596570642119612E-4</v>
      </c>
      <c r="Y64" s="23">
        <v>-1.7956403281016686E-4</v>
      </c>
      <c r="Z64">
        <v>0.25182999964163094</v>
      </c>
      <c r="AB64">
        <v>35782.861639199211</v>
      </c>
      <c r="AC64">
        <v>395660.43435077637</v>
      </c>
      <c r="AD64">
        <v>33009.924947275897</v>
      </c>
      <c r="AE64">
        <v>81631.554891647465</v>
      </c>
      <c r="AF64">
        <v>489417.74936417921</v>
      </c>
      <c r="AG64">
        <v>602409.24069480377</v>
      </c>
      <c r="AH64">
        <v>2484440.0702148685</v>
      </c>
      <c r="AI64">
        <v>2522786.4713420635</v>
      </c>
      <c r="AK64">
        <v>7.6679172202805552E-6</v>
      </c>
      <c r="AL64">
        <v>0.13888288559159656</v>
      </c>
      <c r="AM64">
        <v>9.8328930716281757</v>
      </c>
      <c r="AN64">
        <v>2.5502294226726252</v>
      </c>
      <c r="AP64" s="147">
        <v>2.1429021797073233E-10</v>
      </c>
      <c r="AQ64" s="147">
        <v>1.9380045500032214E-11</v>
      </c>
      <c r="AR64" s="147">
        <v>4.2073069179473461E-6</v>
      </c>
      <c r="AS64" s="147">
        <v>1.7013382358812211E-6</v>
      </c>
      <c r="AT64" s="147">
        <v>2.0091002184539592E-5</v>
      </c>
      <c r="AU64" s="147">
        <v>1.6322613279117635E-5</v>
      </c>
      <c r="AV64" s="147">
        <v>1.0264805552150296E-6</v>
      </c>
      <c r="AW64" s="147">
        <v>1.0108780317487443E-6</v>
      </c>
      <c r="AY64" s="147">
        <v>2.5325003947919939E-5</v>
      </c>
      <c r="AZ64" s="147">
        <v>1.9034848926793101E-5</v>
      </c>
      <c r="BB64">
        <v>4.2020431690390075E-3</v>
      </c>
      <c r="BC64">
        <v>1.0208516163634666E-2</v>
      </c>
      <c r="BD64">
        <v>2.3884329822780017E-2</v>
      </c>
      <c r="BE64">
        <v>4.544569967744522E-4</v>
      </c>
      <c r="BF64">
        <v>3.8749346152228144E-2</v>
      </c>
      <c r="BG64">
        <v>3.3925572968649162E-2</v>
      </c>
      <c r="BH64">
        <v>1.0375757419735556E-2</v>
      </c>
      <c r="BI64">
        <v>2.4064975886921292E-2</v>
      </c>
      <c r="BJ64">
        <v>4.885350232636729E-4</v>
      </c>
      <c r="BK64">
        <v>6.8854841298569683E-2</v>
      </c>
      <c r="CC64" s="146">
        <f t="shared" si="3"/>
        <v>61</v>
      </c>
      <c r="CJ64" s="135"/>
      <c r="CK64" s="135"/>
      <c r="CL64" s="135"/>
      <c r="CM64" s="135"/>
    </row>
    <row r="65" spans="1:91" x14ac:dyDescent="0.25">
      <c r="A65">
        <v>62</v>
      </c>
      <c r="B65" s="135">
        <v>31</v>
      </c>
      <c r="C65" s="24">
        <v>5.2337765146231104E-9</v>
      </c>
      <c r="D65" s="24">
        <v>2.6721989841808419E-4</v>
      </c>
      <c r="E65" s="24">
        <v>8.0657563947825559E-3</v>
      </c>
      <c r="F65" s="24">
        <v>2.1158585033903537E-2</v>
      </c>
      <c r="G65" s="23">
        <v>490.61862811621285</v>
      </c>
      <c r="H65" s="23">
        <v>105.05554482837086</v>
      </c>
      <c r="I65" s="23">
        <v>1.066666531934859E-3</v>
      </c>
      <c r="J65" s="23">
        <v>-2.7494002153297635E-4</v>
      </c>
      <c r="K65">
        <v>1.2069346105375645</v>
      </c>
      <c r="L65" s="23">
        <v>456.70359695705037</v>
      </c>
      <c r="M65" s="23">
        <v>107.24696557300747</v>
      </c>
      <c r="N65" s="23">
        <v>1.0915283082262891E-3</v>
      </c>
      <c r="O65" s="23">
        <v>-4.0071988404240093E-4</v>
      </c>
      <c r="P65" s="23">
        <v>0.67236883955762261</v>
      </c>
      <c r="Q65" s="23">
        <v>231.08312108000135</v>
      </c>
      <c r="R65" s="23">
        <v>56.172162955988846</v>
      </c>
      <c r="S65" s="23">
        <v>5.5153160103793575E-4</v>
      </c>
      <c r="T65" s="23">
        <v>-2.5310347052893815E-4</v>
      </c>
      <c r="U65" s="23">
        <v>0.36677036724779566</v>
      </c>
      <c r="V65" s="23">
        <v>150.59488484675907</v>
      </c>
      <c r="W65" s="23">
        <v>37.547480467654658</v>
      </c>
      <c r="X65" s="23">
        <v>3.6555308165805891E-4</v>
      </c>
      <c r="Y65" s="23">
        <v>-1.8193482746575311E-4</v>
      </c>
      <c r="Z65">
        <v>0.25552249928588067</v>
      </c>
      <c r="AB65">
        <v>33905.896623277011</v>
      </c>
      <c r="AC65">
        <v>400497.75936050847</v>
      </c>
      <c r="AD65">
        <v>30956.383032559355</v>
      </c>
      <c r="AE65">
        <v>78674.760631668614</v>
      </c>
      <c r="AF65">
        <v>458971.15296231396</v>
      </c>
      <c r="AG65">
        <v>572611.80230199778</v>
      </c>
      <c r="AH65">
        <v>2329883.4686189448</v>
      </c>
      <c r="AI65">
        <v>2383810.043288325</v>
      </c>
      <c r="AK65">
        <v>5.6143544026650102E-6</v>
      </c>
      <c r="AL65">
        <v>0.11466039552675121</v>
      </c>
      <c r="AM65">
        <v>7.4162260899013335</v>
      </c>
      <c r="AN65">
        <v>1.9454697448504037</v>
      </c>
      <c r="AP65" s="147">
        <v>1.6558637174663757E-10</v>
      </c>
      <c r="AQ65" s="147">
        <v>1.4018441480495883E-11</v>
      </c>
      <c r="AR65" s="147">
        <v>3.7039338674080081E-6</v>
      </c>
      <c r="AS65" s="147">
        <v>1.4573974500355511E-6</v>
      </c>
      <c r="AT65" s="147">
        <v>1.6158370830138596E-5</v>
      </c>
      <c r="AU65" s="147">
        <v>1.2951577421364405E-5</v>
      </c>
      <c r="AV65" s="147">
        <v>8.3500731734175314E-7</v>
      </c>
      <c r="AW65" s="147">
        <v>8.1611777344756183E-7</v>
      </c>
      <c r="AY65" s="147">
        <v>2.0697477601260107E-5</v>
      </c>
      <c r="AZ65" s="147">
        <v>1.5225106663288999E-5</v>
      </c>
      <c r="BB65">
        <v>4.2020433346253794E-3</v>
      </c>
      <c r="BC65">
        <v>1.0212220097502073E-2</v>
      </c>
      <c r="BD65">
        <v>2.3900488193610157E-2</v>
      </c>
      <c r="BE65">
        <v>4.5529200409179395E-4</v>
      </c>
      <c r="BF65">
        <v>3.8770043629829401E-2</v>
      </c>
      <c r="BG65">
        <v>3.3925572982667601E-2</v>
      </c>
      <c r="BH65">
        <v>1.0377214817185593E-2</v>
      </c>
      <c r="BI65">
        <v>2.4077927464342657E-2</v>
      </c>
      <c r="BJ65">
        <v>4.8935114103712042E-4</v>
      </c>
      <c r="BK65">
        <v>6.887006640523298E-2</v>
      </c>
      <c r="CC65" s="146">
        <f t="shared" si="3"/>
        <v>62</v>
      </c>
      <c r="CJ65" s="135"/>
      <c r="CK65" s="135"/>
      <c r="CL65" s="135"/>
      <c r="CM65" s="135"/>
    </row>
    <row r="66" spans="1:91" x14ac:dyDescent="0.25">
      <c r="A66">
        <v>63</v>
      </c>
      <c r="B66" s="135">
        <v>31.5</v>
      </c>
      <c r="C66" s="24">
        <v>3.8431621783706916E-9</v>
      </c>
      <c r="D66" s="24">
        <v>2.2093512663179379E-4</v>
      </c>
      <c r="E66" s="24">
        <v>6.0716233609332008E-3</v>
      </c>
      <c r="F66" s="24">
        <v>1.6106850402234418E-2</v>
      </c>
      <c r="G66" s="23">
        <v>492.62722227789084</v>
      </c>
      <c r="H66" s="23">
        <v>106.50276363007174</v>
      </c>
      <c r="I66" s="23">
        <v>1.0810403504239547E-3</v>
      </c>
      <c r="J66" s="23">
        <v>-2.7414200344374356E-4</v>
      </c>
      <c r="K66">
        <v>1.2230152034906341</v>
      </c>
      <c r="L66" s="23">
        <v>463.33762742039266</v>
      </c>
      <c r="M66" s="23">
        <v>108.97675534031404</v>
      </c>
      <c r="N66" s="23">
        <v>1.1091336035202615E-3</v>
      </c>
      <c r="O66" s="23">
        <v>-4.0407919055449103E-4</v>
      </c>
      <c r="P66" s="23">
        <v>0.68168308345444939</v>
      </c>
      <c r="Q66" s="23">
        <v>234.72726738407925</v>
      </c>
      <c r="R66" s="23">
        <v>57.078165584311236</v>
      </c>
      <c r="S66" s="23">
        <v>5.6042727202241854E-4</v>
      </c>
      <c r="T66" s="23">
        <v>-2.5604577217949287E-4</v>
      </c>
      <c r="U66" s="23">
        <v>0.37200918760593005</v>
      </c>
      <c r="V66" s="23">
        <v>152.80843524244506</v>
      </c>
      <c r="W66" s="23">
        <v>38.153084991326509</v>
      </c>
      <c r="X66" s="23">
        <v>3.7144909910415667E-4</v>
      </c>
      <c r="Y66" s="23">
        <v>-1.8429058597593706E-4</v>
      </c>
      <c r="Z66">
        <v>0.25920790441316843</v>
      </c>
      <c r="AB66">
        <v>32159.771338080547</v>
      </c>
      <c r="AC66">
        <v>405558.56015159545</v>
      </c>
      <c r="AD66">
        <v>29060.441957210009</v>
      </c>
      <c r="AE66">
        <v>75887.958627236425</v>
      </c>
      <c r="AF66">
        <v>430861.2067716865</v>
      </c>
      <c r="AG66">
        <v>544723.38056462584</v>
      </c>
      <c r="AH66">
        <v>2187188.4462616476</v>
      </c>
      <c r="AI66">
        <v>2254937.3282963969</v>
      </c>
      <c r="AK66">
        <v>4.1226205276449247E-6</v>
      </c>
      <c r="AL66">
        <v>9.4800234396167082E-2</v>
      </c>
      <c r="AM66">
        <v>5.5826793388571145</v>
      </c>
      <c r="AN66">
        <v>1.4809775839059294</v>
      </c>
      <c r="AP66" s="147">
        <v>1.2819184826613829E-10</v>
      </c>
      <c r="AQ66" s="147">
        <v>1.0165290374105068E-11</v>
      </c>
      <c r="AR66" s="147">
        <v>3.2621745579697483E-6</v>
      </c>
      <c r="AS66" s="147">
        <v>1.2492131309240804E-6</v>
      </c>
      <c r="AT66" s="147">
        <v>1.2957024793869126E-5</v>
      </c>
      <c r="AU66" s="147">
        <v>1.0248650118653731E-5</v>
      </c>
      <c r="AV66" s="147">
        <v>6.7711476184744071E-7</v>
      </c>
      <c r="AW66" s="147">
        <v>6.5677106202539411E-7</v>
      </c>
      <c r="AY66" s="147">
        <v>1.689644230553458E-5</v>
      </c>
      <c r="AZ66" s="147">
        <v>1.215464447689358E-5</v>
      </c>
      <c r="BB66">
        <v>4.202043462817228E-3</v>
      </c>
      <c r="BC66">
        <v>1.0215482272060043E-2</v>
      </c>
      <c r="BD66">
        <v>2.3913445218404026E-2</v>
      </c>
      <c r="BE66">
        <v>4.5596911885364142E-4</v>
      </c>
      <c r="BF66">
        <v>3.8786940072134936E-2</v>
      </c>
      <c r="BG66">
        <v>3.3925572992832893E-2</v>
      </c>
      <c r="BH66">
        <v>1.0378464030316517E-2</v>
      </c>
      <c r="BI66">
        <v>2.4088176114461311E-2</v>
      </c>
      <c r="BJ66">
        <v>4.9000791209914576E-4</v>
      </c>
      <c r="BK66">
        <v>6.8882221049709869E-2</v>
      </c>
      <c r="CC66" s="146">
        <f t="shared" si="3"/>
        <v>63</v>
      </c>
      <c r="CJ66" s="135"/>
      <c r="CK66" s="135"/>
      <c r="CL66" s="135"/>
      <c r="CM66" s="135"/>
    </row>
    <row r="67" spans="1:91" x14ac:dyDescent="0.25">
      <c r="A67">
        <v>64</v>
      </c>
      <c r="B67" s="135">
        <v>32</v>
      </c>
      <c r="C67" s="24">
        <v>2.8300119404171767E-9</v>
      </c>
      <c r="D67" s="24">
        <v>1.8292921865395261E-4</v>
      </c>
      <c r="E67" s="24">
        <v>4.5623942769981796E-3</v>
      </c>
      <c r="F67" s="24">
        <v>1.2237316755885484E-2</v>
      </c>
      <c r="G67" s="23">
        <v>494.5845849839356</v>
      </c>
      <c r="H67" s="23">
        <v>107.94322316800178</v>
      </c>
      <c r="I67" s="23">
        <v>1.0953374025100559E-3</v>
      </c>
      <c r="J67" s="23">
        <v>-2.7332194702400824E-4</v>
      </c>
      <c r="K67">
        <v>1.2390370164031292</v>
      </c>
      <c r="L67" s="23">
        <v>469.90598870171647</v>
      </c>
      <c r="M67" s="23">
        <v>110.70654510762061</v>
      </c>
      <c r="N67" s="23">
        <v>1.1267388988142339E-3</v>
      </c>
      <c r="O67" s="23">
        <v>-4.0739103191828849E-4</v>
      </c>
      <c r="P67" s="23">
        <v>0.69096881300191404</v>
      </c>
      <c r="Q67" s="23">
        <v>238.35964594934859</v>
      </c>
      <c r="R67" s="23">
        <v>57.984168212633641</v>
      </c>
      <c r="S67" s="23">
        <v>5.6932294300690133E-4</v>
      </c>
      <c r="T67" s="23">
        <v>-2.5897429343092022E-4</v>
      </c>
      <c r="U67" s="23">
        <v>0.37723583114517756</v>
      </c>
      <c r="V67" s="23">
        <v>155.00418430211263</v>
      </c>
      <c r="W67" s="23">
        <v>38.758689514998331</v>
      </c>
      <c r="X67" s="23">
        <v>3.7734511655025411E-4</v>
      </c>
      <c r="Y67" s="23">
        <v>-1.8663060714092577E-4</v>
      </c>
      <c r="Z67">
        <v>0.26288628545645609</v>
      </c>
      <c r="AB67">
        <v>30533.331989592483</v>
      </c>
      <c r="AC67">
        <v>410841.42137041315</v>
      </c>
      <c r="AD67">
        <v>27307.785821038175</v>
      </c>
      <c r="AE67">
        <v>73258.591016381339</v>
      </c>
      <c r="AF67">
        <v>404875.65779074823</v>
      </c>
      <c r="AG67">
        <v>518608.14164144266</v>
      </c>
      <c r="AH67">
        <v>2055277.5394368684</v>
      </c>
      <c r="AI67">
        <v>2135315.7057053298</v>
      </c>
      <c r="AK67">
        <v>3.0357983289662656E-6</v>
      </c>
      <c r="AL67">
        <v>7.8492420244263852E-2</v>
      </c>
      <c r="AM67">
        <v>4.1949875266971297</v>
      </c>
      <c r="AN67">
        <v>1.1251853310879882</v>
      </c>
      <c r="AP67" s="147">
        <v>9.9425713839584896E-11</v>
      </c>
      <c r="AQ67" s="147">
        <v>7.3892216584198808E-12</v>
      </c>
      <c r="AR67" s="147">
        <v>2.8743604757509322E-6</v>
      </c>
      <c r="AS67" s="147">
        <v>1.0714432144444626E-6</v>
      </c>
      <c r="AT67" s="147">
        <v>1.0361174958226864E-5</v>
      </c>
      <c r="AU67" s="147">
        <v>8.0889349585211037E-6</v>
      </c>
      <c r="AV67" s="147">
        <v>5.4746150312929572E-7</v>
      </c>
      <c r="AW67" s="147">
        <v>5.2694097087452515E-7</v>
      </c>
      <c r="AY67" s="147">
        <v>1.3783096362820933E-5</v>
      </c>
      <c r="AZ67" s="147">
        <v>9.6873265330617495E-6</v>
      </c>
      <c r="BB67">
        <v>4.2020435622429422E-3</v>
      </c>
      <c r="BC67">
        <v>1.0218356632535794E-2</v>
      </c>
      <c r="BD67">
        <v>2.3923806393362251E-2</v>
      </c>
      <c r="BE67">
        <v>4.5651658035677069E-4</v>
      </c>
      <c r="BF67">
        <v>3.880072316849776E-2</v>
      </c>
      <c r="BG67">
        <v>3.3925573000222115E-2</v>
      </c>
      <c r="BH67">
        <v>1.0379535473530961E-2</v>
      </c>
      <c r="BI67">
        <v>2.4096265049419831E-2</v>
      </c>
      <c r="BJ67">
        <v>4.9053485307002027E-4</v>
      </c>
      <c r="BK67">
        <v>6.8891908376242927E-2</v>
      </c>
      <c r="CC67" s="146">
        <f t="shared" si="3"/>
        <v>64</v>
      </c>
      <c r="CJ67" s="135"/>
      <c r="CK67" s="135"/>
      <c r="CL67" s="135"/>
      <c r="CM67" s="135"/>
    </row>
    <row r="68" spans="1:91" x14ac:dyDescent="0.25">
      <c r="A68">
        <v>65</v>
      </c>
      <c r="B68" s="135">
        <v>32.5</v>
      </c>
      <c r="C68" s="24">
        <v>2.0897265455890161E-9</v>
      </c>
      <c r="D68" s="24">
        <v>1.5167530030251643E-4</v>
      </c>
      <c r="E68" s="24">
        <v>3.4227462862917971E-3</v>
      </c>
      <c r="F68" s="24">
        <v>9.2807145709339657E-3</v>
      </c>
      <c r="G68" s="23">
        <v>496.49252715310746</v>
      </c>
      <c r="H68" s="23">
        <v>109.37696755672246</v>
      </c>
      <c r="I68" s="23">
        <v>1.1095582161565966E-3</v>
      </c>
      <c r="J68" s="23">
        <v>-2.7248127351716761E-4</v>
      </c>
      <c r="K68">
        <v>1.2550009805300517</v>
      </c>
      <c r="L68" s="23">
        <v>476.40845544170367</v>
      </c>
      <c r="M68" s="23">
        <v>112.43633487492718</v>
      </c>
      <c r="N68" s="23">
        <v>1.1443441941082063E-3</v>
      </c>
      <c r="O68" s="23">
        <v>-4.1065627666873075E-4</v>
      </c>
      <c r="P68" s="23">
        <v>0.70022641958914544</v>
      </c>
      <c r="Q68" s="23">
        <v>241.97845246444174</v>
      </c>
      <c r="R68" s="23">
        <v>58.890170840956046</v>
      </c>
      <c r="S68" s="23">
        <v>5.7821861399138424E-4</v>
      </c>
      <c r="T68" s="23">
        <v>-2.6188787352329188E-4</v>
      </c>
      <c r="U68" s="23">
        <v>0.38245042728923589</v>
      </c>
      <c r="V68" s="23">
        <v>157.18177263797457</v>
      </c>
      <c r="W68" s="23">
        <v>39.364294038670188</v>
      </c>
      <c r="X68" s="23">
        <v>3.8324113399635192E-4</v>
      </c>
      <c r="Y68" s="23">
        <v>-1.8895428679962351E-4</v>
      </c>
      <c r="Z68">
        <v>0.26655771108384213</v>
      </c>
      <c r="AB68">
        <v>29016.538675913511</v>
      </c>
      <c r="AC68">
        <v>416345.34661882126</v>
      </c>
      <c r="AD68">
        <v>25685.594761145985</v>
      </c>
      <c r="AE68">
        <v>70775.20214639722</v>
      </c>
      <c r="AF68">
        <v>380824.43383797596</v>
      </c>
      <c r="AG68">
        <v>494139.53968619433</v>
      </c>
      <c r="AH68">
        <v>1933185.8813316855</v>
      </c>
      <c r="AI68">
        <v>2024169.7557874089</v>
      </c>
      <c r="AK68">
        <v>2.2416825400957158E-6</v>
      </c>
      <c r="AL68">
        <v>6.5081792288969556E-2</v>
      </c>
      <c r="AM68">
        <v>3.1471146740719842</v>
      </c>
      <c r="AN68">
        <v>0.8533344445960479</v>
      </c>
      <c r="AP68" s="147">
        <v>7.7255339278510346E-11</v>
      </c>
      <c r="AQ68" s="147">
        <v>5.3841902120454215E-12</v>
      </c>
      <c r="AR68" s="147">
        <v>2.5337856839280707E-6</v>
      </c>
      <c r="AS68" s="147">
        <v>9.1955643099894013E-7</v>
      </c>
      <c r="AT68" s="147">
        <v>8.2639515599226054E-6</v>
      </c>
      <c r="AU68" s="147">
        <v>6.3688784671442692E-6</v>
      </c>
      <c r="AV68" s="147">
        <v>4.4141355098673901E-7</v>
      </c>
      <c r="AW68" s="147">
        <v>4.2157256927500029E-7</v>
      </c>
      <c r="AY68" s="147">
        <v>1.1239228050176694E-5</v>
      </c>
      <c r="AZ68" s="147">
        <v>7.7100128516084212E-6</v>
      </c>
      <c r="BB68">
        <v>4.2020436394982815E-3</v>
      </c>
      <c r="BC68">
        <v>1.0220890418219723E-2</v>
      </c>
      <c r="BD68">
        <v>2.3932070344922174E-2</v>
      </c>
      <c r="BE68">
        <v>4.5695799390775744E-4</v>
      </c>
      <c r="BF68">
        <v>3.8811962396547932E-2</v>
      </c>
      <c r="BG68">
        <v>3.3925573005606308E-2</v>
      </c>
      <c r="BH68">
        <v>1.038045502996196E-2</v>
      </c>
      <c r="BI68">
        <v>2.4102633927886977E-2</v>
      </c>
      <c r="BJ68">
        <v>4.9095642563929526E-4</v>
      </c>
      <c r="BK68">
        <v>6.889961838909453E-2</v>
      </c>
    </row>
    <row r="69" spans="1:91" x14ac:dyDescent="0.25">
      <c r="A69">
        <v>66</v>
      </c>
      <c r="B69" s="135">
        <v>33</v>
      </c>
      <c r="C69" s="24">
        <v>1.5472789146013586E-9</v>
      </c>
      <c r="D69" s="24">
        <v>1.2593642279755445E-4</v>
      </c>
      <c r="E69" s="24">
        <v>2.5639638424849189E-3</v>
      </c>
      <c r="F69" s="24">
        <v>7.0268381559076328E-3</v>
      </c>
      <c r="G69" s="23">
        <v>498.35277822627165</v>
      </c>
      <c r="H69" s="23">
        <v>110.8040405413081</v>
      </c>
      <c r="I69" s="23">
        <v>1.1237033147796067E-3</v>
      </c>
      <c r="J69" s="23">
        <v>-2.7162132416697364E-4</v>
      </c>
      <c r="K69">
        <v>1.2709079993780938</v>
      </c>
      <c r="L69" s="23">
        <v>482.84493882207653</v>
      </c>
      <c r="M69" s="23">
        <v>114.16612464223374</v>
      </c>
      <c r="N69" s="23">
        <v>1.1619494894021787E-3</v>
      </c>
      <c r="O69" s="23">
        <v>-4.1387579059759582E-4</v>
      </c>
      <c r="P69" s="23">
        <v>0.70945628521098481</v>
      </c>
      <c r="Q69" s="23">
        <v>245.58208055689397</v>
      </c>
      <c r="R69" s="23">
        <v>59.796173469278429</v>
      </c>
      <c r="S69" s="23">
        <v>5.8711428497586692E-4</v>
      </c>
      <c r="T69" s="23">
        <v>-2.6478548988206955E-4</v>
      </c>
      <c r="U69" s="23">
        <v>0.38765310277766463</v>
      </c>
      <c r="V69" s="23">
        <v>159.34090721098676</v>
      </c>
      <c r="W69" s="23">
        <v>39.969898562342038</v>
      </c>
      <c r="X69" s="23">
        <v>3.8913715144244968E-4</v>
      </c>
      <c r="Y69" s="23">
        <v>-1.9126110762828489E-4</v>
      </c>
      <c r="Z69">
        <v>0.27022224828631136</v>
      </c>
      <c r="AB69">
        <v>27600.338616934747</v>
      </c>
      <c r="AC69">
        <v>422069.72734958911</v>
      </c>
      <c r="AD69">
        <v>24182.368777215681</v>
      </c>
      <c r="AE69">
        <v>68427.328855753367</v>
      </c>
      <c r="AF69">
        <v>358537.03151834046</v>
      </c>
      <c r="AG69">
        <v>471199.93356352556</v>
      </c>
      <c r="AH69">
        <v>1820047.9425138982</v>
      </c>
      <c r="AI69">
        <v>1920794.4343293046</v>
      </c>
      <c r="AK69">
        <v>1.6597904327919959E-6</v>
      </c>
      <c r="AL69">
        <v>5.4037592764141752E-2</v>
      </c>
      <c r="AM69">
        <v>2.3574894419698067</v>
      </c>
      <c r="AN69">
        <v>0.64609712853547274</v>
      </c>
      <c r="AP69" s="147">
        <v>6.0136596721809704E-11</v>
      </c>
      <c r="AQ69" s="147">
        <v>3.9325029141861097E-12</v>
      </c>
      <c r="AR69" s="147">
        <v>2.2345864154985214E-6</v>
      </c>
      <c r="AS69" s="147">
        <v>7.897077624943455E-7</v>
      </c>
      <c r="AT69" s="147">
        <v>6.5753025063722396E-6</v>
      </c>
      <c r="AU69" s="147">
        <v>5.0031616603612655E-6</v>
      </c>
      <c r="AV69" s="147">
        <v>3.5498907113571214E-7</v>
      </c>
      <c r="AW69" s="147">
        <v>3.3636974211718516E-7</v>
      </c>
      <c r="AY69" s="147">
        <v>9.1649381296031932E-6</v>
      </c>
      <c r="AZ69" s="147">
        <v>6.1292430974757103E-6</v>
      </c>
      <c r="BB69">
        <v>4.2020436996348786E-3</v>
      </c>
      <c r="BC69">
        <v>1.0223125004635221E-2</v>
      </c>
      <c r="BD69">
        <v>2.3938645647428546E-2</v>
      </c>
      <c r="BE69">
        <v>4.5731298297889314E-4</v>
      </c>
      <c r="BF69">
        <v>3.882112733467754E-2</v>
      </c>
      <c r="BG69">
        <v>3.3925573009538808E-2</v>
      </c>
      <c r="BH69">
        <v>1.0381244737724454E-2</v>
      </c>
      <c r="BI69">
        <v>2.4107637089547339E-2</v>
      </c>
      <c r="BJ69">
        <v>4.9129279538141248E-4</v>
      </c>
      <c r="BK69">
        <v>6.8905747632192024E-2</v>
      </c>
      <c r="CJ69" s="254">
        <f>SUM(CJ4:CJ67)</f>
        <v>132.85301477899353</v>
      </c>
      <c r="CK69" s="255">
        <f>SUM(CK4:CK67)</f>
        <v>3031.352031779662</v>
      </c>
      <c r="CL69" s="255">
        <f>SUM(CL4:CL67)</f>
        <v>215.18163963507891</v>
      </c>
      <c r="CM69" s="256">
        <f>SUM(CM4:CM67)</f>
        <v>7129.3358371438226</v>
      </c>
    </row>
    <row r="70" spans="1:91" x14ac:dyDescent="0.25">
      <c r="A70">
        <v>67</v>
      </c>
      <c r="B70" s="135">
        <v>33.5</v>
      </c>
      <c r="C70" s="24">
        <v>1.1486896593573764E-9</v>
      </c>
      <c r="D70" s="24">
        <v>1.0470896746233003E-4</v>
      </c>
      <c r="E70" s="24">
        <v>1.9180583891538695E-3</v>
      </c>
      <c r="F70" s="24">
        <v>5.3122857241509362E-3</v>
      </c>
      <c r="G70" s="23">
        <v>500.16699060256997</v>
      </c>
      <c r="H70" s="23">
        <v>112.22448550112095</v>
      </c>
      <c r="I70" s="23">
        <v>1.1377732172949864E-3</v>
      </c>
      <c r="J70" s="23">
        <v>-2.7074336512950415E-4</v>
      </c>
      <c r="K70">
        <v>1.2867589498512435</v>
      </c>
      <c r="L70" s="23">
        <v>489.21546998009347</v>
      </c>
      <c r="M70" s="23">
        <v>115.89591440954032</v>
      </c>
      <c r="N70" s="23">
        <v>1.1795547846961511E-3</v>
      </c>
      <c r="O70" s="23">
        <v>-4.1705043436123722E-4</v>
      </c>
      <c r="P70" s="23">
        <v>0.71865878278168083</v>
      </c>
      <c r="Q70" s="23">
        <v>249.16910241077511</v>
      </c>
      <c r="R70" s="23">
        <v>60.702176097600841</v>
      </c>
      <c r="S70" s="23">
        <v>5.9600995596034993E-4</v>
      </c>
      <c r="T70" s="23">
        <v>-2.6766624427037092E-4</v>
      </c>
      <c r="U70" s="23">
        <v>0.39284398176595758</v>
      </c>
      <c r="V70" s="23">
        <v>161.48135405976745</v>
      </c>
      <c r="W70" s="23">
        <v>40.575503086013889</v>
      </c>
      <c r="X70" s="23">
        <v>3.9503316888854744E-4</v>
      </c>
      <c r="Y70" s="23">
        <v>-1.935506300438416E-4</v>
      </c>
      <c r="Z70">
        <v>0.27387996245919471</v>
      </c>
      <c r="AB70">
        <v>26276.555508488138</v>
      </c>
      <c r="AC70">
        <v>428014.31530808652</v>
      </c>
      <c r="AD70">
        <v>22787.774570794001</v>
      </c>
      <c r="AE70">
        <v>66205.402727146255</v>
      </c>
      <c r="AF70">
        <v>337860.24540406122</v>
      </c>
      <c r="AG70">
        <v>449680.14624252112</v>
      </c>
      <c r="AH70">
        <v>1715086.0035316804</v>
      </c>
      <c r="AI70">
        <v>1824548.7089514825</v>
      </c>
      <c r="AK70">
        <v>1.2322174682640738E-6</v>
      </c>
      <c r="AL70">
        <v>4.4929182652574409E-2</v>
      </c>
      <c r="AM70">
        <v>1.7635983497838501</v>
      </c>
      <c r="AN70">
        <v>0.48844906858262083</v>
      </c>
      <c r="AP70" s="147">
        <v>4.689417788667276E-11</v>
      </c>
      <c r="AQ70" s="147">
        <v>2.8789164852514767E-12</v>
      </c>
      <c r="AR70" s="147">
        <v>1.9716353833936023E-6</v>
      </c>
      <c r="AS70" s="147">
        <v>6.7863317496522169E-7</v>
      </c>
      <c r="AT70" s="147">
        <v>5.2199048978807466E-6</v>
      </c>
      <c r="AU70" s="147">
        <v>3.9218950725761141E-6</v>
      </c>
      <c r="AV70" s="147">
        <v>2.8479567064089702E-7</v>
      </c>
      <c r="AW70" s="147">
        <v>2.6770952520271106E-7</v>
      </c>
      <c r="AY70" s="147">
        <v>7.4763828460931329E-6</v>
      </c>
      <c r="AZ70" s="147">
        <v>4.868240651660532E-6</v>
      </c>
      <c r="BB70">
        <v>4.2020437465290564E-3</v>
      </c>
      <c r="BC70">
        <v>1.0225096640018614E-2</v>
      </c>
      <c r="BD70">
        <v>2.3943865552326426E-2</v>
      </c>
      <c r="BE70">
        <v>4.5759777864953403E-4</v>
      </c>
      <c r="BF70">
        <v>3.8828603717523627E-2</v>
      </c>
      <c r="BG70">
        <v>3.3925573012417727E-2</v>
      </c>
      <c r="BH70">
        <v>1.038192337089942E-2</v>
      </c>
      <c r="BI70">
        <v>2.4111558984619915E-2</v>
      </c>
      <c r="BJ70">
        <v>4.9156050490661515E-4</v>
      </c>
      <c r="BK70">
        <v>6.8910615872843681E-2</v>
      </c>
      <c r="CJ70" s="16"/>
      <c r="CK70" s="18"/>
      <c r="CL70" s="18"/>
      <c r="CM70" s="91"/>
    </row>
    <row r="71" spans="1:91" x14ac:dyDescent="0.25">
      <c r="A71">
        <v>68</v>
      </c>
      <c r="B71" s="135">
        <v>34</v>
      </c>
      <c r="C71" s="24">
        <v>8.5500652567720466E-10</v>
      </c>
      <c r="D71" s="24">
        <v>8.7177391424442984E-5</v>
      </c>
      <c r="E71" s="24">
        <v>1.4331058470859334E-3</v>
      </c>
      <c r="F71" s="24">
        <v>4.010529279684847E-3</v>
      </c>
      <c r="G71" s="23">
        <v>501.93674379294396</v>
      </c>
      <c r="H71" s="23">
        <v>113.63834545354054</v>
      </c>
      <c r="I71" s="23">
        <v>1.1517684381652075E-3</v>
      </c>
      <c r="J71" s="23">
        <v>-2.6984859204762907E-4</v>
      </c>
      <c r="K71">
        <v>1.3025546833372856</v>
      </c>
      <c r="L71" s="23">
        <v>495.64839129980209</v>
      </c>
      <c r="M71" s="23">
        <v>117.62570417684687</v>
      </c>
      <c r="N71" s="23">
        <v>1.1971600799901231E-3</v>
      </c>
      <c r="O71" s="23">
        <v>-4.1999877904160123E-4</v>
      </c>
      <c r="P71" s="23">
        <v>0.72783427643472132</v>
      </c>
      <c r="Q71" s="23">
        <v>252.7382513985722</v>
      </c>
      <c r="R71" s="23">
        <v>61.608178725923231</v>
      </c>
      <c r="S71" s="23">
        <v>6.0490562694483262E-4</v>
      </c>
      <c r="T71" s="23">
        <v>-2.70529350396802E-4</v>
      </c>
      <c r="U71" s="23">
        <v>0.3980231859195193</v>
      </c>
      <c r="V71" s="23">
        <v>163.60293182404496</v>
      </c>
      <c r="W71" s="23">
        <v>41.181107609685732</v>
      </c>
      <c r="X71" s="23">
        <v>4.009291863346451E-4</v>
      </c>
      <c r="Y71" s="23">
        <v>-1.958224840827314E-4</v>
      </c>
      <c r="Z71">
        <v>0.27753091747789621</v>
      </c>
      <c r="AB71">
        <v>25037.792741980746</v>
      </c>
      <c r="AC71">
        <v>434179.19809218246</v>
      </c>
      <c r="AD71">
        <v>21492.512104558373</v>
      </c>
      <c r="AE71">
        <v>64220.932540203379</v>
      </c>
      <c r="AF71">
        <v>318656.18959134852</v>
      </c>
      <c r="AG71">
        <v>429478.99149669713</v>
      </c>
      <c r="AH71">
        <v>1617600.1117066906</v>
      </c>
      <c r="AI71">
        <v>1734849.6725781143</v>
      </c>
      <c r="AK71">
        <v>9.1717895067378577E-7</v>
      </c>
      <c r="AL71">
        <v>3.7406623686675917E-2</v>
      </c>
      <c r="AM71">
        <v>1.3176987318416744</v>
      </c>
      <c r="AN71">
        <v>0.36875638715733622</v>
      </c>
      <c r="AP71" s="147">
        <v>3.6631781408428875E-11</v>
      </c>
      <c r="AQ71" s="147">
        <v>2.1124433291690211E-12</v>
      </c>
      <c r="AR71" s="147">
        <v>1.740449115705851E-6</v>
      </c>
      <c r="AS71" s="147">
        <v>5.8246777502426869E-7</v>
      </c>
      <c r="AT71" s="147">
        <v>4.1351738170581886E-6</v>
      </c>
      <c r="AU71" s="147">
        <v>3.0681331518675879E-6</v>
      </c>
      <c r="AV71" s="147">
        <v>2.2796510984922614E-7</v>
      </c>
      <c r="AW71" s="147">
        <v>2.1255812130934496E-7</v>
      </c>
      <c r="AY71" s="147">
        <v>6.1036246743946748E-6</v>
      </c>
      <c r="AZ71" s="147">
        <v>3.8631611606445305E-6</v>
      </c>
      <c r="BB71">
        <v>4.2020437831608382E-3</v>
      </c>
      <c r="BC71">
        <v>1.022683708913432E-2</v>
      </c>
      <c r="BD71">
        <v>2.3948000726143483E-2</v>
      </c>
      <c r="BE71">
        <v>4.5782574375938327E-4</v>
      </c>
      <c r="BF71">
        <v>3.8834707342198023E-2</v>
      </c>
      <c r="BG71">
        <v>3.3925573014530169E-2</v>
      </c>
      <c r="BH71">
        <v>1.0382505838674444E-2</v>
      </c>
      <c r="BI71">
        <v>2.4114627117771782E-2</v>
      </c>
      <c r="BJ71">
        <v>4.917730630279245E-4</v>
      </c>
      <c r="BK71">
        <v>6.8914479034004328E-2</v>
      </c>
      <c r="CJ71" s="16"/>
      <c r="CK71" s="18"/>
      <c r="CL71" s="18"/>
      <c r="CM71" s="91"/>
    </row>
    <row r="72" spans="1:91" ht="17.25" x14ac:dyDescent="0.25">
      <c r="A72">
        <v>69</v>
      </c>
      <c r="B72" s="135">
        <v>34.5</v>
      </c>
      <c r="C72" s="24">
        <v>6.3803874530386862E-10</v>
      </c>
      <c r="D72" s="24">
        <v>7.2677984806451254E-5</v>
      </c>
      <c r="E72" s="24">
        <v>1.0695758782407526E-3</v>
      </c>
      <c r="F72" s="24">
        <v>3.0239394975385709E-3</v>
      </c>
      <c r="G72" s="23">
        <v>503.66354831158606</v>
      </c>
      <c r="H72" s="23">
        <v>115.04566305764929</v>
      </c>
      <c r="I72" s="23">
        <v>1.1656894874454572E-3</v>
      </c>
      <c r="J72" s="23">
        <v>-2.6893813431385451E-4</v>
      </c>
      <c r="K72">
        <v>1.3182960267388348</v>
      </c>
      <c r="L72" s="23">
        <v>502.17004678518964</v>
      </c>
      <c r="M72" s="23">
        <v>119.35549394415344</v>
      </c>
      <c r="N72" s="23">
        <v>1.2147653752840957E-3</v>
      </c>
      <c r="O72" s="23">
        <v>-4.2270218260402083E-4</v>
      </c>
      <c r="P72" s="23">
        <v>0.73698312180960401</v>
      </c>
      <c r="Q72" s="23">
        <v>256.28840649882517</v>
      </c>
      <c r="R72" s="23">
        <v>62.514181354245622</v>
      </c>
      <c r="S72" s="23">
        <v>6.1380129792931531E-4</v>
      </c>
      <c r="T72" s="23">
        <v>-2.7337412281255098E-4</v>
      </c>
      <c r="U72" s="23">
        <v>0.40319083450205073</v>
      </c>
      <c r="V72" s="23">
        <v>165.93552570130595</v>
      </c>
      <c r="W72" s="23">
        <v>41.786712133357589</v>
      </c>
      <c r="X72" s="23">
        <v>4.0682520378074291E-4</v>
      </c>
      <c r="Y72" s="23">
        <v>-1.9816379119909263E-4</v>
      </c>
      <c r="Z72">
        <v>0.28117517576837026</v>
      </c>
      <c r="AB72">
        <v>23877.348575164891</v>
      </c>
      <c r="AC72">
        <v>440564.7774606059</v>
      </c>
      <c r="AD72">
        <v>20288.198099026999</v>
      </c>
      <c r="AE72">
        <v>62465.33737856074</v>
      </c>
      <c r="AF72">
        <v>300800.57037814736</v>
      </c>
      <c r="AG72">
        <v>410502.78625444783</v>
      </c>
      <c r="AH72">
        <v>1526959.3126972388</v>
      </c>
      <c r="AI72">
        <v>1648022.3666551015</v>
      </c>
      <c r="AK72">
        <v>6.844341994273307E-7</v>
      </c>
      <c r="AL72">
        <v>3.11851270557588E-2</v>
      </c>
      <c r="AM72">
        <v>0.98344360343801895</v>
      </c>
      <c r="AN72">
        <v>0.27804235459473314</v>
      </c>
      <c r="AP72" s="147">
        <v>2.8664581298579304E-11</v>
      </c>
      <c r="AQ72" s="147">
        <v>1.5535381729160837E-12</v>
      </c>
      <c r="AR72" s="147">
        <v>1.5371067900433409E-6</v>
      </c>
      <c r="AS72" s="147">
        <v>4.992389117626396E-7</v>
      </c>
      <c r="AT72" s="147">
        <v>3.2694206736433252E-6</v>
      </c>
      <c r="AU72" s="147">
        <v>2.3957050630794915E-6</v>
      </c>
      <c r="AV72" s="147">
        <v>1.8208890851426543E-7</v>
      </c>
      <c r="AW72" s="147">
        <v>1.6871273122285353E-7</v>
      </c>
      <c r="AY72" s="147">
        <v>4.9886450367822301E-6</v>
      </c>
      <c r="AZ72" s="147">
        <v>3.0636582596031576E-6</v>
      </c>
      <c r="BB72">
        <v>4.2020438118254193E-3</v>
      </c>
      <c r="BC72">
        <v>1.0228374195924364E-2</v>
      </c>
      <c r="BD72">
        <v>2.3951270146817125E-2</v>
      </c>
      <c r="BE72">
        <v>4.5800783266789754E-4</v>
      </c>
      <c r="BF72">
        <v>3.8839695987234808E-2</v>
      </c>
      <c r="BG72">
        <v>3.3925573016083704E-2</v>
      </c>
      <c r="BH72">
        <v>1.0383005077586207E-2</v>
      </c>
      <c r="BI72">
        <v>2.4117022822834861E-2</v>
      </c>
      <c r="BJ72">
        <v>4.9194177575914732E-4</v>
      </c>
      <c r="BK72">
        <v>6.8917542692263925E-2</v>
      </c>
      <c r="CJ72" s="257" t="s">
        <v>259</v>
      </c>
      <c r="CK72" s="258" t="s">
        <v>263</v>
      </c>
      <c r="CL72" s="258" t="s">
        <v>260</v>
      </c>
      <c r="CM72" s="259" t="s">
        <v>264</v>
      </c>
    </row>
    <row r="73" spans="1:91" x14ac:dyDescent="0.25">
      <c r="A73">
        <v>70</v>
      </c>
      <c r="B73" s="135">
        <v>35</v>
      </c>
      <c r="C73" s="24">
        <v>4.7732533288633531E-10</v>
      </c>
      <c r="D73" s="24">
        <v>6.0669799649886229E-5</v>
      </c>
      <c r="E73" s="24">
        <v>7.9746021089974921E-4</v>
      </c>
      <c r="F73" s="24">
        <v>2.2774284450356409E-3</v>
      </c>
      <c r="G73" s="23">
        <v>505.34884932421488</v>
      </c>
      <c r="H73" s="23">
        <v>116.44648061787282</v>
      </c>
      <c r="I73" s="23">
        <v>1.1795368708291973E-3</v>
      </c>
      <c r="J73" s="23">
        <v>-2.6801305904522791E-4</v>
      </c>
      <c r="K73">
        <v>1.3339837834522839</v>
      </c>
      <c r="L73" s="23">
        <v>508.64008118900614</v>
      </c>
      <c r="M73" s="23">
        <v>121.08528371146001</v>
      </c>
      <c r="N73" s="23">
        <v>1.2323706705780681E-3</v>
      </c>
      <c r="O73" s="23">
        <v>-4.2536654137855304E-4</v>
      </c>
      <c r="P73" s="23">
        <v>0.74610566632629904</v>
      </c>
      <c r="Q73" s="23">
        <v>259.81857829937212</v>
      </c>
      <c r="R73" s="23">
        <v>63.420183982568027</v>
      </c>
      <c r="S73" s="23">
        <v>6.2269696891379821E-4</v>
      </c>
      <c r="T73" s="23">
        <v>-2.7619996695218095E-4</v>
      </c>
      <c r="U73" s="23">
        <v>0.40834704445880166</v>
      </c>
      <c r="V73" s="23">
        <v>168.79840426299126</v>
      </c>
      <c r="W73" s="23">
        <v>42.39231665702944</v>
      </c>
      <c r="X73" s="23">
        <v>4.1272122122684062E-4</v>
      </c>
      <c r="Y73" s="23">
        <v>-2.0069664701310514E-4</v>
      </c>
      <c r="Z73">
        <v>0.28481279837280377</v>
      </c>
      <c r="AB73">
        <v>22789.141627602785</v>
      </c>
      <c r="AC73">
        <v>447171.75006966223</v>
      </c>
      <c r="AD73">
        <v>19167.264110195956</v>
      </c>
      <c r="AE73">
        <v>60792.572247091324</v>
      </c>
      <c r="AF73">
        <v>284181.175124273</v>
      </c>
      <c r="AG73">
        <v>392664.8620497947</v>
      </c>
      <c r="AH73">
        <v>1442593.9794719827</v>
      </c>
      <c r="AI73">
        <v>1560036.5840827834</v>
      </c>
      <c r="AK73">
        <v>5.120343936555951E-7</v>
      </c>
      <c r="AL73">
        <v>2.6032579405822903E-2</v>
      </c>
      <c r="AM73">
        <v>0.73324124015927195</v>
      </c>
      <c r="AN73">
        <v>0.20940285604065878</v>
      </c>
      <c r="AP73" s="147">
        <v>2.2468349270136884E-11</v>
      </c>
      <c r="AQ73" s="147">
        <v>1.1450508525545908E-12</v>
      </c>
      <c r="AR73" s="147">
        <v>1.3581791984582174E-6</v>
      </c>
      <c r="AS73" s="147">
        <v>4.2821973875383196E-7</v>
      </c>
      <c r="AT73" s="147">
        <v>2.5801893451901734E-6</v>
      </c>
      <c r="AU73" s="147">
        <v>1.867346205442462E-6</v>
      </c>
      <c r="AV73" s="147">
        <v>1.4515716758869621E-7</v>
      </c>
      <c r="AW73" s="147">
        <v>1.3422945216619792E-7</v>
      </c>
      <c r="AY73" s="147">
        <v>4.0835481795863572E-6</v>
      </c>
      <c r="AZ73" s="147">
        <v>2.4297965414133445E-6</v>
      </c>
      <c r="BB73">
        <v>4.2020438342937685E-3</v>
      </c>
      <c r="BC73">
        <v>1.0229732375122822E-2</v>
      </c>
      <c r="BD73">
        <v>2.3953850336162315E-2</v>
      </c>
      <c r="BE73">
        <v>4.5815298983548623E-4</v>
      </c>
      <c r="BF73">
        <v>3.8843779535414395E-2</v>
      </c>
      <c r="BG73">
        <v>3.3925573017228754E-2</v>
      </c>
      <c r="BH73">
        <v>1.0383433297324961E-2</v>
      </c>
      <c r="BI73">
        <v>2.4118890169040303E-2</v>
      </c>
      <c r="BJ73">
        <v>4.9207600521131351E-4</v>
      </c>
      <c r="BK73">
        <v>6.8919972488805326E-2</v>
      </c>
      <c r="CJ73" s="260">
        <f>CJ69/(2^CB2)</f>
        <v>16.606626847374191</v>
      </c>
      <c r="CK73" s="261">
        <f>CK69/(2^CB2)</f>
        <v>378.91900397245774</v>
      </c>
      <c r="CL73" s="261">
        <f>CL69/(2^CB2)</f>
        <v>26.897704954384864</v>
      </c>
      <c r="CM73" s="262">
        <f>CM69/(2^CB2)</f>
        <v>891.16697964297782</v>
      </c>
    </row>
    <row r="74" spans="1:91" x14ac:dyDescent="0.25">
      <c r="A74">
        <v>71</v>
      </c>
      <c r="B74" s="135">
        <v>35.5</v>
      </c>
      <c r="C74" s="24">
        <v>3.5797378196975236E-10</v>
      </c>
      <c r="D74" s="24">
        <v>5.0711295342298702E-5</v>
      </c>
      <c r="E74" s="24">
        <v>5.9403877719149472E-4</v>
      </c>
      <c r="F74" s="24">
        <v>1.7134154918958546E-3</v>
      </c>
      <c r="G74" s="23">
        <v>506.99403007054394</v>
      </c>
      <c r="H74" s="23">
        <v>117.84084008757745</v>
      </c>
      <c r="I74" s="23">
        <v>1.1933110896932013E-3</v>
      </c>
      <c r="J74" s="23">
        <v>-2.6707437479199942E-4</v>
      </c>
      <c r="K74">
        <v>1.3496187342978017</v>
      </c>
      <c r="L74" s="23">
        <v>515.05783960363431</v>
      </c>
      <c r="M74" s="23">
        <v>122.81507347876659</v>
      </c>
      <c r="N74" s="23">
        <v>1.2499759658720405E-3</v>
      </c>
      <c r="O74" s="23">
        <v>-4.2799270102192571E-4</v>
      </c>
      <c r="P74" s="23">
        <v>0.755202249448087</v>
      </c>
      <c r="Q74" s="23">
        <v>263.32789641057542</v>
      </c>
      <c r="R74" s="23">
        <v>64.326186610890431</v>
      </c>
      <c r="S74" s="23">
        <v>6.3159263989828111E-4</v>
      </c>
      <c r="T74" s="23">
        <v>-2.7900637019048573E-4</v>
      </c>
      <c r="U74" s="23">
        <v>0.41349193049510446</v>
      </c>
      <c r="V74" s="23">
        <v>171.65581104710944</v>
      </c>
      <c r="W74" s="23">
        <v>42.997921180701297</v>
      </c>
      <c r="X74" s="23">
        <v>4.1861723867293844E-4</v>
      </c>
      <c r="Y74" s="23">
        <v>-2.0321768002142752E-4</v>
      </c>
      <c r="Z74">
        <v>0.28844384501089737</v>
      </c>
      <c r="AB74">
        <v>21767.645315544658</v>
      </c>
      <c r="AC74">
        <v>454001.0903605062</v>
      </c>
      <c r="AD74">
        <v>18122.867187407657</v>
      </c>
      <c r="AE74">
        <v>59197.450287502747</v>
      </c>
      <c r="AF74">
        <v>268696.54763086478</v>
      </c>
      <c r="AG74">
        <v>375885.08523480082</v>
      </c>
      <c r="AH74">
        <v>1363989.0881149506</v>
      </c>
      <c r="AI74">
        <v>1478136.2074941793</v>
      </c>
      <c r="AK74">
        <v>3.8400410740221504E-7</v>
      </c>
      <c r="AL74">
        <v>2.1759521712430837E-2</v>
      </c>
      <c r="AM74">
        <v>0.54620120695319074</v>
      </c>
      <c r="AN74">
        <v>0.15754352167217583</v>
      </c>
      <c r="AP74" s="147">
        <v>1.7641049449110186E-11</v>
      </c>
      <c r="AQ74" s="147">
        <v>8.4582199372536963E-13</v>
      </c>
      <c r="AR74" s="147">
        <v>1.2006666212038482E-6</v>
      </c>
      <c r="AS74" s="147">
        <v>3.6757531965907186E-7</v>
      </c>
      <c r="AT74" s="147">
        <v>2.0327808889586545E-6</v>
      </c>
      <c r="AU74" s="147">
        <v>1.4531068893356065E-6</v>
      </c>
      <c r="AV74" s="147">
        <v>1.1550203960201975E-7</v>
      </c>
      <c r="AW74" s="147">
        <v>1.0658254690834791E-7</v>
      </c>
      <c r="AY74" s="147">
        <v>3.3489671908139714E-6</v>
      </c>
      <c r="AZ74" s="147">
        <v>1.9272656017250202E-6</v>
      </c>
      <c r="BB74">
        <v>4.2020438519348178E-3</v>
      </c>
      <c r="BC74">
        <v>1.0230933041744026E-2</v>
      </c>
      <c r="BD74">
        <v>2.3955883117051276E-2</v>
      </c>
      <c r="BE74">
        <v>4.5826849187508825E-4</v>
      </c>
      <c r="BF74">
        <v>3.8847128502605209E-2</v>
      </c>
      <c r="BG74">
        <v>3.3925573018074577E-2</v>
      </c>
      <c r="BH74">
        <v>1.038380087264462E-2</v>
      </c>
      <c r="BI74">
        <v>2.4120343275929639E-2</v>
      </c>
      <c r="BJ74">
        <v>4.9218258775822184E-4</v>
      </c>
      <c r="BK74">
        <v>6.8921899754407059E-2</v>
      </c>
      <c r="CJ74" s="16"/>
      <c r="CK74" s="18"/>
      <c r="CL74" s="18"/>
      <c r="CM74" s="91"/>
    </row>
    <row r="75" spans="1:91" x14ac:dyDescent="0.25">
      <c r="A75">
        <v>72</v>
      </c>
      <c r="B75" s="135">
        <v>36</v>
      </c>
      <c r="C75" s="24">
        <v>2.6911464140587664E-10</v>
      </c>
      <c r="D75" s="24">
        <v>4.244154768392694E-5</v>
      </c>
      <c r="E75" s="24">
        <v>4.4215081635002332E-4</v>
      </c>
      <c r="F75" s="24">
        <v>1.287864563115303E-3</v>
      </c>
      <c r="G75" s="23">
        <v>508.60041507691312</v>
      </c>
      <c r="H75" s="23">
        <v>119.228783072624</v>
      </c>
      <c r="I75" s="23">
        <v>1.2070126411420198E-3</v>
      </c>
      <c r="J75" s="23">
        <v>-2.6612303499991784E-4</v>
      </c>
      <c r="K75">
        <v>1.3652016384033183</v>
      </c>
      <c r="L75" s="23">
        <v>521.42280164330043</v>
      </c>
      <c r="M75" s="23">
        <v>124.54486324607316</v>
      </c>
      <c r="N75" s="23">
        <v>1.2675812611660129E-3</v>
      </c>
      <c r="O75" s="23">
        <v>-4.3058148803534958E-4</v>
      </c>
      <c r="P75" s="23">
        <v>0.76427320293341672</v>
      </c>
      <c r="Q75" s="23">
        <v>267.04298015181206</v>
      </c>
      <c r="R75" s="23">
        <v>65.232189239212829</v>
      </c>
      <c r="S75" s="23">
        <v>6.4048831088276391E-4</v>
      </c>
      <c r="T75" s="23">
        <v>-2.8182379082303027E-4</v>
      </c>
      <c r="U75" s="23">
        <v>0.41862560515055519</v>
      </c>
      <c r="V75" s="23">
        <v>174.50641334467869</v>
      </c>
      <c r="W75" s="23">
        <v>43.603525704373148</v>
      </c>
      <c r="X75" s="23">
        <v>4.2451325611903614E-4</v>
      </c>
      <c r="Y75" s="23">
        <v>-2.0572614712000459E-4</v>
      </c>
      <c r="Z75">
        <v>0.29206837413711156</v>
      </c>
      <c r="AB75">
        <v>20807.830043509115</v>
      </c>
      <c r="AC75">
        <v>461054.03535544343</v>
      </c>
      <c r="AD75">
        <v>17148.811408745314</v>
      </c>
      <c r="AE75">
        <v>57675.1798544087</v>
      </c>
      <c r="AF75">
        <v>254254.82479418698</v>
      </c>
      <c r="AG75">
        <v>359918.88108335942</v>
      </c>
      <c r="AH75">
        <v>1290678.3123104521</v>
      </c>
      <c r="AI75">
        <v>1401836.8754823206</v>
      </c>
      <c r="AK75">
        <v>2.8868350942713128E-7</v>
      </c>
      <c r="AL75">
        <v>1.8211086348789665E-2</v>
      </c>
      <c r="AM75">
        <v>0.40654468835772678</v>
      </c>
      <c r="AN75">
        <v>0.11841536373964069</v>
      </c>
      <c r="AP75" s="147">
        <v>1.3873792164944392E-11</v>
      </c>
      <c r="AQ75" s="147">
        <v>6.2613812544678105E-13</v>
      </c>
      <c r="AR75" s="147">
        <v>1.0619445228432932E-6</v>
      </c>
      <c r="AS75" s="147">
        <v>3.1575257146593203E-7</v>
      </c>
      <c r="AT75" s="147">
        <v>1.5989654815274979E-6</v>
      </c>
      <c r="AU75" s="147">
        <v>1.1295453218070228E-6</v>
      </c>
      <c r="AV75" s="147">
        <v>9.1746613087241343E-8</v>
      </c>
      <c r="AW75" s="147">
        <v>8.4471571415110845E-8</v>
      </c>
      <c r="AY75" s="147">
        <v>2.7526704912501976E-6</v>
      </c>
      <c r="AZ75" s="147">
        <v>1.5297700908261911E-6</v>
      </c>
      <c r="BB75">
        <v>4.2020438658086096E-3</v>
      </c>
      <c r="BC75">
        <v>1.023199498626687E-2</v>
      </c>
      <c r="BD75">
        <v>2.3957482082532802E-2</v>
      </c>
      <c r="BE75">
        <v>4.5836023848817549E-4</v>
      </c>
      <c r="BF75">
        <v>3.8849881173096457E-2</v>
      </c>
      <c r="BG75">
        <v>3.3925573018700715E-2</v>
      </c>
      <c r="BH75">
        <v>1.0384116625216086E-2</v>
      </c>
      <c r="BI75">
        <v>2.4121472821251447E-2</v>
      </c>
      <c r="BJ75">
        <v>4.9226705932963691E-4</v>
      </c>
      <c r="BK75">
        <v>6.8923429524497898E-2</v>
      </c>
      <c r="CJ75" s="257" t="s">
        <v>261</v>
      </c>
      <c r="CK75" s="258" t="s">
        <v>262</v>
      </c>
      <c r="CL75" s="18"/>
      <c r="CM75" s="91"/>
    </row>
    <row r="76" spans="1:91" x14ac:dyDescent="0.25">
      <c r="A76">
        <v>73</v>
      </c>
      <c r="B76" s="135">
        <v>36.5</v>
      </c>
      <c r="C76" s="24">
        <v>2.0279321554633339E-10</v>
      </c>
      <c r="D76" s="24">
        <v>3.5565106856547464E-5</v>
      </c>
      <c r="E76" s="24">
        <v>3.2886290603937766E-4</v>
      </c>
      <c r="F76" s="24">
        <v>9.6718126602175899E-4</v>
      </c>
      <c r="G76" s="23">
        <v>510.16927317379424</v>
      </c>
      <c r="H76" s="23">
        <v>120.61035083487934</v>
      </c>
      <c r="I76" s="23">
        <v>1.2206420180519233E-3</v>
      </c>
      <c r="J76" s="23">
        <v>-2.6515994124440967E-4</v>
      </c>
      <c r="K76">
        <v>1.3807332340451923</v>
      </c>
      <c r="L76" s="23">
        <v>527.73456754076119</v>
      </c>
      <c r="M76" s="23">
        <v>126.27465301337973</v>
      </c>
      <c r="N76" s="23">
        <v>1.2851865564599855E-3</v>
      </c>
      <c r="O76" s="23">
        <v>-4.3313370974691341E-4</v>
      </c>
      <c r="P76" s="23">
        <v>0.77331885107737364</v>
      </c>
      <c r="Q76" s="23">
        <v>271.03973651031146</v>
      </c>
      <c r="R76" s="23">
        <v>66.138191867535227</v>
      </c>
      <c r="S76" s="23">
        <v>6.493839818672467E-4</v>
      </c>
      <c r="T76" s="23">
        <v>-2.8466415846859947E-4</v>
      </c>
      <c r="U76" s="23">
        <v>0.42374817886918104</v>
      </c>
      <c r="V76" s="23">
        <v>177.35114319667468</v>
      </c>
      <c r="W76" s="23">
        <v>44.209130228044984</v>
      </c>
      <c r="X76" s="23">
        <v>4.3040927356513374E-4</v>
      </c>
      <c r="Y76" s="23">
        <v>-2.0818610247925443E-4</v>
      </c>
      <c r="Z76">
        <v>0.2956864429942076</v>
      </c>
      <c r="AB76">
        <v>19905.112140421759</v>
      </c>
      <c r="AC76">
        <v>468332.0711526894</v>
      </c>
      <c r="AD76">
        <v>16239.47884145121</v>
      </c>
      <c r="AE76">
        <v>56221.329610055116</v>
      </c>
      <c r="AF76">
        <v>240772.71299843289</v>
      </c>
      <c r="AG76">
        <v>344659.64622958214</v>
      </c>
      <c r="AH76">
        <v>1222238.8271875638</v>
      </c>
      <c r="AI76">
        <v>1331669.932963276</v>
      </c>
      <c r="AK76">
        <v>2.1753947256862181E-7</v>
      </c>
      <c r="AL76">
        <v>1.5260499847742363E-2</v>
      </c>
      <c r="AM76">
        <v>0.30237978242780217</v>
      </c>
      <c r="AN76">
        <v>8.8929476513501166E-2</v>
      </c>
      <c r="AP76" s="147">
        <v>1.0928824265544303E-11</v>
      </c>
      <c r="AQ76" s="147">
        <v>4.644983462977444E-13</v>
      </c>
      <c r="AR76" s="147">
        <v>9.3971610768628818E-7</v>
      </c>
      <c r="AS76" s="147">
        <v>2.7143612492958618E-7</v>
      </c>
      <c r="AT76" s="147">
        <v>1.2558723065506608E-6</v>
      </c>
      <c r="AU76" s="147">
        <v>8.7732865084641557E-7</v>
      </c>
      <c r="AV76" s="147">
        <v>7.2759492281989267E-8</v>
      </c>
      <c r="AW76" s="147">
        <v>6.6780419315777712E-8</v>
      </c>
      <c r="AY76" s="147">
        <v>2.2683588353432038E-6</v>
      </c>
      <c r="AZ76" s="147">
        <v>1.2155456595901257E-6</v>
      </c>
      <c r="BB76">
        <v>4.2020438767374343E-3</v>
      </c>
      <c r="BC76">
        <v>1.0232934702374555E-2</v>
      </c>
      <c r="BD76">
        <v>2.3958737954839354E-2</v>
      </c>
      <c r="BE76">
        <v>4.5843299798045749E-4</v>
      </c>
      <c r="BF76">
        <v>3.88521495319318E-2</v>
      </c>
      <c r="BG76">
        <v>3.3925573019165212E-2</v>
      </c>
      <c r="BH76">
        <v>1.0384388061341015E-2</v>
      </c>
      <c r="BI76">
        <v>2.4122350149902293E-2</v>
      </c>
      <c r="BJ76">
        <v>4.9233383974895274E-4</v>
      </c>
      <c r="BK76">
        <v>6.892464507015747E-2</v>
      </c>
      <c r="CJ76" s="260">
        <f>CK73-(CJ73^2)</f>
        <v>103.13894872452852</v>
      </c>
      <c r="CK76" s="261">
        <f>CM73-(CL73^2)</f>
        <v>167.68044782983782</v>
      </c>
      <c r="CL76" s="18"/>
      <c r="CM76" s="91"/>
    </row>
    <row r="77" spans="1:91" x14ac:dyDescent="0.25">
      <c r="A77">
        <v>74</v>
      </c>
      <c r="B77" s="135">
        <v>37</v>
      </c>
      <c r="C77" s="24">
        <v>1.5317244879478787E-10</v>
      </c>
      <c r="D77" s="24">
        <v>2.9839777377729487E-5</v>
      </c>
      <c r="E77" s="24">
        <v>2.4444702147183577E-4</v>
      </c>
      <c r="F77" s="24">
        <v>7.2579489576938703E-4</v>
      </c>
      <c r="G77" s="23">
        <v>511.70182033171494</v>
      </c>
      <c r="H77" s="23">
        <v>121.98558429568666</v>
      </c>
      <c r="I77" s="23">
        <v>1.2341997091143123E-3</v>
      </c>
      <c r="J77" s="23">
        <v>-2.6418594625338354E-4</v>
      </c>
      <c r="K77">
        <v>1.3962142394481107</v>
      </c>
      <c r="L77" s="23">
        <v>533.99284565552375</v>
      </c>
      <c r="M77" s="23">
        <v>128.0044427806863</v>
      </c>
      <c r="N77" s="23">
        <v>1.3027918517539577E-3</v>
      </c>
      <c r="O77" s="23">
        <v>-4.3565015437599966E-4</v>
      </c>
      <c r="P77" s="23">
        <v>0.78233951094331422</v>
      </c>
      <c r="Q77" s="23">
        <v>275.02678655518326</v>
      </c>
      <c r="R77" s="23">
        <v>67.044194495857624</v>
      </c>
      <c r="S77" s="23">
        <v>6.582796528517296E-4</v>
      </c>
      <c r="T77" s="23">
        <v>-2.8748826091537982E-4</v>
      </c>
      <c r="U77" s="23">
        <v>0.42885976006590099</v>
      </c>
      <c r="V77" s="23">
        <v>180.18924188980364</v>
      </c>
      <c r="W77" s="23">
        <v>44.814734751716834</v>
      </c>
      <c r="X77" s="23">
        <v>4.363052910112315E-4</v>
      </c>
      <c r="Y77" s="23">
        <v>-2.1058988416212593E-4</v>
      </c>
      <c r="Z77">
        <v>0.29929810766337883</v>
      </c>
      <c r="AB77">
        <v>19055.308672176285</v>
      </c>
      <c r="AC77">
        <v>475836.92093579576</v>
      </c>
      <c r="AD77">
        <v>15389.768685480554</v>
      </c>
      <c r="AE77">
        <v>54831.797078531519</v>
      </c>
      <c r="AF77">
        <v>228174.58583482142</v>
      </c>
      <c r="AG77">
        <v>330270.04689276096</v>
      </c>
      <c r="AH77">
        <v>1158286.7290554449</v>
      </c>
      <c r="AI77">
        <v>1267237.6382215424</v>
      </c>
      <c r="AK77">
        <v>1.6431049546255322E-7</v>
      </c>
      <c r="AL77">
        <v>1.2803839447643165E-2</v>
      </c>
      <c r="AM77">
        <v>0.22476185611194288</v>
      </c>
      <c r="AN77">
        <v>6.6734708791899466E-2</v>
      </c>
      <c r="AP77" s="147">
        <v>8.6228199337684895E-12</v>
      </c>
      <c r="AQ77" s="147">
        <v>3.4530842024493404E-13</v>
      </c>
      <c r="AR77" s="147">
        <v>8.3197088333906674E-7</v>
      </c>
      <c r="AS77" s="147">
        <v>2.3351121301578307E-7</v>
      </c>
      <c r="AT77" s="147">
        <v>9.8504333990399324E-7</v>
      </c>
      <c r="AU77" s="147">
        <v>6.8053963181506218E-7</v>
      </c>
      <c r="AV77" s="147">
        <v>5.7615016314932675E-8</v>
      </c>
      <c r="AW77" s="147">
        <v>5.2661558321102127E-8</v>
      </c>
      <c r="AY77" s="147">
        <v>1.8746378623779263E-6</v>
      </c>
      <c r="AZ77" s="147">
        <v>9.6671274846036756E-7</v>
      </c>
      <c r="BB77">
        <v>4.2020438853602547E-3</v>
      </c>
      <c r="BC77">
        <v>1.0233766673257894E-2</v>
      </c>
      <c r="BD77">
        <v>2.3959722998179257E-2</v>
      </c>
      <c r="BE77">
        <v>4.5849061299677241E-4</v>
      </c>
      <c r="BF77">
        <v>3.885402416979418E-2</v>
      </c>
      <c r="BG77">
        <v>3.3925573019510519E-2</v>
      </c>
      <c r="BH77">
        <v>1.038462157255403E-2</v>
      </c>
      <c r="BI77">
        <v>2.4123030689534107E-2</v>
      </c>
      <c r="BJ77">
        <v>4.9238650130727383E-4</v>
      </c>
      <c r="BK77">
        <v>6.8925611782905918E-2</v>
      </c>
      <c r="CJ77" s="16"/>
      <c r="CK77" s="18"/>
      <c r="CL77" s="18"/>
      <c r="CM77" s="91"/>
    </row>
    <row r="78" spans="1:91" x14ac:dyDescent="0.25">
      <c r="A78">
        <v>75</v>
      </c>
      <c r="B78" s="135">
        <v>37.5</v>
      </c>
      <c r="C78" s="24">
        <v>1.1595799389022605E-10</v>
      </c>
      <c r="D78" s="24">
        <v>2.5066741492826626E-5</v>
      </c>
      <c r="E78" s="24">
        <v>1.8159938154506684E-4</v>
      </c>
      <c r="F78" s="24">
        <v>5.4428226200564655E-4</v>
      </c>
      <c r="G78" s="23">
        <v>513.19922232809438</v>
      </c>
      <c r="H78" s="23">
        <v>123.35452403929285</v>
      </c>
      <c r="I78" s="23">
        <v>1.2476861988785953E-3</v>
      </c>
      <c r="J78" s="23">
        <v>-2.6320185673404706E-4</v>
      </c>
      <c r="K78">
        <v>1.4116453535465767</v>
      </c>
      <c r="L78" s="23">
        <v>540.19744124107501</v>
      </c>
      <c r="M78" s="23">
        <v>129.73423254799289</v>
      </c>
      <c r="N78" s="23">
        <v>1.3203971470479301E-3</v>
      </c>
      <c r="O78" s="23">
        <v>-4.3813159116616742E-4</v>
      </c>
      <c r="P78" s="23">
        <v>0.79133549258517799</v>
      </c>
      <c r="Q78" s="23">
        <v>279.00255876464951</v>
      </c>
      <c r="R78" s="23">
        <v>67.950197124180036</v>
      </c>
      <c r="S78" s="23">
        <v>6.6717532383621251E-4</v>
      </c>
      <c r="T78" s="23">
        <v>-2.9029554299441396E-4</v>
      </c>
      <c r="U78" s="23">
        <v>0.4339604551895494</v>
      </c>
      <c r="V78" s="23">
        <v>183.01697627281382</v>
      </c>
      <c r="W78" s="23">
        <v>45.420339275388692</v>
      </c>
      <c r="X78" s="23">
        <v>4.4220130845732926E-4</v>
      </c>
      <c r="Y78" s="23">
        <v>-2.1298180043672612E-4</v>
      </c>
      <c r="Z78">
        <v>0.3029034231112398</v>
      </c>
      <c r="AB78">
        <v>18254.597384350156</v>
      </c>
      <c r="AC78">
        <v>483570.53433691192</v>
      </c>
      <c r="AD78">
        <v>14595.043536024608</v>
      </c>
      <c r="AE78">
        <v>53502.780284045635</v>
      </c>
      <c r="AF78">
        <v>216391.6873692513</v>
      </c>
      <c r="AG78">
        <v>316692.44152712304</v>
      </c>
      <c r="AH78">
        <v>1098472.9909366972</v>
      </c>
      <c r="AI78">
        <v>1206892.2928050449</v>
      </c>
      <c r="AK78">
        <v>1.2438996424528729E-7</v>
      </c>
      <c r="AL78">
        <v>1.0755795175243645E-2</v>
      </c>
      <c r="AM78">
        <v>0.16697529722019075</v>
      </c>
      <c r="AN78">
        <v>5.0045155273569474E-2</v>
      </c>
      <c r="AP78" s="147">
        <v>6.8141718837320406E-12</v>
      </c>
      <c r="AQ78" s="147">
        <v>2.5723230720799594E-13</v>
      </c>
      <c r="AR78" s="147">
        <v>7.3694848177022314E-7</v>
      </c>
      <c r="AS78" s="147">
        <v>2.0103245323217324E-7</v>
      </c>
      <c r="AT78" s="147">
        <v>7.7163452649298719E-7</v>
      </c>
      <c r="AU78" s="147">
        <v>5.2724749733532937E-7</v>
      </c>
      <c r="AV78" s="147">
        <v>4.5558840032010831E-8</v>
      </c>
      <c r="AW78" s="147">
        <v>4.146613212456193E-8</v>
      </c>
      <c r="AY78" s="147">
        <v>1.554148662467105E-6</v>
      </c>
      <c r="AZ78" s="147">
        <v>7.6974633992437169E-7</v>
      </c>
      <c r="BB78">
        <v>4.2020438921744263E-3</v>
      </c>
      <c r="BC78">
        <v>1.0234503621739664E-2</v>
      </c>
      <c r="BD78">
        <v>2.3960494632705751E-2</v>
      </c>
      <c r="BE78">
        <v>4.5853617183680444E-4</v>
      </c>
      <c r="BF78">
        <v>3.8855578318456645E-2</v>
      </c>
      <c r="BG78">
        <v>3.392557301976775E-2</v>
      </c>
      <c r="BH78">
        <v>1.0384822605007263E-2</v>
      </c>
      <c r="BI78">
        <v>2.4123557937031442E-2</v>
      </c>
      <c r="BJ78">
        <v>4.9242796743939837E-4</v>
      </c>
      <c r="BK78">
        <v>6.892638152924585E-2</v>
      </c>
      <c r="CJ78" s="16" t="s">
        <v>265</v>
      </c>
      <c r="CK78" s="18"/>
      <c r="CL78" s="18"/>
      <c r="CM78" s="91"/>
    </row>
    <row r="79" spans="1:91" x14ac:dyDescent="0.25">
      <c r="A79">
        <v>76</v>
      </c>
      <c r="B79" s="135">
        <v>38</v>
      </c>
      <c r="C79" s="24">
        <v>8.7982378082512228E-11</v>
      </c>
      <c r="D79" s="24">
        <v>2.108256484024911E-5</v>
      </c>
      <c r="E79" s="24">
        <v>1.3484536268046929E-4</v>
      </c>
      <c r="F79" s="24">
        <v>4.0791759642478124E-4</v>
      </c>
      <c r="G79" s="23">
        <v>514.66259725651878</v>
      </c>
      <c r="H79" s="23">
        <v>124.71721031623775</v>
      </c>
      <c r="I79" s="23">
        <v>1.2611019677945699E-3</v>
      </c>
      <c r="J79" s="23">
        <v>-2.622084360178878E-4</v>
      </c>
      <c r="K79">
        <v>1.4270272567101803</v>
      </c>
      <c r="L79" s="23">
        <v>546.34824633643041</v>
      </c>
      <c r="M79" s="23">
        <v>131.46402231529945</v>
      </c>
      <c r="N79" s="23">
        <v>1.3380024423419025E-3</v>
      </c>
      <c r="O79" s="23">
        <v>-4.4057877057489351E-4</v>
      </c>
      <c r="P79" s="23">
        <v>0.80030709926095933</v>
      </c>
      <c r="Q79" s="23">
        <v>282.96741623100996</v>
      </c>
      <c r="R79" s="23">
        <v>68.856199752502434</v>
      </c>
      <c r="S79" s="23">
        <v>6.7607099482069519E-4</v>
      </c>
      <c r="T79" s="23">
        <v>-2.9304658999540039E-4</v>
      </c>
      <c r="U79" s="23">
        <v>0.43905036878272102</v>
      </c>
      <c r="V79" s="23">
        <v>185.83347049715391</v>
      </c>
      <c r="W79" s="23">
        <v>46.025943799060549</v>
      </c>
      <c r="X79" s="23">
        <v>4.4809732590342708E-4</v>
      </c>
      <c r="Y79" s="23">
        <v>-2.1536129160054616E-4</v>
      </c>
      <c r="Z79">
        <v>0.30650244323392672</v>
      </c>
      <c r="AB79">
        <v>17499.481132186989</v>
      </c>
      <c r="AC79">
        <v>491535.07801288791</v>
      </c>
      <c r="AD79">
        <v>13851.081851163051</v>
      </c>
      <c r="AE79">
        <v>52230.752141509663</v>
      </c>
      <c r="AF79">
        <v>205361.42740956703</v>
      </c>
      <c r="AG79">
        <v>304047.65936388157</v>
      </c>
      <c r="AH79">
        <v>1042479.8851199822</v>
      </c>
      <c r="AI79">
        <v>1150333.7244814308</v>
      </c>
      <c r="AK79">
        <v>9.4380081068490348E-8</v>
      </c>
      <c r="AL79">
        <v>9.0462395862423821E-3</v>
      </c>
      <c r="AM79">
        <v>0.12398635017789476</v>
      </c>
      <c r="AN79">
        <v>3.7506824816730185E-2</v>
      </c>
      <c r="AP79" s="147">
        <v>5.3933073989774487E-12</v>
      </c>
      <c r="AQ79" s="147">
        <v>1.9201087631433646E-13</v>
      </c>
      <c r="AR79" s="147">
        <v>6.5310707737120074E-7</v>
      </c>
      <c r="AS79" s="147">
        <v>1.7319757451957136E-7</v>
      </c>
      <c r="AT79" s="147">
        <v>6.0374702173558568E-7</v>
      </c>
      <c r="AU79" s="147">
        <v>4.0778590579284475E-7</v>
      </c>
      <c r="AV79" s="147">
        <v>3.5978463807398461E-8</v>
      </c>
      <c r="AW79" s="147">
        <v>3.2605168412008625E-8</v>
      </c>
      <c r="AY79" s="147">
        <v>1.2928379562215838E-6</v>
      </c>
      <c r="AZ79" s="147">
        <v>6.1358884073530105E-7</v>
      </c>
      <c r="BB79">
        <v>4.2020438975677336E-3</v>
      </c>
      <c r="BC79">
        <v>1.0235156728817035E-2</v>
      </c>
      <c r="BD79">
        <v>2.3961098379727486E-2</v>
      </c>
      <c r="BE79">
        <v>4.5857215030061183E-4</v>
      </c>
      <c r="BF79">
        <v>3.8856871156412863E-2</v>
      </c>
      <c r="BG79">
        <v>3.3925573019959764E-2</v>
      </c>
      <c r="BH79">
        <v>1.0384995802581783E-2</v>
      </c>
      <c r="BI79">
        <v>2.4123965722937235E-2</v>
      </c>
      <c r="BJ79">
        <v>4.9246057260781035E-4</v>
      </c>
      <c r="BK79">
        <v>6.8926995118086587E-2</v>
      </c>
      <c r="CJ79" s="263" t="s">
        <v>266</v>
      </c>
      <c r="CK79" s="264">
        <f>_xlfn.NORM.S.INV(CB1/100)</f>
        <v>1.0364333894937898</v>
      </c>
      <c r="CL79" s="18"/>
      <c r="CM79" s="91"/>
    </row>
    <row r="80" spans="1:91" x14ac:dyDescent="0.25">
      <c r="A80">
        <v>77</v>
      </c>
      <c r="B80" s="135">
        <v>38.5</v>
      </c>
      <c r="C80" s="24">
        <v>6.6903418035850607E-11</v>
      </c>
      <c r="D80" s="24">
        <v>1.7752716235315718E-5</v>
      </c>
      <c r="E80" s="24">
        <v>1.0008754621559404E-4</v>
      </c>
      <c r="F80" s="24">
        <v>3.0555573529576416E-4</v>
      </c>
      <c r="G80" s="23">
        <v>516.09301788909852</v>
      </c>
      <c r="H80" s="23">
        <v>126.07368304670057</v>
      </c>
      <c r="I80" s="23">
        <v>1.2744474922542764E-3</v>
      </c>
      <c r="J80" s="23">
        <v>-2.6120640653683284E-4</v>
      </c>
      <c r="K80">
        <v>1.4423606114347143</v>
      </c>
      <c r="L80" s="23">
        <v>552.44523066287763</v>
      </c>
      <c r="M80" s="23">
        <v>133.19381208260603</v>
      </c>
      <c r="N80" s="23">
        <v>1.3556077376358751E-3</v>
      </c>
      <c r="O80" s="23">
        <v>-4.4299242451020153E-4</v>
      </c>
      <c r="P80" s="23">
        <v>0.80925462763778633</v>
      </c>
      <c r="Q80" s="23">
        <v>286.92056377110436</v>
      </c>
      <c r="R80" s="23">
        <v>69.762202380824846</v>
      </c>
      <c r="S80" s="23">
        <v>6.849666658051782E-4</v>
      </c>
      <c r="T80" s="23">
        <v>-2.9572844991919249E-4</v>
      </c>
      <c r="U80" s="23">
        <v>0.44412960353865583</v>
      </c>
      <c r="V80" s="23">
        <v>188.63793579897239</v>
      </c>
      <c r="W80" s="23">
        <v>46.631548322732385</v>
      </c>
      <c r="X80" s="23">
        <v>4.5399334334952468E-4</v>
      </c>
      <c r="Y80" s="23">
        <v>-2.1772786034557161E-4</v>
      </c>
      <c r="Z80">
        <v>0.31009522089852315</v>
      </c>
      <c r="AB80">
        <v>16786.756242865034</v>
      </c>
      <c r="AC80">
        <v>499732.92731046816</v>
      </c>
      <c r="AD80">
        <v>13154.035838251955</v>
      </c>
      <c r="AE80">
        <v>51012.437306038984</v>
      </c>
      <c r="AF80">
        <v>195026.75711306944</v>
      </c>
      <c r="AG80">
        <v>292314.16853634309</v>
      </c>
      <c r="AH80">
        <v>990017.81354527257</v>
      </c>
      <c r="AI80">
        <v>1097285.3672693877</v>
      </c>
      <c r="AK80">
        <v>7.1768349021674693E-8</v>
      </c>
      <c r="AL80">
        <v>7.6174471933626127E-3</v>
      </c>
      <c r="AM80">
        <v>9.2027558878227791E-2</v>
      </c>
      <c r="AN80">
        <v>2.8094952352953166E-2</v>
      </c>
      <c r="AP80" s="147">
        <v>4.2752958334150342E-12</v>
      </c>
      <c r="AQ80" s="147">
        <v>1.4361340848186156E-13</v>
      </c>
      <c r="AR80" s="147">
        <v>5.790958217713734E-7</v>
      </c>
      <c r="AS80" s="147">
        <v>1.493252939016274E-7</v>
      </c>
      <c r="AT80" s="147">
        <v>4.718714510792668E-7</v>
      </c>
      <c r="AU80" s="147">
        <v>3.1482414738574708E-7</v>
      </c>
      <c r="AV80" s="147">
        <v>2.8378229127357423E-8</v>
      </c>
      <c r="AW80" s="147">
        <v>2.5604052684004988E-8</v>
      </c>
      <c r="AY80" s="147">
        <v>1.079349777273831E-6</v>
      </c>
      <c r="AZ80" s="147">
        <v>4.8975363758478796E-7</v>
      </c>
      <c r="BB80">
        <v>4.2020439018430299E-3</v>
      </c>
      <c r="BC80">
        <v>1.0235735824638806E-2</v>
      </c>
      <c r="BD80">
        <v>2.3961570251178566E-2</v>
      </c>
      <c r="BE80">
        <v>4.5860052852973916E-4</v>
      </c>
      <c r="BF80">
        <v>3.8857950506190141E-2</v>
      </c>
      <c r="BG80">
        <v>3.3925573020103378E-2</v>
      </c>
      <c r="BH80">
        <v>1.0385145127875684E-2</v>
      </c>
      <c r="BI80">
        <v>2.4124280547084622E-2</v>
      </c>
      <c r="BJ80">
        <v>4.9248617666049438E-4</v>
      </c>
      <c r="BK80">
        <v>6.8927484871724176E-2</v>
      </c>
      <c r="CJ80" s="16"/>
      <c r="CK80" s="18"/>
      <c r="CL80" s="18"/>
      <c r="CM80" s="91"/>
    </row>
    <row r="81" spans="1:91" x14ac:dyDescent="0.25">
      <c r="A81">
        <v>78</v>
      </c>
      <c r="B81" s="135">
        <v>39</v>
      </c>
      <c r="C81" s="24">
        <v>5.0984906491278563E-11</v>
      </c>
      <c r="D81" s="24">
        <v>1.4966307226862867E-5</v>
      </c>
      <c r="E81" s="24">
        <v>7.4263424457245072E-5</v>
      </c>
      <c r="F81" s="24">
        <v>2.2877473780764506E-4</v>
      </c>
      <c r="G81" s="23">
        <v>517.49151390174563</v>
      </c>
      <c r="H81" s="23">
        <v>127.42398182380836</v>
      </c>
      <c r="I81" s="23">
        <v>1.2877232446333632E-3</v>
      </c>
      <c r="J81" s="23">
        <v>-2.6019645214257791E-4</v>
      </c>
      <c r="K81">
        <v>1.4576460630010535</v>
      </c>
      <c r="L81" s="23">
        <v>558.48843342041152</v>
      </c>
      <c r="M81" s="23">
        <v>134.92360184991259</v>
      </c>
      <c r="N81" s="23">
        <v>1.3732130329298473E-3</v>
      </c>
      <c r="O81" s="23">
        <v>-4.4537326660563708E-4</v>
      </c>
      <c r="P81" s="23">
        <v>0.81817836798902555</v>
      </c>
      <c r="Q81" s="23">
        <v>290.85831028513519</v>
      </c>
      <c r="R81" s="23">
        <v>70.668205009147243</v>
      </c>
      <c r="S81" s="23">
        <v>6.93862336789661E-4</v>
      </c>
      <c r="T81" s="23">
        <v>-2.9839512415858708E-4</v>
      </c>
      <c r="U81" s="23">
        <v>0.44919826035538457</v>
      </c>
      <c r="V81" s="23">
        <v>191.42966305658223</v>
      </c>
      <c r="W81" s="23">
        <v>47.237152846404236</v>
      </c>
      <c r="X81" s="23">
        <v>4.5988936079562238E-4</v>
      </c>
      <c r="Y81" s="23">
        <v>-2.2008106626429202E-4</v>
      </c>
      <c r="Z81">
        <v>0.31368180798202056</v>
      </c>
      <c r="AB81">
        <v>16113.484329976676</v>
      </c>
      <c r="AC81">
        <v>508166.65891167999</v>
      </c>
      <c r="AD81">
        <v>12500.394080948879</v>
      </c>
      <c r="AE81">
        <v>49844.791221635489</v>
      </c>
      <c r="AF81">
        <v>185335.61488052338</v>
      </c>
      <c r="AG81">
        <v>281195.16393492388</v>
      </c>
      <c r="AH81">
        <v>940822.49498568114</v>
      </c>
      <c r="AI81">
        <v>1047492.4563312108</v>
      </c>
      <c r="AK81">
        <v>5.4692311264915868E-8</v>
      </c>
      <c r="AL81">
        <v>6.4218372822000807E-3</v>
      </c>
      <c r="AM81">
        <v>6.8283037452197368E-2</v>
      </c>
      <c r="AN81">
        <v>2.1035165162400546E-2</v>
      </c>
      <c r="AP81" s="147">
        <v>3.3941952060094896E-12</v>
      </c>
      <c r="AQ81" s="147">
        <v>1.0762672108801506E-13</v>
      </c>
      <c r="AR81" s="147">
        <v>5.137307864547429E-7</v>
      </c>
      <c r="AS81" s="147">
        <v>1.2883667730987779E-7</v>
      </c>
      <c r="AT81" s="147">
        <v>3.6842911976856705E-7</v>
      </c>
      <c r="AU81" s="147">
        <v>2.4283147866653888E-7</v>
      </c>
      <c r="AV81" s="147">
        <v>2.235827191049539E-8</v>
      </c>
      <c r="AW81" s="147">
        <v>2.0081447876078405E-8</v>
      </c>
      <c r="AY81" s="147">
        <v>9.045215723290113E-7</v>
      </c>
      <c r="AZ81" s="147">
        <v>3.917497114792162E-7</v>
      </c>
      <c r="BB81">
        <v>4.2020439052372254E-3</v>
      </c>
      <c r="BC81">
        <v>1.0236249555425261E-2</v>
      </c>
      <c r="BD81">
        <v>2.3961938680298334E-2</v>
      </c>
      <c r="BE81">
        <v>4.5862288680164964E-4</v>
      </c>
      <c r="BF81">
        <v>3.8858855027762471E-2</v>
      </c>
      <c r="BG81">
        <v>3.3925573020211007E-2</v>
      </c>
      <c r="BH81">
        <v>1.0385273964552993E-2</v>
      </c>
      <c r="BI81">
        <v>2.412452337856329E-2</v>
      </c>
      <c r="BJ81">
        <v>4.9250625810837048E-4</v>
      </c>
      <c r="BK81">
        <v>6.8927876621435666E-2</v>
      </c>
      <c r="CJ81" s="257" t="s">
        <v>254</v>
      </c>
      <c r="CK81" s="251">
        <f>CJ73-CK79*(CJ76)^0.5</f>
        <v>6.0808842365999762</v>
      </c>
      <c r="CL81" s="18"/>
      <c r="CM81" s="91"/>
    </row>
    <row r="82" spans="1:91" x14ac:dyDescent="0.25">
      <c r="A82">
        <v>79</v>
      </c>
      <c r="B82" s="135">
        <v>39.5</v>
      </c>
      <c r="C82" s="24">
        <v>3.893670637883868E-11</v>
      </c>
      <c r="D82" s="24">
        <v>1.263181574085858E-5</v>
      </c>
      <c r="E82" s="24">
        <v>5.508681150072913E-5</v>
      </c>
      <c r="F82" s="24">
        <v>1.7121959148388272E-4</v>
      </c>
      <c r="G82" s="23">
        <v>518.85907397146877</v>
      </c>
      <c r="H82" s="23">
        <v>128.76814591690479</v>
      </c>
      <c r="I82" s="23">
        <v>1.3009296933319473E-3</v>
      </c>
      <c r="J82" s="23">
        <v>-2.5917922028013556E-4</v>
      </c>
      <c r="K82">
        <v>1.4728842401035851</v>
      </c>
      <c r="L82" s="23">
        <v>564.47795589030409</v>
      </c>
      <c r="M82" s="23">
        <v>136.65339161721917</v>
      </c>
      <c r="N82" s="23">
        <v>1.3908183282238197E-3</v>
      </c>
      <c r="O82" s="23">
        <v>-4.4772199252626879E-4</v>
      </c>
      <c r="P82" s="23">
        <v>0.82707860438380831</v>
      </c>
      <c r="Q82" s="23">
        <v>294.77961356821703</v>
      </c>
      <c r="R82" s="23">
        <v>71.574207637469627</v>
      </c>
      <c r="S82" s="23">
        <v>7.0275800777414368E-4</v>
      </c>
      <c r="T82" s="23">
        <v>-3.0104617482812042E-4</v>
      </c>
      <c r="U82" s="23">
        <v>0.45425643838730856</v>
      </c>
      <c r="V82" s="23">
        <v>194.20801601881541</v>
      </c>
      <c r="W82" s="23">
        <v>47.842757370076086</v>
      </c>
      <c r="X82" s="23">
        <v>4.657853782417202E-4</v>
      </c>
      <c r="Y82" s="23">
        <v>-2.2242052085819894E-4</v>
      </c>
      <c r="Z82">
        <v>0.31726225540799674</v>
      </c>
      <c r="AB82">
        <v>15476.967144124468</v>
      </c>
      <c r="AC82">
        <v>516839.04436348163</v>
      </c>
      <c r="AD82">
        <v>11886.948320998052</v>
      </c>
      <c r="AE82">
        <v>48724.981138920113</v>
      </c>
      <c r="AF82">
        <v>176240.43385022227</v>
      </c>
      <c r="AG82">
        <v>270653.12040216528</v>
      </c>
      <c r="AH82">
        <v>894652.4649307949</v>
      </c>
      <c r="AI82">
        <v>1000720.3265043243</v>
      </c>
      <c r="AK82">
        <v>4.1768017467411801E-8</v>
      </c>
      <c r="AL82">
        <v>5.4201389853154279E-3</v>
      </c>
      <c r="AM82">
        <v>5.0650705112474194E-2</v>
      </c>
      <c r="AN82">
        <v>1.574313851440404E-2</v>
      </c>
      <c r="AP82" s="147">
        <v>2.6987210787785528E-12</v>
      </c>
      <c r="AQ82" s="147">
        <v>8.0814361691368781E-14</v>
      </c>
      <c r="AR82" s="147">
        <v>4.5597396732522705E-7</v>
      </c>
      <c r="AS82" s="147">
        <v>1.1123942705820725E-7</v>
      </c>
      <c r="AT82" s="147">
        <v>2.8739548584815466E-7</v>
      </c>
      <c r="AU82" s="147">
        <v>1.8714251303370149E-7</v>
      </c>
      <c r="AV82" s="147">
        <v>1.7596931916598294E-8</v>
      </c>
      <c r="AW82" s="147">
        <v>1.5731806477237585E-8</v>
      </c>
      <c r="AY82" s="147">
        <v>7.609690838110588E-7</v>
      </c>
      <c r="AZ82" s="147">
        <v>3.1411382738350799E-7</v>
      </c>
      <c r="BB82">
        <v>4.2020439079359468E-3</v>
      </c>
      <c r="BC82">
        <v>1.0236705529392586E-2</v>
      </c>
      <c r="BD82">
        <v>2.3962226075784181E-2</v>
      </c>
      <c r="BE82">
        <v>4.5864048373356624E-4</v>
      </c>
      <c r="BF82">
        <v>3.8859615996846272E-2</v>
      </c>
      <c r="BG82">
        <v>3.3925573020291824E-2</v>
      </c>
      <c r="BH82">
        <v>1.0385385203980052E-2</v>
      </c>
      <c r="BI82">
        <v>2.4124710521076325E-2</v>
      </c>
      <c r="BJ82">
        <v>4.9252198991484768E-4</v>
      </c>
      <c r="BK82">
        <v>6.8928190735263059E-2</v>
      </c>
      <c r="CJ82" s="265" t="s">
        <v>255</v>
      </c>
      <c r="CK82" s="251">
        <f>CL73-CK79*(CK76)^0.5</f>
        <v>13.476775045261528</v>
      </c>
      <c r="CL82" s="107"/>
      <c r="CM82" s="108"/>
    </row>
    <row r="83" spans="1:91" x14ac:dyDescent="0.25">
      <c r="A83">
        <v>80</v>
      </c>
      <c r="B83" s="135">
        <v>40</v>
      </c>
      <c r="C83" s="24">
        <v>2.9797858011377819E-11</v>
      </c>
      <c r="D83" s="24">
        <v>1.0673604815615431E-5</v>
      </c>
      <c r="E83" s="24">
        <v>4.0852936249641855E-5</v>
      </c>
      <c r="F83" s="24">
        <v>1.2810117408237044E-4</v>
      </c>
      <c r="G83" s="23">
        <v>520.19664775410172</v>
      </c>
      <c r="H83" s="23">
        <v>130.10621427478063</v>
      </c>
      <c r="I83" s="23">
        <v>1.3140673028149998E-3</v>
      </c>
      <c r="J83" s="23">
        <v>-2.5815532402578389E-4</v>
      </c>
      <c r="K83">
        <v>1.4880757554498794</v>
      </c>
      <c r="L83" s="23">
        <v>570.41395476071864</v>
      </c>
      <c r="M83" s="23">
        <v>138.38318138452576</v>
      </c>
      <c r="N83" s="23">
        <v>1.4084236235177923E-3</v>
      </c>
      <c r="O83" s="23">
        <v>-4.5003928029943894E-4</v>
      </c>
      <c r="P83" s="23">
        <v>0.83595561486934056</v>
      </c>
      <c r="Q83" s="23">
        <v>298.68353421433784</v>
      </c>
      <c r="R83" s="23">
        <v>72.480210265792039</v>
      </c>
      <c r="S83" s="23">
        <v>7.1165367875862659E-4</v>
      </c>
      <c r="T83" s="23">
        <v>-3.036812175923005E-4</v>
      </c>
      <c r="U83" s="23">
        <v>0.45930423509440294</v>
      </c>
      <c r="V83" s="23">
        <v>196.97242513832376</v>
      </c>
      <c r="W83" s="23">
        <v>48.448361893747943</v>
      </c>
      <c r="X83" s="23">
        <v>4.7168139568781801E-4</v>
      </c>
      <c r="Y83" s="23">
        <v>-2.2474588299892741E-4</v>
      </c>
      <c r="Z83">
        <v>0.32083661318117929</v>
      </c>
      <c r="AB83">
        <v>14874.724098293153</v>
      </c>
      <c r="AC83">
        <v>525753.04440708202</v>
      </c>
      <c r="AD83">
        <v>11310.763887601915</v>
      </c>
      <c r="AE83">
        <v>47650.368897803906</v>
      </c>
      <c r="AF83">
        <v>167697.70347256106</v>
      </c>
      <c r="AG83">
        <v>260652.93628859086</v>
      </c>
      <c r="AH83">
        <v>851286.84999983618</v>
      </c>
      <c r="AI83">
        <v>956752.81833964575</v>
      </c>
      <c r="AK83">
        <v>3.1964631055365773E-8</v>
      </c>
      <c r="AL83">
        <v>4.5798975192330883E-3</v>
      </c>
      <c r="AM83">
        <v>3.7563074910079493E-2</v>
      </c>
      <c r="AN83">
        <v>1.1778526685869241E-2</v>
      </c>
      <c r="AP83" s="147">
        <v>2.1489226182711959E-12</v>
      </c>
      <c r="AQ83" s="147">
        <v>6.0797804968326693E-14</v>
      </c>
      <c r="AR83" s="147">
        <v>4.0491496107113138E-7</v>
      </c>
      <c r="AS83" s="147">
        <v>9.6114628809183569E-8</v>
      </c>
      <c r="AT83" s="147">
        <v>2.2399278065382463E-7</v>
      </c>
      <c r="AU83" s="147">
        <v>1.4411145888067128E-7</v>
      </c>
      <c r="AV83" s="147">
        <v>1.3836143111891729E-8</v>
      </c>
      <c r="AW83" s="147">
        <v>1.2310940150988802E-8</v>
      </c>
      <c r="AY83" s="147">
        <v>6.4274603375946596E-7</v>
      </c>
      <c r="AZ83" s="147">
        <v>2.5253708863864864E-7</v>
      </c>
      <c r="BB83">
        <v>4.2020439100848694E-3</v>
      </c>
      <c r="BC83">
        <v>1.0237110444353657E-2</v>
      </c>
      <c r="BD83">
        <v>2.3962450068564834E-2</v>
      </c>
      <c r="BE83">
        <v>4.5865431987667811E-4</v>
      </c>
      <c r="BF83">
        <v>3.8860258742880037E-2</v>
      </c>
      <c r="BG83">
        <v>3.3925573020352623E-2</v>
      </c>
      <c r="BH83">
        <v>1.0385481318608862E-2</v>
      </c>
      <c r="BI83">
        <v>2.4124854632535206E-2</v>
      </c>
      <c r="BJ83">
        <v>4.9253430085499867E-4</v>
      </c>
      <c r="BK83">
        <v>6.8928443272351689E-2</v>
      </c>
    </row>
    <row r="84" spans="1:91" x14ac:dyDescent="0.25">
      <c r="A84">
        <v>81</v>
      </c>
      <c r="B84" s="135">
        <v>40.5</v>
      </c>
      <c r="C84" s="24">
        <v>2.2850911754793562E-11</v>
      </c>
      <c r="D84" s="24">
        <v>9.029084651569672E-6</v>
      </c>
      <c r="E84" s="24">
        <v>3.0291839600491889E-5</v>
      </c>
      <c r="F84" s="24">
        <v>9.5814666431070323E-5</v>
      </c>
      <c r="G84" s="23">
        <v>521.50514775026454</v>
      </c>
      <c r="H84" s="23">
        <v>131.43822552886581</v>
      </c>
      <c r="I84" s="23">
        <v>1.3271365336522331E-3</v>
      </c>
      <c r="J84" s="23">
        <v>-2.571253439988224E-4</v>
      </c>
      <c r="K84">
        <v>1.5032212063331647</v>
      </c>
      <c r="L84" s="23">
        <v>576.07124944921418</v>
      </c>
      <c r="M84" s="23">
        <v>140.11297115183231</v>
      </c>
      <c r="N84" s="23">
        <v>1.4260289188117645E-3</v>
      </c>
      <c r="O84" s="23">
        <v>-4.5214500736412536E-4</v>
      </c>
      <c r="P84" s="23">
        <v>0.84480967164635168</v>
      </c>
      <c r="Q84" s="23">
        <v>302.56922708712835</v>
      </c>
      <c r="R84" s="23">
        <v>73.386212894114436</v>
      </c>
      <c r="S84" s="23">
        <v>7.2054934974310949E-4</v>
      </c>
      <c r="T84" s="23">
        <v>-3.0629991699250179E-4</v>
      </c>
      <c r="U84" s="23">
        <v>0.46434174628918956</v>
      </c>
      <c r="V84" s="23">
        <v>199.7223819509741</v>
      </c>
      <c r="W84" s="23">
        <v>49.05396641741978</v>
      </c>
      <c r="X84" s="23">
        <v>4.7757741313391561E-4</v>
      </c>
      <c r="Y84" s="23">
        <v>-2.2705685479758954E-4</v>
      </c>
      <c r="Z84">
        <v>0.32440493042005569</v>
      </c>
      <c r="AB84">
        <v>14304.472153622271</v>
      </c>
      <c r="AC84">
        <v>534911.80403210153</v>
      </c>
      <c r="AD84">
        <v>10769.153334509816</v>
      </c>
      <c r="AE84">
        <v>46699.072242363654</v>
      </c>
      <c r="AF84">
        <v>159667.57864344947</v>
      </c>
      <c r="AG84">
        <v>251161.79041180853</v>
      </c>
      <c r="AH84">
        <v>810523.3837786176</v>
      </c>
      <c r="AI84">
        <v>915390.79222345748</v>
      </c>
      <c r="AK84">
        <v>2.45125325196797E-8</v>
      </c>
      <c r="AL84">
        <v>3.8742564589023675E-3</v>
      </c>
      <c r="AM84">
        <v>2.7852456751804824E-2</v>
      </c>
      <c r="AN84">
        <v>8.8098771423464721E-3</v>
      </c>
      <c r="AP84" s="147">
        <v>1.7136271968953763E-12</v>
      </c>
      <c r="AQ84" s="147">
        <v>4.5825372210721742E-14</v>
      </c>
      <c r="AR84" s="147">
        <v>3.597549722397665E-7</v>
      </c>
      <c r="AS84" s="147">
        <v>8.2962171899162197E-8</v>
      </c>
      <c r="AT84" s="147">
        <v>1.7444027765963434E-7</v>
      </c>
      <c r="AU84" s="147">
        <v>1.1089448242161966E-7</v>
      </c>
      <c r="AV84" s="147">
        <v>1.0869368260882599E-8</v>
      </c>
      <c r="AW84" s="147">
        <v>9.6241705916087908E-9</v>
      </c>
      <c r="AY84" s="147">
        <v>5.4506633178748031E-7</v>
      </c>
      <c r="AZ84" s="147">
        <v>2.0348087073776286E-7</v>
      </c>
      <c r="BB84">
        <v>4.2020439117984969E-3</v>
      </c>
      <c r="BC84">
        <v>1.0237470199325896E-2</v>
      </c>
      <c r="BD84">
        <v>2.3962624508842494E-2</v>
      </c>
      <c r="BE84">
        <v>4.5866518924493897E-4</v>
      </c>
      <c r="BF84">
        <v>3.8860803809211822E-2</v>
      </c>
      <c r="BG84">
        <v>3.3925573020398447E-2</v>
      </c>
      <c r="BH84">
        <v>1.0385564280780761E-2</v>
      </c>
      <c r="BI84">
        <v>2.4124965527017629E-2</v>
      </c>
      <c r="BJ84">
        <v>4.9254392502559032E-4</v>
      </c>
      <c r="BK84">
        <v>6.8928646753222439E-2</v>
      </c>
    </row>
    <row r="85" spans="1:91" x14ac:dyDescent="0.25">
      <c r="A85">
        <v>82</v>
      </c>
      <c r="B85" s="135">
        <v>41</v>
      </c>
      <c r="C85" s="24">
        <v>1.7558987918586076E-11</v>
      </c>
      <c r="D85" s="24">
        <v>7.6463959104290298E-6</v>
      </c>
      <c r="E85" s="24">
        <v>2.2458312034260322E-5</v>
      </c>
      <c r="F85" s="24">
        <v>7.1649576381821223E-5</v>
      </c>
      <c r="G85" s="23">
        <v>522.78545106678291</v>
      </c>
      <c r="H85" s="23">
        <v>132.7642179963847</v>
      </c>
      <c r="I85" s="23">
        <v>1.3401378425575341E-3</v>
      </c>
      <c r="J85" s="23">
        <v>-2.5608983015581104E-4</v>
      </c>
      <c r="K85">
        <v>1.5183211751790793</v>
      </c>
      <c r="L85" s="23">
        <v>581.43789625257784</v>
      </c>
      <c r="M85" s="23">
        <v>141.8427609191389</v>
      </c>
      <c r="N85" s="23">
        <v>1.4436342141057371E-3</v>
      </c>
      <c r="O85" s="23">
        <v>-4.5403312434914449E-4</v>
      </c>
      <c r="P85" s="23">
        <v>0.85364104123799633</v>
      </c>
      <c r="Q85" s="23">
        <v>306.43593353419897</v>
      </c>
      <c r="R85" s="23">
        <v>74.292215522436848</v>
      </c>
      <c r="S85" s="23">
        <v>7.2944502072759239E-4</v>
      </c>
      <c r="T85" s="23">
        <v>-3.0890198219097752E-4</v>
      </c>
      <c r="U85" s="23">
        <v>0.46936906618163343</v>
      </c>
      <c r="V85" s="23">
        <v>202.45743394874958</v>
      </c>
      <c r="W85" s="23">
        <v>49.659570941091616</v>
      </c>
      <c r="X85" s="23">
        <v>4.8347343058001316E-4</v>
      </c>
      <c r="Y85" s="23">
        <v>-2.2935317784261478E-4</v>
      </c>
      <c r="Z85">
        <v>0.32796725538766203</v>
      </c>
      <c r="AB85">
        <v>13764.107791559565</v>
      </c>
      <c r="AC85">
        <v>544318.64818944107</v>
      </c>
      <c r="AD85">
        <v>10259.652902629532</v>
      </c>
      <c r="AE85">
        <v>45865.900283948722</v>
      </c>
      <c r="AF85">
        <v>152113.53073000512</v>
      </c>
      <c r="AG85">
        <v>242149.00289166174</v>
      </c>
      <c r="AH85">
        <v>772176.63531502965</v>
      </c>
      <c r="AI85">
        <v>876450.74879953463</v>
      </c>
      <c r="AK85">
        <v>1.8835802570403501E-8</v>
      </c>
      <c r="AL85">
        <v>3.2809636731176597E-3</v>
      </c>
      <c r="AM85">
        <v>2.0649758248509148E-2</v>
      </c>
      <c r="AN85">
        <v>6.5879680923287554E-3</v>
      </c>
      <c r="AP85" s="147">
        <v>1.3684724688042625E-12</v>
      </c>
      <c r="AQ85" s="147">
        <v>3.4604367557600217E-14</v>
      </c>
      <c r="AR85" s="147">
        <v>3.1979285305809461E-7</v>
      </c>
      <c r="AS85" s="147">
        <v>7.1533833475538895E-8</v>
      </c>
      <c r="AT85" s="147">
        <v>1.3575227758772864E-7</v>
      </c>
      <c r="AU85" s="147">
        <v>8.527707321490776E-8</v>
      </c>
      <c r="AV85" s="147">
        <v>8.5316853567332052E-9</v>
      </c>
      <c r="AW85" s="147">
        <v>7.5166438061148626E-9</v>
      </c>
      <c r="AY85" s="147">
        <v>4.6407818447502533E-7</v>
      </c>
      <c r="AZ85" s="147">
        <v>1.6432758510092908E-7</v>
      </c>
      <c r="BB85">
        <v>4.202043913166969E-3</v>
      </c>
      <c r="BC85">
        <v>1.0237789992178954E-2</v>
      </c>
      <c r="BD85">
        <v>2.3962760261120084E-2</v>
      </c>
      <c r="BE85">
        <v>4.586737209302957E-4</v>
      </c>
      <c r="BF85">
        <v>3.88612678873963E-2</v>
      </c>
      <c r="BG85">
        <v>3.3925573020433052E-2</v>
      </c>
      <c r="BH85">
        <v>1.0385635814614236E-2</v>
      </c>
      <c r="BI85">
        <v>2.4125050804090845E-2</v>
      </c>
      <c r="BJ85">
        <v>4.925514416693964E-4</v>
      </c>
      <c r="BK85">
        <v>6.8928811080807534E-2</v>
      </c>
    </row>
    <row r="86" spans="1:91" x14ac:dyDescent="0.25">
      <c r="A86">
        <v>83</v>
      </c>
      <c r="B86" s="135">
        <v>41.5</v>
      </c>
      <c r="C86" s="24">
        <v>1.3519420775686371E-11</v>
      </c>
      <c r="D86" s="24">
        <v>6.4825159525540769E-6</v>
      </c>
      <c r="E86" s="24">
        <v>1.6649404952335431E-5</v>
      </c>
      <c r="F86" s="24">
        <v>5.3569820296722287E-5</v>
      </c>
      <c r="G86" s="23">
        <v>524.03840108026225</v>
      </c>
      <c r="H86" s="23">
        <v>134.08422968347341</v>
      </c>
      <c r="I86" s="23">
        <v>1.3530716824279069E-3</v>
      </c>
      <c r="J86" s="23">
        <v>-2.5504930347531728E-4</v>
      </c>
      <c r="K86">
        <v>1.5333762300680798</v>
      </c>
      <c r="L86" s="23">
        <v>586.74716314371233</v>
      </c>
      <c r="M86" s="23">
        <v>143.57255068644545</v>
      </c>
      <c r="N86" s="23">
        <v>1.4612395093997093E-3</v>
      </c>
      <c r="O86" s="23">
        <v>-4.5589200001833381E-4</v>
      </c>
      <c r="P86" s="23">
        <v>0.86244998465252243</v>
      </c>
      <c r="Q86" s="23">
        <v>310.28297427443681</v>
      </c>
      <c r="R86" s="23">
        <v>75.198218150759246</v>
      </c>
      <c r="S86" s="23">
        <v>7.3834069171207519E-4</v>
      </c>
      <c r="T86" s="23">
        <v>-3.1148716309179847E-4</v>
      </c>
      <c r="U86" s="23">
        <v>0.47438628742208894</v>
      </c>
      <c r="V86" s="23">
        <v>205.17717989910034</v>
      </c>
      <c r="W86" s="23">
        <v>50.265175464763466</v>
      </c>
      <c r="X86" s="23">
        <v>4.8936944802611092E-4</v>
      </c>
      <c r="Y86" s="23">
        <v>-2.3163462977061214E-4</v>
      </c>
      <c r="Z86">
        <v>0.33152363552068742</v>
      </c>
      <c r="AB86">
        <v>13251.690833131503</v>
      </c>
      <c r="AC86">
        <v>553977.0781042052</v>
      </c>
      <c r="AD86">
        <v>9780.0014754873573</v>
      </c>
      <c r="AE86">
        <v>45063.443195384098</v>
      </c>
      <c r="AF86">
        <v>145002.03555616908</v>
      </c>
      <c r="AG86">
        <v>233585.90092019684</v>
      </c>
      <c r="AH86">
        <v>736076.42523484479</v>
      </c>
      <c r="AI86">
        <v>839763.55226324231</v>
      </c>
      <c r="AK86">
        <v>1.4502495347553338E-8</v>
      </c>
      <c r="AL86">
        <v>2.7815587369373184E-3</v>
      </c>
      <c r="AM86">
        <v>1.530863881144668E-2</v>
      </c>
      <c r="AN86">
        <v>4.925587625890457E-3</v>
      </c>
      <c r="AP86" s="147">
        <v>1.0943882958161542E-12</v>
      </c>
      <c r="AQ86" s="147">
        <v>2.6178872593759851E-14</v>
      </c>
      <c r="AR86" s="147">
        <v>2.8441291587828802E-7</v>
      </c>
      <c r="AS86" s="147">
        <v>6.1725392906111468E-8</v>
      </c>
      <c r="AT86" s="147">
        <v>1.0557533728908661E-7</v>
      </c>
      <c r="AU86" s="147">
        <v>6.5537512114983258E-8</v>
      </c>
      <c r="AV86" s="147">
        <v>6.6916796368243298E-9</v>
      </c>
      <c r="AW86" s="147">
        <v>5.8654458300976885E-9</v>
      </c>
      <c r="AY86" s="147">
        <v>3.966810271924948E-7</v>
      </c>
      <c r="AZ86" s="147">
        <v>1.33128377030065E-7</v>
      </c>
      <c r="BB86">
        <v>4.2020439142613575E-3</v>
      </c>
      <c r="BC86">
        <v>1.0238074405094832E-2</v>
      </c>
      <c r="BD86">
        <v>2.3962865836457372E-2</v>
      </c>
      <c r="BE86">
        <v>4.5868041260993254E-4</v>
      </c>
      <c r="BF86">
        <v>3.8861664568423493E-2</v>
      </c>
      <c r="BG86">
        <v>3.3925573020459232E-2</v>
      </c>
      <c r="BH86">
        <v>1.0385697540007142E-2</v>
      </c>
      <c r="BI86">
        <v>2.412511634160296E-2</v>
      </c>
      <c r="BJ86">
        <v>4.925573071152265E-4</v>
      </c>
      <c r="BK86">
        <v>6.8928944209184564E-2</v>
      </c>
    </row>
    <row r="87" spans="1:91" x14ac:dyDescent="0.25">
      <c r="A87">
        <v>84</v>
      </c>
      <c r="B87" s="135">
        <v>42</v>
      </c>
      <c r="C87" s="24">
        <v>1.0429534487160752E-11</v>
      </c>
      <c r="D87" s="24">
        <v>5.5017087200092221E-6</v>
      </c>
      <c r="E87" s="24">
        <v>1.2342703202141172E-5</v>
      </c>
      <c r="F87" s="24">
        <v>4.0047239497734563E-5</v>
      </c>
      <c r="G87" s="23">
        <v>525.26480900904039</v>
      </c>
      <c r="H87" s="23">
        <v>135.39829828826169</v>
      </c>
      <c r="I87" s="23">
        <v>1.3659385023819816E-3</v>
      </c>
      <c r="J87" s="23">
        <v>-2.5400425754058521E-4</v>
      </c>
      <c r="K87">
        <v>1.5483869252348026</v>
      </c>
      <c r="L87" s="23">
        <v>592.154338438737</v>
      </c>
      <c r="M87" s="23">
        <v>145.30234045375204</v>
      </c>
      <c r="N87" s="23">
        <v>1.4788448046936819E-3</v>
      </c>
      <c r="O87" s="23">
        <v>-4.5750494061650224E-4</v>
      </c>
      <c r="P87" s="23">
        <v>0.8712367575399903</v>
      </c>
      <c r="Q87" s="23">
        <v>314.10974289499796</v>
      </c>
      <c r="R87" s="23">
        <v>76.104220779081658</v>
      </c>
      <c r="S87" s="23">
        <v>7.4723636269655809E-4</v>
      </c>
      <c r="T87" s="23">
        <v>-3.140552468027611E-4</v>
      </c>
      <c r="U87" s="23">
        <v>0.47939350114242379</v>
      </c>
      <c r="V87" s="23">
        <v>207.88126556859106</v>
      </c>
      <c r="W87" s="23">
        <v>50.870779988435331</v>
      </c>
      <c r="X87" s="23">
        <v>4.9526546547220879E-4</v>
      </c>
      <c r="Y87" s="23">
        <v>-2.3390102113849954E-4</v>
      </c>
      <c r="Z87">
        <v>0.33507411745700938</v>
      </c>
      <c r="AB87">
        <v>12765.429896045585</v>
      </c>
      <c r="AC87">
        <v>563890.76813669922</v>
      </c>
      <c r="AD87">
        <v>9328.1217374616572</v>
      </c>
      <c r="AE87">
        <v>44381.122484201835</v>
      </c>
      <c r="AF87">
        <v>138302.29404748499</v>
      </c>
      <c r="AG87">
        <v>225445.69018533148</v>
      </c>
      <c r="AH87">
        <v>702066.40764581936</v>
      </c>
      <c r="AI87">
        <v>805173.25199839298</v>
      </c>
      <c r="AK87">
        <v>1.1187925717144256E-8</v>
      </c>
      <c r="AL87">
        <v>2.3607077977488744E-3</v>
      </c>
      <c r="AM87">
        <v>1.1348753052700621E-2</v>
      </c>
      <c r="AN87">
        <v>3.6822260412395337E-3</v>
      </c>
      <c r="AP87" s="147">
        <v>8.7642373255365255E-13</v>
      </c>
      <c r="AQ87" s="147">
        <v>1.9840590322330057E-14</v>
      </c>
      <c r="AR87" s="147">
        <v>2.5307429128720439E-7</v>
      </c>
      <c r="AS87" s="147">
        <v>5.319171002466659E-8</v>
      </c>
      <c r="AT87" s="147">
        <v>8.2057590807598006E-8</v>
      </c>
      <c r="AU87" s="147">
        <v>5.0339188313474458E-8</v>
      </c>
      <c r="AV87" s="147">
        <v>5.2448400908210872E-9</v>
      </c>
      <c r="AW87" s="147">
        <v>4.5732095944574213E-9</v>
      </c>
      <c r="AY87" s="147">
        <v>3.4037759860935603E-7</v>
      </c>
      <c r="AZ87" s="147">
        <v>1.081041277731888E-7</v>
      </c>
      <c r="BB87">
        <v>4.2020439151377815E-3</v>
      </c>
      <c r="BC87">
        <v>1.023832747938612E-2</v>
      </c>
      <c r="BD87">
        <v>2.3962947894048181E-2</v>
      </c>
      <c r="BE87">
        <v>4.5868565745002337E-4</v>
      </c>
      <c r="BF87">
        <v>3.8862004946022106E-2</v>
      </c>
      <c r="BG87">
        <v>3.392557302047907E-2</v>
      </c>
      <c r="BH87">
        <v>1.0385750731717167E-2</v>
      </c>
      <c r="BI87">
        <v>2.4125166680791274E-2</v>
      </c>
      <c r="BJ87">
        <v>4.9256188032482094E-4</v>
      </c>
      <c r="BK87">
        <v>6.8929052313312325E-2</v>
      </c>
    </row>
    <row r="88" spans="1:91" x14ac:dyDescent="0.25">
      <c r="A88">
        <v>85</v>
      </c>
      <c r="B88" s="135">
        <v>42.5</v>
      </c>
      <c r="C88" s="24">
        <v>8.0613158843452606E-12</v>
      </c>
      <c r="D88" s="24">
        <v>4.6742542218112155E-6</v>
      </c>
      <c r="E88" s="24">
        <v>9.1501979430108631E-6</v>
      </c>
      <c r="F88" s="24">
        <v>2.9935776477707737E-5</v>
      </c>
      <c r="G88" s="23">
        <v>526.46545539928763</v>
      </c>
      <c r="H88" s="23">
        <v>136.70646120391774</v>
      </c>
      <c r="I88" s="23">
        <v>1.3787387477980349E-3</v>
      </c>
      <c r="J88" s="23">
        <v>-2.5295516002698843E-4</v>
      </c>
      <c r="K88">
        <v>1.5633538015455857</v>
      </c>
      <c r="L88" s="23">
        <v>597.59437188461675</v>
      </c>
      <c r="M88" s="23">
        <v>147.03213022105862</v>
      </c>
      <c r="N88" s="23">
        <v>1.4964500999876545E-3</v>
      </c>
      <c r="O88" s="23">
        <v>-4.5896115165955929E-4</v>
      </c>
      <c r="P88" s="23">
        <v>0.88000161034331403</v>
      </c>
      <c r="Q88" s="23">
        <v>317.91569990121968</v>
      </c>
      <c r="R88" s="23">
        <v>77.010223407404041</v>
      </c>
      <c r="S88" s="23">
        <v>7.5613203368104078E-4</v>
      </c>
      <c r="T88" s="23">
        <v>-3.1660605440602963E-4</v>
      </c>
      <c r="U88" s="23">
        <v>0.48439079699542947</v>
      </c>
      <c r="V88" s="23">
        <v>210.56937981303531</v>
      </c>
      <c r="W88" s="23">
        <v>51.476384512107174</v>
      </c>
      <c r="X88" s="23">
        <v>5.0116148291830644E-4</v>
      </c>
      <c r="Y88" s="23">
        <v>-2.3615219256843337E-4</v>
      </c>
      <c r="Z88">
        <v>0.33861874706177086</v>
      </c>
      <c r="AB88">
        <v>12303.669306258906</v>
      </c>
      <c r="AC88">
        <v>574063.56314533169</v>
      </c>
      <c r="AD88">
        <v>8902.1032814312402</v>
      </c>
      <c r="AE88">
        <v>43776.000932566974</v>
      </c>
      <c r="AF88">
        <v>131985.98177864385</v>
      </c>
      <c r="AG88">
        <v>217703.33240160529</v>
      </c>
      <c r="AH88">
        <v>670002.79876141448</v>
      </c>
      <c r="AI88">
        <v>772535.99733812828</v>
      </c>
      <c r="AK88">
        <v>8.647500366149346E-9</v>
      </c>
      <c r="AL88">
        <v>2.0056584148045987E-3</v>
      </c>
      <c r="AM88">
        <v>8.4133382402442509E-3</v>
      </c>
      <c r="AN88">
        <v>2.7525067169030951E-3</v>
      </c>
      <c r="AP88" s="147">
        <v>7.028391409829539E-13</v>
      </c>
      <c r="AQ88" s="147">
        <v>1.5063663540617572E-14</v>
      </c>
      <c r="AR88" s="147">
        <v>2.2530163393949502E-7</v>
      </c>
      <c r="AS88" s="147">
        <v>4.581639190601573E-8</v>
      </c>
      <c r="AT88" s="147">
        <v>6.3744180456636808E-8</v>
      </c>
      <c r="AU88" s="147">
        <v>3.8645886341895119E-8</v>
      </c>
      <c r="AV88" s="147">
        <v>4.1082018194423287E-9</v>
      </c>
      <c r="AW88" s="147">
        <v>3.5629494630505367E-9</v>
      </c>
      <c r="AY88" s="147">
        <v>2.9315471905471512E-7</v>
      </c>
      <c r="AZ88" s="147">
        <v>8.8025242774624918E-8</v>
      </c>
      <c r="BB88">
        <v>4.2020439158406203E-3</v>
      </c>
      <c r="BC88">
        <v>1.0238552781020059E-2</v>
      </c>
      <c r="BD88">
        <v>2.3963011638228636E-2</v>
      </c>
      <c r="BE88">
        <v>4.5868976565184279E-4</v>
      </c>
      <c r="BF88">
        <v>3.8862298100741162E-2</v>
      </c>
      <c r="BG88">
        <v>3.3925573020494135E-2</v>
      </c>
      <c r="BH88">
        <v>1.0385796548109073E-2</v>
      </c>
      <c r="BI88">
        <v>2.4125205326677616E-2</v>
      </c>
      <c r="BJ88">
        <v>4.9256544327428396E-4</v>
      </c>
      <c r="BK88">
        <v>6.89291403385551E-2</v>
      </c>
    </row>
    <row r="89" spans="1:91" x14ac:dyDescent="0.25">
      <c r="A89">
        <v>86</v>
      </c>
      <c r="B89" s="135">
        <v>43</v>
      </c>
      <c r="C89" s="24">
        <v>6.2426275466839757E-12</v>
      </c>
      <c r="D89" s="24">
        <v>3.9754058221030537E-6</v>
      </c>
      <c r="E89" s="24">
        <v>6.7838605466171425E-6</v>
      </c>
      <c r="F89" s="24">
        <v>2.2376523304858801E-5</v>
      </c>
      <c r="G89" s="23">
        <v>527.64109153062145</v>
      </c>
      <c r="H89" s="23">
        <v>138.00875552165851</v>
      </c>
      <c r="I89" s="23">
        <v>1.3914728603515918E-3</v>
      </c>
      <c r="J89" s="23">
        <v>-2.5190245410062031E-4</v>
      </c>
      <c r="K89">
        <v>1.5782773869552991</v>
      </c>
      <c r="L89" s="23">
        <v>602.97761956646161</v>
      </c>
      <c r="M89" s="23">
        <v>148.76191998836518</v>
      </c>
      <c r="N89" s="23">
        <v>1.5140553952816267E-3</v>
      </c>
      <c r="O89" s="23">
        <v>-4.6038786696139648E-4</v>
      </c>
      <c r="P89" s="23">
        <v>0.88874478844388261</v>
      </c>
      <c r="Q89" s="23">
        <v>321.70036726846394</v>
      </c>
      <c r="R89" s="23">
        <v>77.916226035726439</v>
      </c>
      <c r="S89" s="23">
        <v>7.6502770466552357E-4</v>
      </c>
      <c r="T89" s="23">
        <v>-3.1913943800859735E-4</v>
      </c>
      <c r="U89" s="23">
        <v>0.48937826319262473</v>
      </c>
      <c r="V89" s="23">
        <v>213.24125100016519</v>
      </c>
      <c r="W89" s="23">
        <v>52.081989035779017</v>
      </c>
      <c r="X89" s="23">
        <v>5.0705750036440409E-4</v>
      </c>
      <c r="Y89" s="23">
        <v>-2.3838801214000395E-4</v>
      </c>
      <c r="Z89">
        <v>0.3421575694520968</v>
      </c>
      <c r="AB89">
        <v>11864.877303083478</v>
      </c>
      <c r="AC89">
        <v>584499.47631037375</v>
      </c>
      <c r="AD89">
        <v>8500.1874441813106</v>
      </c>
      <c r="AE89">
        <v>43192.960363852901</v>
      </c>
      <c r="AF89">
        <v>126027.02413742345</v>
      </c>
      <c r="AG89">
        <v>210335.42919561418</v>
      </c>
      <c r="AH89">
        <v>639753.23556148098</v>
      </c>
      <c r="AI89">
        <v>741719.03984853462</v>
      </c>
      <c r="AK89">
        <v>6.6965647755494416E-9</v>
      </c>
      <c r="AL89">
        <v>1.7057921458697696E-3</v>
      </c>
      <c r="AM89">
        <v>6.2375605105825533E-3</v>
      </c>
      <c r="AN89">
        <v>2.0574555914201135E-3</v>
      </c>
      <c r="AP89" s="147">
        <v>5.6440236207155038E-13</v>
      </c>
      <c r="AQ89" s="147">
        <v>1.1456921771463682E-14</v>
      </c>
      <c r="AR89" s="147">
        <v>2.0067700354507439E-7</v>
      </c>
      <c r="AS89" s="147">
        <v>3.9492364762691843E-8</v>
      </c>
      <c r="AT89" s="147">
        <v>4.9493833193910382E-8</v>
      </c>
      <c r="AU89" s="147">
        <v>2.9655301222608368E-8</v>
      </c>
      <c r="AV89" s="147">
        <v>3.2160143584336586E-9</v>
      </c>
      <c r="AW89" s="147">
        <v>2.7739015461167934E-9</v>
      </c>
      <c r="AY89" s="147">
        <v>2.5338741549978053E-7</v>
      </c>
      <c r="AZ89" s="147">
        <v>7.1921578988338774E-8</v>
      </c>
      <c r="BB89">
        <v>4.202043916405023E-3</v>
      </c>
      <c r="BC89">
        <v>1.0238753458023605E-2</v>
      </c>
      <c r="BD89">
        <v>2.3963061132061831E-2</v>
      </c>
      <c r="BE89">
        <v>4.586929816662012E-4</v>
      </c>
      <c r="BF89">
        <v>3.8862551488156663E-2</v>
      </c>
      <c r="BG89">
        <v>3.3925573020505591E-2</v>
      </c>
      <c r="BH89">
        <v>1.0385836040473835E-2</v>
      </c>
      <c r="BI89">
        <v>2.4125234981978837E-2</v>
      </c>
      <c r="BJ89">
        <v>4.9256821717583003E-4</v>
      </c>
      <c r="BK89">
        <v>6.8929212260134098E-2</v>
      </c>
    </row>
    <row r="90" spans="1:91" x14ac:dyDescent="0.25">
      <c r="A90">
        <v>87</v>
      </c>
      <c r="B90" s="135">
        <v>43.5</v>
      </c>
      <c r="C90" s="24">
        <v>4.8432402855673834E-12</v>
      </c>
      <c r="D90" s="24">
        <v>3.3845333773468678E-6</v>
      </c>
      <c r="E90" s="24">
        <v>5.0299784034838928E-6</v>
      </c>
      <c r="F90" s="24">
        <v>1.6726164839667807E-5</v>
      </c>
      <c r="G90" s="23">
        <v>528.79244074622318</v>
      </c>
      <c r="H90" s="23">
        <v>139.30521803372415</v>
      </c>
      <c r="I90" s="23">
        <v>1.4041412780525626E-3</v>
      </c>
      <c r="J90" s="23">
        <v>-2.5084655973390505E-4</v>
      </c>
      <c r="K90">
        <v>1.5931581969445443</v>
      </c>
      <c r="L90" s="23">
        <v>608.3048408643748</v>
      </c>
      <c r="M90" s="23">
        <v>150.49170975567176</v>
      </c>
      <c r="N90" s="23">
        <v>1.5316606905755991E-3</v>
      </c>
      <c r="O90" s="23">
        <v>-4.6178602849324672E-4</v>
      </c>
      <c r="P90" s="23">
        <v>0.89746653230199813</v>
      </c>
      <c r="Q90" s="23">
        <v>325.46332345003469</v>
      </c>
      <c r="R90" s="23">
        <v>78.822228664048851</v>
      </c>
      <c r="S90" s="23">
        <v>7.7392337565000647E-4</v>
      </c>
      <c r="T90" s="23">
        <v>-3.2165527804659975E-4</v>
      </c>
      <c r="U90" s="23">
        <v>0.49435598654054558</v>
      </c>
      <c r="V90" s="23">
        <v>215.89664373431373</v>
      </c>
      <c r="W90" s="23">
        <v>52.687593559450875</v>
      </c>
      <c r="X90" s="23">
        <v>5.1295351781050185E-4</v>
      </c>
      <c r="Y90" s="23">
        <v>-2.4060837300675581E-4</v>
      </c>
      <c r="Z90">
        <v>0.34569062902054526</v>
      </c>
      <c r="AB90">
        <v>11447.635396370433</v>
      </c>
      <c r="AC90">
        <v>595202.68738208443</v>
      </c>
      <c r="AD90">
        <v>8120.7536753323584</v>
      </c>
      <c r="AE90">
        <v>42630.838949422476</v>
      </c>
      <c r="AF90">
        <v>120401.3942252249</v>
      </c>
      <c r="AG90">
        <v>203320.11243596664</v>
      </c>
      <c r="AH90">
        <v>611195.74987114209</v>
      </c>
      <c r="AI90">
        <v>712599.81737805915</v>
      </c>
      <c r="AK90">
        <v>5.1954200460158319E-9</v>
      </c>
      <c r="AL90">
        <v>1.452256879137486E-3</v>
      </c>
      <c r="AM90">
        <v>4.6249173966731441E-3</v>
      </c>
      <c r="AN90">
        <v>1.5379217273184069E-3</v>
      </c>
      <c r="AP90" s="147">
        <v>4.5384220112942124E-13</v>
      </c>
      <c r="AQ90" s="147">
        <v>8.7288249131857229E-15</v>
      </c>
      <c r="AR90" s="147">
        <v>1.7883277060217558E-7</v>
      </c>
      <c r="AS90" s="147">
        <v>3.4065876133952082E-8</v>
      </c>
      <c r="AT90" s="147">
        <v>3.8412490373838154E-8</v>
      </c>
      <c r="AU90" s="147">
        <v>2.2746974420101746E-8</v>
      </c>
      <c r="AV90" s="147">
        <v>2.5162506899674052E-9</v>
      </c>
      <c r="AW90" s="147">
        <v>2.1581842849427587E-9</v>
      </c>
      <c r="AY90" s="147">
        <v>2.1976196550818227E-7</v>
      </c>
      <c r="AZ90" s="147">
        <v>5.8971043567821509E-8</v>
      </c>
      <c r="BB90">
        <v>4.2020439168588648E-3</v>
      </c>
      <c r="BC90">
        <v>1.0238932290794207E-2</v>
      </c>
      <c r="BD90">
        <v>2.3963099544552204E-2</v>
      </c>
      <c r="BE90">
        <v>4.5869549791689116E-4</v>
      </c>
      <c r="BF90">
        <v>3.886277125012217E-2</v>
      </c>
      <c r="BG90">
        <v>3.392557302051432E-2</v>
      </c>
      <c r="BH90">
        <v>1.0385870106349969E-2</v>
      </c>
      <c r="BI90">
        <v>2.4125257728953256E-2</v>
      </c>
      <c r="BJ90">
        <v>4.9257037536011496E-4</v>
      </c>
      <c r="BK90">
        <v>6.8929271231177661E-2</v>
      </c>
    </row>
    <row r="91" spans="1:91" x14ac:dyDescent="0.25">
      <c r="A91">
        <v>88</v>
      </c>
      <c r="B91" s="135">
        <v>44</v>
      </c>
      <c r="C91" s="24">
        <v>3.7644252815713704E-12</v>
      </c>
      <c r="D91" s="24">
        <v>2.8844181962358718E-6</v>
      </c>
      <c r="E91" s="24">
        <v>3.7300420136029055E-6</v>
      </c>
      <c r="F91" s="24">
        <v>1.2503118946896607E-5</v>
      </c>
      <c r="G91" s="23">
        <v>529.92019971209868</v>
      </c>
      <c r="H91" s="23">
        <v>140.59588523631803</v>
      </c>
      <c r="I91" s="23">
        <v>1.4167444352819526E-3</v>
      </c>
      <c r="J91" s="23">
        <v>-2.4978787494368739E-4</v>
      </c>
      <c r="K91">
        <v>1.6079967349382416</v>
      </c>
      <c r="L91" s="23">
        <v>613.57679460097211</v>
      </c>
      <c r="M91" s="23">
        <v>152.22149952297832</v>
      </c>
      <c r="N91" s="23">
        <v>1.5492659858695715E-3</v>
      </c>
      <c r="O91" s="23">
        <v>-4.6315653753766216E-4</v>
      </c>
      <c r="P91" s="23">
        <v>0.90616707759236581</v>
      </c>
      <c r="Q91" s="23">
        <v>329.20419879988168</v>
      </c>
      <c r="R91" s="23">
        <v>79.728231292371248</v>
      </c>
      <c r="S91" s="23">
        <v>7.8281904663448938E-4</v>
      </c>
      <c r="T91" s="23">
        <v>-3.2415348082012144E-4</v>
      </c>
      <c r="U91" s="23">
        <v>0.49932405247561185</v>
      </c>
      <c r="V91" s="23">
        <v>218.53535585563907</v>
      </c>
      <c r="W91" s="23">
        <v>53.293198083122718</v>
      </c>
      <c r="X91" s="23">
        <v>5.1884953525659961E-4</v>
      </c>
      <c r="Y91" s="23">
        <v>-2.4281319121640543E-4</v>
      </c>
      <c r="Z91">
        <v>0.34921796945737554</v>
      </c>
      <c r="AB91">
        <v>11050.628751228451</v>
      </c>
      <c r="AC91">
        <v>606177.54132067156</v>
      </c>
      <c r="AD91">
        <v>7762.3072693185031</v>
      </c>
      <c r="AE91">
        <v>42088.553309028881</v>
      </c>
      <c r="AF91">
        <v>115086.93096669941</v>
      </c>
      <c r="AG91">
        <v>196636.94097825247</v>
      </c>
      <c r="AH91">
        <v>584217.84502744058</v>
      </c>
      <c r="AI91">
        <v>685065.11412450694</v>
      </c>
      <c r="AK91">
        <v>4.0381582197946855E-9</v>
      </c>
      <c r="AL91">
        <v>1.237664310191135E-3</v>
      </c>
      <c r="AM91">
        <v>3.429664069150917E-3</v>
      </c>
      <c r="AN91">
        <v>1.1496250618118762E-3</v>
      </c>
      <c r="AP91" s="147">
        <v>3.6542338998998415E-13</v>
      </c>
      <c r="AQ91" s="147">
        <v>6.6616757377661989E-15</v>
      </c>
      <c r="AR91" s="147">
        <v>1.59445415808668E-7</v>
      </c>
      <c r="AS91" s="147">
        <v>2.9406197478534621E-8</v>
      </c>
      <c r="AT91" s="147">
        <v>2.9800638876566237E-8</v>
      </c>
      <c r="AU91" s="147">
        <v>1.744160609948783E-8</v>
      </c>
      <c r="AV91" s="147">
        <v>1.9678020306926408E-9</v>
      </c>
      <c r="AW91" s="147">
        <v>1.6781252440230636E-9</v>
      </c>
      <c r="AY91" s="147">
        <v>1.9121422213931687E-7</v>
      </c>
      <c r="AZ91" s="147">
        <v>4.8525935483721249E-8</v>
      </c>
      <c r="BB91">
        <v>4.2020439172242878E-3</v>
      </c>
      <c r="BC91">
        <v>1.0239091736210015E-2</v>
      </c>
      <c r="BD91">
        <v>2.396312934519108E-2</v>
      </c>
      <c r="BE91">
        <v>4.5869746571892186E-4</v>
      </c>
      <c r="BF91">
        <v>3.8862962464344307E-2</v>
      </c>
      <c r="BG91">
        <v>3.3925573020520981E-2</v>
      </c>
      <c r="BH91">
        <v>1.0385899512547448E-2</v>
      </c>
      <c r="BI91">
        <v>2.4125275170559356E-2</v>
      </c>
      <c r="BJ91">
        <v>4.9257205348535898E-4</v>
      </c>
      <c r="BK91">
        <v>6.8929319757113153E-2</v>
      </c>
    </row>
    <row r="92" spans="1:91" x14ac:dyDescent="0.25">
      <c r="A92">
        <v>89</v>
      </c>
      <c r="B92" s="135">
        <v>44.5</v>
      </c>
      <c r="C92" s="24">
        <v>2.9311814794537881E-12</v>
      </c>
      <c r="D92" s="24">
        <v>2.4606721882984723E-6</v>
      </c>
      <c r="E92" s="24">
        <v>2.7665239079837645E-6</v>
      </c>
      <c r="F92" s="24">
        <v>9.3470420202927888E-6</v>
      </c>
      <c r="G92" s="23">
        <v>531.02503960980016</v>
      </c>
      <c r="H92" s="23">
        <v>141.88079333251343</v>
      </c>
      <c r="I92" s="23">
        <v>1.4292827628281442E-3</v>
      </c>
      <c r="J92" s="23">
        <v>-2.4872677695685362E-4</v>
      </c>
      <c r="K92">
        <v>1.6227934927065391</v>
      </c>
      <c r="L92" s="23">
        <v>618.79423774088889</v>
      </c>
      <c r="M92" s="23">
        <v>153.9512892902849</v>
      </c>
      <c r="N92" s="23">
        <v>1.5668712811635439E-3</v>
      </c>
      <c r="O92" s="23">
        <v>-4.6450025689093275E-4</v>
      </c>
      <c r="P92" s="23">
        <v>0.91484665533484844</v>
      </c>
      <c r="Q92" s="23">
        <v>332.92267137287956</v>
      </c>
      <c r="R92" s="23">
        <v>80.63423392069366</v>
      </c>
      <c r="S92" s="23">
        <v>7.9171471761897228E-4</v>
      </c>
      <c r="T92" s="23">
        <v>-3.266339762374753E-4</v>
      </c>
      <c r="U92" s="23">
        <v>0.50428254509764958</v>
      </c>
      <c r="V92" s="23">
        <v>221.15721568914071</v>
      </c>
      <c r="W92" s="23">
        <v>53.898802606794575</v>
      </c>
      <c r="X92" s="23">
        <v>5.2474555270269738E-4</v>
      </c>
      <c r="Y92" s="23">
        <v>-2.4500240371618561E-4</v>
      </c>
      <c r="Z92">
        <v>0.35273963377171319</v>
      </c>
      <c r="AB92">
        <v>10672.637490458628</v>
      </c>
      <c r="AC92">
        <v>617428.54729920882</v>
      </c>
      <c r="AD92">
        <v>7423.4683105657932</v>
      </c>
      <c r="AE92">
        <v>41565.092109957746</v>
      </c>
      <c r="AF92">
        <v>110063.17520674154</v>
      </c>
      <c r="AG92">
        <v>190266.80370669809</v>
      </c>
      <c r="AH92">
        <v>558715.66385557479</v>
      </c>
      <c r="AI92">
        <v>659010.2910969439</v>
      </c>
      <c r="AK92">
        <v>3.14432448504473E-9</v>
      </c>
      <c r="AL92">
        <v>1.0558407066323667E-3</v>
      </c>
      <c r="AM92">
        <v>2.5437374724082665E-3</v>
      </c>
      <c r="AN92">
        <v>8.5943305874127188E-4</v>
      </c>
      <c r="AP92" s="147">
        <v>2.9461550510412876E-13</v>
      </c>
      <c r="AQ92" s="147">
        <v>5.0926127384274886E-15</v>
      </c>
      <c r="AR92" s="147">
        <v>1.4223010895454254E-7</v>
      </c>
      <c r="AS92" s="147">
        <v>2.5402101933016503E-8</v>
      </c>
      <c r="AT92" s="147">
        <v>2.3111612650008836E-8</v>
      </c>
      <c r="AU92" s="147">
        <v>1.336931836164922E-8</v>
      </c>
      <c r="AV92" s="147">
        <v>1.5382297550251447E-9</v>
      </c>
      <c r="AW92" s="147">
        <v>1.3041269163046267E-9</v>
      </c>
      <c r="AY92" s="147">
        <v>1.6688024597508163E-7</v>
      </c>
      <c r="AZ92" s="147">
        <v>4.0075552303583091E-8</v>
      </c>
      <c r="BB92">
        <v>4.2020439175189037E-3</v>
      </c>
      <c r="BC92">
        <v>1.023923396631897E-2</v>
      </c>
      <c r="BD92">
        <v>2.3963152456803732E-2</v>
      </c>
      <c r="BE92">
        <v>4.5869900394867691E-4</v>
      </c>
      <c r="BF92">
        <v>3.8863129344590276E-2</v>
      </c>
      <c r="BG92">
        <v>3.3925573020526074E-2</v>
      </c>
      <c r="BH92">
        <v>1.038592491464938E-2</v>
      </c>
      <c r="BI92">
        <v>2.4125288539877717E-2</v>
      </c>
      <c r="BJ92">
        <v>4.9257335761227524E-4</v>
      </c>
      <c r="BK92">
        <v>6.8929359832665446E-2</v>
      </c>
    </row>
    <row r="93" spans="1:91" x14ac:dyDescent="0.25">
      <c r="A93">
        <v>90</v>
      </c>
      <c r="B93" s="135">
        <v>45</v>
      </c>
      <c r="C93" s="24">
        <v>2.2864183272947833E-12</v>
      </c>
      <c r="D93" s="24">
        <v>2.1012587285461922E-6</v>
      </c>
      <c r="E93" s="24">
        <v>2.0523058837701885E-6</v>
      </c>
      <c r="F93" s="24">
        <v>6.9884136622121916E-6</v>
      </c>
      <c r="G93" s="23">
        <v>532.10760726663636</v>
      </c>
      <c r="H93" s="23">
        <v>143.15997823512561</v>
      </c>
      <c r="I93" s="23">
        <v>1.4417566879227452E-3</v>
      </c>
      <c r="J93" s="23">
        <v>-2.4766362330818655E-4</v>
      </c>
      <c r="K93">
        <v>1.6375489507489434</v>
      </c>
      <c r="L93" s="23">
        <v>623.95792424339606</v>
      </c>
      <c r="M93" s="23">
        <v>155.68107905759146</v>
      </c>
      <c r="N93" s="23">
        <v>1.5844765764575161E-3</v>
      </c>
      <c r="O93" s="23">
        <v>-4.6581801292283972E-4</v>
      </c>
      <c r="P93" s="23">
        <v>0.92350549202068399</v>
      </c>
      <c r="Q93" s="23">
        <v>336.61846306911411</v>
      </c>
      <c r="R93" s="23">
        <v>81.540236549016058</v>
      </c>
      <c r="S93" s="23">
        <v>8.0061038860345507E-4</v>
      </c>
      <c r="T93" s="23">
        <v>-3.2909671575001402E-4</v>
      </c>
      <c r="U93" s="23">
        <v>0.50923154720214681</v>
      </c>
      <c r="V93" s="23">
        <v>223.76207952114493</v>
      </c>
      <c r="W93" s="23">
        <v>54.504407130466419</v>
      </c>
      <c r="X93" s="23">
        <v>5.3064157014879503E-4</v>
      </c>
      <c r="Y93" s="23">
        <v>-2.4717596652658341E-4</v>
      </c>
      <c r="Z93">
        <v>0.35625566431168049</v>
      </c>
      <c r="AB93">
        <v>10312.52881772703</v>
      </c>
      <c r="AC93">
        <v>628960.37804363226</v>
      </c>
      <c r="AD93">
        <v>7102.9616999522113</v>
      </c>
      <c r="AE93">
        <v>41059.510274320368</v>
      </c>
      <c r="AF93">
        <v>105311.22183897761</v>
      </c>
      <c r="AG93">
        <v>184191.82868961539</v>
      </c>
      <c r="AH93">
        <v>534593.23802610149</v>
      </c>
      <c r="AI93">
        <v>634338.58155558002</v>
      </c>
      <c r="AK93">
        <v>2.4526769085985368E-9</v>
      </c>
      <c r="AL93">
        <v>9.0162131766920704E-4</v>
      </c>
      <c r="AM93">
        <v>1.8870349778379106E-3</v>
      </c>
      <c r="AN93">
        <v>6.4256410920427007E-4</v>
      </c>
      <c r="AP93" s="147">
        <v>2.3783467197516426E-13</v>
      </c>
      <c r="AQ93" s="147">
        <v>3.899573000492552E-15</v>
      </c>
      <c r="AR93" s="147">
        <v>1.2693596780555258E-7</v>
      </c>
      <c r="AS93" s="147">
        <v>2.1958891171507794E-8</v>
      </c>
      <c r="AT93" s="147">
        <v>1.7918650499784482E-8</v>
      </c>
      <c r="AU93" s="147">
        <v>1.024494404156106E-8</v>
      </c>
      <c r="AV93" s="147">
        <v>1.2019682695142823E-9</v>
      </c>
      <c r="AW93" s="147">
        <v>1.0129670934227565E-9</v>
      </c>
      <c r="AY93" s="147">
        <v>1.4605682440952332E-7</v>
      </c>
      <c r="AZ93" s="147">
        <v>3.321680620606461E-8</v>
      </c>
      <c r="BB93">
        <v>4.2020439177567386E-3</v>
      </c>
      <c r="BC93">
        <v>1.0239360902286776E-2</v>
      </c>
      <c r="BD93">
        <v>2.3963170375454233E-2</v>
      </c>
      <c r="BE93">
        <v>4.587002059169464E-4</v>
      </c>
      <c r="BF93">
        <v>3.8863275401414696E-2</v>
      </c>
      <c r="BG93">
        <v>3.3925573020529974E-2</v>
      </c>
      <c r="BH93">
        <v>1.0385946873540551E-2</v>
      </c>
      <c r="BI93">
        <v>2.412529878482176E-2</v>
      </c>
      <c r="BJ93">
        <v>4.925743705793687E-4</v>
      </c>
      <c r="BK93">
        <v>6.8929393049471654E-2</v>
      </c>
    </row>
    <row r="94" spans="1:91" x14ac:dyDescent="0.25">
      <c r="A94">
        <v>91</v>
      </c>
      <c r="B94" s="135">
        <v>45.5</v>
      </c>
      <c r="C94" s="24">
        <v>1.7865926078701759E-12</v>
      </c>
      <c r="D94" s="24">
        <v>1.7960969386929989E-6</v>
      </c>
      <c r="E94" s="24">
        <v>1.5228241961826048E-6</v>
      </c>
      <c r="F94" s="24">
        <v>5.2257122929845715E-6</v>
      </c>
      <c r="G94" s="23">
        <v>533.16852622711815</v>
      </c>
      <c r="H94" s="23">
        <v>144.43347556955075</v>
      </c>
      <c r="I94" s="23">
        <v>1.4541666342760163E-3</v>
      </c>
      <c r="J94" s="23">
        <v>-2.4659875287480639E-4</v>
      </c>
      <c r="K94">
        <v>1.6522635786625113</v>
      </c>
      <c r="L94" s="23">
        <v>629.06860405234613</v>
      </c>
      <c r="M94" s="23">
        <v>157.41086882489805</v>
      </c>
      <c r="N94" s="23">
        <v>1.6020818717514887E-3</v>
      </c>
      <c r="O94" s="23">
        <v>-4.6711059750446487E-4</v>
      </c>
      <c r="P94" s="23">
        <v>0.93214380973437316</v>
      </c>
      <c r="Q94" s="23">
        <v>340.29133609185106</v>
      </c>
      <c r="R94" s="23">
        <v>82.446239177338441</v>
      </c>
      <c r="S94" s="23">
        <v>8.0950605958793776E-4</v>
      </c>
      <c r="T94" s="23">
        <v>-3.3154167046038077E-4</v>
      </c>
      <c r="U94" s="23">
        <v>0.51417114031131483</v>
      </c>
      <c r="V94" s="23">
        <v>226.20948669763877</v>
      </c>
      <c r="W94" s="23">
        <v>55.110011654138269</v>
      </c>
      <c r="X94" s="23">
        <v>5.3653758759489279E-4</v>
      </c>
      <c r="Y94" s="23">
        <v>-2.4916126162809708E-4</v>
      </c>
      <c r="Z94">
        <v>0.35976610278356558</v>
      </c>
      <c r="AB94">
        <v>9969.2498757080612</v>
      </c>
      <c r="AC94">
        <v>640777.8694869054</v>
      </c>
      <c r="AD94">
        <v>6799.6081462457269</v>
      </c>
      <c r="AE94">
        <v>40570.923728892478</v>
      </c>
      <c r="AF94">
        <v>100813.58624138741</v>
      </c>
      <c r="AG94">
        <v>178395.29822034284</v>
      </c>
      <c r="AH94">
        <v>511761.81003969349</v>
      </c>
      <c r="AI94">
        <v>612790.79960117221</v>
      </c>
      <c r="AK94">
        <v>1.9165059963373303E-9</v>
      </c>
      <c r="AL94">
        <v>7.7068057661154002E-4</v>
      </c>
      <c r="AM94">
        <v>1.4001921185430152E-3</v>
      </c>
      <c r="AN94">
        <v>4.8048889587862513E-4</v>
      </c>
      <c r="AP94" s="147">
        <v>1.9224174539021786E-13</v>
      </c>
      <c r="AQ94" s="147">
        <v>2.9909054098137747E-15</v>
      </c>
      <c r="AR94" s="147">
        <v>1.1334191030361897E-7</v>
      </c>
      <c r="AS94" s="147">
        <v>1.8995884386598324E-8</v>
      </c>
      <c r="AT94" s="147">
        <v>1.3888922820287377E-8</v>
      </c>
      <c r="AU94" s="147">
        <v>7.8488173876285935E-9</v>
      </c>
      <c r="AV94" s="147">
        <v>9.3889166102753389E-10</v>
      </c>
      <c r="AW94" s="147">
        <v>7.8409939606036149E-10</v>
      </c>
      <c r="AY94" s="147">
        <v>1.2816991702667929E-7</v>
      </c>
      <c r="AZ94" s="147">
        <v>2.7628804161192685E-8</v>
      </c>
      <c r="BB94">
        <v>4.2020439179489806E-3</v>
      </c>
      <c r="BC94">
        <v>1.0239474244197079E-2</v>
      </c>
      <c r="BD94">
        <v>2.3963184264377053E-2</v>
      </c>
      <c r="BE94">
        <v>4.5870114480860743E-4</v>
      </c>
      <c r="BF94">
        <v>3.8863403571331723E-2</v>
      </c>
      <c r="BG94">
        <v>3.3925573020532965E-2</v>
      </c>
      <c r="BH94">
        <v>1.0385965869424937E-2</v>
      </c>
      <c r="BI94">
        <v>2.4125306633639147E-2</v>
      </c>
      <c r="BJ94">
        <v>4.9257515467876478E-4</v>
      </c>
      <c r="BK94">
        <v>6.8929420678275816E-2</v>
      </c>
    </row>
    <row r="95" spans="1:91" x14ac:dyDescent="0.25">
      <c r="A95">
        <v>92</v>
      </c>
      <c r="B95" s="135">
        <v>46</v>
      </c>
      <c r="C95" s="24">
        <v>1.398428981486493E-12</v>
      </c>
      <c r="D95" s="24">
        <v>1.5367344641979953E-6</v>
      </c>
      <c r="E95" s="24">
        <v>1.1302376413420131E-6</v>
      </c>
      <c r="F95" s="24">
        <v>3.9083009082128279E-6</v>
      </c>
      <c r="G95" s="23">
        <v>534.20839776913954</v>
      </c>
      <c r="H95" s="23">
        <v>145.70132067657309</v>
      </c>
      <c r="I95" s="23">
        <v>1.4665130221118996E-3</v>
      </c>
      <c r="J95" s="23">
        <v>-2.455324868512547E-4</v>
      </c>
      <c r="K95">
        <v>1.666937835494877</v>
      </c>
      <c r="L95" s="23">
        <v>634.12702220932135</v>
      </c>
      <c r="M95" s="23">
        <v>159.14065859220463</v>
      </c>
      <c r="N95" s="23">
        <v>1.6196871670454613E-3</v>
      </c>
      <c r="O95" s="23">
        <v>-4.6837876981386644E-4</v>
      </c>
      <c r="P95" s="23">
        <v>0.94076182627140548</v>
      </c>
      <c r="Q95" s="23">
        <v>343.94108969177495</v>
      </c>
      <c r="R95" s="23">
        <v>83.352241805660853</v>
      </c>
      <c r="S95" s="23">
        <v>8.1840173057242077E-4</v>
      </c>
      <c r="T95" s="23">
        <v>-3.3396882938877459E-4</v>
      </c>
      <c r="U95" s="23">
        <v>0.51910140470401056</v>
      </c>
      <c r="V95" s="23">
        <v>228.64814228931959</v>
      </c>
      <c r="W95" s="23">
        <v>55.715616177810126</v>
      </c>
      <c r="X95" s="23">
        <v>5.4243360504099055E-4</v>
      </c>
      <c r="Y95" s="23">
        <v>-2.5113492258910979E-4</v>
      </c>
      <c r="Z95">
        <v>0.36327099027008436</v>
      </c>
      <c r="AB95">
        <v>9641.8212632392497</v>
      </c>
      <c r="AC95">
        <v>652886.02071677928</v>
      </c>
      <c r="AD95">
        <v>6512.316019836303</v>
      </c>
      <c r="AE95">
        <v>40098.504639781298</v>
      </c>
      <c r="AF95">
        <v>96554.083496624167</v>
      </c>
      <c r="AG95">
        <v>172861.5694849088</v>
      </c>
      <c r="AH95">
        <v>490139.22011109366</v>
      </c>
      <c r="AI95">
        <v>592255.87161061994</v>
      </c>
      <c r="AK95">
        <v>1.5001167678991766E-9</v>
      </c>
      <c r="AL95">
        <v>6.5939169398549424E-4</v>
      </c>
      <c r="AM95">
        <v>1.0392203127943781E-3</v>
      </c>
      <c r="AN95">
        <v>3.5935678867542159E-4</v>
      </c>
      <c r="AP95" s="147">
        <v>1.5558437840147225E-13</v>
      </c>
      <c r="AQ95" s="147">
        <v>2.2976702215989466E-15</v>
      </c>
      <c r="AR95" s="147">
        <v>1.0125302457328677E-7</v>
      </c>
      <c r="AS95" s="147">
        <v>1.6444296362396485E-8</v>
      </c>
      <c r="AT95" s="147">
        <v>1.0763090230468735E-8</v>
      </c>
      <c r="AU95" s="147">
        <v>6.0118643831074566E-9</v>
      </c>
      <c r="AV95" s="147">
        <v>7.3317289033505769E-10</v>
      </c>
      <c r="AW95" s="147">
        <v>6.0675935166022561E-10</v>
      </c>
      <c r="AY95" s="147">
        <v>1.1274944327846897E-7</v>
      </c>
      <c r="AZ95" s="147">
        <v>2.3062922394834391E-8</v>
      </c>
      <c r="BB95">
        <v>4.2020439181045654E-3</v>
      </c>
      <c r="BC95">
        <v>1.0239575497221653E-2</v>
      </c>
      <c r="BD95">
        <v>2.3963195027467285E-2</v>
      </c>
      <c r="BE95">
        <v>4.5870187798149778E-4</v>
      </c>
      <c r="BF95">
        <v>3.8863516320775005E-2</v>
      </c>
      <c r="BG95">
        <v>3.3925573020535262E-2</v>
      </c>
      <c r="BH95">
        <v>1.0385982313721299E-2</v>
      </c>
      <c r="BI95">
        <v>2.4125312645503532E-2</v>
      </c>
      <c r="BJ95">
        <v>4.9257576143811642E-4</v>
      </c>
      <c r="BK95">
        <v>6.8929443741198207E-2</v>
      </c>
    </row>
    <row r="96" spans="1:91" x14ac:dyDescent="0.25">
      <c r="A96">
        <v>93</v>
      </c>
      <c r="B96" s="135">
        <v>46.5</v>
      </c>
      <c r="C96" s="24">
        <v>1.0964499471370086E-12</v>
      </c>
      <c r="D96" s="24">
        <v>1.3160765655414618E-6</v>
      </c>
      <c r="E96" s="24">
        <v>8.3909991660065716E-7</v>
      </c>
      <c r="F96" s="24">
        <v>2.9236035807818691E-6</v>
      </c>
      <c r="G96" s="23">
        <v>535.22780186815612</v>
      </c>
      <c r="H96" s="23">
        <v>146.96354861513851</v>
      </c>
      <c r="I96" s="23">
        <v>1.4787962682026215E-3</v>
      </c>
      <c r="J96" s="23">
        <v>-2.4446512966898163E-4</v>
      </c>
      <c r="K96">
        <v>1.6815721700828912</v>
      </c>
      <c r="L96" s="23">
        <v>639.13391807732899</v>
      </c>
      <c r="M96" s="23">
        <v>160.87044835951119</v>
      </c>
      <c r="N96" s="23">
        <v>1.6372924623394335E-3</v>
      </c>
      <c r="O96" s="23">
        <v>-4.6962325802860322E-4</v>
      </c>
      <c r="P96" s="23">
        <v>0.94935975525201122</v>
      </c>
      <c r="Q96" s="23">
        <v>347.56755717269419</v>
      </c>
      <c r="R96" s="23">
        <v>84.258244433983251</v>
      </c>
      <c r="S96" s="23">
        <v>8.2729740155690346E-4</v>
      </c>
      <c r="T96" s="23">
        <v>-3.3637819788328227E-4</v>
      </c>
      <c r="U96" s="23">
        <v>0.52402241944459538</v>
      </c>
      <c r="V96" s="23">
        <v>231.08312108000135</v>
      </c>
      <c r="W96" s="23">
        <v>56.321220701481984</v>
      </c>
      <c r="X96" s="23">
        <v>5.4832962248708831E-4</v>
      </c>
      <c r="Y96" s="23">
        <v>-2.5310347052893815E-4</v>
      </c>
      <c r="Z96">
        <v>0.36677036724779566</v>
      </c>
      <c r="AB96">
        <v>9329.3311441213536</v>
      </c>
      <c r="AC96">
        <v>665289.99419892835</v>
      </c>
      <c r="AD96">
        <v>6240.0739779748146</v>
      </c>
      <c r="AE96">
        <v>39641.477081051307</v>
      </c>
      <c r="AF96">
        <v>92517.719050992382</v>
      </c>
      <c r="AG96">
        <v>167576.00057890391</v>
      </c>
      <c r="AH96">
        <v>469649.35111932468</v>
      </c>
      <c r="AI96">
        <v>572611.80230199778</v>
      </c>
      <c r="AK96">
        <v>1.1761791071535219E-9</v>
      </c>
      <c r="AL96">
        <v>5.6471041431344245E-4</v>
      </c>
      <c r="AM96">
        <v>7.7152772647004681E-4</v>
      </c>
      <c r="AN96">
        <v>2.688167617651932E-4</v>
      </c>
      <c r="AP96" s="147">
        <v>1.2607325101699942E-13</v>
      </c>
      <c r="AQ96" s="147">
        <v>1.7679194297364296E-15</v>
      </c>
      <c r="AR96" s="147">
        <v>9.0497390945470238E-8</v>
      </c>
      <c r="AS96" s="147">
        <v>1.4245443305728256E-8</v>
      </c>
      <c r="AT96" s="147">
        <v>8.3392428432526413E-9</v>
      </c>
      <c r="AU96" s="147">
        <v>4.6040466642284464E-9</v>
      </c>
      <c r="AV96" s="147">
        <v>5.7237758579782308E-10</v>
      </c>
      <c r="AW96" s="147">
        <v>4.6945724954411285E-10</v>
      </c>
      <c r="AY96" s="147">
        <v>9.940913744777172E-8</v>
      </c>
      <c r="AZ96" s="147">
        <v>1.9318948987420247E-8</v>
      </c>
      <c r="BB96">
        <v>4.202043918230639E-3</v>
      </c>
      <c r="BC96">
        <v>1.0239665994612599E-2</v>
      </c>
      <c r="BD96">
        <v>2.396320336671013E-2</v>
      </c>
      <c r="BE96">
        <v>4.5870245035908359E-4</v>
      </c>
      <c r="BF96">
        <v>3.8863615729912447E-2</v>
      </c>
      <c r="BG96">
        <v>3.3925573020537031E-2</v>
      </c>
      <c r="BH96">
        <v>1.0385996559164605E-2</v>
      </c>
      <c r="BI96">
        <v>2.4125317249550197E-2</v>
      </c>
      <c r="BJ96">
        <v>4.9257623089536597E-4</v>
      </c>
      <c r="BK96">
        <v>6.8929463060147203E-2</v>
      </c>
    </row>
    <row r="97" spans="1:63" x14ac:dyDescent="0.25">
      <c r="A97">
        <v>94</v>
      </c>
      <c r="B97" s="135">
        <v>47</v>
      </c>
      <c r="C97" s="24">
        <v>8.6111163969626034E-13</v>
      </c>
      <c r="D97" s="24">
        <v>1.128161565731719E-6</v>
      </c>
      <c r="E97" s="24">
        <v>6.23149749145511E-7</v>
      </c>
      <c r="F97" s="24">
        <v>2.187503020114425E-6</v>
      </c>
      <c r="G97" s="23">
        <v>536.22729811240708</v>
      </c>
      <c r="H97" s="23">
        <v>148.22019416509681</v>
      </c>
      <c r="I97" s="23">
        <v>1.4910167859028974E-3</v>
      </c>
      <c r="J97" s="23">
        <v>-2.4339696986373761E-4</v>
      </c>
      <c r="K97">
        <v>1.6961670213775375</v>
      </c>
      <c r="L97" s="23">
        <v>644.0900246636993</v>
      </c>
      <c r="M97" s="23">
        <v>162.60023812681777</v>
      </c>
      <c r="N97" s="23">
        <v>1.6548977576334061E-3</v>
      </c>
      <c r="O97" s="23">
        <v>-4.7084476091333478E-4</v>
      </c>
      <c r="P97" s="23">
        <v>0.95793780623109304</v>
      </c>
      <c r="Q97" s="23">
        <v>351.18032221020133</v>
      </c>
      <c r="R97" s="23">
        <v>85.164247062305662</v>
      </c>
      <c r="S97" s="23">
        <v>8.3619307254138636E-4</v>
      </c>
      <c r="T97" s="23">
        <v>-3.38721450772209E-4</v>
      </c>
      <c r="U97" s="23">
        <v>0.52893426241077257</v>
      </c>
      <c r="V97" s="23">
        <v>233.51376426933589</v>
      </c>
      <c r="W97" s="23">
        <v>56.926825225153813</v>
      </c>
      <c r="X97" s="23">
        <v>5.5422563993318596E-4</v>
      </c>
      <c r="Y97" s="23">
        <v>-2.5506647452789438E-4</v>
      </c>
      <c r="Z97">
        <v>0.37026427360372177</v>
      </c>
      <c r="AB97">
        <v>9030.9298877344627</v>
      </c>
      <c r="AC97">
        <v>677995.11625919433</v>
      </c>
      <c r="AD97">
        <v>5981.9442811408226</v>
      </c>
      <c r="AE97">
        <v>39199.113092394138</v>
      </c>
      <c r="AF97">
        <v>88690.589620364131</v>
      </c>
      <c r="AG97">
        <v>162625.11646380587</v>
      </c>
      <c r="AH97">
        <v>450221.62557462626</v>
      </c>
      <c r="AI97">
        <v>553815.98737493576</v>
      </c>
      <c r="AK97">
        <v>9.2372800252494706E-10</v>
      </c>
      <c r="AL97">
        <v>4.8407866371722136E-4</v>
      </c>
      <c r="AM97">
        <v>5.7296789058963369E-4</v>
      </c>
      <c r="AN97">
        <v>2.0113447735670072E-4</v>
      </c>
      <c r="AP97" s="147">
        <v>1.0228492680244663E-13</v>
      </c>
      <c r="AQ97" s="147">
        <v>1.3624404960637066E-15</v>
      </c>
      <c r="AR97" s="147">
        <v>8.0923298674541026E-8</v>
      </c>
      <c r="AS97" s="147">
        <v>1.2349224906599936E-8</v>
      </c>
      <c r="AT97" s="147">
        <v>6.4603008396064975E-9</v>
      </c>
      <c r="AU97" s="147">
        <v>3.5232435373360942E-9</v>
      </c>
      <c r="AV97" s="147">
        <v>4.4674548251650289E-10</v>
      </c>
      <c r="AW97" s="147">
        <v>3.6317925437665605E-10</v>
      </c>
      <c r="AY97" s="147">
        <v>8.7830447281590842E-8</v>
      </c>
      <c r="AZ97" s="147">
        <v>1.6235649060753181E-8</v>
      </c>
      <c r="BB97">
        <v>4.2020439183329235E-3</v>
      </c>
      <c r="BC97">
        <v>1.0239746917911274E-2</v>
      </c>
      <c r="BD97">
        <v>2.3963209827010969E-2</v>
      </c>
      <c r="BE97">
        <v>4.587028971045661E-4</v>
      </c>
      <c r="BF97">
        <v>3.8863703560359737E-2</v>
      </c>
      <c r="BG97">
        <v>3.3925573020538391E-2</v>
      </c>
      <c r="BH97">
        <v>1.0386008908389512E-2</v>
      </c>
      <c r="BI97">
        <v>2.4125320772793734E-2</v>
      </c>
      <c r="BJ97">
        <v>4.9257659407462033E-4</v>
      </c>
      <c r="BK97">
        <v>6.892947929579625E-2</v>
      </c>
    </row>
    <row r="98" spans="1:63" x14ac:dyDescent="0.25">
      <c r="A98">
        <v>95</v>
      </c>
      <c r="B98" s="135">
        <v>47.5</v>
      </c>
      <c r="C98" s="24">
        <v>6.7739403441086221E-13</v>
      </c>
      <c r="D98" s="24">
        <v>9.6797450345236073E-7</v>
      </c>
      <c r="E98" s="24">
        <v>4.6293103500359097E-7</v>
      </c>
      <c r="F98" s="24">
        <v>1.6371540855516139E-6</v>
      </c>
      <c r="G98" s="23">
        <v>537.20742657202811</v>
      </c>
      <c r="H98" s="23">
        <v>149.47129182991304</v>
      </c>
      <c r="I98" s="23">
        <v>1.5031749851837476E-3</v>
      </c>
      <c r="J98" s="23">
        <v>-2.4232828089413533E-4</v>
      </c>
      <c r="K98">
        <v>1.7107228187558134</v>
      </c>
      <c r="L98" s="23">
        <v>648.99606803200913</v>
      </c>
      <c r="M98" s="23">
        <v>164.33002789412433</v>
      </c>
      <c r="N98" s="23">
        <v>1.6725030529273783E-3</v>
      </c>
      <c r="O98" s="23">
        <v>-4.7204394931005174E-4</v>
      </c>
      <c r="P98" s="23">
        <v>0.9664961848045015</v>
      </c>
      <c r="Q98" s="23">
        <v>354.81476010637016</v>
      </c>
      <c r="R98" s="23">
        <v>86.07024969062806</v>
      </c>
      <c r="S98" s="23">
        <v>8.4508874352586926E-4</v>
      </c>
      <c r="T98" s="23">
        <v>-3.4086995046824723E-4</v>
      </c>
      <c r="U98" s="23">
        <v>0.53383701032046094</v>
      </c>
      <c r="V98" s="23">
        <v>235.93946116764673</v>
      </c>
      <c r="W98" s="23">
        <v>57.53242974882567</v>
      </c>
      <c r="X98" s="23">
        <v>5.6012165737928373E-4</v>
      </c>
      <c r="Y98" s="23">
        <v>-2.5702353741276825E-4</v>
      </c>
      <c r="Z98">
        <v>0.37375274865122465</v>
      </c>
      <c r="AB98">
        <v>8745.8251882651512</v>
      </c>
      <c r="AC98">
        <v>691006.87781035528</v>
      </c>
      <c r="AD98">
        <v>5737.0567292810701</v>
      </c>
      <c r="AE98">
        <v>38770.729086113293</v>
      </c>
      <c r="AF98">
        <v>85059.793286536136</v>
      </c>
      <c r="AG98">
        <v>158243.11683347161</v>
      </c>
      <c r="AH98">
        <v>431790.54923897964</v>
      </c>
      <c r="AI98">
        <v>535827.71752831328</v>
      </c>
      <c r="AK98">
        <v>7.2665123717219034E-10</v>
      </c>
      <c r="AL98">
        <v>4.1534459103793712E-4</v>
      </c>
      <c r="AM98">
        <v>4.2565148903325067E-4</v>
      </c>
      <c r="AN98">
        <v>1.5053150936111009E-4</v>
      </c>
      <c r="AP98" s="147">
        <v>8.3085497540836523E-14</v>
      </c>
      <c r="AQ98" s="147">
        <v>1.0515832193664757E-15</v>
      </c>
      <c r="AR98" s="147">
        <v>7.2396807393951872E-8</v>
      </c>
      <c r="AS98" s="147">
        <v>1.0712839320494058E-8</v>
      </c>
      <c r="AT98" s="147">
        <v>5.0041444093260662E-9</v>
      </c>
      <c r="AU98" s="147">
        <v>2.6898578437455093E-9</v>
      </c>
      <c r="AV98" s="147">
        <v>3.4862159356293975E-10</v>
      </c>
      <c r="AW98" s="147">
        <v>2.8093266629708451E-10</v>
      </c>
      <c r="AY98" s="147">
        <v>7.7749656482338426E-8</v>
      </c>
      <c r="AZ98" s="147">
        <v>1.3683630882119872E-8</v>
      </c>
      <c r="BB98">
        <v>4.202043918416009E-3</v>
      </c>
      <c r="BC98">
        <v>1.0239819314718668E-2</v>
      </c>
      <c r="BD98">
        <v>2.3963214831155377E-2</v>
      </c>
      <c r="BE98">
        <v>4.5870324572615966E-4</v>
      </c>
      <c r="BF98">
        <v>3.8863781310016214E-2</v>
      </c>
      <c r="BG98">
        <v>3.3925573020539446E-2</v>
      </c>
      <c r="BH98">
        <v>1.0386019621228832E-2</v>
      </c>
      <c r="BI98">
        <v>2.4125323462651577E-2</v>
      </c>
      <c r="BJ98">
        <v>4.9257687500728667E-4</v>
      </c>
      <c r="BK98">
        <v>6.8929492979427132E-2</v>
      </c>
    </row>
    <row r="99" spans="1:63" x14ac:dyDescent="0.25">
      <c r="A99">
        <v>96</v>
      </c>
      <c r="B99" s="135">
        <v>48</v>
      </c>
      <c r="C99" s="24">
        <v>5.3373268178504371E-13</v>
      </c>
      <c r="D99" s="24">
        <v>8.3129231228601904E-7</v>
      </c>
      <c r="E99" s="24">
        <v>3.4402894874750508E-7</v>
      </c>
      <c r="F99" s="24">
        <v>1.2256079902886179E-6</v>
      </c>
      <c r="G99" s="23">
        <v>538.16870862471353</v>
      </c>
      <c r="H99" s="23">
        <v>150.71687583934636</v>
      </c>
      <c r="I99" s="23">
        <v>1.5152712726659082E-3</v>
      </c>
      <c r="J99" s="23">
        <v>-2.4125932191440563E-4</v>
      </c>
      <c r="K99">
        <v>1.7252399823201996</v>
      </c>
      <c r="L99" s="23">
        <v>653.85276679389779</v>
      </c>
      <c r="M99" s="23">
        <v>166.05981766143091</v>
      </c>
      <c r="N99" s="23">
        <v>1.6901083482213509E-3</v>
      </c>
      <c r="O99" s="23">
        <v>-4.7322146753787161E-4</v>
      </c>
      <c r="P99" s="23">
        <v>0.97503509271180011</v>
      </c>
      <c r="Q99" s="23">
        <v>358.43958901241984</v>
      </c>
      <c r="R99" s="23">
        <v>86.976252318950472</v>
      </c>
      <c r="S99" s="23">
        <v>8.5398441451035216E-4</v>
      </c>
      <c r="T99" s="23">
        <v>-3.4300740488138644E-4</v>
      </c>
      <c r="U99" s="23">
        <v>0.53873073875775934</v>
      </c>
      <c r="V99" s="23">
        <v>238.35964594934859</v>
      </c>
      <c r="W99" s="23">
        <v>58.138034272497528</v>
      </c>
      <c r="X99" s="23">
        <v>5.6601767482538159E-4</v>
      </c>
      <c r="Y99" s="23">
        <v>-2.5897429343092022E-4</v>
      </c>
      <c r="Z99">
        <v>0.37723583114517756</v>
      </c>
      <c r="AB99">
        <v>8473.2776151688668</v>
      </c>
      <c r="AC99">
        <v>704330.9353106491</v>
      </c>
      <c r="AD99">
        <v>5504.6031546625927</v>
      </c>
      <c r="AE99">
        <v>38355.682568222677</v>
      </c>
      <c r="AF99">
        <v>81613.347846168021</v>
      </c>
      <c r="AG99">
        <v>154027.04601309958</v>
      </c>
      <c r="AH99">
        <v>414295.29663936753</v>
      </c>
      <c r="AI99">
        <v>518608.14164144266</v>
      </c>
      <c r="AK99">
        <v>5.7254344419439713E-10</v>
      </c>
      <c r="AL99">
        <v>3.5669613636306942E-4</v>
      </c>
      <c r="AM99">
        <v>3.1632451322643232E-4</v>
      </c>
      <c r="AN99">
        <v>1.1269105473417945E-4</v>
      </c>
      <c r="AP99" s="147">
        <v>6.7570481010728311E-14</v>
      </c>
      <c r="AQ99" s="147">
        <v>8.1288981569703968E-16</v>
      </c>
      <c r="AR99" s="147">
        <v>6.4799609770403752E-8</v>
      </c>
      <c r="AS99" s="147">
        <v>9.2996946600707569E-9</v>
      </c>
      <c r="AT99" s="147">
        <v>3.8758918923736401E-9</v>
      </c>
      <c r="AU99" s="147">
        <v>2.0536946037355658E-9</v>
      </c>
      <c r="AV99" s="147">
        <v>2.7200659927422219E-10</v>
      </c>
      <c r="AW99" s="147">
        <v>2.1729519011695777E-10</v>
      </c>
      <c r="AY99" s="147">
        <v>6.8947575832532627E-8</v>
      </c>
      <c r="AZ99" s="147">
        <v>1.1570685266813096E-8</v>
      </c>
      <c r="BB99">
        <v>4.202043918483579E-3</v>
      </c>
      <c r="BC99">
        <v>1.0239884114328439E-2</v>
      </c>
      <c r="BD99">
        <v>2.3963218707047269E-2</v>
      </c>
      <c r="BE99">
        <v>4.5870351773275893E-4</v>
      </c>
      <c r="BF99">
        <v>3.8863850257592043E-2</v>
      </c>
      <c r="BG99">
        <v>3.3925573020540258E-2</v>
      </c>
      <c r="BH99">
        <v>1.0386028920923492E-2</v>
      </c>
      <c r="BI99">
        <v>2.4125325516346181E-2</v>
      </c>
      <c r="BJ99">
        <v>4.9257709230247676E-4</v>
      </c>
      <c r="BK99">
        <v>6.8929504550112403E-2</v>
      </c>
    </row>
    <row r="100" spans="1:63" x14ac:dyDescent="0.25">
      <c r="A100">
        <v>97</v>
      </c>
      <c r="B100" s="135">
        <v>48.5</v>
      </c>
      <c r="C100" s="24">
        <v>4.2120765574335262E-13</v>
      </c>
      <c r="D100" s="24">
        <v>7.145550452255511E-7</v>
      </c>
      <c r="E100" s="24">
        <v>2.5576294734653897E-7</v>
      </c>
      <c r="F100" s="24">
        <v>9.1779264069720183E-7</v>
      </c>
      <c r="G100" s="23">
        <v>539.11164774041617</v>
      </c>
      <c r="H100" s="23">
        <v>151.95698015209939</v>
      </c>
      <c r="I100" s="23">
        <v>1.5273060516528614E-3</v>
      </c>
      <c r="J100" s="23">
        <v>-2.4019033850418477E-4</v>
      </c>
      <c r="K100">
        <v>1.739718923186292</v>
      </c>
      <c r="L100" s="23">
        <v>658.66083167256693</v>
      </c>
      <c r="M100" s="23">
        <v>167.7896074287375</v>
      </c>
      <c r="N100" s="23">
        <v>1.7077136435153233E-3</v>
      </c>
      <c r="O100" s="23">
        <v>-4.7437793470877013E-4</v>
      </c>
      <c r="P100" s="23">
        <v>0.9835547279356639</v>
      </c>
      <c r="Q100" s="23">
        <v>362.0540864383899</v>
      </c>
      <c r="R100" s="23">
        <v>87.882254947272855</v>
      </c>
      <c r="S100" s="23">
        <v>8.6288008549483485E-4</v>
      </c>
      <c r="T100" s="23">
        <v>-3.4513363570055466E-4</v>
      </c>
      <c r="U100" s="23">
        <v>0.54361552219803366</v>
      </c>
      <c r="V100" s="23">
        <v>240.77379464146833</v>
      </c>
      <c r="W100" s="23">
        <v>58.743638796169371</v>
      </c>
      <c r="X100" s="23">
        <v>5.7191369227147925E-4</v>
      </c>
      <c r="Y100" s="23">
        <v>-2.6091840609461904E-4</v>
      </c>
      <c r="Z100">
        <v>0.3807135592964821</v>
      </c>
      <c r="AB100">
        <v>8212.5965526267428</v>
      </c>
      <c r="AC100">
        <v>717973.11194245727</v>
      </c>
      <c r="AD100">
        <v>5283.8324151162851</v>
      </c>
      <c r="AE100">
        <v>37953.36914241995</v>
      </c>
      <c r="AF100">
        <v>78340.116578699352</v>
      </c>
      <c r="AG100">
        <v>149969.52321675574</v>
      </c>
      <c r="AH100">
        <v>397679.33424212266</v>
      </c>
      <c r="AI100">
        <v>502120.22104565625</v>
      </c>
      <c r="AK100">
        <v>4.5183607856614644E-10</v>
      </c>
      <c r="AL100">
        <v>3.0660577522939651E-4</v>
      </c>
      <c r="AM100">
        <v>2.3516651757154872E-4</v>
      </c>
      <c r="AN100">
        <v>8.4388337483896032E-5</v>
      </c>
      <c r="AP100" s="147">
        <v>5.5017444929963075E-14</v>
      </c>
      <c r="AQ100" s="147">
        <v>6.293217267478386E-16</v>
      </c>
      <c r="AR100" s="147">
        <v>5.8027157400420474E-8</v>
      </c>
      <c r="AS100" s="147">
        <v>8.0784863678072663E-9</v>
      </c>
      <c r="AT100" s="147">
        <v>3.001865810798275E-9</v>
      </c>
      <c r="AU100" s="147">
        <v>1.5680953871651312E-9</v>
      </c>
      <c r="AV100" s="147">
        <v>2.1220196831379003E-10</v>
      </c>
      <c r="AW100" s="147">
        <v>1.6806400926885367E-10</v>
      </c>
      <c r="AY100" s="147">
        <v>6.1241280196977468E-8</v>
      </c>
      <c r="AZ100" s="147">
        <v>9.8146463935629784E-9</v>
      </c>
      <c r="BB100">
        <v>4.2020439185385967E-3</v>
      </c>
      <c r="BC100">
        <v>1.0239942141485839E-2</v>
      </c>
      <c r="BD100">
        <v>2.3963221708913081E-2</v>
      </c>
      <c r="BE100">
        <v>4.5870372993472722E-4</v>
      </c>
      <c r="BF100">
        <v>3.8863911498872243E-2</v>
      </c>
      <c r="BG100">
        <v>3.3925573020540889E-2</v>
      </c>
      <c r="BH100">
        <v>1.038603699940986E-2</v>
      </c>
      <c r="BI100">
        <v>2.4125327084441567E-2</v>
      </c>
      <c r="BJ100">
        <v>4.9257726036648598E-4</v>
      </c>
      <c r="BK100">
        <v>6.8929514364758804E-2</v>
      </c>
    </row>
    <row r="101" spans="1:63" x14ac:dyDescent="0.25">
      <c r="A101">
        <v>98</v>
      </c>
      <c r="B101" s="135">
        <v>49</v>
      </c>
      <c r="C101" s="24">
        <v>3.3292660100570509E-13</v>
      </c>
      <c r="D101" s="24">
        <v>6.1475864182683876E-7</v>
      </c>
      <c r="E101" s="24">
        <v>1.902185261651653E-7</v>
      </c>
      <c r="F101" s="24">
        <v>6.8750805600450048E-7</v>
      </c>
      <c r="G101" s="23">
        <v>540.03673022741123</v>
      </c>
      <c r="H101" s="23">
        <v>153.19163845843781</v>
      </c>
      <c r="I101" s="23">
        <v>1.5392797221634935E-3</v>
      </c>
      <c r="J101" s="23">
        <v>-2.3912156335795744E-4</v>
      </c>
      <c r="K101">
        <v>1.7541600437591776</v>
      </c>
      <c r="L101" s="23">
        <v>663.42096513059346</v>
      </c>
      <c r="M101" s="23">
        <v>169.51939719604405</v>
      </c>
      <c r="N101" s="23">
        <v>1.7253189388092955E-3</v>
      </c>
      <c r="O101" s="23">
        <v>-4.7551394596511218E-4</v>
      </c>
      <c r="P101" s="23">
        <v>0.99205528479804406</v>
      </c>
      <c r="Q101" s="23">
        <v>365.65758533017669</v>
      </c>
      <c r="R101" s="23">
        <v>88.788257575595253</v>
      </c>
      <c r="S101" s="23">
        <v>8.7177575647931764E-4</v>
      </c>
      <c r="T101" s="23">
        <v>-3.4724848513189546E-4</v>
      </c>
      <c r="U101" s="23">
        <v>0.54849143403218359</v>
      </c>
      <c r="V101" s="23">
        <v>243.181422328553</v>
      </c>
      <c r="W101" s="23">
        <v>59.349243319841229</v>
      </c>
      <c r="X101" s="23">
        <v>5.7780970971757701E-4</v>
      </c>
      <c r="Y101" s="23">
        <v>-2.6285556618198133E-4</v>
      </c>
      <c r="Z101">
        <v>0.3841859707859594</v>
      </c>
      <c r="AB101">
        <v>7963.1364902885343</v>
      </c>
      <c r="AC101">
        <v>731939.39900110674</v>
      </c>
      <c r="AD101">
        <v>5074.0458376334254</v>
      </c>
      <c r="AE101">
        <v>37563.219769163727</v>
      </c>
      <c r="AF101">
        <v>75229.740691372484</v>
      </c>
      <c r="AG101">
        <v>146063.51028977078</v>
      </c>
      <c r="AH101">
        <v>381890.07752238947</v>
      </c>
      <c r="AI101">
        <v>486328.6770553363</v>
      </c>
      <c r="AK101">
        <v>3.5713560235104501E-10</v>
      </c>
      <c r="AL101">
        <v>2.637845064781425E-4</v>
      </c>
      <c r="AM101">
        <v>1.7490034752862249E-4</v>
      </c>
      <c r="AN101">
        <v>6.321434633528106E-5</v>
      </c>
      <c r="AP101" s="147">
        <v>4.4848609939888727E-14</v>
      </c>
      <c r="AQ101" s="147">
        <v>4.8793056206351993E-16</v>
      </c>
      <c r="AR101" s="147">
        <v>5.1987016853827567E-8</v>
      </c>
      <c r="AS101" s="147">
        <v>7.0224146944583165E-9</v>
      </c>
      <c r="AT101" s="147">
        <v>2.3248830305842124E-9</v>
      </c>
      <c r="AU101" s="147">
        <v>1.1974267028201857E-9</v>
      </c>
      <c r="AV101" s="147">
        <v>1.6553021420561764E-10</v>
      </c>
      <c r="AW101" s="147">
        <v>1.2998276539651455E-10</v>
      </c>
      <c r="AY101" s="147">
        <v>5.4477474947227334E-8</v>
      </c>
      <c r="AZ101" s="147">
        <v>8.3498246506055804E-9</v>
      </c>
      <c r="BB101">
        <v>4.2020439185834453E-3</v>
      </c>
      <c r="BC101">
        <v>1.0239994128502693E-2</v>
      </c>
      <c r="BD101">
        <v>2.396322403379611E-2</v>
      </c>
      <c r="BE101">
        <v>4.5870389546494143E-4</v>
      </c>
      <c r="BF101">
        <v>3.8863965976347191E-2</v>
      </c>
      <c r="BG101">
        <v>3.3925573020541375E-2</v>
      </c>
      <c r="BH101">
        <v>1.0386044021824555E-2</v>
      </c>
      <c r="BI101">
        <v>2.412532828186827E-2</v>
      </c>
      <c r="BJ101">
        <v>4.9257739034925141E-4</v>
      </c>
      <c r="BK101">
        <v>6.8929522714583441E-2</v>
      </c>
    </row>
    <row r="102" spans="1:63" x14ac:dyDescent="0.25">
      <c r="A102">
        <v>99</v>
      </c>
      <c r="B102" s="135">
        <v>49.5</v>
      </c>
      <c r="C102" s="24">
        <v>2.6355454031103348E-13</v>
      </c>
      <c r="D102" s="24">
        <v>5.2936553447198866E-7</v>
      </c>
      <c r="E102" s="24">
        <v>1.4153004170846938E-7</v>
      </c>
      <c r="F102" s="24">
        <v>5.1518118562044612E-7</v>
      </c>
      <c r="G102" s="23">
        <v>540.94442594190343</v>
      </c>
      <c r="H102" s="23">
        <v>154.42088418277771</v>
      </c>
      <c r="I102" s="23">
        <v>1.551192680964347E-3</v>
      </c>
      <c r="J102" s="23">
        <v>-2.3805321693662253E-4</v>
      </c>
      <c r="K102">
        <v>1.7685637379990606</v>
      </c>
      <c r="L102" s="23">
        <v>668.13386105542327</v>
      </c>
      <c r="M102" s="23">
        <v>171.24918696335064</v>
      </c>
      <c r="N102" s="23">
        <v>1.7429242341032681E-3</v>
      </c>
      <c r="O102" s="23">
        <v>-4.7663007364438597E-4</v>
      </c>
      <c r="P102" s="23">
        <v>1.0005369540532261</v>
      </c>
      <c r="Q102" s="23">
        <v>369.25072321380577</v>
      </c>
      <c r="R102" s="23">
        <v>89.694260203917665</v>
      </c>
      <c r="S102" s="23">
        <v>8.8067142746380066E-4</v>
      </c>
      <c r="T102" s="23">
        <v>-3.4932770825471331E-4</v>
      </c>
      <c r="U102" s="23">
        <v>0.55335854659011818</v>
      </c>
      <c r="V102" s="23">
        <v>245.58208055689397</v>
      </c>
      <c r="W102" s="23">
        <v>59.954847843513065</v>
      </c>
      <c r="X102" s="23">
        <v>5.8370572716367455E-4</v>
      </c>
      <c r="Y102" s="23">
        <v>-2.6478548988206955E-4</v>
      </c>
      <c r="Z102">
        <v>0.38765310277766463</v>
      </c>
      <c r="AB102">
        <v>7724.2936315987326</v>
      </c>
      <c r="AC102">
        <v>746235.9574846637</v>
      </c>
      <c r="AD102">
        <v>4874.5930677295382</v>
      </c>
      <c r="AE102">
        <v>37184.698255127478</v>
      </c>
      <c r="AF102">
        <v>72272.577780316889</v>
      </c>
      <c r="AG102">
        <v>142344.72510337402</v>
      </c>
      <c r="AH102">
        <v>366878.57857302763</v>
      </c>
      <c r="AI102">
        <v>471199.93356352556</v>
      </c>
      <c r="AK102">
        <v>2.8271910151367202E-10</v>
      </c>
      <c r="AL102">
        <v>2.2714349462787074E-4</v>
      </c>
      <c r="AM102">
        <v>1.3013271619536325E-4</v>
      </c>
      <c r="AN102">
        <v>4.7369396778411586E-5</v>
      </c>
      <c r="AP102" s="147">
        <v>3.6601288738832727E-14</v>
      </c>
      <c r="AQ102" s="147">
        <v>3.7886019653439488E-16</v>
      </c>
      <c r="AR102" s="147">
        <v>4.6597426999925644E-8</v>
      </c>
      <c r="AS102" s="147">
        <v>6.1085205820259531E-9</v>
      </c>
      <c r="AT102" s="147">
        <v>1.8005821874919245E-9</v>
      </c>
      <c r="AU102" s="147">
        <v>9.1420820898602234E-10</v>
      </c>
      <c r="AV102" s="147">
        <v>1.2911464322243784E-10</v>
      </c>
      <c r="AW102" s="147">
        <v>1.0052929426405661E-10</v>
      </c>
      <c r="AY102" s="147">
        <v>4.8527160431928741E-8</v>
      </c>
      <c r="AZ102" s="147">
        <v>7.1232584641362288E-9</v>
      </c>
      <c r="BB102">
        <v>4.2020439186200463E-3</v>
      </c>
      <c r="BC102">
        <v>1.0240040725929694E-2</v>
      </c>
      <c r="BD102">
        <v>2.3963225834378297E-2</v>
      </c>
      <c r="BE102">
        <v>4.5870402457958467E-4</v>
      </c>
      <c r="BF102">
        <v>3.886401450350762E-2</v>
      </c>
      <c r="BG102">
        <v>3.3925573020541756E-2</v>
      </c>
      <c r="BH102">
        <v>1.0386050130345137E-2</v>
      </c>
      <c r="BI102">
        <v>2.4125329196076479E-2</v>
      </c>
      <c r="BJ102">
        <v>4.9257749087854572E-4</v>
      </c>
      <c r="BK102">
        <v>6.892952983784191E-2</v>
      </c>
    </row>
    <row r="103" spans="1:63" x14ac:dyDescent="0.25">
      <c r="A103">
        <v>100</v>
      </c>
      <c r="B103" s="135">
        <v>50</v>
      </c>
      <c r="C103" s="24">
        <v>2.0895486271267467E-13</v>
      </c>
      <c r="D103" s="24">
        <v>4.5623004387033038E-7</v>
      </c>
      <c r="E103" s="24">
        <v>1.053495565661235E-7</v>
      </c>
      <c r="F103" s="24">
        <v>3.8618858504430358E-7</v>
      </c>
      <c r="G103" s="23">
        <v>541.8351889632163</v>
      </c>
      <c r="H103" s="23">
        <v>155.64475048624649</v>
      </c>
      <c r="I103" s="23">
        <v>1.5630453216015352E-3</v>
      </c>
      <c r="J103" s="23">
        <v>-2.3698550808346356E-4</v>
      </c>
      <c r="K103">
        <v>1.7829303916766555</v>
      </c>
      <c r="L103" s="23">
        <v>672.80020449658207</v>
      </c>
      <c r="M103" s="23">
        <v>172.97897673065719</v>
      </c>
      <c r="N103" s="23">
        <v>1.7605295293972405E-3</v>
      </c>
      <c r="O103" s="23">
        <v>-4.7772686837610685E-4</v>
      </c>
      <c r="P103" s="23">
        <v>1.0089999229779081</v>
      </c>
      <c r="Q103" s="23">
        <v>372.83469467906957</v>
      </c>
      <c r="R103" s="23">
        <v>90.600262832240062</v>
      </c>
      <c r="S103" s="23">
        <v>8.8956709844828345E-4</v>
      </c>
      <c r="T103" s="23">
        <v>-3.5133601829501269E-4</v>
      </c>
      <c r="U103" s="23">
        <v>0.55821693116348259</v>
      </c>
      <c r="V103" s="23">
        <v>247.97535492246899</v>
      </c>
      <c r="W103" s="23">
        <v>60.560452367184901</v>
      </c>
      <c r="X103" s="23">
        <v>5.8960174460977221E-4</v>
      </c>
      <c r="Y103" s="23">
        <v>-2.667079170727884E-4</v>
      </c>
      <c r="Z103">
        <v>0.39111499193164345</v>
      </c>
      <c r="AB103">
        <v>7495.5027895439107</v>
      </c>
      <c r="AC103">
        <v>760869.11987690092</v>
      </c>
      <c r="AD103">
        <v>4684.8682847995124</v>
      </c>
      <c r="AE103">
        <v>36817.298950985525</v>
      </c>
      <c r="AF103">
        <v>69459.645717959007</v>
      </c>
      <c r="AG103">
        <v>138862.86827339919</v>
      </c>
      <c r="AH103">
        <v>352599.24125926418</v>
      </c>
      <c r="AI103">
        <v>456702.05619720003</v>
      </c>
      <c r="AK103">
        <v>2.2414916841623057E-10</v>
      </c>
      <c r="AL103">
        <v>1.9576205810659396E-4</v>
      </c>
      <c r="AM103">
        <v>9.6865822834745356E-5</v>
      </c>
      <c r="AN103">
        <v>3.5508906044823043E-5</v>
      </c>
      <c r="AP103" s="147">
        <v>2.990448735859515E-14</v>
      </c>
      <c r="AQ103" s="147">
        <v>2.9459622234701165E-16</v>
      </c>
      <c r="AR103" s="147">
        <v>4.1786032435909034E-8</v>
      </c>
      <c r="AS103" s="147">
        <v>5.317121670636672E-9</v>
      </c>
      <c r="AT103" s="147">
        <v>1.39456258138818E-9</v>
      </c>
      <c r="AU103" s="147">
        <v>6.9756461204612139E-10</v>
      </c>
      <c r="AV103" s="147">
        <v>1.0070613288334772E-10</v>
      </c>
      <c r="AW103" s="147">
        <v>7.7750703249495782E-11</v>
      </c>
      <c r="AY103" s="147">
        <v>4.3281331054667922E-8</v>
      </c>
      <c r="AZ103" s="147">
        <v>6.0924372805285121E-9</v>
      </c>
      <c r="BB103">
        <v>4.2020439186499512E-3</v>
      </c>
      <c r="BC103">
        <v>1.024008251196213E-2</v>
      </c>
      <c r="BD103">
        <v>2.3963227228940877E-2</v>
      </c>
      <c r="BE103">
        <v>4.5870412528571756E-4</v>
      </c>
      <c r="BF103">
        <v>3.8864057784838674E-2</v>
      </c>
      <c r="BG103">
        <v>3.3925573020542048E-2</v>
      </c>
      <c r="BH103">
        <v>1.0386055447466807E-2</v>
      </c>
      <c r="BI103">
        <v>2.4125329893641093E-2</v>
      </c>
      <c r="BJ103">
        <v>4.9257756862924895E-4</v>
      </c>
      <c r="BK103">
        <v>6.8929535930279201E-2</v>
      </c>
    </row>
    <row r="104" spans="1:63" x14ac:dyDescent="0.25">
      <c r="B104" s="135"/>
      <c r="C104" s="135"/>
      <c r="D104" s="135"/>
      <c r="E104" s="135"/>
      <c r="F104" s="135"/>
    </row>
    <row r="105" spans="1:63" x14ac:dyDescent="0.25">
      <c r="B105" s="135"/>
      <c r="C105" s="135"/>
      <c r="D105" s="135"/>
      <c r="E105" s="135"/>
      <c r="F105" s="135"/>
    </row>
    <row r="106" spans="1:63" x14ac:dyDescent="0.25">
      <c r="B106" s="135"/>
      <c r="C106" s="135"/>
      <c r="D106" s="135"/>
      <c r="E106" s="135"/>
      <c r="F106" s="135"/>
    </row>
    <row r="107" spans="1:63" x14ac:dyDescent="0.25">
      <c r="B107" s="135"/>
      <c r="C107" s="135"/>
      <c r="D107" s="135"/>
      <c r="E107" s="135"/>
      <c r="F107" s="135"/>
    </row>
    <row r="108" spans="1:63" x14ac:dyDescent="0.25">
      <c r="B108" s="135"/>
      <c r="C108" s="135"/>
      <c r="D108" s="135"/>
      <c r="E108" s="135"/>
      <c r="F108" s="135"/>
    </row>
  </sheetData>
  <mergeCells count="23">
    <mergeCell ref="B1:F1"/>
    <mergeCell ref="AB1:AI1"/>
    <mergeCell ref="AP1:AW1"/>
    <mergeCell ref="AY1:AZ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  <mergeCell ref="BM1:BV1"/>
    <mergeCell ref="BM2:BQ2"/>
    <mergeCell ref="BR2:BV2"/>
    <mergeCell ref="BB1:BK1"/>
    <mergeCell ref="AR2:AS2"/>
    <mergeCell ref="AT2:AU2"/>
    <mergeCell ref="AV2:AW2"/>
    <mergeCell ref="BB2:BF2"/>
    <mergeCell ref="BG2:BK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G115"/>
  <sheetViews>
    <sheetView topLeftCell="A28" zoomScaleNormal="100" workbookViewId="0">
      <selection activeCell="A10" sqref="A10"/>
    </sheetView>
  </sheetViews>
  <sheetFormatPr baseColWidth="10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5703125" customWidth="1"/>
    <col min="16" max="21" width="11.42578125" hidden="1" customWidth="1"/>
    <col min="22" max="22" width="11.42578125" customWidth="1"/>
    <col min="26" max="28" width="0" hidden="1" customWidth="1"/>
    <col min="29" max="29" width="13.42578125" customWidth="1"/>
    <col min="30" max="30" width="15.140625" customWidth="1"/>
  </cols>
  <sheetData>
    <row r="1" spans="1:33" ht="13.5" customHeight="1" x14ac:dyDescent="0.25">
      <c r="A1" s="101">
        <v>1</v>
      </c>
      <c r="B1" s="101">
        <v>2</v>
      </c>
      <c r="C1" s="101">
        <v>3</v>
      </c>
      <c r="D1" s="101">
        <v>4</v>
      </c>
      <c r="E1" s="101">
        <v>5</v>
      </c>
      <c r="F1" s="101">
        <v>6</v>
      </c>
      <c r="G1" s="101">
        <v>7</v>
      </c>
      <c r="H1" s="101">
        <v>8</v>
      </c>
      <c r="I1" s="101">
        <v>9</v>
      </c>
      <c r="J1" s="101">
        <v>10</v>
      </c>
      <c r="K1" s="101">
        <v>11</v>
      </c>
      <c r="L1" s="101">
        <v>12</v>
      </c>
      <c r="M1" s="101">
        <v>13</v>
      </c>
      <c r="N1" s="101">
        <v>14</v>
      </c>
      <c r="O1" s="101">
        <v>15</v>
      </c>
      <c r="P1" s="101">
        <v>16</v>
      </c>
      <c r="Q1" s="101">
        <v>17</v>
      </c>
      <c r="R1" s="101">
        <v>18</v>
      </c>
      <c r="S1" s="101">
        <v>19</v>
      </c>
      <c r="T1" s="101">
        <v>20</v>
      </c>
      <c r="U1" s="101">
        <v>21</v>
      </c>
      <c r="V1" s="101">
        <v>22</v>
      </c>
      <c r="W1" s="101">
        <v>23</v>
      </c>
      <c r="X1" s="101">
        <v>24</v>
      </c>
      <c r="Y1" s="101">
        <v>25</v>
      </c>
      <c r="Z1" s="101">
        <v>26</v>
      </c>
      <c r="AA1" s="101">
        <v>27</v>
      </c>
      <c r="AB1" s="101">
        <v>28</v>
      </c>
      <c r="AC1" s="101">
        <v>29</v>
      </c>
      <c r="AD1" s="101">
        <v>30</v>
      </c>
    </row>
    <row r="2" spans="1:33" s="100" customFormat="1" ht="42.75" customHeight="1" x14ac:dyDescent="0.2">
      <c r="A2" s="118" t="s">
        <v>2</v>
      </c>
      <c r="B2" s="118" t="s">
        <v>18</v>
      </c>
      <c r="C2" s="118" t="s">
        <v>113</v>
      </c>
      <c r="D2" s="118" t="s">
        <v>112</v>
      </c>
      <c r="E2" s="118" t="s">
        <v>9</v>
      </c>
      <c r="F2" s="118" t="s">
        <v>95</v>
      </c>
      <c r="G2" s="118" t="s">
        <v>19</v>
      </c>
      <c r="H2" s="119" t="s">
        <v>3</v>
      </c>
      <c r="I2" s="120" t="s">
        <v>20</v>
      </c>
      <c r="J2" s="120" t="s">
        <v>120</v>
      </c>
      <c r="K2" s="120" t="s">
        <v>121</v>
      </c>
      <c r="L2" s="120" t="s">
        <v>122</v>
      </c>
      <c r="M2" s="120" t="s">
        <v>83</v>
      </c>
      <c r="N2" s="120" t="s">
        <v>93</v>
      </c>
      <c r="O2" s="120" t="s">
        <v>92</v>
      </c>
      <c r="P2" s="120" t="s">
        <v>4</v>
      </c>
      <c r="Q2" s="120" t="s">
        <v>5</v>
      </c>
      <c r="R2" s="121" t="s">
        <v>6</v>
      </c>
      <c r="S2" s="120" t="s">
        <v>7</v>
      </c>
      <c r="T2" s="120" t="s">
        <v>8</v>
      </c>
      <c r="U2" s="120" t="s">
        <v>91</v>
      </c>
      <c r="V2" s="120" t="s">
        <v>90</v>
      </c>
      <c r="W2" s="120" t="s">
        <v>89</v>
      </c>
      <c r="X2" s="120" t="s">
        <v>88</v>
      </c>
      <c r="Y2" s="120" t="s">
        <v>87</v>
      </c>
      <c r="Z2" s="120" t="s">
        <v>86</v>
      </c>
      <c r="AA2" s="120" t="s">
        <v>85</v>
      </c>
      <c r="AB2" s="120" t="s">
        <v>84</v>
      </c>
      <c r="AC2" s="120" t="s">
        <v>83</v>
      </c>
      <c r="AD2" s="120" t="s">
        <v>82</v>
      </c>
    </row>
    <row r="3" spans="1:33" x14ac:dyDescent="0.25">
      <c r="A3" s="3"/>
      <c r="B3" s="3"/>
      <c r="C3" s="3">
        <v>400000</v>
      </c>
      <c r="D3" s="3">
        <v>4.166666666666667</v>
      </c>
      <c r="E3" s="3">
        <v>0.35</v>
      </c>
      <c r="F3" s="3">
        <v>14.477683282633681</v>
      </c>
      <c r="G3" s="106">
        <v>20.606426499042783</v>
      </c>
      <c r="H3" s="3"/>
      <c r="I3" s="3"/>
      <c r="J3" s="114">
        <v>247.97535492246899</v>
      </c>
      <c r="K3" s="114">
        <v>95.145197497056344</v>
      </c>
      <c r="L3" s="114">
        <v>13.033287292226815</v>
      </c>
      <c r="M3" s="124">
        <v>5.252822131155498E-4</v>
      </c>
      <c r="N3" s="124">
        <v>9.4804318047820508E-6</v>
      </c>
      <c r="O3" s="124">
        <v>-2.6764726513651759E-4</v>
      </c>
      <c r="P3" s="124"/>
      <c r="Q3" s="124"/>
      <c r="R3" s="124"/>
      <c r="S3" s="124"/>
      <c r="T3" s="124"/>
      <c r="U3" s="124"/>
      <c r="V3" s="11">
        <v>0.39111499193164345</v>
      </c>
      <c r="W3" s="11">
        <v>13.311695400075775</v>
      </c>
      <c r="X3" s="11">
        <v>94.866789389207383</v>
      </c>
      <c r="Y3" s="11">
        <v>4.1076606076044936E-2</v>
      </c>
      <c r="Z3" s="3"/>
      <c r="AA3" s="3"/>
      <c r="AB3" s="3"/>
      <c r="AC3" s="216">
        <v>5.252822131155498E-4</v>
      </c>
      <c r="AD3" s="216">
        <v>-2.667079170727884E-4</v>
      </c>
      <c r="AE3" s="215"/>
      <c r="AF3" s="215"/>
    </row>
    <row r="4" spans="1:33" x14ac:dyDescent="0.25">
      <c r="A4" s="3"/>
      <c r="B4" s="3"/>
      <c r="C4" s="3">
        <v>100000</v>
      </c>
      <c r="D4" s="3"/>
      <c r="E4" s="3"/>
      <c r="F4" s="3"/>
      <c r="G4" s="106">
        <v>76.965364144491105</v>
      </c>
      <c r="H4" s="3"/>
      <c r="I4" s="3"/>
      <c r="J4" s="114">
        <v>60.560452367184901</v>
      </c>
      <c r="K4" s="114">
        <v>6.9813701346120265</v>
      </c>
      <c r="L4" s="114">
        <v>-2.4091475454472069</v>
      </c>
      <c r="M4" s="124">
        <v>5.8960174460977221E-4</v>
      </c>
      <c r="N4" s="124">
        <v>-1.3371586552996166E-4</v>
      </c>
      <c r="O4" s="124">
        <v>-2.6048785421076137E-4</v>
      </c>
      <c r="P4" s="124"/>
      <c r="Q4" s="124"/>
      <c r="R4" s="124"/>
      <c r="S4" s="124"/>
      <c r="T4" s="124"/>
      <c r="U4" s="124"/>
      <c r="V4" s="124"/>
      <c r="W4" s="11">
        <v>3.9507931458586758</v>
      </c>
      <c r="X4" s="11">
        <v>0.62142944330614469</v>
      </c>
      <c r="Y4" s="11">
        <v>0.87340743385604125</v>
      </c>
      <c r="Z4" s="3"/>
      <c r="AA4" s="3"/>
      <c r="AB4" s="3"/>
      <c r="AC4" s="216">
        <v>5.8960174460977221E-4</v>
      </c>
      <c r="AD4" s="216">
        <v>-2.2967724475378543E-4</v>
      </c>
    </row>
    <row r="5" spans="1:33" x14ac:dyDescent="0.25">
      <c r="G5" s="23"/>
      <c r="W5" s="123"/>
      <c r="X5" s="123"/>
      <c r="Y5" s="18"/>
      <c r="Z5" s="18"/>
      <c r="AA5" s="18"/>
      <c r="AB5" s="18"/>
      <c r="AC5" s="18"/>
      <c r="AD5" s="216"/>
      <c r="AF5" s="402"/>
      <c r="AG5" s="402"/>
    </row>
    <row r="6" spans="1:33" x14ac:dyDescent="0.25">
      <c r="J6" s="24">
        <v>235.63836198955954</v>
      </c>
      <c r="M6" s="124">
        <v>4.9443973078327618E-4</v>
      </c>
      <c r="AC6" s="216">
        <v>4.9443973078327618E-4</v>
      </c>
      <c r="AD6" s="216">
        <v>-2.5591304825649263E-4</v>
      </c>
      <c r="AF6" s="215"/>
      <c r="AG6" s="215"/>
    </row>
    <row r="7" spans="1:33" x14ac:dyDescent="0.25">
      <c r="J7" s="24">
        <v>56.122010504145514</v>
      </c>
      <c r="M7" s="124">
        <v>5.4521732597937833E-4</v>
      </c>
      <c r="AC7" s="216">
        <v>5.4521732597937833E-4</v>
      </c>
      <c r="AD7" s="216">
        <v>-2.1414269823314758E-4</v>
      </c>
      <c r="AF7" s="215"/>
      <c r="AG7" s="215"/>
    </row>
    <row r="8" spans="1:33" x14ac:dyDescent="0.25">
      <c r="AF8" s="18"/>
      <c r="AG8" s="18"/>
    </row>
    <row r="9" spans="1:33" s="104" customFormat="1" ht="17.25" x14ac:dyDescent="0.3">
      <c r="A9" s="19">
        <v>1</v>
      </c>
      <c r="B9" s="5" t="s">
        <v>27</v>
      </c>
      <c r="C9" s="5">
        <v>15</v>
      </c>
      <c r="D9" s="5">
        <v>3500000</v>
      </c>
      <c r="E9" s="6"/>
      <c r="F9" s="17"/>
      <c r="G9" s="6">
        <v>15</v>
      </c>
      <c r="H9" s="152"/>
      <c r="I9" s="6">
        <v>30.909639748564178</v>
      </c>
      <c r="J9" s="12">
        <v>82.049922573226567</v>
      </c>
      <c r="K9" s="12">
        <v>21.292868204492787</v>
      </c>
      <c r="L9" s="12">
        <v>-1.8264451985107748</v>
      </c>
      <c r="M9" s="14">
        <v>1.8809168630283218E-4</v>
      </c>
      <c r="N9" s="14">
        <v>-1.696337219164435E-5</v>
      </c>
      <c r="O9" s="14">
        <v>-9.499105492678137E-5</v>
      </c>
      <c r="P9" s="8">
        <v>1.0535245753428353E-2</v>
      </c>
      <c r="Q9" s="8">
        <v>9.3139722472856373E-2</v>
      </c>
      <c r="R9" s="8">
        <v>4.2684564737631131E-2</v>
      </c>
      <c r="S9" s="8">
        <v>0.13189428109379697</v>
      </c>
      <c r="T9" s="8">
        <v>3.5217466990881074E-2</v>
      </c>
      <c r="U9" s="9">
        <v>1.7605633343570931E-2</v>
      </c>
      <c r="V9" s="10">
        <f>SUM(U9:U23)</f>
        <v>0.35728666120436947</v>
      </c>
      <c r="W9" s="11">
        <v>-0.86300773349844262</v>
      </c>
      <c r="X9" s="11">
        <v>20.329430739480454</v>
      </c>
      <c r="Y9" s="11">
        <v>0.14214651123131919</v>
      </c>
      <c r="Z9" s="11"/>
      <c r="AA9" s="25"/>
      <c r="AB9" s="25"/>
      <c r="AC9" s="14">
        <v>1.8809168630283218E-4</v>
      </c>
      <c r="AD9" s="14">
        <v>-9.1752322550909984E-5</v>
      </c>
    </row>
    <row r="10" spans="1:33" ht="17.25" x14ac:dyDescent="0.3">
      <c r="A10" s="19">
        <v>2</v>
      </c>
      <c r="B10" s="5" t="s">
        <v>28</v>
      </c>
      <c r="C10" s="5">
        <v>20</v>
      </c>
      <c r="D10" s="5">
        <v>400000</v>
      </c>
      <c r="E10" s="6"/>
      <c r="F10" s="17"/>
      <c r="G10" s="6">
        <v>30.909639748564178</v>
      </c>
      <c r="H10" s="152"/>
      <c r="I10" s="6">
        <v>50.909639748564175</v>
      </c>
      <c r="J10" s="7">
        <v>47.613522669091978</v>
      </c>
      <c r="K10" s="7">
        <v>5.3305264732942916</v>
      </c>
      <c r="L10" s="7">
        <v>-2.0909655244142846</v>
      </c>
      <c r="M10" s="15">
        <v>1.8591870534793591E-4</v>
      </c>
      <c r="N10" s="15">
        <v>-4.2409474109371594E-5</v>
      </c>
      <c r="O10" s="15">
        <v>-8.2485530896997893E-5</v>
      </c>
      <c r="P10" s="8">
        <v>9.2183400342498084E-2</v>
      </c>
      <c r="Q10" s="8">
        <v>6.7637808346582645E-2</v>
      </c>
      <c r="R10" s="8">
        <v>3.5105462293048832E-2</v>
      </c>
      <c r="S10" s="8">
        <v>6.7637808346582645E-2</v>
      </c>
      <c r="T10" s="8">
        <v>3.5105462293048832E-2</v>
      </c>
      <c r="U10" s="7">
        <v>3.0495205942880334E-2</v>
      </c>
      <c r="V10" s="4"/>
      <c r="W10" s="11">
        <v>-0.11380411631878183</v>
      </c>
      <c r="X10" s="11">
        <v>3.3533650651987883</v>
      </c>
      <c r="Y10" s="11">
        <v>0.2917123388993344</v>
      </c>
      <c r="Z10" s="11"/>
      <c r="AA10" s="25"/>
      <c r="AB10" s="25"/>
      <c r="AC10" s="14">
        <v>1.8591870534793591E-4</v>
      </c>
      <c r="AD10" s="14">
        <v>-7.2324779897969184E-5</v>
      </c>
    </row>
    <row r="11" spans="1:33" ht="17.25" x14ac:dyDescent="0.3">
      <c r="A11" s="19">
        <v>3</v>
      </c>
      <c r="B11" s="5" t="s">
        <v>150</v>
      </c>
      <c r="C11" s="5">
        <v>30</v>
      </c>
      <c r="D11" s="5">
        <v>250000</v>
      </c>
      <c r="E11" s="6"/>
      <c r="F11" s="17"/>
      <c r="G11" s="6">
        <v>47.635420694665108</v>
      </c>
      <c r="H11" s="152"/>
      <c r="I11" s="6">
        <v>77.6354206946651</v>
      </c>
      <c r="J11" s="12">
        <v>25.020939747355921</v>
      </c>
      <c r="K11" s="12">
        <v>2.4162965882909404</v>
      </c>
      <c r="L11" s="12">
        <v>-1.1142406879631614</v>
      </c>
      <c r="M11" s="14">
        <v>2.4565220182241199E-4</v>
      </c>
      <c r="N11" s="14">
        <v>-5.9510480824965256E-5</v>
      </c>
      <c r="O11" s="14">
        <v>-1.0717273405439562E-4</v>
      </c>
      <c r="P11" s="8">
        <v>0.14749344054799693</v>
      </c>
      <c r="Q11" s="8">
        <v>5.0466511581898986E-2</v>
      </c>
      <c r="R11" s="8">
        <v>2.7711025795922977E-2</v>
      </c>
      <c r="S11" s="8">
        <v>5.0466511581898986E-2</v>
      </c>
      <c r="T11" s="8">
        <v>2.7711025795922977E-2</v>
      </c>
      <c r="U11" s="7">
        <v>3.6232845183686538E-2</v>
      </c>
      <c r="V11" s="4"/>
      <c r="W11" s="11">
        <v>1.1844218600499106</v>
      </c>
      <c r="X11" s="11">
        <v>0.11763404027786825</v>
      </c>
      <c r="Y11" s="11">
        <v>0.33914693331340362</v>
      </c>
      <c r="Z11" s="11"/>
      <c r="AA11" s="25"/>
      <c r="AB11" s="25"/>
      <c r="AC11" s="14">
        <v>2.4565220182241199E-4</v>
      </c>
      <c r="AD11" s="14">
        <v>-9.4990720068659237E-5</v>
      </c>
    </row>
    <row r="12" spans="1:33" ht="17.25" x14ac:dyDescent="0.3">
      <c r="A12" s="19">
        <v>4</v>
      </c>
      <c r="B12" s="5" t="s">
        <v>60</v>
      </c>
      <c r="C12" s="5">
        <v>40</v>
      </c>
      <c r="D12" s="5">
        <v>100000</v>
      </c>
      <c r="E12" s="6"/>
      <c r="F12" s="17"/>
      <c r="G12" s="6">
        <v>84.293981442142282</v>
      </c>
      <c r="H12" s="152"/>
      <c r="I12" s="6">
        <v>84.294981442142287</v>
      </c>
      <c r="J12" s="12">
        <v>21.950564686512024</v>
      </c>
      <c r="K12" s="12">
        <v>2.1807620483014762</v>
      </c>
      <c r="L12" s="12">
        <v>-0.98691606752884886</v>
      </c>
      <c r="M12" s="14">
        <v>2.1532718593241605E-4</v>
      </c>
      <c r="N12" s="14">
        <v>-5.1565149683426344E-5</v>
      </c>
      <c r="O12" s="14">
        <v>-9.4328804247135748E-5</v>
      </c>
      <c r="P12" s="8">
        <v>0.36873360136999234</v>
      </c>
      <c r="Q12" s="8">
        <v>4.7569592877967401E-2</v>
      </c>
      <c r="R12" s="8">
        <v>2.6454845285547555E-2</v>
      </c>
      <c r="S12" s="8">
        <v>4.7569592877967401E-2</v>
      </c>
      <c r="T12" s="8">
        <v>2.6454845285547555E-2</v>
      </c>
      <c r="U12" s="7">
        <v>0.27295297673423169</v>
      </c>
      <c r="V12" s="4"/>
      <c r="W12" s="11">
        <v>1.2642644801547627</v>
      </c>
      <c r="X12" s="11">
        <v>-7.0418499382135416E-2</v>
      </c>
      <c r="Y12" s="11">
        <v>0.33214139228118827</v>
      </c>
      <c r="Z12" s="11"/>
      <c r="AA12" s="25"/>
      <c r="AB12" s="25"/>
      <c r="AC12" s="14">
        <v>2.1532718593241605E-4</v>
      </c>
      <c r="AD12" s="14">
        <v>-8.5658617983022989E-5</v>
      </c>
    </row>
    <row r="13" spans="1:33" x14ac:dyDescent="0.25">
      <c r="H13" s="26"/>
      <c r="I13" s="26"/>
      <c r="K13" s="103"/>
      <c r="L13" s="103"/>
      <c r="M13" s="103"/>
      <c r="N13" s="103"/>
      <c r="O13" s="103"/>
      <c r="P13" s="103"/>
    </row>
    <row r="14" spans="1:33" x14ac:dyDescent="0.25">
      <c r="H14" s="2"/>
      <c r="I14" s="2"/>
      <c r="K14" s="103"/>
      <c r="L14" s="103"/>
      <c r="M14" s="103"/>
      <c r="N14" s="103"/>
      <c r="O14" s="103"/>
      <c r="P14" s="103"/>
    </row>
    <row r="15" spans="1:33" x14ac:dyDescent="0.25">
      <c r="C15" s="115" t="s">
        <v>97</v>
      </c>
      <c r="D15" s="115" t="s">
        <v>98</v>
      </c>
      <c r="E15" s="115" t="s">
        <v>102</v>
      </c>
      <c r="F15" s="115" t="s">
        <v>104</v>
      </c>
      <c r="H15" s="103"/>
      <c r="I15" s="2"/>
      <c r="K15" s="103"/>
      <c r="L15" s="103"/>
      <c r="M15" s="103"/>
      <c r="N15" s="103"/>
      <c r="O15" s="103"/>
      <c r="P15" s="103"/>
    </row>
    <row r="16" spans="1:33" x14ac:dyDescent="0.25">
      <c r="C16" s="116" t="s">
        <v>96</v>
      </c>
      <c r="D16" s="116" t="s">
        <v>99</v>
      </c>
      <c r="E16" s="116" t="s">
        <v>103</v>
      </c>
      <c r="F16" s="116" t="s">
        <v>105</v>
      </c>
      <c r="I16" s="2"/>
      <c r="K16" s="103"/>
      <c r="L16" s="103"/>
      <c r="M16" s="103"/>
      <c r="N16" s="103"/>
      <c r="O16" s="103"/>
      <c r="P16" s="103"/>
    </row>
    <row r="17" spans="2:16" x14ac:dyDescent="0.25">
      <c r="C17" s="117" t="s">
        <v>101</v>
      </c>
      <c r="D17" s="117" t="s">
        <v>100</v>
      </c>
      <c r="E17" s="117" t="s">
        <v>106</v>
      </c>
      <c r="F17" s="117" t="s">
        <v>107</v>
      </c>
      <c r="I17" s="2"/>
      <c r="K17" s="103"/>
      <c r="L17" s="103"/>
      <c r="M17" s="103"/>
      <c r="N17" s="103"/>
      <c r="O17" s="103"/>
      <c r="P17" s="103"/>
    </row>
    <row r="18" spans="2:16" x14ac:dyDescent="0.25">
      <c r="B18" s="102" t="s">
        <v>13</v>
      </c>
      <c r="C18" s="106">
        <v>90</v>
      </c>
      <c r="D18" s="106">
        <v>18</v>
      </c>
      <c r="E18" s="106">
        <v>27.361008992002702</v>
      </c>
      <c r="F18" s="106">
        <v>79.042186697320801</v>
      </c>
      <c r="K18" s="103"/>
      <c r="L18" s="103"/>
      <c r="M18" s="103"/>
      <c r="N18" s="103"/>
      <c r="O18" s="103"/>
      <c r="P18" s="103"/>
    </row>
    <row r="19" spans="2:16" x14ac:dyDescent="0.25">
      <c r="B19" s="102" t="s">
        <v>12</v>
      </c>
      <c r="C19" s="106">
        <v>90</v>
      </c>
      <c r="D19" s="106">
        <v>18</v>
      </c>
      <c r="E19" s="106">
        <v>27.361008992002702</v>
      </c>
      <c r="F19" s="106">
        <v>79.042186697320801</v>
      </c>
      <c r="K19" s="103"/>
      <c r="L19" s="103"/>
      <c r="M19" s="103"/>
      <c r="N19" s="103"/>
      <c r="O19" s="103"/>
      <c r="P19" s="103"/>
    </row>
    <row r="20" spans="2:16" x14ac:dyDescent="0.25">
      <c r="B20" s="102" t="s">
        <v>14</v>
      </c>
      <c r="C20" s="106">
        <v>8.3929251873924979</v>
      </c>
      <c r="D20" s="106">
        <v>123.32072007574396</v>
      </c>
      <c r="E20" s="106">
        <v>125.03049553233184</v>
      </c>
      <c r="F20" s="106">
        <v>145.3673528612739</v>
      </c>
      <c r="K20" s="103"/>
      <c r="L20" s="103"/>
      <c r="N20" s="103"/>
      <c r="O20" s="103"/>
      <c r="P20" s="103"/>
    </row>
    <row r="21" spans="2:16" x14ac:dyDescent="0.25">
      <c r="B21" s="102" t="s">
        <v>15</v>
      </c>
      <c r="C21" s="106">
        <v>8.3929251873924979</v>
      </c>
      <c r="D21" s="106">
        <v>123.32072007574396</v>
      </c>
      <c r="E21" s="106">
        <v>125.03049553233184</v>
      </c>
      <c r="F21" s="106">
        <v>145.3673528612739</v>
      </c>
      <c r="K21" s="103"/>
      <c r="L21" s="103"/>
      <c r="M21" s="103"/>
      <c r="N21" s="103"/>
      <c r="O21" s="103"/>
      <c r="P21" s="103"/>
    </row>
    <row r="22" spans="2:16" x14ac:dyDescent="0.25">
      <c r="B22" s="102" t="s">
        <v>16</v>
      </c>
      <c r="C22" s="106">
        <v>4.2190953492484544</v>
      </c>
      <c r="D22" s="106">
        <v>244.66303357883879</v>
      </c>
      <c r="E22" s="106">
        <v>245.52927485955814</v>
      </c>
      <c r="F22" s="106">
        <v>256.48326900188658</v>
      </c>
      <c r="I22" s="82"/>
      <c r="K22" s="103"/>
      <c r="L22" s="103"/>
      <c r="M22" s="103"/>
      <c r="N22" s="103"/>
      <c r="O22" s="103"/>
      <c r="P22" s="103"/>
    </row>
    <row r="23" spans="2:16" x14ac:dyDescent="0.25">
      <c r="B23" s="102" t="s">
        <v>17</v>
      </c>
      <c r="C23" s="106">
        <v>4.2190953492484544</v>
      </c>
      <c r="D23" s="106">
        <v>244.66303357883879</v>
      </c>
      <c r="E23" s="106">
        <v>245.52927485955814</v>
      </c>
      <c r="F23" s="106">
        <v>256.48326900188658</v>
      </c>
      <c r="I23" s="141"/>
      <c r="J23" s="103"/>
      <c r="K23" s="103"/>
      <c r="L23" s="103"/>
      <c r="N23" s="103"/>
      <c r="O23" s="103"/>
      <c r="P23" s="103"/>
    </row>
    <row r="24" spans="2:16" x14ac:dyDescent="0.25">
      <c r="C24" s="23"/>
      <c r="D24" s="23"/>
      <c r="E24" s="23"/>
      <c r="F24" s="23"/>
      <c r="I24" s="141"/>
      <c r="J24" s="103"/>
      <c r="K24" s="103"/>
      <c r="L24" s="103"/>
      <c r="M24" s="103"/>
      <c r="N24" s="103"/>
      <c r="O24" s="103"/>
      <c r="P24" s="103"/>
    </row>
    <row r="25" spans="2:16" x14ac:dyDescent="0.25">
      <c r="B25" s="3"/>
      <c r="C25" s="214" t="s">
        <v>56</v>
      </c>
      <c r="D25" s="214" t="s">
        <v>71</v>
      </c>
      <c r="E25" s="214" t="s">
        <v>72</v>
      </c>
      <c r="F25" s="214" t="s">
        <v>73</v>
      </c>
      <c r="I25" s="142"/>
      <c r="K25" s="103"/>
      <c r="L25" s="103"/>
      <c r="N25" s="103"/>
      <c r="O25" s="103"/>
      <c r="P25" s="103"/>
    </row>
    <row r="26" spans="2:16" x14ac:dyDescent="0.25">
      <c r="B26" s="102" t="s">
        <v>108</v>
      </c>
      <c r="C26" s="114">
        <v>1.2432928424115632</v>
      </c>
      <c r="D26" s="3">
        <v>0.19970040309205625</v>
      </c>
      <c r="E26" s="3">
        <v>7.5017934485538132E-2</v>
      </c>
      <c r="F26" s="3">
        <v>9.0842260377705254E-3</v>
      </c>
      <c r="K26" s="103"/>
      <c r="L26" s="103"/>
      <c r="N26" s="103"/>
      <c r="O26" s="103"/>
      <c r="P26" s="103"/>
    </row>
    <row r="27" spans="2:16" x14ac:dyDescent="0.25">
      <c r="B27" s="102" t="s">
        <v>109</v>
      </c>
      <c r="C27" s="114">
        <v>1.2432928424115632</v>
      </c>
      <c r="D27" s="3">
        <v>0.19970040309205625</v>
      </c>
      <c r="E27" s="3">
        <v>7.5017934485538132E-2</v>
      </c>
      <c r="F27" s="3">
        <v>9.0842260377705254E-3</v>
      </c>
    </row>
    <row r="28" spans="2:16" x14ac:dyDescent="0.25">
      <c r="B28" s="102" t="s">
        <v>110</v>
      </c>
      <c r="C28" s="114">
        <v>8.5179871439562458</v>
      </c>
      <c r="D28" s="3">
        <v>1.0951924173787926E-4</v>
      </c>
      <c r="E28" s="3">
        <v>1.646758779097856E-3</v>
      </c>
      <c r="F28" s="3">
        <v>1.4175438757278469E-3</v>
      </c>
    </row>
    <row r="29" spans="2:16" x14ac:dyDescent="0.25">
      <c r="B29" s="102" t="s">
        <v>111</v>
      </c>
      <c r="C29" s="114">
        <v>8.5179871439562458</v>
      </c>
      <c r="D29" s="3">
        <v>1.0951924173787926E-4</v>
      </c>
      <c r="E29" s="3">
        <v>1.646758779097856E-3</v>
      </c>
      <c r="F29" s="3">
        <v>1.4175438757278469E-3</v>
      </c>
    </row>
    <row r="31" spans="2:16" x14ac:dyDescent="0.25">
      <c r="B31" s="102" t="s">
        <v>13</v>
      </c>
      <c r="C31" s="128">
        <v>117.76187523153703</v>
      </c>
      <c r="D31" s="128">
        <v>26.651588624944498</v>
      </c>
      <c r="E31" s="18"/>
      <c r="F31" s="18"/>
    </row>
    <row r="32" spans="2:16" x14ac:dyDescent="0.25">
      <c r="B32" s="102" t="s">
        <v>12</v>
      </c>
      <c r="C32" s="128">
        <v>117.76187523153703</v>
      </c>
      <c r="D32" s="128">
        <v>26.651588624944498</v>
      </c>
      <c r="E32" s="18"/>
      <c r="F32" s="18"/>
    </row>
    <row r="33" spans="2:9" x14ac:dyDescent="0.25">
      <c r="B33" s="102" t="s">
        <v>14</v>
      </c>
      <c r="C33" s="128">
        <v>5.5459899427787E-2</v>
      </c>
      <c r="D33" s="128">
        <v>1.3322478430954061</v>
      </c>
      <c r="E33" s="18"/>
      <c r="F33" s="18"/>
    </row>
    <row r="34" spans="2:9" x14ac:dyDescent="0.25">
      <c r="B34" s="102" t="s">
        <v>15</v>
      </c>
      <c r="C34" s="128">
        <v>5.5459899427787E-2</v>
      </c>
      <c r="D34" s="128">
        <v>1.3322478430954061</v>
      </c>
      <c r="E34" s="18"/>
      <c r="F34" s="18"/>
    </row>
    <row r="35" spans="2:9" x14ac:dyDescent="0.25">
      <c r="B35" s="102" t="s">
        <v>16</v>
      </c>
      <c r="C35" s="128">
        <v>1.8458638149540189E-3</v>
      </c>
      <c r="D35" s="128">
        <v>7.7168784032846383E-2</v>
      </c>
    </row>
    <row r="36" spans="2:9" x14ac:dyDescent="0.25">
      <c r="B36" s="102" t="s">
        <v>17</v>
      </c>
      <c r="C36" s="128">
        <v>1.8458638149540189E-3</v>
      </c>
      <c r="D36" s="128">
        <v>7.7168784032846383E-2</v>
      </c>
    </row>
    <row r="38" spans="2:9" x14ac:dyDescent="0.25">
      <c r="B38" s="113"/>
      <c r="C38" s="403" t="s">
        <v>116</v>
      </c>
      <c r="D38" s="404"/>
      <c r="E38" s="403" t="s">
        <v>117</v>
      </c>
      <c r="F38" s="404"/>
    </row>
    <row r="39" spans="2:9" x14ac:dyDescent="0.25">
      <c r="B39" s="16"/>
      <c r="C39" s="403" t="s">
        <v>115</v>
      </c>
      <c r="D39" s="404"/>
      <c r="E39" s="403" t="s">
        <v>115</v>
      </c>
      <c r="F39" s="404"/>
    </row>
    <row r="40" spans="2:9" x14ac:dyDescent="0.25">
      <c r="B40" s="110" t="s">
        <v>114</v>
      </c>
      <c r="C40" s="111">
        <v>1</v>
      </c>
      <c r="D40" s="112">
        <v>2</v>
      </c>
      <c r="E40" s="111">
        <v>1</v>
      </c>
      <c r="F40" s="112">
        <v>2</v>
      </c>
    </row>
    <row r="41" spans="2:9" x14ac:dyDescent="0.25">
      <c r="B41" s="22">
        <v>1</v>
      </c>
      <c r="C41" s="18">
        <v>46.550738602773492</v>
      </c>
      <c r="D41" s="18">
        <v>-5.2729517795134812E-3</v>
      </c>
      <c r="E41" s="18">
        <v>5.637017795715054</v>
      </c>
      <c r="F41" s="91">
        <v>-1.4585252430142164</v>
      </c>
    </row>
    <row r="42" spans="2:9" x14ac:dyDescent="0.25">
      <c r="B42" s="22">
        <v>2</v>
      </c>
      <c r="C42" s="18">
        <v>46.550738602773492</v>
      </c>
      <c r="D42" s="18">
        <v>-5.2729517795134812E-3</v>
      </c>
      <c r="E42" s="18">
        <v>5.637017795715054</v>
      </c>
      <c r="F42" s="91">
        <v>-1.4585252430142164</v>
      </c>
      <c r="G42" s="18"/>
      <c r="H42" s="18"/>
      <c r="I42" s="18"/>
    </row>
    <row r="43" spans="2:9" x14ac:dyDescent="0.25">
      <c r="B43" s="22">
        <v>3</v>
      </c>
      <c r="C43" s="18">
        <v>1.0218601457546757</v>
      </c>
      <c r="D43" s="18">
        <v>2.9142593075298366</v>
      </c>
      <c r="E43" s="18">
        <v>0.87962585039835328</v>
      </c>
      <c r="F43" s="91">
        <v>0.11482744670363425</v>
      </c>
      <c r="G43" s="109"/>
      <c r="H43" s="109"/>
      <c r="I43" s="109"/>
    </row>
    <row r="44" spans="2:9" x14ac:dyDescent="0.25">
      <c r="B44" s="22">
        <v>4</v>
      </c>
      <c r="C44" s="18">
        <v>1.0218601457546757</v>
      </c>
      <c r="D44" s="18">
        <v>2.9142593075298366</v>
      </c>
      <c r="E44" s="18">
        <v>0.87962585039835328</v>
      </c>
      <c r="F44" s="91">
        <v>0.11482744670363425</v>
      </c>
    </row>
    <row r="45" spans="2:9" x14ac:dyDescent="0.25">
      <c r="B45" s="22">
        <v>5</v>
      </c>
      <c r="C45" s="18">
        <v>0</v>
      </c>
      <c r="D45" s="18">
        <v>0.58169871155569031</v>
      </c>
      <c r="E45" s="18">
        <v>0</v>
      </c>
      <c r="F45" s="91">
        <v>0.13912402358697865</v>
      </c>
    </row>
    <row r="46" spans="2:9" x14ac:dyDescent="0.25">
      <c r="B46" s="22">
        <v>6</v>
      </c>
      <c r="C46" s="107">
        <v>0</v>
      </c>
      <c r="D46" s="107">
        <v>0.58169871155569031</v>
      </c>
      <c r="E46" s="107">
        <v>0</v>
      </c>
      <c r="F46" s="108">
        <v>0.13912402358697865</v>
      </c>
    </row>
    <row r="48" spans="2:9" x14ac:dyDescent="0.25">
      <c r="B48" s="110" t="s">
        <v>151</v>
      </c>
      <c r="C48" s="149"/>
    </row>
    <row r="49" spans="1:24" x14ac:dyDescent="0.25">
      <c r="B49" s="102">
        <v>1</v>
      </c>
      <c r="C49" s="106">
        <v>20.606426499042783</v>
      </c>
      <c r="E49" s="122"/>
    </row>
    <row r="50" spans="1:24" x14ac:dyDescent="0.25">
      <c r="B50" s="102">
        <v>2</v>
      </c>
      <c r="C50" s="106">
        <v>76.96536414449109</v>
      </c>
    </row>
    <row r="51" spans="1:24" x14ac:dyDescent="0.25">
      <c r="B51" s="102">
        <v>3</v>
      </c>
      <c r="C51" s="106">
        <v>97.734962717092728</v>
      </c>
    </row>
    <row r="52" spans="1:24" x14ac:dyDescent="0.25">
      <c r="B52" s="102">
        <v>4</v>
      </c>
      <c r="C52" s="106">
        <v>97.962008553310937</v>
      </c>
    </row>
    <row r="53" spans="1:24" x14ac:dyDescent="0.25">
      <c r="A53" s="103"/>
      <c r="B53" s="102">
        <v>5</v>
      </c>
      <c r="C53" s="106">
        <v>128.97762253051542</v>
      </c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</row>
    <row r="54" spans="1:24" ht="15" customHeight="1" x14ac:dyDescent="0.25">
      <c r="A54" s="103"/>
      <c r="B54" s="102">
        <v>6</v>
      </c>
      <c r="C54" s="106"/>
      <c r="D54" s="103"/>
      <c r="E54" s="103"/>
      <c r="F54" s="103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03"/>
      <c r="W54" s="103"/>
      <c r="X54" s="103"/>
    </row>
    <row r="55" spans="1:24" x14ac:dyDescent="0.25">
      <c r="A55" s="103"/>
      <c r="B55" s="103"/>
      <c r="C55" s="103"/>
      <c r="D55" s="103"/>
      <c r="E55" s="103"/>
      <c r="F55" s="103"/>
      <c r="G55" s="103"/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03"/>
      <c r="S55" s="103"/>
      <c r="T55" s="103"/>
      <c r="U55" s="103"/>
      <c r="V55" s="103"/>
      <c r="W55" s="103"/>
      <c r="X55" s="103"/>
    </row>
    <row r="56" spans="1:24" x14ac:dyDescent="0.25">
      <c r="A56" s="103"/>
      <c r="B56" s="103"/>
      <c r="C56" s="103"/>
      <c r="D56" s="103"/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</row>
    <row r="57" spans="1:24" x14ac:dyDescent="0.25">
      <c r="A57" s="103"/>
      <c r="B57" s="103"/>
      <c r="C57" s="103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</row>
    <row r="58" spans="1:24" x14ac:dyDescent="0.25">
      <c r="A58" s="103"/>
      <c r="B58" s="103"/>
      <c r="C58" s="103"/>
      <c r="D58" s="103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</row>
    <row r="59" spans="1:24" x14ac:dyDescent="0.25">
      <c r="A59" s="103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</row>
    <row r="60" spans="1:24" x14ac:dyDescent="0.25">
      <c r="A60" s="103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03"/>
      <c r="S60" s="103"/>
      <c r="T60" s="103"/>
      <c r="U60" s="103"/>
      <c r="V60" s="103"/>
      <c r="W60" s="103"/>
      <c r="X60" s="103"/>
    </row>
    <row r="75" spans="5:5" x14ac:dyDescent="0.25">
      <c r="E75" s="212"/>
    </row>
    <row r="76" spans="5:5" x14ac:dyDescent="0.25">
      <c r="E76" s="212"/>
    </row>
    <row r="77" spans="5:5" x14ac:dyDescent="0.25">
      <c r="E77" s="212"/>
    </row>
    <row r="78" spans="5:5" x14ac:dyDescent="0.25">
      <c r="E78" s="212"/>
    </row>
    <row r="79" spans="5:5" x14ac:dyDescent="0.25">
      <c r="E79" s="212"/>
    </row>
    <row r="80" spans="5:5" x14ac:dyDescent="0.25">
      <c r="E80" s="212"/>
    </row>
    <row r="81" spans="5:5" x14ac:dyDescent="0.25">
      <c r="E81" s="212"/>
    </row>
    <row r="82" spans="5:5" x14ac:dyDescent="0.25">
      <c r="E82" s="212"/>
    </row>
    <row r="83" spans="5:5" x14ac:dyDescent="0.25">
      <c r="E83" s="212"/>
    </row>
    <row r="84" spans="5:5" x14ac:dyDescent="0.25">
      <c r="E84" s="212"/>
    </row>
    <row r="85" spans="5:5" x14ac:dyDescent="0.25">
      <c r="E85" s="212"/>
    </row>
    <row r="86" spans="5:5" x14ac:dyDescent="0.25">
      <c r="E86" s="212"/>
    </row>
    <row r="87" spans="5:5" x14ac:dyDescent="0.25">
      <c r="E87" s="212"/>
    </row>
    <row r="88" spans="5:5" x14ac:dyDescent="0.25">
      <c r="E88" s="212"/>
    </row>
    <row r="89" spans="5:5" x14ac:dyDescent="0.25">
      <c r="E89" s="212"/>
    </row>
    <row r="90" spans="5:5" x14ac:dyDescent="0.25">
      <c r="E90" s="212"/>
    </row>
    <row r="91" spans="5:5" x14ac:dyDescent="0.25">
      <c r="E91" s="212"/>
    </row>
    <row r="92" spans="5:5" x14ac:dyDescent="0.25">
      <c r="E92" s="212"/>
    </row>
    <row r="93" spans="5:5" x14ac:dyDescent="0.25">
      <c r="E93" s="212"/>
    </row>
    <row r="94" spans="5:5" x14ac:dyDescent="0.25">
      <c r="E94" s="212"/>
    </row>
    <row r="95" spans="5:5" x14ac:dyDescent="0.25">
      <c r="E95" s="212"/>
    </row>
    <row r="96" spans="5:5" x14ac:dyDescent="0.25">
      <c r="E96" s="212"/>
    </row>
    <row r="97" spans="5:5" x14ac:dyDescent="0.25">
      <c r="E97" s="212"/>
    </row>
    <row r="98" spans="5:5" x14ac:dyDescent="0.25">
      <c r="E98" s="212"/>
    </row>
    <row r="99" spans="5:5" x14ac:dyDescent="0.25">
      <c r="E99" s="212"/>
    </row>
    <row r="100" spans="5:5" x14ac:dyDescent="0.25">
      <c r="E100" s="212"/>
    </row>
    <row r="101" spans="5:5" x14ac:dyDescent="0.25">
      <c r="E101" s="212"/>
    </row>
    <row r="102" spans="5:5" x14ac:dyDescent="0.25">
      <c r="E102" s="212"/>
    </row>
    <row r="103" spans="5:5" x14ac:dyDescent="0.25">
      <c r="E103" s="212"/>
    </row>
    <row r="104" spans="5:5" x14ac:dyDescent="0.25">
      <c r="E104" s="212"/>
    </row>
    <row r="105" spans="5:5" x14ac:dyDescent="0.25">
      <c r="E105" s="212"/>
    </row>
    <row r="106" spans="5:5" x14ac:dyDescent="0.25">
      <c r="E106" s="212"/>
    </row>
    <row r="107" spans="5:5" x14ac:dyDescent="0.25">
      <c r="E107" s="212"/>
    </row>
    <row r="108" spans="5:5" x14ac:dyDescent="0.25">
      <c r="E108" s="212"/>
    </row>
    <row r="109" spans="5:5" x14ac:dyDescent="0.25">
      <c r="E109" s="212"/>
    </row>
    <row r="110" spans="5:5" x14ac:dyDescent="0.25">
      <c r="E110" s="212"/>
    </row>
    <row r="111" spans="5:5" x14ac:dyDescent="0.25">
      <c r="E111" s="212"/>
    </row>
    <row r="112" spans="5:5" x14ac:dyDescent="0.25">
      <c r="E112" s="212"/>
    </row>
    <row r="113" spans="5:5" x14ac:dyDescent="0.25">
      <c r="E113" s="212"/>
    </row>
    <row r="114" spans="5:5" x14ac:dyDescent="0.25">
      <c r="E114" s="212"/>
    </row>
    <row r="115" spans="5:5" x14ac:dyDescent="0.25">
      <c r="E115" s="212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ht="16.5" customHeight="1" thickBot="1" x14ac:dyDescent="0.3">
      <c r="A1" s="86"/>
      <c r="B1" s="85"/>
      <c r="C1" s="28">
        <v>0</v>
      </c>
      <c r="D1" s="29">
        <v>0.2</v>
      </c>
      <c r="E1" s="29">
        <v>0.4</v>
      </c>
      <c r="F1" s="29">
        <v>0.6</v>
      </c>
      <c r="G1" s="29">
        <v>0.8</v>
      </c>
      <c r="H1" s="29">
        <v>1</v>
      </c>
      <c r="I1" s="29">
        <v>1.2</v>
      </c>
      <c r="J1" s="29">
        <v>1.5</v>
      </c>
      <c r="K1" s="29">
        <v>2</v>
      </c>
      <c r="L1" s="29">
        <v>3</v>
      </c>
      <c r="M1" s="29">
        <v>4</v>
      </c>
      <c r="N1" s="29">
        <v>5</v>
      </c>
      <c r="O1" s="30">
        <v>6</v>
      </c>
      <c r="P1" s="30">
        <v>7</v>
      </c>
      <c r="Q1" s="30">
        <v>8</v>
      </c>
      <c r="R1" s="30">
        <v>10</v>
      </c>
      <c r="S1" s="30">
        <v>12</v>
      </c>
      <c r="T1" s="31">
        <v>14</v>
      </c>
    </row>
    <row r="2" spans="1:20" ht="15" customHeight="1" thickBot="1" x14ac:dyDescent="0.3">
      <c r="A2" s="41"/>
      <c r="B2" s="87"/>
      <c r="C2" s="88">
        <v>1</v>
      </c>
      <c r="D2" s="89">
        <v>2</v>
      </c>
      <c r="E2" s="89">
        <v>3</v>
      </c>
      <c r="F2" s="89">
        <v>4</v>
      </c>
      <c r="G2" s="89">
        <v>5</v>
      </c>
      <c r="H2" s="89">
        <v>6</v>
      </c>
      <c r="I2" s="89">
        <v>7</v>
      </c>
      <c r="J2" s="89">
        <v>8</v>
      </c>
      <c r="K2" s="89">
        <v>9</v>
      </c>
      <c r="L2" s="89">
        <v>10</v>
      </c>
      <c r="M2" s="89">
        <v>11</v>
      </c>
      <c r="N2" s="89">
        <v>12</v>
      </c>
      <c r="O2" s="89">
        <v>13</v>
      </c>
      <c r="P2" s="89">
        <v>14</v>
      </c>
      <c r="Q2" s="89">
        <v>15</v>
      </c>
      <c r="R2" s="89">
        <v>16</v>
      </c>
      <c r="S2" s="89">
        <v>17</v>
      </c>
      <c r="T2" s="90">
        <v>18</v>
      </c>
    </row>
    <row r="3" spans="1:20" x14ac:dyDescent="0.25">
      <c r="A3" s="71">
        <v>0</v>
      </c>
      <c r="B3" s="84">
        <v>1</v>
      </c>
      <c r="C3" s="83">
        <v>1</v>
      </c>
      <c r="D3" s="47">
        <v>1</v>
      </c>
      <c r="E3" s="47">
        <v>1</v>
      </c>
      <c r="F3" s="47">
        <v>1</v>
      </c>
      <c r="G3" s="47">
        <v>1</v>
      </c>
      <c r="H3" s="47">
        <v>0.5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7">
        <v>0</v>
      </c>
      <c r="Q3" s="47">
        <v>0</v>
      </c>
      <c r="R3" s="47">
        <v>0</v>
      </c>
      <c r="S3" s="47">
        <v>0</v>
      </c>
      <c r="T3" s="48">
        <v>0</v>
      </c>
    </row>
    <row r="4" spans="1:20" x14ac:dyDescent="0.25">
      <c r="A4" s="35">
        <v>0.1</v>
      </c>
      <c r="B4" s="76">
        <v>2</v>
      </c>
      <c r="C4" s="80">
        <v>0.99902000000000002</v>
      </c>
      <c r="D4" s="33">
        <v>0.9988800000000001</v>
      </c>
      <c r="E4" s="33">
        <v>0.99817</v>
      </c>
      <c r="F4" s="33">
        <v>0.99550000000000005</v>
      </c>
      <c r="G4" s="33">
        <v>0.97592999999999996</v>
      </c>
      <c r="H4" s="33">
        <v>0.48402999999999996</v>
      </c>
      <c r="I4" s="33">
        <v>1.7459999999999989E-2</v>
      </c>
      <c r="J4" s="33">
        <v>1.1499999999999982E-3</v>
      </c>
      <c r="K4" s="33">
        <v>1.1000000000000072E-4</v>
      </c>
      <c r="L4" s="33">
        <v>1.0000000000000026E-5</v>
      </c>
      <c r="M4" s="33">
        <v>0</v>
      </c>
      <c r="N4" s="33">
        <v>0</v>
      </c>
      <c r="O4" s="33">
        <v>0</v>
      </c>
      <c r="P4" s="33">
        <v>1.4999999999999999E-4</v>
      </c>
      <c r="Q4" s="33">
        <v>1E-4</v>
      </c>
      <c r="R4" s="33">
        <v>0</v>
      </c>
      <c r="S4" s="33">
        <v>0</v>
      </c>
      <c r="T4" s="34">
        <v>0</v>
      </c>
    </row>
    <row r="5" spans="1:20" x14ac:dyDescent="0.25">
      <c r="A5" s="35">
        <v>0.2</v>
      </c>
      <c r="B5" s="76">
        <v>3</v>
      </c>
      <c r="C5" s="80">
        <v>0.99245000000000005</v>
      </c>
      <c r="D5" s="33">
        <v>0.99129999999999996</v>
      </c>
      <c r="E5" s="33">
        <v>0.98655999999999999</v>
      </c>
      <c r="F5" s="33">
        <v>0.97006999999999999</v>
      </c>
      <c r="G5" s="33">
        <v>0.88997000000000004</v>
      </c>
      <c r="H5" s="33">
        <v>0.46781999999999996</v>
      </c>
      <c r="I5" s="33">
        <v>7.6739999999999989E-2</v>
      </c>
      <c r="J5" s="33">
        <v>8.0300000000000024E-3</v>
      </c>
      <c r="K5" s="33">
        <v>8.6999999999999925E-4</v>
      </c>
      <c r="L5" s="49">
        <v>6.999999999999975E-5</v>
      </c>
      <c r="M5" s="33">
        <v>1.0000000000000026E-5</v>
      </c>
      <c r="N5" s="33">
        <v>0</v>
      </c>
      <c r="O5" s="50">
        <v>2.4000000000000001E-4</v>
      </c>
      <c r="P5" s="50">
        <v>1.4999999999999999E-4</v>
      </c>
      <c r="Q5" s="50">
        <v>1E-4</v>
      </c>
      <c r="R5" s="33">
        <v>0</v>
      </c>
      <c r="S5" s="33">
        <v>0</v>
      </c>
      <c r="T5" s="34">
        <v>0</v>
      </c>
    </row>
    <row r="6" spans="1:20" x14ac:dyDescent="0.25">
      <c r="A6" s="35">
        <v>0.3</v>
      </c>
      <c r="B6" s="76">
        <v>4</v>
      </c>
      <c r="C6" s="80">
        <v>0.97626999999999997</v>
      </c>
      <c r="D6" s="33">
        <v>0.97304999999999997</v>
      </c>
      <c r="E6" s="33">
        <v>0.96333999999999997</v>
      </c>
      <c r="F6" s="33">
        <v>0.92172999999999994</v>
      </c>
      <c r="G6" s="33">
        <v>0.79337999999999997</v>
      </c>
      <c r="H6" s="33">
        <v>0.45132</v>
      </c>
      <c r="I6" s="33">
        <v>0.13647999999999999</v>
      </c>
      <c r="J6" s="33">
        <v>2.1999999999999999E-2</v>
      </c>
      <c r="K6" s="33">
        <v>2.7400000000000028E-3</v>
      </c>
      <c r="L6" s="33">
        <v>2.3000000000000017E-4</v>
      </c>
      <c r="M6" s="49">
        <v>5.0000000000000131E-5</v>
      </c>
      <c r="N6" s="51">
        <v>1.0000000000000001E-5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4">
        <v>0</v>
      </c>
    </row>
    <row r="7" spans="1:20" x14ac:dyDescent="0.25">
      <c r="A7" s="35">
        <v>0.4</v>
      </c>
      <c r="B7" s="76">
        <v>5</v>
      </c>
      <c r="C7" s="80">
        <v>0.62861</v>
      </c>
      <c r="D7" s="33">
        <v>0.62014999999999998</v>
      </c>
      <c r="E7" s="33">
        <v>0.59240999999999999</v>
      </c>
      <c r="F7" s="33">
        <v>0.53766999999999998</v>
      </c>
      <c r="G7" s="33">
        <v>0.44329000000000002</v>
      </c>
      <c r="H7" s="33">
        <v>0.31047999999999998</v>
      </c>
      <c r="I7" s="33">
        <v>0.18709000000000001</v>
      </c>
      <c r="J7" s="33">
        <v>8.5930000000000006E-2</v>
      </c>
      <c r="K7" s="33">
        <v>3.1179999999999999E-2</v>
      </c>
      <c r="L7" s="51">
        <v>5.2999999999999998E-4</v>
      </c>
      <c r="M7" s="51">
        <v>1.05E-4</v>
      </c>
      <c r="N7" s="51">
        <v>5.0000000000000002E-5</v>
      </c>
      <c r="O7" s="51">
        <v>1.0000000000000001E-5</v>
      </c>
      <c r="P7" s="33">
        <v>0</v>
      </c>
      <c r="Q7" s="33">
        <v>0</v>
      </c>
      <c r="R7" s="33">
        <v>0</v>
      </c>
      <c r="S7" s="33">
        <v>0</v>
      </c>
      <c r="T7" s="34">
        <v>0</v>
      </c>
    </row>
    <row r="8" spans="1:20" x14ac:dyDescent="0.25">
      <c r="A8" s="35">
        <v>0.5</v>
      </c>
      <c r="B8" s="76">
        <v>6</v>
      </c>
      <c r="C8" s="80">
        <v>0.91056000000000004</v>
      </c>
      <c r="D8" s="33">
        <v>0.90155000000000007</v>
      </c>
      <c r="E8" s="33">
        <v>0.86945000000000006</v>
      </c>
      <c r="F8" s="33">
        <v>0.79554000000000002</v>
      </c>
      <c r="G8" s="33">
        <v>0.64626000000000006</v>
      </c>
      <c r="H8" s="33">
        <v>0.41747000000000001</v>
      </c>
      <c r="I8" s="33">
        <v>0.20721000000000001</v>
      </c>
      <c r="J8" s="33">
        <v>6.0440000000000008E-2</v>
      </c>
      <c r="K8" s="33">
        <v>1.0500000000000002E-2</v>
      </c>
      <c r="L8" s="52">
        <v>1.15E-3</v>
      </c>
      <c r="M8" s="33">
        <v>1.8999999999999963E-4</v>
      </c>
      <c r="N8" s="53">
        <v>9.9999999999999829E-5</v>
      </c>
      <c r="O8" s="49">
        <v>2.0000000000000052E-5</v>
      </c>
      <c r="P8" s="54">
        <v>-1.9999999999999944E-5</v>
      </c>
      <c r="Q8" s="50">
        <v>3.9999999999999996E-5</v>
      </c>
      <c r="R8" s="50">
        <v>0</v>
      </c>
      <c r="S8" s="50">
        <v>9.9999999999999991E-6</v>
      </c>
      <c r="T8" s="55">
        <v>0</v>
      </c>
    </row>
    <row r="9" spans="1:20" x14ac:dyDescent="0.25">
      <c r="A9" s="35">
        <v>0.6</v>
      </c>
      <c r="B9" s="76">
        <v>7</v>
      </c>
      <c r="C9" s="80">
        <v>0.86380999999999997</v>
      </c>
      <c r="D9" s="33">
        <v>0.85221999999999998</v>
      </c>
      <c r="E9" s="33">
        <v>0.81386000000000003</v>
      </c>
      <c r="F9" s="33">
        <v>0.73249000000000009</v>
      </c>
      <c r="G9" s="33">
        <v>0.59087000000000001</v>
      </c>
      <c r="H9" s="33">
        <v>0.40027999999999997</v>
      </c>
      <c r="I9" s="33">
        <v>0.22409000000000001</v>
      </c>
      <c r="J9" s="33">
        <v>7.9089999999999994E-2</v>
      </c>
      <c r="K9" s="51">
        <v>1.6449999999999999E-2</v>
      </c>
      <c r="L9" s="51">
        <v>1.72E-3</v>
      </c>
      <c r="M9" s="51">
        <v>2.9E-4</v>
      </c>
      <c r="N9" s="51">
        <v>1.3999999999999999E-4</v>
      </c>
      <c r="O9" s="51">
        <v>3.4999999999999997E-5</v>
      </c>
      <c r="P9" s="51">
        <v>2.0000000000000002E-5</v>
      </c>
      <c r="Q9" s="51">
        <v>1.0000000000000001E-5</v>
      </c>
      <c r="R9" s="51">
        <v>0</v>
      </c>
      <c r="S9" s="51">
        <v>0</v>
      </c>
      <c r="T9" s="56">
        <v>0</v>
      </c>
    </row>
    <row r="10" spans="1:20" x14ac:dyDescent="0.25">
      <c r="A10" s="35">
        <v>0.7</v>
      </c>
      <c r="B10" s="76">
        <v>8</v>
      </c>
      <c r="C10" s="80">
        <v>0.81140999999999996</v>
      </c>
      <c r="D10" s="33">
        <v>0.79835999999999996</v>
      </c>
      <c r="E10" s="33">
        <v>0.75563000000000002</v>
      </c>
      <c r="F10" s="33">
        <v>0.67357</v>
      </c>
      <c r="G10" s="33">
        <v>0.54471000000000003</v>
      </c>
      <c r="H10" s="52">
        <v>0.37712999999999997</v>
      </c>
      <c r="I10" s="33">
        <v>0.23333000000000001</v>
      </c>
      <c r="J10" s="33">
        <v>9.5259999999999997E-2</v>
      </c>
      <c r="K10" s="33">
        <v>2.2290000000000001E-2</v>
      </c>
      <c r="L10" s="51">
        <v>2.3400000000000001E-3</v>
      </c>
      <c r="M10" s="51">
        <v>4.2999999999999999E-4</v>
      </c>
      <c r="N10" s="51">
        <v>1.95E-4</v>
      </c>
      <c r="O10" s="51">
        <v>4.8999999999999998E-5</v>
      </c>
      <c r="P10" s="51">
        <v>3.0000000000000001E-5</v>
      </c>
      <c r="Q10" s="51">
        <v>2.0000000000000002E-5</v>
      </c>
      <c r="R10" s="51">
        <v>0</v>
      </c>
      <c r="S10" s="51">
        <v>0</v>
      </c>
      <c r="T10" s="56">
        <v>0</v>
      </c>
    </row>
    <row r="11" spans="1:20" x14ac:dyDescent="0.25">
      <c r="A11" s="35">
        <v>0.8</v>
      </c>
      <c r="B11" s="76">
        <v>9</v>
      </c>
      <c r="C11" s="80">
        <v>0.75622</v>
      </c>
      <c r="D11" s="33">
        <v>0.74239999999999995</v>
      </c>
      <c r="E11" s="33">
        <v>0.69862000000000002</v>
      </c>
      <c r="F11" s="33">
        <v>0.61941999999999997</v>
      </c>
      <c r="G11" s="33">
        <v>0.50360000000000005</v>
      </c>
      <c r="H11" s="33">
        <v>0.36588999999999999</v>
      </c>
      <c r="I11" s="33">
        <v>0.23736000000000002</v>
      </c>
      <c r="J11" s="33">
        <v>0.10850000000000001</v>
      </c>
      <c r="K11" s="51">
        <v>2.8219999999999999E-2</v>
      </c>
      <c r="L11" s="51">
        <v>3.2499999999999999E-3</v>
      </c>
      <c r="M11" s="51">
        <v>6.7000000000000002E-4</v>
      </c>
      <c r="N11" s="51">
        <v>2.7999999999999998E-4</v>
      </c>
      <c r="O11" s="51">
        <v>6.7999999999999999E-5</v>
      </c>
      <c r="P11" s="51">
        <v>4.0000000000000003E-5</v>
      </c>
      <c r="Q11" s="51">
        <v>3.0000000000000001E-5</v>
      </c>
      <c r="R11" s="51">
        <v>0</v>
      </c>
      <c r="S11" s="51">
        <v>0</v>
      </c>
      <c r="T11" s="56">
        <v>0</v>
      </c>
    </row>
    <row r="12" spans="1:20" x14ac:dyDescent="0.25">
      <c r="A12" s="35">
        <v>0.9</v>
      </c>
      <c r="B12" s="76">
        <v>10</v>
      </c>
      <c r="C12" s="80">
        <v>0.70066000000000006</v>
      </c>
      <c r="D12" s="33">
        <v>0.68767</v>
      </c>
      <c r="E12" s="33">
        <v>0.64402999999999999</v>
      </c>
      <c r="F12" s="33">
        <v>0.57006000000000001</v>
      </c>
      <c r="G12" s="33">
        <v>0.46723000000000003</v>
      </c>
      <c r="H12" s="33">
        <v>0.34892000000000001</v>
      </c>
      <c r="I12" s="33">
        <v>0.23760000000000001</v>
      </c>
      <c r="J12" s="33">
        <v>0.11889</v>
      </c>
      <c r="K12" s="51">
        <v>3.465E-2</v>
      </c>
      <c r="L12" s="51">
        <v>4.5500000000000002E-3</v>
      </c>
      <c r="M12" s="51">
        <v>1.0300000000000001E-3</v>
      </c>
      <c r="N12" s="51">
        <v>3.6999999999999999E-4</v>
      </c>
      <c r="O12" s="51">
        <v>1E-4</v>
      </c>
      <c r="P12" s="51">
        <v>6.0000000000000002E-5</v>
      </c>
      <c r="Q12" s="51">
        <v>4.0000000000000003E-5</v>
      </c>
      <c r="R12" s="51">
        <v>1.0000000000000001E-5</v>
      </c>
      <c r="S12" s="51">
        <v>0</v>
      </c>
      <c r="T12" s="56">
        <v>0</v>
      </c>
    </row>
    <row r="13" spans="1:20" x14ac:dyDescent="0.25">
      <c r="A13" s="35">
        <v>1</v>
      </c>
      <c r="B13" s="76">
        <v>11</v>
      </c>
      <c r="C13" s="80">
        <v>0.6464399999999999</v>
      </c>
      <c r="D13" s="33">
        <v>0.63315999999999995</v>
      </c>
      <c r="E13" s="33">
        <v>0.59079999999999999</v>
      </c>
      <c r="F13" s="33">
        <v>0.52515999999999996</v>
      </c>
      <c r="G13" s="33">
        <v>0.43446000000000001</v>
      </c>
      <c r="H13" s="33">
        <v>0.33223000000000003</v>
      </c>
      <c r="I13" s="33">
        <v>0.23538999999999999</v>
      </c>
      <c r="J13" s="33">
        <v>0.12662999999999999</v>
      </c>
      <c r="K13" s="33">
        <v>4.1800000000000004E-2</v>
      </c>
      <c r="L13" s="33">
        <v>6.2700000000000013E-3</v>
      </c>
      <c r="M13" s="33">
        <v>1.5299999999999992E-3</v>
      </c>
      <c r="N13" s="33">
        <v>4.9000000000000042E-4</v>
      </c>
      <c r="O13" s="33">
        <v>1.5999999999999999E-4</v>
      </c>
      <c r="P13" s="33">
        <v>7.9999999999999993E-5</v>
      </c>
      <c r="Q13" s="33">
        <v>5.0000000000000023E-5</v>
      </c>
      <c r="R13" s="33">
        <v>1.9999999999999998E-5</v>
      </c>
      <c r="S13" s="33">
        <v>1.9999999999999998E-5</v>
      </c>
      <c r="T13" s="34">
        <v>0</v>
      </c>
    </row>
    <row r="14" spans="1:20" x14ac:dyDescent="0.25">
      <c r="A14" s="35">
        <v>1.2</v>
      </c>
      <c r="B14" s="76">
        <v>12</v>
      </c>
      <c r="C14" s="80">
        <v>0.54663000000000006</v>
      </c>
      <c r="D14" s="33">
        <v>0.53525</v>
      </c>
      <c r="E14" s="33">
        <v>0.50143000000000004</v>
      </c>
      <c r="F14" s="33">
        <v>0.44725999999999999</v>
      </c>
      <c r="G14" s="33">
        <v>0.37739</v>
      </c>
      <c r="H14" s="33">
        <v>0.30015999999999998</v>
      </c>
      <c r="I14" s="33">
        <v>0.22572</v>
      </c>
      <c r="J14" s="33">
        <v>0.13569999999999999</v>
      </c>
      <c r="K14" s="33">
        <v>5.2830000000000002E-2</v>
      </c>
      <c r="L14" s="33">
        <v>9.3999999999999986E-3</v>
      </c>
      <c r="M14" s="33">
        <v>2.3900000000000006E-3</v>
      </c>
      <c r="N14" s="33">
        <v>8.1000000000000039E-4</v>
      </c>
      <c r="O14" s="33">
        <v>3.3E-4</v>
      </c>
      <c r="P14" s="33">
        <v>1.4999999999999996E-4</v>
      </c>
      <c r="Q14" s="33">
        <v>7.9999999999999993E-5</v>
      </c>
      <c r="R14" s="51">
        <v>3.0000000000000001E-5</v>
      </c>
      <c r="S14" s="51">
        <v>2.4000000000000001E-5</v>
      </c>
      <c r="T14" s="56">
        <v>0</v>
      </c>
    </row>
    <row r="15" spans="1:20" x14ac:dyDescent="0.25">
      <c r="A15" s="35">
        <v>1.5</v>
      </c>
      <c r="B15" s="76">
        <v>13</v>
      </c>
      <c r="C15" s="80">
        <v>0.42397000000000001</v>
      </c>
      <c r="D15" s="33">
        <v>0.41576999999999997</v>
      </c>
      <c r="E15" s="33">
        <v>0.39215</v>
      </c>
      <c r="F15" s="33">
        <v>0.35498000000000002</v>
      </c>
      <c r="G15" s="33">
        <v>0.30803999999999998</v>
      </c>
      <c r="H15" s="33">
        <v>0.25624000000000002</v>
      </c>
      <c r="I15" s="33">
        <v>0.20489000000000002</v>
      </c>
      <c r="J15" s="33">
        <v>0.13793</v>
      </c>
      <c r="K15" s="33">
        <v>6.5009999999999998E-2</v>
      </c>
      <c r="L15" s="33">
        <v>1.4730000000000002E-2</v>
      </c>
      <c r="M15" s="33">
        <v>4.13E-3</v>
      </c>
      <c r="N15" s="33">
        <v>1.47E-3</v>
      </c>
      <c r="O15" s="33">
        <v>5.9999999999999984E-4</v>
      </c>
      <c r="P15" s="33">
        <v>2.8999999999999989E-4</v>
      </c>
      <c r="Q15" s="33">
        <v>1.4999999999999996E-4</v>
      </c>
      <c r="R15" s="49">
        <v>4.9999999999999914E-5</v>
      </c>
      <c r="S15" s="33">
        <v>2.999999999999997E-5</v>
      </c>
      <c r="T15" s="34">
        <v>1.0000000000000026E-5</v>
      </c>
    </row>
    <row r="16" spans="1:20" x14ac:dyDescent="0.25">
      <c r="A16" s="35">
        <v>2</v>
      </c>
      <c r="B16" s="76">
        <v>14</v>
      </c>
      <c r="C16" s="80">
        <v>0.28445999999999999</v>
      </c>
      <c r="D16" s="33">
        <v>0.28597</v>
      </c>
      <c r="E16" s="33">
        <v>0.26784000000000002</v>
      </c>
      <c r="F16" s="33">
        <v>0.24845</v>
      </c>
      <c r="G16" s="33">
        <v>0.22386</v>
      </c>
      <c r="H16" s="33">
        <v>0.19600000000000001</v>
      </c>
      <c r="I16" s="33">
        <v>0.16725000000000001</v>
      </c>
      <c r="J16" s="33">
        <v>0.12646000000000002</v>
      </c>
      <c r="K16" s="33">
        <v>7.3319999999999996E-2</v>
      </c>
      <c r="L16" s="33">
        <v>2.249E-2</v>
      </c>
      <c r="M16" s="33">
        <v>7.4999999999999989E-3</v>
      </c>
      <c r="N16" s="33">
        <v>2.8800000000000002E-3</v>
      </c>
      <c r="O16" s="33">
        <v>1.2099999999999997E-3</v>
      </c>
      <c r="P16" s="33">
        <v>6.1999999999999989E-4</v>
      </c>
      <c r="Q16" s="33">
        <v>3.1999999999999997E-4</v>
      </c>
      <c r="R16" s="53">
        <v>9.9999999999999937E-5</v>
      </c>
      <c r="S16" s="49">
        <v>5.9999999999999941E-5</v>
      </c>
      <c r="T16" s="34">
        <v>3.0000000000000024E-5</v>
      </c>
    </row>
    <row r="17" spans="1:20" x14ac:dyDescent="0.25">
      <c r="A17" s="35">
        <v>2.5</v>
      </c>
      <c r="B17" s="76">
        <v>15</v>
      </c>
      <c r="C17" s="80">
        <v>0.19958999999999999</v>
      </c>
      <c r="D17" s="33">
        <v>0.19730999999999999</v>
      </c>
      <c r="E17" s="33">
        <v>0.19073000000000001</v>
      </c>
      <c r="F17" s="33">
        <v>0.18024999999999999</v>
      </c>
      <c r="G17" s="33">
        <v>0.16671</v>
      </c>
      <c r="H17" s="33">
        <v>0.15104000000000001</v>
      </c>
      <c r="I17" s="33">
        <v>0.13424</v>
      </c>
      <c r="J17" s="33">
        <v>0.10902000000000001</v>
      </c>
      <c r="K17" s="33">
        <v>7.2160000000000002E-2</v>
      </c>
      <c r="L17" s="33">
        <v>2.8040000000000002E-2</v>
      </c>
      <c r="M17" s="33">
        <v>1.091E-2</v>
      </c>
      <c r="N17" s="33">
        <v>4.6099999999999995E-3</v>
      </c>
      <c r="O17" s="33">
        <v>2.1299999999999995E-3</v>
      </c>
      <c r="P17" s="33">
        <v>1.0699999999999998E-3</v>
      </c>
      <c r="Q17" s="33">
        <v>5.8E-4</v>
      </c>
      <c r="R17" s="33">
        <v>2.1000000000000001E-4</v>
      </c>
      <c r="S17" s="33">
        <v>9.0000000000000019E-5</v>
      </c>
      <c r="T17" s="34">
        <v>3.9999999999999996E-5</v>
      </c>
    </row>
    <row r="18" spans="1:20" x14ac:dyDescent="0.25">
      <c r="A18" s="35">
        <v>3</v>
      </c>
      <c r="B18" s="76">
        <v>16</v>
      </c>
      <c r="C18" s="80">
        <v>0.14618999999999999</v>
      </c>
      <c r="D18" s="33">
        <v>0.14495</v>
      </c>
      <c r="E18" s="33">
        <v>0.14121</v>
      </c>
      <c r="F18" s="33">
        <v>0.13521</v>
      </c>
      <c r="G18" s="33">
        <v>0.12740000000000001</v>
      </c>
      <c r="H18" s="33">
        <v>0.11812</v>
      </c>
      <c r="I18" s="33">
        <v>0.10792</v>
      </c>
      <c r="J18" s="33">
        <v>9.1929999999999998E-2</v>
      </c>
      <c r="K18" s="33">
        <v>6.6610000000000003E-2</v>
      </c>
      <c r="L18" s="33">
        <v>3.0920000000000003E-2</v>
      </c>
      <c r="M18" s="33">
        <v>1.3770000000000001E-2</v>
      </c>
      <c r="N18" s="33">
        <v>6.3600000000000002E-3</v>
      </c>
      <c r="O18" s="33">
        <v>3.13E-3</v>
      </c>
      <c r="P18" s="33">
        <v>1.67E-3</v>
      </c>
      <c r="Q18" s="33">
        <v>9.0999999999999978E-4</v>
      </c>
      <c r="R18" s="33">
        <v>3.3E-4</v>
      </c>
      <c r="S18" s="33">
        <v>1.4000000000000004E-4</v>
      </c>
      <c r="T18" s="57">
        <v>5.0000000000000023E-5</v>
      </c>
    </row>
    <row r="19" spans="1:20" x14ac:dyDescent="0.25">
      <c r="A19" s="35">
        <v>4</v>
      </c>
      <c r="B19" s="76">
        <v>17</v>
      </c>
      <c r="C19" s="80">
        <v>8.6930000000000007E-2</v>
      </c>
      <c r="D19" s="33">
        <v>8.6419999999999997E-2</v>
      </c>
      <c r="E19" s="33">
        <v>8.4690000000000001E-2</v>
      </c>
      <c r="F19" s="33">
        <v>8.1850000000000006E-2</v>
      </c>
      <c r="G19" s="33">
        <v>7.9770000000000008E-2</v>
      </c>
      <c r="H19" s="33">
        <v>7.5220000000000009E-2</v>
      </c>
      <c r="I19" s="33">
        <v>7.1830000000000005E-2</v>
      </c>
      <c r="J19" s="33">
        <v>6.4849999999999991E-2</v>
      </c>
      <c r="K19" s="33">
        <v>5.2589999999999998E-2</v>
      </c>
      <c r="L19" s="33">
        <v>3.107E-2</v>
      </c>
      <c r="M19" s="33">
        <v>1.704E-2</v>
      </c>
      <c r="N19" s="33">
        <v>9.2300000000000004E-3</v>
      </c>
      <c r="O19" s="33">
        <v>5.0699999999999999E-3</v>
      </c>
      <c r="P19" s="33">
        <v>2.9000000000000002E-3</v>
      </c>
      <c r="Q19" s="33">
        <v>1.73E-3</v>
      </c>
      <c r="R19" s="33">
        <v>6.600000000000001E-4</v>
      </c>
      <c r="S19" s="33">
        <v>3.0999999999999995E-4</v>
      </c>
      <c r="T19" s="34">
        <v>1.4999999999999996E-4</v>
      </c>
    </row>
    <row r="20" spans="1:20" x14ac:dyDescent="0.25">
      <c r="A20" s="35">
        <v>5</v>
      </c>
      <c r="B20" s="76">
        <v>18</v>
      </c>
      <c r="C20" s="36">
        <v>5.7139999999999996E-2</v>
      </c>
      <c r="D20" s="1">
        <v>5.6980000000000003E-2</v>
      </c>
      <c r="E20" s="78">
        <v>5.5469999999999998E-2</v>
      </c>
      <c r="F20" s="78">
        <v>5.432E-2</v>
      </c>
      <c r="G20" s="78">
        <v>5.3510000000000002E-2</v>
      </c>
      <c r="H20" s="1">
        <v>5.219E-2</v>
      </c>
      <c r="I20" s="78">
        <v>5.1049999999999998E-2</v>
      </c>
      <c r="J20" s="79">
        <v>4.6449999999999998E-2</v>
      </c>
      <c r="K20" s="33">
        <v>4.0470000000000006E-2</v>
      </c>
      <c r="L20" s="33">
        <v>2.7709999999999999E-2</v>
      </c>
      <c r="M20" s="33">
        <v>1.7590000000000001E-2</v>
      </c>
      <c r="N20" s="33">
        <v>1.0790000000000001E-2</v>
      </c>
      <c r="O20" s="33">
        <v>6.5900000000000004E-3</v>
      </c>
      <c r="P20" s="33">
        <v>4.0699999999999998E-3</v>
      </c>
      <c r="Q20" s="33">
        <v>2.5500000000000002E-3</v>
      </c>
      <c r="R20" s="33">
        <v>1.0899999999999998E-3</v>
      </c>
      <c r="S20" s="33">
        <v>5.1999999999999995E-4</v>
      </c>
      <c r="T20" s="34">
        <v>2.6000000000000003E-4</v>
      </c>
    </row>
    <row r="21" spans="1:20" x14ac:dyDescent="0.25">
      <c r="A21" s="35">
        <v>6</v>
      </c>
      <c r="B21" s="76">
        <v>19</v>
      </c>
      <c r="C21" s="36">
        <v>4.027E-2</v>
      </c>
      <c r="D21" s="78">
        <v>3.9820000000000001E-2</v>
      </c>
      <c r="E21" s="78">
        <v>3.9210000000000002E-2</v>
      </c>
      <c r="F21" s="78">
        <v>3.8429999999999999E-2</v>
      </c>
      <c r="G21" s="78">
        <v>3.8150000000000003E-2</v>
      </c>
      <c r="H21" s="1">
        <v>3.7749999999999999E-2</v>
      </c>
      <c r="I21" s="78">
        <v>3.7010000000000001E-2</v>
      </c>
      <c r="J21" s="78">
        <v>3.4509999999999999E-2</v>
      </c>
      <c r="K21" s="33">
        <v>3.1359999999999999E-2</v>
      </c>
      <c r="L21" s="33">
        <v>2.3629999999999998E-2</v>
      </c>
      <c r="M21" s="33">
        <v>1.6620000000000003E-2</v>
      </c>
      <c r="N21" s="33">
        <v>1.124E-2</v>
      </c>
      <c r="O21" s="33">
        <v>7.4599999999999996E-3</v>
      </c>
      <c r="P21" s="33">
        <v>4.9399999999999999E-3</v>
      </c>
      <c r="Q21" s="33">
        <v>3.2699999999999999E-3</v>
      </c>
      <c r="R21" s="33">
        <v>1.5100000000000001E-3</v>
      </c>
      <c r="S21" s="33">
        <v>7.7000000000000007E-4</v>
      </c>
      <c r="T21" s="34">
        <v>3.9000000000000005E-4</v>
      </c>
    </row>
    <row r="22" spans="1:20" x14ac:dyDescent="0.25">
      <c r="A22" s="35">
        <v>7</v>
      </c>
      <c r="B22" s="76">
        <v>20</v>
      </c>
      <c r="C22" s="36">
        <v>2.9850000000000002E-2</v>
      </c>
      <c r="D22" s="78">
        <v>2.9510000000000002E-2</v>
      </c>
      <c r="E22" s="78">
        <v>2.9020000000000001E-2</v>
      </c>
      <c r="F22" s="78">
        <v>2.8549999999999999E-2</v>
      </c>
      <c r="G22" s="78">
        <v>2.8459999999999999E-2</v>
      </c>
      <c r="H22" s="1">
        <v>2.844E-2</v>
      </c>
      <c r="I22" s="58">
        <v>2.785E-2</v>
      </c>
      <c r="J22" s="78">
        <v>2.6190000000000001E-2</v>
      </c>
      <c r="K22" s="80">
        <v>2.4709999999999999E-2</v>
      </c>
      <c r="L22" s="33">
        <v>1.9880000000000002E-2</v>
      </c>
      <c r="M22" s="33">
        <v>1.5030000000000002E-2</v>
      </c>
      <c r="N22" s="33">
        <v>1.095E-2</v>
      </c>
      <c r="O22" s="33">
        <v>7.77E-3</v>
      </c>
      <c r="P22" s="33">
        <v>5.45E-3</v>
      </c>
      <c r="Q22" s="33">
        <v>3.8399999999999997E-3</v>
      </c>
      <c r="R22" s="33">
        <v>1.91E-3</v>
      </c>
      <c r="S22" s="33">
        <v>1.01E-3</v>
      </c>
      <c r="T22" s="34">
        <v>5.4000000000000001E-4</v>
      </c>
    </row>
    <row r="23" spans="1:20" x14ac:dyDescent="0.25">
      <c r="A23" s="35">
        <v>8</v>
      </c>
      <c r="B23" s="76">
        <v>21</v>
      </c>
      <c r="C23" s="36">
        <v>2.298E-2</v>
      </c>
      <c r="D23" s="78">
        <v>2.273E-2</v>
      </c>
      <c r="E23" s="78">
        <v>2.2409999999999999E-2</v>
      </c>
      <c r="F23" s="78">
        <v>2.2179999999999998E-2</v>
      </c>
      <c r="G23" s="78">
        <v>2.2159999999999999E-2</v>
      </c>
      <c r="H23" s="1">
        <v>2.214E-2</v>
      </c>
      <c r="I23" s="59">
        <v>2.1680000000000001E-2</v>
      </c>
      <c r="J23" s="78">
        <v>2.061E-2</v>
      </c>
      <c r="K23" s="80">
        <v>1.9819999999999997E-2</v>
      </c>
      <c r="L23" s="33">
        <v>1.669E-2</v>
      </c>
      <c r="M23" s="33">
        <v>1.333E-2</v>
      </c>
      <c r="N23" s="33">
        <v>1.026E-2</v>
      </c>
      <c r="O23" s="33">
        <v>7.7000000000000002E-3</v>
      </c>
      <c r="P23" s="33">
        <v>5.6800000000000002E-3</v>
      </c>
      <c r="Q23" s="33">
        <v>4.1700000000000001E-3</v>
      </c>
      <c r="R23" s="33">
        <v>2.2399999999999998E-3</v>
      </c>
      <c r="S23" s="33">
        <v>1.2600000000000001E-3</v>
      </c>
      <c r="T23" s="34">
        <v>6.8999999999999997E-4</v>
      </c>
    </row>
    <row r="24" spans="1:20" x14ac:dyDescent="0.25">
      <c r="A24" s="35">
        <v>9</v>
      </c>
      <c r="B24" s="76">
        <v>22</v>
      </c>
      <c r="C24" s="36">
        <v>1.8239999999999999E-2</v>
      </c>
      <c r="D24" s="78">
        <v>1.8110000000000001E-2</v>
      </c>
      <c r="E24" s="78">
        <v>1.7829999999999999E-2</v>
      </c>
      <c r="F24" s="78">
        <v>1.7739999999999999E-2</v>
      </c>
      <c r="G24" s="78">
        <v>1.772E-2</v>
      </c>
      <c r="H24" s="1">
        <v>1.77E-2</v>
      </c>
      <c r="I24" s="59">
        <v>1.7330000000000002E-2</v>
      </c>
      <c r="J24" s="78">
        <v>1.6750000000000001E-2</v>
      </c>
      <c r="K24" s="80">
        <v>1.6199999999999999E-2</v>
      </c>
      <c r="L24" s="33">
        <v>1.4080000000000001E-2</v>
      </c>
      <c r="M24" s="33">
        <v>1.171E-2</v>
      </c>
      <c r="N24" s="33">
        <v>9.4199999999999996E-3</v>
      </c>
      <c r="O24" s="33">
        <v>7.3900000000000007E-3</v>
      </c>
      <c r="P24" s="33">
        <v>5.6600000000000001E-3</v>
      </c>
      <c r="Q24" s="33">
        <v>4.3400000000000001E-3</v>
      </c>
      <c r="R24" s="33">
        <v>2.5000000000000001E-3</v>
      </c>
      <c r="S24" s="33">
        <v>1.4500000000000001E-3</v>
      </c>
      <c r="T24" s="34">
        <v>8.4000000000000003E-4</v>
      </c>
    </row>
    <row r="25" spans="1:20" ht="15.75" thickBot="1" x14ac:dyDescent="0.3">
      <c r="A25" s="37">
        <v>10</v>
      </c>
      <c r="B25" s="73">
        <v>23</v>
      </c>
      <c r="C25" s="38">
        <v>1.515E-2</v>
      </c>
      <c r="D25" s="39">
        <v>1.4919999999999999E-2</v>
      </c>
      <c r="E25" s="39">
        <v>1.478E-2</v>
      </c>
      <c r="F25" s="39">
        <v>1.4710000000000001E-2</v>
      </c>
      <c r="G25" s="39">
        <v>1.4630000000000001E-2</v>
      </c>
      <c r="H25" s="39">
        <v>1.4579999999999999E-2</v>
      </c>
      <c r="I25" s="39">
        <v>1.435E-2</v>
      </c>
      <c r="J25" s="60">
        <v>1.401E-2</v>
      </c>
      <c r="K25" s="60">
        <v>1.3439999999999999E-2</v>
      </c>
      <c r="L25" s="60">
        <v>1.2019999999999999E-2</v>
      </c>
      <c r="M25" s="60">
        <v>1.0279999999999999E-2</v>
      </c>
      <c r="N25" s="60">
        <v>8.5299999999999994E-3</v>
      </c>
      <c r="O25" s="60">
        <v>7.0799999999999995E-3</v>
      </c>
      <c r="P25" s="60">
        <v>5.5399999999999998E-3</v>
      </c>
      <c r="Q25" s="60">
        <v>4.3999999999999994E-3</v>
      </c>
      <c r="R25" s="61">
        <v>2.7000000000000001E-3</v>
      </c>
      <c r="S25" s="78">
        <v>1.65E-3</v>
      </c>
      <c r="T25" s="62">
        <v>9.1E-4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x14ac:dyDescent="0.25">
      <c r="A1" t="s">
        <v>57</v>
      </c>
      <c r="B1" t="s">
        <v>58</v>
      </c>
      <c r="C1" s="71">
        <v>0</v>
      </c>
      <c r="D1" s="71">
        <v>0.2</v>
      </c>
      <c r="E1" s="71">
        <v>0.4</v>
      </c>
      <c r="F1" s="71">
        <v>0.6</v>
      </c>
      <c r="G1" s="71">
        <v>0.8</v>
      </c>
      <c r="H1" s="71">
        <v>1</v>
      </c>
      <c r="I1" s="71">
        <v>1.2</v>
      </c>
      <c r="J1" s="71">
        <v>1.5</v>
      </c>
      <c r="K1" s="71">
        <v>2</v>
      </c>
      <c r="L1" s="71">
        <v>3</v>
      </c>
      <c r="M1" s="71">
        <v>4</v>
      </c>
      <c r="N1" s="71">
        <v>5</v>
      </c>
      <c r="O1" s="71">
        <v>6</v>
      </c>
      <c r="P1" s="71">
        <v>7</v>
      </c>
      <c r="Q1" s="71">
        <v>8</v>
      </c>
      <c r="R1" s="71">
        <v>10</v>
      </c>
      <c r="S1" s="71">
        <v>12</v>
      </c>
      <c r="T1" s="71">
        <v>14</v>
      </c>
    </row>
    <row r="2" spans="1:20" ht="15.75" thickBot="1" x14ac:dyDescent="0.3">
      <c r="A2" s="77"/>
      <c r="B2" s="74"/>
      <c r="C2" s="72">
        <v>1</v>
      </c>
      <c r="D2" s="72">
        <v>2</v>
      </c>
      <c r="E2" s="72">
        <v>3</v>
      </c>
      <c r="F2" s="72">
        <v>4</v>
      </c>
      <c r="G2" s="72">
        <v>5</v>
      </c>
      <c r="H2" s="72">
        <v>6</v>
      </c>
      <c r="I2" s="72">
        <v>7</v>
      </c>
      <c r="J2" s="72">
        <v>8</v>
      </c>
      <c r="K2" s="72">
        <v>9</v>
      </c>
      <c r="L2" s="72">
        <v>10</v>
      </c>
      <c r="M2" s="72">
        <v>11</v>
      </c>
      <c r="N2" s="72">
        <v>12</v>
      </c>
      <c r="O2" s="72">
        <v>13</v>
      </c>
      <c r="P2" s="72">
        <v>14</v>
      </c>
      <c r="Q2" s="72">
        <v>15</v>
      </c>
      <c r="R2" s="72">
        <v>16</v>
      </c>
      <c r="S2" s="72">
        <v>17</v>
      </c>
      <c r="T2" s="73">
        <v>18</v>
      </c>
    </row>
    <row r="3" spans="1:20" ht="15.75" thickBot="1" x14ac:dyDescent="0.3">
      <c r="A3" s="75">
        <v>0</v>
      </c>
      <c r="B3" s="76">
        <v>1</v>
      </c>
      <c r="C3" s="46">
        <v>0.85</v>
      </c>
      <c r="D3" s="46">
        <v>0.85</v>
      </c>
      <c r="E3" s="46">
        <v>0.85</v>
      </c>
      <c r="F3" s="46">
        <v>0.85</v>
      </c>
      <c r="G3" s="46">
        <v>0.85</v>
      </c>
      <c r="H3" s="46">
        <v>0.35</v>
      </c>
      <c r="I3" s="46">
        <v>-0.10416600000000001</v>
      </c>
      <c r="J3" s="46">
        <v>-6.6666000000000017E-2</v>
      </c>
      <c r="K3" s="46">
        <v>-3.7500000000000006E-2</v>
      </c>
      <c r="L3" s="46">
        <v>-1.6668000000000002E-2</v>
      </c>
      <c r="M3" s="46">
        <v>-9.3750000000000014E-3</v>
      </c>
      <c r="N3" s="46">
        <v>-6.000000000000001E-3</v>
      </c>
      <c r="O3" s="46">
        <v>-4.1670000000000006E-3</v>
      </c>
      <c r="P3" s="46">
        <v>-3.0600000000000007E-3</v>
      </c>
      <c r="Q3" s="46">
        <v>-2.3430000000000005E-3</v>
      </c>
      <c r="R3" s="46">
        <v>-1.5000000000000002E-3</v>
      </c>
      <c r="S3" s="46">
        <v>-1.0410000000000003E-3</v>
      </c>
      <c r="T3" s="46">
        <v>-7.6500000000000016E-4</v>
      </c>
    </row>
    <row r="4" spans="1:20" ht="15.75" thickBot="1" x14ac:dyDescent="0.3">
      <c r="A4" s="67">
        <v>0.1</v>
      </c>
      <c r="B4" s="69">
        <v>2</v>
      </c>
      <c r="C4" s="46">
        <v>0.71616500000000005</v>
      </c>
      <c r="D4" s="46">
        <v>0.711198</v>
      </c>
      <c r="E4" s="46">
        <v>0.69366599999999989</v>
      </c>
      <c r="F4" s="46">
        <v>0.65166400000000002</v>
      </c>
      <c r="G4" s="46">
        <v>0.53786599999999996</v>
      </c>
      <c r="H4" s="46">
        <v>0.33502599999999993</v>
      </c>
      <c r="I4" s="46">
        <v>0.12518499999999999</v>
      </c>
      <c r="J4" s="46">
        <v>1.1422999999999989E-2</v>
      </c>
      <c r="K4" s="46">
        <v>-1.1498000000000005E-2</v>
      </c>
      <c r="L4" s="46">
        <v>-9.9460000000000034E-3</v>
      </c>
      <c r="M4" s="46">
        <v>-6.6550000000000021E-3</v>
      </c>
      <c r="N4" s="46">
        <v>-4.6370000000000005E-3</v>
      </c>
      <c r="O4" s="46">
        <v>-3.4200000000000003E-3</v>
      </c>
      <c r="P4" s="46">
        <v>-2.65E-3</v>
      </c>
      <c r="Q4" s="46">
        <v>-2.1250000000000002E-3</v>
      </c>
      <c r="R4" s="46">
        <v>-1.4700000000000002E-3</v>
      </c>
      <c r="S4" s="46">
        <v>-1.023E-3</v>
      </c>
      <c r="T4" s="46">
        <v>-7.5300000000000009E-4</v>
      </c>
    </row>
    <row r="5" spans="1:20" ht="15.75" thickBot="1" x14ac:dyDescent="0.3">
      <c r="A5" s="67">
        <v>0.2</v>
      </c>
      <c r="B5" s="69">
        <v>3</v>
      </c>
      <c r="C5" s="46">
        <v>0.58900799999999998</v>
      </c>
      <c r="D5" s="46">
        <v>0.5803609999999999</v>
      </c>
      <c r="E5" s="46">
        <v>0.5513499999999999</v>
      </c>
      <c r="F5" s="46">
        <v>0.48907999999999996</v>
      </c>
      <c r="G5" s="46">
        <v>0.37422300000000003</v>
      </c>
      <c r="H5" s="46">
        <v>0.308471</v>
      </c>
      <c r="I5" s="46">
        <v>0.22349599999999997</v>
      </c>
      <c r="J5" s="46">
        <v>7.553399999999999E-2</v>
      </c>
      <c r="K5" s="46">
        <v>1.2947E-2</v>
      </c>
      <c r="L5" s="46">
        <v>-3.3570000000000023E-3</v>
      </c>
      <c r="M5" s="46">
        <v>-3.9750000000000028E-3</v>
      </c>
      <c r="N5" s="46">
        <v>-3.2840000000000013E-3</v>
      </c>
      <c r="O5" s="46">
        <v>-2.6090000000000002E-3</v>
      </c>
      <c r="P5" s="46">
        <v>-2.0830000000000006E-3</v>
      </c>
      <c r="Q5" s="46">
        <v>-1.6960000000000005E-3</v>
      </c>
      <c r="R5" s="46">
        <v>-1.2700000000000001E-3</v>
      </c>
      <c r="S5" s="46">
        <v>-1.0080000000000002E-3</v>
      </c>
      <c r="T5" s="46">
        <v>-7.4100000000000012E-4</v>
      </c>
    </row>
    <row r="6" spans="1:20" ht="15.75" thickBot="1" x14ac:dyDescent="0.3">
      <c r="A6" s="67">
        <v>0.3</v>
      </c>
      <c r="B6" s="69">
        <v>4</v>
      </c>
      <c r="C6" s="46">
        <v>0.47394399999999998</v>
      </c>
      <c r="D6" s="46">
        <v>0.46406800000000004</v>
      </c>
      <c r="E6" s="46">
        <v>0.43758599999999997</v>
      </c>
      <c r="F6" s="46">
        <v>0.37564799999999998</v>
      </c>
      <c r="G6" s="46">
        <v>0.29617599999999999</v>
      </c>
      <c r="H6" s="46">
        <v>0.27962100000000001</v>
      </c>
      <c r="I6" s="46">
        <v>0.24365000000000003</v>
      </c>
      <c r="J6" s="46">
        <v>0.11924899999999999</v>
      </c>
      <c r="K6" s="46">
        <v>3.4529999999999991E-2</v>
      </c>
      <c r="L6" s="46">
        <v>2.975999999999996E-3</v>
      </c>
      <c r="M6" s="46">
        <v>-1.3280000000000019E-3</v>
      </c>
      <c r="N6" s="46">
        <v>-1.870000000000001E-3</v>
      </c>
      <c r="O6" s="46">
        <v>-1.9250000000000005E-3</v>
      </c>
      <c r="P6" s="46">
        <v>-1.5710000000000008E-3</v>
      </c>
      <c r="Q6" s="46">
        <v>-1.3850000000000004E-3</v>
      </c>
      <c r="R6" s="46">
        <v>-1.0050000000000003E-3</v>
      </c>
      <c r="S6" s="46">
        <v>-8.2700000000000026E-4</v>
      </c>
      <c r="T6" s="46">
        <v>-7.3200000000000012E-4</v>
      </c>
    </row>
    <row r="7" spans="1:20" ht="15.75" thickBot="1" x14ac:dyDescent="0.3">
      <c r="A7" s="67">
        <v>0.4</v>
      </c>
      <c r="B7" s="69">
        <v>5</v>
      </c>
      <c r="C7" s="46">
        <v>0.27994699999999995</v>
      </c>
      <c r="D7" s="46">
        <v>0.27222499999999994</v>
      </c>
      <c r="E7" s="46">
        <v>0.24949699999999997</v>
      </c>
      <c r="F7" s="46">
        <v>0.21651899999999996</v>
      </c>
      <c r="G7" s="46">
        <v>0.19862299999999999</v>
      </c>
      <c r="H7" s="46">
        <v>0.23025599999999996</v>
      </c>
      <c r="I7" s="46">
        <v>0.24110300000000001</v>
      </c>
      <c r="J7" s="46">
        <v>0.16437099999999999</v>
      </c>
      <c r="K7" s="46">
        <v>7.2496000000000005E-2</v>
      </c>
      <c r="L7" s="46">
        <v>2.146E-2</v>
      </c>
      <c r="M7" s="46">
        <v>8.3800000000000003E-3</v>
      </c>
      <c r="N7" s="46">
        <v>4.3899999999999998E-3</v>
      </c>
      <c r="O7" s="46">
        <v>2.3800000000000002E-3</v>
      </c>
      <c r="P7" s="46">
        <v>1.5349999999999999E-3</v>
      </c>
      <c r="Q7" s="46">
        <v>1.06E-3</v>
      </c>
      <c r="R7" s="46">
        <v>5.4000000000000001E-4</v>
      </c>
      <c r="S7" s="46">
        <v>2.8400000000000002E-4</v>
      </c>
      <c r="T7" s="46">
        <v>1E-4</v>
      </c>
    </row>
    <row r="8" spans="1:20" ht="15.75" thickBot="1" x14ac:dyDescent="0.3">
      <c r="A8" s="67">
        <v>0.5</v>
      </c>
      <c r="B8" s="69">
        <v>6</v>
      </c>
      <c r="C8" s="46">
        <v>0.29098000000000002</v>
      </c>
      <c r="D8" s="46">
        <v>0.28346199999999999</v>
      </c>
      <c r="E8" s="46">
        <v>0.26105400000000001</v>
      </c>
      <c r="F8" s="46">
        <v>0.23169699999999999</v>
      </c>
      <c r="G8" s="46">
        <v>0.21465599999999999</v>
      </c>
      <c r="H8" s="46">
        <v>0.22303299999999998</v>
      </c>
      <c r="I8" s="46">
        <v>0.21835599999999999</v>
      </c>
      <c r="J8" s="46">
        <v>0.15415600000000002</v>
      </c>
      <c r="K8" s="46">
        <v>6.6369999999999985E-2</v>
      </c>
      <c r="L8" s="46">
        <v>1.4545999999999996E-2</v>
      </c>
      <c r="M8" s="46">
        <v>3.6689999999999987E-3</v>
      </c>
      <c r="N8" s="46">
        <v>6.8299999999999871E-4</v>
      </c>
      <c r="O8" s="46">
        <v>-3.2600000000000077E-4</v>
      </c>
      <c r="P8" s="46">
        <v>-6.140000000000004E-4</v>
      </c>
      <c r="Q8" s="46">
        <v>-6.9200000000000012E-4</v>
      </c>
      <c r="R8" s="46">
        <v>-6.7500000000000004E-4</v>
      </c>
      <c r="S8" s="46">
        <v>-5.5900000000000025E-4</v>
      </c>
      <c r="T8" s="46">
        <v>-4.6800000000000015E-4</v>
      </c>
    </row>
    <row r="9" spans="1:20" ht="15.75" thickBot="1" x14ac:dyDescent="0.3">
      <c r="A9" s="67">
        <v>0.6</v>
      </c>
      <c r="B9" s="69">
        <v>7</v>
      </c>
      <c r="C9" s="46">
        <v>0.22352499999999997</v>
      </c>
      <c r="D9" s="46">
        <v>0.21752900000000003</v>
      </c>
      <c r="E9" s="46">
        <v>0.20718700000000001</v>
      </c>
      <c r="F9" s="46">
        <v>0.18806300000000001</v>
      </c>
      <c r="G9" s="46">
        <v>0.18518800000000002</v>
      </c>
      <c r="H9" s="46">
        <v>0.19728000000000001</v>
      </c>
      <c r="I9" s="46">
        <v>0.19836499999999999</v>
      </c>
      <c r="J9" s="46">
        <v>0.15495300000000001</v>
      </c>
      <c r="K9" s="46">
        <v>7.5549999999999992E-2</v>
      </c>
      <c r="L9" s="46">
        <v>1.9393000000000001E-2</v>
      </c>
      <c r="M9" s="46">
        <v>6.1099999999999991E-3</v>
      </c>
      <c r="N9" s="46">
        <v>1.8399999999999988E-3</v>
      </c>
      <c r="O9" s="46">
        <v>5.0099999999999928E-4</v>
      </c>
      <c r="P9" s="46">
        <v>-2.1600000000000005E-4</v>
      </c>
      <c r="Q9" s="46">
        <v>-3.8100000000000026E-4</v>
      </c>
      <c r="R9" s="46">
        <v>-5.300000000000002E-4</v>
      </c>
      <c r="S9" s="46">
        <v>-4.630000000000002E-4</v>
      </c>
      <c r="T9" s="46">
        <v>-3.990000000000001E-4</v>
      </c>
    </row>
    <row r="10" spans="1:20" ht="15.75" thickBot="1" x14ac:dyDescent="0.3">
      <c r="A10" s="67">
        <v>0.7</v>
      </c>
      <c r="B10" s="69">
        <v>8</v>
      </c>
      <c r="C10" s="46">
        <v>0.17011899999999996</v>
      </c>
      <c r="D10" s="46">
        <v>0.16709399999999999</v>
      </c>
      <c r="E10" s="46">
        <v>0.15937499999999999</v>
      </c>
      <c r="F10" s="46">
        <v>0.15423499999999996</v>
      </c>
      <c r="G10" s="46">
        <v>0.15996099999999999</v>
      </c>
      <c r="H10" s="46">
        <v>0.16936799999999996</v>
      </c>
      <c r="I10" s="46">
        <v>0.17826</v>
      </c>
      <c r="J10" s="46">
        <v>0.14994999999999997</v>
      </c>
      <c r="K10" s="46">
        <v>8.2789000000000001E-2</v>
      </c>
      <c r="L10" s="46">
        <v>2.3625E-2</v>
      </c>
      <c r="M10" s="46">
        <v>8.5699999999999995E-3</v>
      </c>
      <c r="N10" s="46">
        <v>3.3199999999999992E-3</v>
      </c>
      <c r="O10" s="46">
        <v>1.3189999999999994E-3</v>
      </c>
      <c r="P10" s="46">
        <v>1.7699999999999964E-4</v>
      </c>
      <c r="Q10" s="46">
        <v>-8.8000000000000187E-5</v>
      </c>
      <c r="R10" s="46">
        <v>-3.7500000000000012E-4</v>
      </c>
      <c r="S10" s="46">
        <v>-3.7700000000000016E-4</v>
      </c>
      <c r="T10" s="46">
        <v>-3.3300000000000007E-4</v>
      </c>
    </row>
    <row r="11" spans="1:20" ht="15.75" thickBot="1" x14ac:dyDescent="0.3">
      <c r="A11" s="67">
        <v>0.8</v>
      </c>
      <c r="B11" s="69">
        <v>9</v>
      </c>
      <c r="C11" s="46">
        <v>0.128552</v>
      </c>
      <c r="D11" s="46">
        <v>0.12787500000000002</v>
      </c>
      <c r="E11" s="46">
        <v>0.12529999999999999</v>
      </c>
      <c r="F11" s="46">
        <v>0.12692999999999999</v>
      </c>
      <c r="G11" s="46">
        <v>0.13721899999999998</v>
      </c>
      <c r="H11" s="46">
        <v>0.15196099999999998</v>
      </c>
      <c r="I11" s="46">
        <v>0.15909300000000001</v>
      </c>
      <c r="J11" s="46">
        <v>0.14169699999999996</v>
      </c>
      <c r="K11" s="46">
        <v>8.5834999999999995E-2</v>
      </c>
      <c r="L11" s="46">
        <v>2.7465000000000003E-2</v>
      </c>
      <c r="M11" s="46">
        <v>1.056E-2</v>
      </c>
      <c r="N11" s="46">
        <v>4.3799999999999993E-3</v>
      </c>
      <c r="O11" s="46">
        <v>1.895E-3</v>
      </c>
      <c r="P11" s="46">
        <v>6.2799999999999965E-4</v>
      </c>
      <c r="Q11" s="46">
        <v>2.2799999999999947E-4</v>
      </c>
      <c r="R11" s="46">
        <v>-2.2999999999999995E-4</v>
      </c>
      <c r="S11" s="46">
        <v>-2.7500000000000018E-4</v>
      </c>
      <c r="T11" s="46">
        <v>-2.8000000000000003E-4</v>
      </c>
    </row>
    <row r="12" spans="1:20" ht="15.75" thickBot="1" x14ac:dyDescent="0.3">
      <c r="A12" s="67">
        <v>0.9</v>
      </c>
      <c r="B12" s="69">
        <v>10</v>
      </c>
      <c r="C12" s="46">
        <v>9.6573999999999993E-2</v>
      </c>
      <c r="D12" s="46">
        <v>9.7507999999999984E-2</v>
      </c>
      <c r="E12" s="46">
        <v>9.8684000000000022E-2</v>
      </c>
      <c r="F12" s="46">
        <v>0.10489299999999999</v>
      </c>
      <c r="G12" s="46">
        <v>0.117536</v>
      </c>
      <c r="H12" s="46">
        <v>0.13264499999999999</v>
      </c>
      <c r="I12" s="46">
        <v>0.14121800000000001</v>
      </c>
      <c r="J12" s="46">
        <v>0.13181199999999998</v>
      </c>
      <c r="K12" s="46">
        <v>8.6558999999999997E-2</v>
      </c>
      <c r="L12" s="46">
        <v>3.0834999999999998E-2</v>
      </c>
      <c r="M12" s="46">
        <v>1.2269999999999998E-2</v>
      </c>
      <c r="N12" s="46">
        <v>5.4999999999999988E-3</v>
      </c>
      <c r="O12" s="46">
        <v>2.4989999999999991E-3</v>
      </c>
      <c r="P12" s="46">
        <v>1.1099999999999994E-3</v>
      </c>
      <c r="Q12" s="46">
        <v>4.9099999999999968E-4</v>
      </c>
      <c r="R12" s="46">
        <v>-6.5000000000000387E-5</v>
      </c>
      <c r="S12" s="46">
        <v>-1.8300000000000011E-4</v>
      </c>
      <c r="T12" s="46">
        <v>-2.2400000000000013E-4</v>
      </c>
    </row>
    <row r="13" spans="1:20" ht="15.75" thickBot="1" x14ac:dyDescent="0.3">
      <c r="A13" s="67">
        <v>1</v>
      </c>
      <c r="B13" s="69">
        <v>11</v>
      </c>
      <c r="C13" s="46">
        <v>7.2177999999999992E-2</v>
      </c>
      <c r="D13" s="46">
        <v>7.3680999999999996E-2</v>
      </c>
      <c r="E13" s="46">
        <v>7.4340000000000031E-2</v>
      </c>
      <c r="F13" s="46">
        <v>8.6603999999999987E-2</v>
      </c>
      <c r="G13" s="46">
        <v>0.10048599999999999</v>
      </c>
      <c r="H13" s="46">
        <v>0.115414</v>
      </c>
      <c r="I13" s="46">
        <v>0.12506999999999999</v>
      </c>
      <c r="J13" s="46">
        <v>0.12128499999999999</v>
      </c>
      <c r="K13" s="46">
        <v>8.6484000000000005E-2</v>
      </c>
      <c r="L13" s="46">
        <v>3.3472000000000002E-2</v>
      </c>
      <c r="M13" s="46">
        <v>1.3883999999999999E-2</v>
      </c>
      <c r="N13" s="46">
        <v>6.3839999999999991E-3</v>
      </c>
      <c r="O13" s="46">
        <v>3.1189999999999989E-3</v>
      </c>
      <c r="P13" s="46">
        <v>1.5879999999999996E-3</v>
      </c>
      <c r="Q13" s="46">
        <v>7.9799999999999966E-4</v>
      </c>
      <c r="R13" s="46">
        <v>1.2999999999999991E-4</v>
      </c>
      <c r="S13" s="46">
        <v>-8.7000000000000163E-5</v>
      </c>
      <c r="T13" s="46">
        <v>-1.7100000000000014E-4</v>
      </c>
    </row>
    <row r="14" spans="1:20" ht="15.75" thickBot="1" x14ac:dyDescent="0.3">
      <c r="A14" s="67">
        <v>1.2</v>
      </c>
      <c r="B14" s="69">
        <v>12</v>
      </c>
      <c r="C14" s="46">
        <v>3.9593000000000003E-2</v>
      </c>
      <c r="D14" s="46">
        <v>4.247500000000002E-2</v>
      </c>
      <c r="E14" s="46">
        <v>4.8343999999999984E-2</v>
      </c>
      <c r="F14" s="46">
        <v>5.9946999999999993E-2</v>
      </c>
      <c r="G14" s="46">
        <v>7.2950000000000001E-2</v>
      </c>
      <c r="H14" s="46">
        <v>8.6966999999999989E-2</v>
      </c>
      <c r="I14" s="46">
        <v>9.7279000000000004E-2</v>
      </c>
      <c r="J14" s="46">
        <v>0.100562</v>
      </c>
      <c r="K14" s="46">
        <v>8.0984E-2</v>
      </c>
      <c r="L14" s="46">
        <v>3.6982000000000001E-2</v>
      </c>
      <c r="M14" s="46">
        <v>1.6756E-2</v>
      </c>
      <c r="N14" s="46">
        <v>8.2490000000000011E-3</v>
      </c>
      <c r="O14" s="46">
        <v>4.3609999999999994E-3</v>
      </c>
      <c r="P14" s="46">
        <v>2.4089999999999997E-3</v>
      </c>
      <c r="Q14" s="46">
        <v>1.3650000000000001E-3</v>
      </c>
      <c r="R14" s="46">
        <v>4.4499999999999987E-4</v>
      </c>
      <c r="S14" s="46">
        <v>1.1999999999999988E-4</v>
      </c>
      <c r="T14" s="46">
        <v>-1.0600000000000008E-4</v>
      </c>
    </row>
    <row r="15" spans="1:20" ht="15.75" thickBot="1" x14ac:dyDescent="0.3">
      <c r="A15" s="67">
        <v>1.5</v>
      </c>
      <c r="B15" s="69">
        <v>13</v>
      </c>
      <c r="C15" s="46">
        <v>1.4748999999999981E-2</v>
      </c>
      <c r="D15" s="46">
        <v>1.7681999999999996E-2</v>
      </c>
      <c r="E15" s="46">
        <v>2.3285999999999991E-2</v>
      </c>
      <c r="F15" s="46">
        <v>3.2932000000000003E-2</v>
      </c>
      <c r="G15" s="46">
        <v>4.4698999999999996E-2</v>
      </c>
      <c r="H15" s="46">
        <v>5.6416000000000001E-2</v>
      </c>
      <c r="I15" s="46">
        <v>6.6110000000000002E-2</v>
      </c>
      <c r="J15" s="46">
        <v>7.3746999999999993E-2</v>
      </c>
      <c r="K15" s="46">
        <v>6.8590999999999999E-2</v>
      </c>
      <c r="L15" s="46">
        <v>3.8876999999999995E-2</v>
      </c>
      <c r="M15" s="46">
        <v>1.9805999999999997E-2</v>
      </c>
      <c r="N15" s="46">
        <v>1.0555999999999999E-2</v>
      </c>
      <c r="O15" s="46">
        <v>5.9559999999999995E-3</v>
      </c>
      <c r="P15" s="46">
        <v>3.5419999999999991E-3</v>
      </c>
      <c r="Q15" s="46">
        <v>2.1619999999999999E-3</v>
      </c>
      <c r="R15" s="46">
        <v>8.619999999999997E-4</v>
      </c>
      <c r="S15" s="46">
        <v>3.48E-4</v>
      </c>
      <c r="T15" s="46">
        <v>-2.400000000000015E-5</v>
      </c>
    </row>
    <row r="16" spans="1:20" ht="15.75" thickBot="1" x14ac:dyDescent="0.3">
      <c r="A16" s="67">
        <v>2</v>
      </c>
      <c r="B16" s="69">
        <v>14</v>
      </c>
      <c r="C16" s="46">
        <v>2.9599999999998725E-4</v>
      </c>
      <c r="D16" s="46">
        <v>4.3050000000000033E-3</v>
      </c>
      <c r="E16" s="46">
        <v>6.2020000000000061E-3</v>
      </c>
      <c r="F16" s="46">
        <v>1.2120999999999988E-2</v>
      </c>
      <c r="G16" s="46">
        <v>1.9962999999999998E-2</v>
      </c>
      <c r="H16" s="46">
        <v>2.7222E-2</v>
      </c>
      <c r="I16" s="46">
        <v>3.4513999999999996E-2</v>
      </c>
      <c r="J16" s="46">
        <v>4.2695999999999998E-2</v>
      </c>
      <c r="K16" s="46">
        <v>4.7271000000000001E-2</v>
      </c>
      <c r="L16" s="46">
        <v>3.5680000000000003E-2</v>
      </c>
      <c r="M16" s="46">
        <v>2.1752000000000001E-2</v>
      </c>
      <c r="N16" s="46">
        <v>1.2975999999999998E-2</v>
      </c>
      <c r="O16" s="46">
        <v>7.9109999999999996E-3</v>
      </c>
      <c r="P16" s="46">
        <v>5.0459999999999993E-3</v>
      </c>
      <c r="Q16" s="46">
        <v>3.2999999999999991E-3</v>
      </c>
      <c r="R16" s="46">
        <v>1.5269999999999997E-3</v>
      </c>
      <c r="S16" s="46">
        <v>7.629999999999999E-4</v>
      </c>
      <c r="T16" s="46">
        <v>3.9299999999999979E-4</v>
      </c>
    </row>
    <row r="17" spans="1:20" ht="15.75" thickBot="1" x14ac:dyDescent="0.3">
      <c r="A17" s="67">
        <v>2.5</v>
      </c>
      <c r="B17" s="69">
        <v>15</v>
      </c>
      <c r="C17" s="46">
        <v>-3.2380000000000048E-3</v>
      </c>
      <c r="D17" s="46">
        <v>2.5000000000004186E-5</v>
      </c>
      <c r="E17" s="46">
        <v>6.160000000000037E-4</v>
      </c>
      <c r="F17" s="46">
        <v>4.0850000000000001E-3</v>
      </c>
      <c r="G17" s="46">
        <v>8.4329999999999891E-3</v>
      </c>
      <c r="H17" s="46">
        <v>1.4054000000000004E-2</v>
      </c>
      <c r="I17" s="46">
        <v>1.8102999999999998E-2</v>
      </c>
      <c r="J17" s="46">
        <v>2.4581000000000006E-2</v>
      </c>
      <c r="K17" s="46">
        <v>3.1102999999999999E-2</v>
      </c>
      <c r="L17" s="46">
        <v>2.9434999999999999E-2</v>
      </c>
      <c r="M17" s="46">
        <v>2.1008999999999996E-2</v>
      </c>
      <c r="N17" s="46">
        <v>1.3902000000000001E-2</v>
      </c>
      <c r="O17" s="46">
        <v>9.1529999999999979E-3</v>
      </c>
      <c r="P17" s="46">
        <v>6.1180000000000002E-3</v>
      </c>
      <c r="Q17" s="46">
        <v>4.1919999999999995E-3</v>
      </c>
      <c r="R17" s="46">
        <v>2.1059999999999998E-3</v>
      </c>
      <c r="S17" s="46">
        <v>1.1320000000000002E-3</v>
      </c>
      <c r="T17" s="46">
        <v>6.3299999999999999E-4</v>
      </c>
    </row>
    <row r="18" spans="1:20" ht="15.75" thickBot="1" x14ac:dyDescent="0.3">
      <c r="A18" s="67">
        <v>3</v>
      </c>
      <c r="B18" s="69">
        <v>16</v>
      </c>
      <c r="C18" s="46">
        <v>-3.8180000000000045E-3</v>
      </c>
      <c r="D18" s="46">
        <v>-2.1350000000000041E-3</v>
      </c>
      <c r="E18" s="46">
        <v>-1.4709999999999992E-3</v>
      </c>
      <c r="F18" s="46">
        <v>4.9699999999999397E-4</v>
      </c>
      <c r="G18" s="46">
        <v>3.3179999999999998E-3</v>
      </c>
      <c r="H18" s="46">
        <v>6.3999999999999986E-3</v>
      </c>
      <c r="I18" s="46">
        <v>9.5500000000000012E-3</v>
      </c>
      <c r="J18" s="46">
        <v>1.4262E-2</v>
      </c>
      <c r="K18" s="46">
        <v>2.0202000000000001E-2</v>
      </c>
      <c r="L18" s="46">
        <v>2.2968000000000002E-2</v>
      </c>
      <c r="M18" s="46">
        <v>1.8810000000000004E-2</v>
      </c>
      <c r="N18" s="46">
        <v>1.3694000000000001E-2</v>
      </c>
      <c r="O18" s="46">
        <v>9.6509999999999999E-3</v>
      </c>
      <c r="P18" s="46">
        <v>6.8089999999999991E-3</v>
      </c>
      <c r="Q18" s="46">
        <v>4.8249999999999994E-3</v>
      </c>
      <c r="R18" s="46">
        <v>2.5749999999999996E-3</v>
      </c>
      <c r="S18" s="46">
        <v>1.454E-3</v>
      </c>
      <c r="T18" s="46">
        <v>8.6699999999999993E-4</v>
      </c>
    </row>
    <row r="19" spans="1:20" ht="15.75" thickBot="1" x14ac:dyDescent="0.3">
      <c r="A19" s="67">
        <v>4</v>
      </c>
      <c r="B19" s="69">
        <v>17</v>
      </c>
      <c r="C19" s="46">
        <v>-3.1589999999999977E-3</v>
      </c>
      <c r="D19" s="46">
        <v>-1.9299999999999977E-3</v>
      </c>
      <c r="E19" s="46">
        <v>-1.0350000000000003E-3</v>
      </c>
      <c r="F19" s="46">
        <v>-2.4590000000000011E-3</v>
      </c>
      <c r="G19" s="46">
        <v>-2.2799999999999643E-4</v>
      </c>
      <c r="H19" s="46">
        <v>2.1160000000000007E-3</v>
      </c>
      <c r="I19" s="46">
        <v>2.6849999999999964E-3</v>
      </c>
      <c r="J19" s="46">
        <v>4.971999999999999E-3</v>
      </c>
      <c r="K19" s="46">
        <v>8.5269999999999999E-3</v>
      </c>
      <c r="L19" s="46">
        <v>1.3048000000000001E-2</v>
      </c>
      <c r="M19" s="46">
        <v>1.3310000000000001E-2</v>
      </c>
      <c r="N19" s="46">
        <v>1.1474E-2</v>
      </c>
      <c r="O19" s="46">
        <v>9.1339999999999998E-3</v>
      </c>
      <c r="P19" s="46">
        <v>7.0669999999999995E-3</v>
      </c>
      <c r="Q19" s="46">
        <v>5.4199999999999995E-3</v>
      </c>
      <c r="R19" s="46">
        <v>3.2009999999999999E-3</v>
      </c>
      <c r="S19" s="46">
        <v>1.9620000000000002E-3</v>
      </c>
      <c r="T19" s="46">
        <v>1.2449999999999998E-3</v>
      </c>
    </row>
    <row r="20" spans="1:20" ht="15.75" thickBot="1" x14ac:dyDescent="0.3">
      <c r="A20" s="67">
        <v>5</v>
      </c>
      <c r="B20" s="69">
        <v>18</v>
      </c>
      <c r="C20" s="46">
        <v>-2.3529999999999996E-3</v>
      </c>
      <c r="D20" s="46">
        <v>-1.5010000000000015E-3</v>
      </c>
      <c r="E20" s="46">
        <v>-1.3250000000000002E-3</v>
      </c>
      <c r="F20" s="46">
        <v>-8.7399999999999934E-4</v>
      </c>
      <c r="G20" s="46">
        <v>-3.8300000000000139E-4</v>
      </c>
      <c r="H20" s="46">
        <v>-1.1999999999999815E-4</v>
      </c>
      <c r="I20" s="46">
        <v>2.0450000000000021E-3</v>
      </c>
      <c r="J20" s="46">
        <v>3.4750000000000015E-3</v>
      </c>
      <c r="K20" s="46">
        <v>3.7209999999999995E-3</v>
      </c>
      <c r="L20" s="46">
        <v>7.2379999999999988E-3</v>
      </c>
      <c r="M20" s="46">
        <v>6.1939999999999999E-3</v>
      </c>
      <c r="N20" s="46">
        <v>8.633E-3</v>
      </c>
      <c r="O20" s="46">
        <v>7.6920000000000001E-3</v>
      </c>
      <c r="P20" s="46">
        <v>6.4679999999999998E-3</v>
      </c>
      <c r="Q20" s="46">
        <v>5.2979999999999989E-3</v>
      </c>
      <c r="R20" s="46">
        <v>3.4649999999999998E-3</v>
      </c>
      <c r="S20" s="46">
        <v>2.264E-3</v>
      </c>
      <c r="T20" s="46">
        <v>1.516E-3</v>
      </c>
    </row>
    <row r="21" spans="1:20" ht="15.75" thickBot="1" x14ac:dyDescent="0.3">
      <c r="A21" s="67">
        <v>6</v>
      </c>
      <c r="B21" s="69">
        <v>19</v>
      </c>
      <c r="C21" s="46">
        <v>-1.7630000000000007E-3</v>
      </c>
      <c r="D21" s="46">
        <v>-1.4780000000000006E-3</v>
      </c>
      <c r="E21" s="46">
        <v>-1.0720000000000009E-3</v>
      </c>
      <c r="F21" s="46">
        <v>-7.3600000000000011E-4</v>
      </c>
      <c r="G21" s="46">
        <v>-3.8799999999999946E-4</v>
      </c>
      <c r="H21" s="46">
        <v>-6.00000000000123E-6</v>
      </c>
      <c r="I21" s="46">
        <v>8.8999999999999973E-4</v>
      </c>
      <c r="J21" s="46">
        <v>1.4340000000000012E-3</v>
      </c>
      <c r="K21" s="46">
        <v>1.6000000000000003E-3</v>
      </c>
      <c r="L21" s="46">
        <v>4.0580000000000008E-3</v>
      </c>
      <c r="M21" s="46">
        <v>5.6089999999999994E-3</v>
      </c>
      <c r="N21" s="46">
        <v>6.1960000000000001E-3</v>
      </c>
      <c r="O21" s="46">
        <v>6.0479999999999996E-3</v>
      </c>
      <c r="P21" s="46">
        <v>5.4979999999999994E-3</v>
      </c>
      <c r="Q21" s="46">
        <v>4.7829999999999999E-3</v>
      </c>
      <c r="R21" s="46">
        <v>3.4269999999999999E-3</v>
      </c>
      <c r="S21" s="46">
        <v>2.4000000000000002E-3</v>
      </c>
      <c r="T21" s="46">
        <v>1.6779999999999998E-3</v>
      </c>
    </row>
    <row r="22" spans="1:20" ht="15.75" thickBot="1" x14ac:dyDescent="0.3">
      <c r="A22" s="67">
        <v>7</v>
      </c>
      <c r="B22" s="69">
        <v>20</v>
      </c>
      <c r="C22" s="46">
        <v>-1.3560000000000011E-3</v>
      </c>
      <c r="D22" s="46">
        <v>-1.2030000000000009E-3</v>
      </c>
      <c r="E22" s="46">
        <v>-1.0469999999999998E-3</v>
      </c>
      <c r="F22" s="46">
        <v>-9.1799999999999955E-4</v>
      </c>
      <c r="G22" s="46">
        <v>-7.720000000000012E-4</v>
      </c>
      <c r="H22" s="46">
        <v>-7.3900000000000051E-4</v>
      </c>
      <c r="I22" s="46">
        <v>3.3500000000000023E-4</v>
      </c>
      <c r="J22" s="46">
        <v>5.5099999999999962E-4</v>
      </c>
      <c r="K22" s="46">
        <v>7.6200000000000031E-4</v>
      </c>
      <c r="L22" s="46">
        <v>2.3559999999999996E-3</v>
      </c>
      <c r="M22" s="46">
        <v>3.601E-3</v>
      </c>
      <c r="N22" s="46">
        <v>4.3299999999999996E-3</v>
      </c>
      <c r="O22" s="46">
        <v>4.5869999999999999E-3</v>
      </c>
      <c r="P22" s="46">
        <v>4.4520000000000002E-3</v>
      </c>
      <c r="Q22" s="46">
        <v>4.1180000000000001E-3</v>
      </c>
      <c r="R22" s="46">
        <v>3.2209999999999999E-3</v>
      </c>
      <c r="S22" s="46">
        <v>2.3970000000000003E-3</v>
      </c>
      <c r="T22" s="46">
        <v>1.7700000000000001E-3</v>
      </c>
    </row>
    <row r="23" spans="1:20" ht="15.75" thickBot="1" x14ac:dyDescent="0.3">
      <c r="A23" s="67">
        <v>8</v>
      </c>
      <c r="B23" s="69">
        <v>21</v>
      </c>
      <c r="C23" s="46">
        <v>-1.0679999999999995E-3</v>
      </c>
      <c r="D23" s="46">
        <v>-9.419999999999997E-4</v>
      </c>
      <c r="E23" s="46">
        <v>-8.7700000000000018E-4</v>
      </c>
      <c r="F23" s="46">
        <v>-7.8100000000000001E-4</v>
      </c>
      <c r="G23" s="46">
        <v>-6.8799999999999959E-4</v>
      </c>
      <c r="H23" s="46">
        <v>-5.6499999999999975E-4</v>
      </c>
      <c r="I23" s="46">
        <v>-1.7499999999999937E-4</v>
      </c>
      <c r="J23" s="46">
        <v>1.9699999999999926E-4</v>
      </c>
      <c r="K23" s="46">
        <v>4.5099999999999958E-4</v>
      </c>
      <c r="L23" s="46">
        <v>1.387999999999999E-3</v>
      </c>
      <c r="M23" s="46">
        <v>2.3149999999999998E-3</v>
      </c>
      <c r="N23" s="46">
        <v>3.0560000000000006E-3</v>
      </c>
      <c r="O23" s="46">
        <v>3.4509999999999996E-3</v>
      </c>
      <c r="P23" s="46">
        <v>3.5299999999999997E-3</v>
      </c>
      <c r="Q23" s="46">
        <v>3.4159999999999998E-3</v>
      </c>
      <c r="R23" s="46">
        <v>2.9019999999999996E-3</v>
      </c>
      <c r="S23" s="46">
        <v>2.3079999999999997E-3</v>
      </c>
      <c r="T23" s="46">
        <v>1.7589999999999999E-3</v>
      </c>
    </row>
    <row r="24" spans="1:20" ht="15.75" thickBot="1" x14ac:dyDescent="0.3">
      <c r="A24" s="67">
        <v>9</v>
      </c>
      <c r="B24" s="69">
        <v>22</v>
      </c>
      <c r="C24" s="46">
        <v>-6.3699999999999998E-4</v>
      </c>
      <c r="D24" s="46">
        <v>-2.8000000000000052E-4</v>
      </c>
      <c r="E24" s="46">
        <v>9.9999999999999612E-5</v>
      </c>
      <c r="F24" s="46">
        <v>4.7600000000000051E-4</v>
      </c>
      <c r="G24" s="46">
        <v>7.4200000000000004E-4</v>
      </c>
      <c r="H24" s="46">
        <v>1.0919999999999997E-3</v>
      </c>
      <c r="I24" s="46">
        <v>9.9700000000000006E-4</v>
      </c>
      <c r="J24" s="46">
        <v>9.2500000000000004E-4</v>
      </c>
      <c r="K24" s="46">
        <v>3.1500000000000061E-4</v>
      </c>
      <c r="L24" s="46">
        <v>8.5099999999999954E-4</v>
      </c>
      <c r="M24" s="46">
        <v>1.5209999999999998E-3</v>
      </c>
      <c r="N24" s="46">
        <v>2.1719999999999995E-3</v>
      </c>
      <c r="O24" s="46">
        <v>2.5730000000000002E-3</v>
      </c>
      <c r="P24" s="46">
        <v>2.7439999999999999E-3</v>
      </c>
      <c r="Q24" s="46">
        <v>2.7979999999999997E-3</v>
      </c>
      <c r="R24" s="46">
        <v>2.588E-3</v>
      </c>
      <c r="S24" s="46">
        <v>2.1360000000000003E-3</v>
      </c>
      <c r="T24" s="46">
        <v>1.7150000000000002E-3</v>
      </c>
    </row>
    <row r="25" spans="1:20" ht="15.75" thickBot="1" x14ac:dyDescent="0.3">
      <c r="A25" s="68">
        <v>10</v>
      </c>
      <c r="B25" s="70">
        <v>23</v>
      </c>
      <c r="C25" s="46">
        <v>-2.8899999999999998E-4</v>
      </c>
      <c r="D25" s="46">
        <v>-1.699999999999998E-4</v>
      </c>
      <c r="E25" s="46">
        <v>-9.9999999999999612E-5</v>
      </c>
      <c r="F25" s="46">
        <v>1.199999999999975E-5</v>
      </c>
      <c r="G25" s="46">
        <v>1.5400000000000049E-4</v>
      </c>
      <c r="H25" s="46">
        <v>1.8099999999999974E-4</v>
      </c>
      <c r="I25" s="46">
        <v>1.929999999999997E-4</v>
      </c>
      <c r="J25" s="46">
        <v>3.3000000000000011E-4</v>
      </c>
      <c r="K25" s="46">
        <v>2.6299999999999989E-4</v>
      </c>
      <c r="L25" s="46">
        <v>5.6500000000000018E-4</v>
      </c>
      <c r="M25" s="46">
        <v>9.7699999999999957E-4</v>
      </c>
      <c r="N25" s="46">
        <v>1.5410000000000003E-3</v>
      </c>
      <c r="O25" s="46">
        <v>2.0299999999999997E-3</v>
      </c>
      <c r="P25" s="46">
        <v>2.4870000000000001E-3</v>
      </c>
      <c r="Q25" s="46">
        <v>2.297E-3</v>
      </c>
      <c r="R25" s="46">
        <v>2.2759999999999998E-3</v>
      </c>
      <c r="S25" s="46">
        <v>1.804E-3</v>
      </c>
      <c r="T25" s="46">
        <v>1.4620000000000002E-3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T25"/>
  <sheetViews>
    <sheetView zoomScale="85" zoomScaleNormal="85" workbookViewId="0">
      <selection activeCell="E29" sqref="E29"/>
    </sheetView>
  </sheetViews>
  <sheetFormatPr baseColWidth="10" defaultRowHeight="15" x14ac:dyDescent="0.25"/>
  <sheetData>
    <row r="1" spans="1:20" ht="20.25" thickBot="1" x14ac:dyDescent="0.3">
      <c r="A1" s="27" t="s">
        <v>57</v>
      </c>
      <c r="B1" s="40" t="s">
        <v>58</v>
      </c>
      <c r="C1" s="28">
        <v>0</v>
      </c>
      <c r="D1" s="29">
        <v>0.2</v>
      </c>
      <c r="E1" s="29">
        <v>0.4</v>
      </c>
      <c r="F1" s="29">
        <v>0.6</v>
      </c>
      <c r="G1" s="29">
        <v>0.8</v>
      </c>
      <c r="H1" s="29">
        <v>1</v>
      </c>
      <c r="I1" s="29">
        <v>1.2</v>
      </c>
      <c r="J1" s="29">
        <v>1.5</v>
      </c>
      <c r="K1" s="29">
        <v>2</v>
      </c>
      <c r="L1" s="64">
        <v>3</v>
      </c>
      <c r="M1" s="29">
        <v>4</v>
      </c>
      <c r="N1" s="29">
        <v>5</v>
      </c>
      <c r="O1" s="30">
        <v>6</v>
      </c>
      <c r="P1" s="30">
        <v>7</v>
      </c>
      <c r="Q1" s="30">
        <v>8</v>
      </c>
      <c r="R1" s="30">
        <v>10</v>
      </c>
      <c r="S1" s="30">
        <v>12</v>
      </c>
      <c r="T1" s="31">
        <v>14</v>
      </c>
    </row>
    <row r="2" spans="1:20" ht="20.25" thickBot="1" x14ac:dyDescent="0.3">
      <c r="A2" s="63"/>
      <c r="B2" s="42" t="s">
        <v>59</v>
      </c>
      <c r="C2" s="43">
        <v>1</v>
      </c>
      <c r="D2" s="44">
        <v>2</v>
      </c>
      <c r="E2" s="44">
        <v>3</v>
      </c>
      <c r="F2" s="44">
        <v>4</v>
      </c>
      <c r="G2" s="44">
        <v>5</v>
      </c>
      <c r="H2" s="44">
        <v>6</v>
      </c>
      <c r="I2" s="44">
        <v>7</v>
      </c>
      <c r="J2" s="44">
        <v>8</v>
      </c>
      <c r="K2" s="44">
        <v>9</v>
      </c>
      <c r="L2" s="44">
        <v>10</v>
      </c>
      <c r="M2" s="44">
        <v>11</v>
      </c>
      <c r="N2" s="44">
        <v>12</v>
      </c>
      <c r="O2" s="44">
        <v>13</v>
      </c>
      <c r="P2" s="44">
        <v>14</v>
      </c>
      <c r="Q2" s="44">
        <v>15</v>
      </c>
      <c r="R2" s="44">
        <v>16</v>
      </c>
      <c r="S2" s="44">
        <v>17</v>
      </c>
      <c r="T2" s="44">
        <v>18</v>
      </c>
    </row>
    <row r="3" spans="1:20" ht="15.75" thickBot="1" x14ac:dyDescent="0.3">
      <c r="A3" s="32">
        <v>0</v>
      </c>
      <c r="B3" s="45">
        <v>1</v>
      </c>
      <c r="C3" s="46">
        <v>0.85</v>
      </c>
      <c r="D3" s="46">
        <v>0.85</v>
      </c>
      <c r="E3" s="46">
        <v>0.85</v>
      </c>
      <c r="F3" s="46">
        <v>0.85</v>
      </c>
      <c r="G3" s="46">
        <v>0.85</v>
      </c>
      <c r="H3" s="46">
        <v>0.5</v>
      </c>
      <c r="I3" s="46">
        <v>0.10416600000000001</v>
      </c>
      <c r="J3" s="46">
        <v>6.6666000000000017E-2</v>
      </c>
      <c r="K3" s="46">
        <v>3.7500000000000006E-2</v>
      </c>
      <c r="L3" s="65">
        <v>1.6668000000000002E-2</v>
      </c>
      <c r="M3" s="46">
        <v>9.3750000000000014E-3</v>
      </c>
      <c r="N3" s="46">
        <v>6.000000000000001E-3</v>
      </c>
      <c r="O3" s="46">
        <v>4.1670000000000006E-3</v>
      </c>
      <c r="P3" s="46">
        <v>3.0600000000000007E-3</v>
      </c>
      <c r="Q3" s="46">
        <v>2.3430000000000005E-3</v>
      </c>
      <c r="R3" s="46">
        <v>1.5000000000000002E-3</v>
      </c>
      <c r="S3" s="46">
        <v>1.0410000000000003E-3</v>
      </c>
      <c r="T3" s="46">
        <v>7.6500000000000016E-4</v>
      </c>
    </row>
    <row r="4" spans="1:20" ht="15.75" thickBot="1" x14ac:dyDescent="0.3">
      <c r="A4" s="35">
        <v>0.1</v>
      </c>
      <c r="B4" s="45">
        <v>2</v>
      </c>
      <c r="C4" s="46">
        <v>0.71616500000000005</v>
      </c>
      <c r="D4" s="46">
        <v>0.71310420000000008</v>
      </c>
      <c r="E4" s="46">
        <v>0.70249699999999993</v>
      </c>
      <c r="F4" s="46">
        <v>0.67824100000000009</v>
      </c>
      <c r="G4" s="46">
        <v>0.61373299999999997</v>
      </c>
      <c r="H4" s="46">
        <v>0.34234899999999996</v>
      </c>
      <c r="I4" s="46">
        <v>0.11777000000000001</v>
      </c>
      <c r="J4" s="46">
        <v>6.2676000000000009E-2</v>
      </c>
      <c r="K4" s="46">
        <v>3.4500000000000003E-2</v>
      </c>
      <c r="L4" s="65">
        <v>1.5633000000000001E-2</v>
      </c>
      <c r="M4" s="46">
        <v>8.9230000000000021E-3</v>
      </c>
      <c r="N4" s="46">
        <v>5.7610000000000014E-3</v>
      </c>
      <c r="O4" s="46">
        <v>4.0400000000000002E-3</v>
      </c>
      <c r="P4" s="46">
        <v>2.8900000000000006E-3</v>
      </c>
      <c r="Q4" s="46">
        <v>2.2860000000000003E-3</v>
      </c>
      <c r="R4" s="46">
        <v>1.4850000000000004E-3</v>
      </c>
      <c r="S4" s="46">
        <v>1.0290000000000002E-3</v>
      </c>
      <c r="T4" s="46">
        <v>7.5900000000000013E-4</v>
      </c>
    </row>
    <row r="5" spans="1:20" ht="15.75" thickBot="1" x14ac:dyDescent="0.3">
      <c r="A5" s="35">
        <v>0.2</v>
      </c>
      <c r="B5" s="45">
        <v>3</v>
      </c>
      <c r="C5" s="46">
        <v>0.58900799999999998</v>
      </c>
      <c r="D5" s="46">
        <v>0.58337819999999996</v>
      </c>
      <c r="E5" s="46">
        <v>0.56496099999999994</v>
      </c>
      <c r="F5" s="46">
        <v>0.52490099999999995</v>
      </c>
      <c r="G5" s="46">
        <v>0.43718199999999996</v>
      </c>
      <c r="H5" s="46">
        <v>0.256969</v>
      </c>
      <c r="I5" s="46">
        <v>0.116435</v>
      </c>
      <c r="J5" s="46">
        <v>5.8216000000000004E-2</v>
      </c>
      <c r="K5" s="46">
        <v>3.1533000000000005E-2</v>
      </c>
      <c r="L5" s="65">
        <v>1.4603000000000003E-2</v>
      </c>
      <c r="M5" s="46">
        <v>8.4740000000000024E-3</v>
      </c>
      <c r="N5" s="46">
        <v>5.5280000000000008E-3</v>
      </c>
      <c r="O5" s="46">
        <v>3.8920000000000001E-3</v>
      </c>
      <c r="P5" s="46">
        <v>2.8930000000000002E-3</v>
      </c>
      <c r="Q5" s="46">
        <v>2.2260000000000001E-3</v>
      </c>
      <c r="R5" s="46">
        <v>1.5370000000000002E-3</v>
      </c>
      <c r="S5" s="46">
        <v>1.0200000000000001E-3</v>
      </c>
      <c r="T5" s="46">
        <v>7.5300000000000009E-4</v>
      </c>
    </row>
    <row r="6" spans="1:20" ht="15.75" thickBot="1" x14ac:dyDescent="0.3">
      <c r="A6" s="35">
        <v>0.3</v>
      </c>
      <c r="B6" s="45">
        <v>4</v>
      </c>
      <c r="C6" s="46">
        <v>0.47394399999999998</v>
      </c>
      <c r="D6" s="46">
        <v>0.46686000000000005</v>
      </c>
      <c r="E6" s="46">
        <v>0.43912899999999999</v>
      </c>
      <c r="F6" s="46">
        <v>0.39923199999999998</v>
      </c>
      <c r="G6" s="46">
        <v>0.316631</v>
      </c>
      <c r="H6" s="46">
        <v>0.19718399999999997</v>
      </c>
      <c r="I6" s="46">
        <v>0.10490100000000001</v>
      </c>
      <c r="J6" s="46">
        <v>5.3123999999999998E-2</v>
      </c>
      <c r="K6" s="46">
        <v>2.8610000000000003E-2</v>
      </c>
      <c r="L6" s="65">
        <v>1.0021000000000002E-2</v>
      </c>
      <c r="M6" s="46">
        <v>8.0280000000000004E-3</v>
      </c>
      <c r="N6" s="46">
        <v>5.3500000000000006E-3</v>
      </c>
      <c r="O6" s="46">
        <v>3.6760000000000004E-3</v>
      </c>
      <c r="P6" s="46">
        <v>2.7780000000000005E-3</v>
      </c>
      <c r="Q6" s="46">
        <v>2.1750000000000007E-3</v>
      </c>
      <c r="R6" s="46">
        <v>1.4570000000000002E-3</v>
      </c>
      <c r="S6" s="46">
        <v>1.0740000000000001E-3</v>
      </c>
      <c r="T6" s="46">
        <v>7.4700000000000016E-4</v>
      </c>
    </row>
    <row r="7" spans="1:20" ht="15.75" thickBot="1" x14ac:dyDescent="0.3">
      <c r="A7" s="35">
        <v>0.4</v>
      </c>
      <c r="B7" s="45">
        <v>5</v>
      </c>
      <c r="C7" s="46">
        <v>0.27994699999999995</v>
      </c>
      <c r="D7" s="46">
        <v>0.27340499999999995</v>
      </c>
      <c r="E7" s="46">
        <v>0.25239699999999998</v>
      </c>
      <c r="F7" s="46">
        <v>0.21348899999999996</v>
      </c>
      <c r="G7" s="46">
        <v>0.15274299999999999</v>
      </c>
      <c r="H7" s="46">
        <v>8.0375999999999975E-2</v>
      </c>
      <c r="I7" s="46">
        <v>2.8482999999999994E-2</v>
      </c>
      <c r="J7" s="46">
        <v>1.2810000000000044E-3</v>
      </c>
      <c r="K7" s="46">
        <v>-3.6240000000000022E-3</v>
      </c>
      <c r="L7" s="65">
        <v>-3.2799999999999999E-3</v>
      </c>
      <c r="M7" s="46">
        <v>-7.2000000000000015E-4</v>
      </c>
      <c r="N7" s="46">
        <v>-4.1000000000000021E-4</v>
      </c>
      <c r="O7" s="46">
        <v>-3.2000000000000008E-4</v>
      </c>
      <c r="P7" s="46">
        <v>-2.6499999999999999E-4</v>
      </c>
      <c r="Q7" s="46">
        <v>-1.2000000000000004E-4</v>
      </c>
      <c r="R7" s="46">
        <v>-6.0000000000000022E-5</v>
      </c>
      <c r="S7" s="46">
        <v>-1.6000000000000009E-5</v>
      </c>
      <c r="T7" s="46">
        <v>0</v>
      </c>
    </row>
    <row r="8" spans="1:20" ht="15.75" thickBot="1" x14ac:dyDescent="0.3">
      <c r="A8" s="35">
        <v>0.5</v>
      </c>
      <c r="B8" s="45">
        <v>6</v>
      </c>
      <c r="C8" s="46">
        <v>0.29098000000000002</v>
      </c>
      <c r="D8" s="46">
        <v>0.28387199999999996</v>
      </c>
      <c r="E8" s="46">
        <v>0.26329000000000002</v>
      </c>
      <c r="F8" s="46">
        <v>0.22685900000000001</v>
      </c>
      <c r="G8" s="46">
        <v>0.17561699999999997</v>
      </c>
      <c r="H8" s="46">
        <v>0.11970899999999997</v>
      </c>
      <c r="I8" s="46">
        <v>7.5456000000000023E-2</v>
      </c>
      <c r="J8" s="46">
        <v>4.1877000000000004E-2</v>
      </c>
      <c r="K8" s="46">
        <v>2.3057000000000005E-2</v>
      </c>
      <c r="L8" s="65">
        <v>1.1705000000000004E-2</v>
      </c>
      <c r="M8" s="46">
        <v>7.1300000000000009E-3</v>
      </c>
      <c r="N8" s="46">
        <v>4.8630000000000001E-3</v>
      </c>
      <c r="O8" s="46">
        <v>3.4820000000000007E-3</v>
      </c>
      <c r="P8" s="46">
        <v>2.6050000000000001E-3</v>
      </c>
      <c r="Q8" s="46">
        <v>2.0830000000000002E-3</v>
      </c>
      <c r="R8" s="46">
        <v>1.3500000000000003E-3</v>
      </c>
      <c r="S8" s="46">
        <v>9.5100000000000013E-4</v>
      </c>
      <c r="T8" s="46">
        <v>7.1100000000000004E-4</v>
      </c>
    </row>
    <row r="9" spans="1:20" ht="15.75" thickBot="1" x14ac:dyDescent="0.3">
      <c r="A9" s="35">
        <v>0.6</v>
      </c>
      <c r="B9" s="45">
        <v>7</v>
      </c>
      <c r="C9" s="46">
        <v>0.22352499999999997</v>
      </c>
      <c r="D9" s="46">
        <v>0.21790799999999999</v>
      </c>
      <c r="E9" s="46">
        <v>0.200049</v>
      </c>
      <c r="F9" s="46">
        <v>0.170986</v>
      </c>
      <c r="G9" s="46">
        <v>0.132744</v>
      </c>
      <c r="H9" s="46">
        <v>9.3306000000000014E-2</v>
      </c>
      <c r="I9" s="46">
        <v>6.2269000000000005E-2</v>
      </c>
      <c r="J9" s="46">
        <v>3.6226999999999995E-2</v>
      </c>
      <c r="K9" s="46">
        <v>2.0729999999999998E-2</v>
      </c>
      <c r="L9" s="65">
        <v>1.0543000000000002E-2</v>
      </c>
      <c r="M9" s="46">
        <v>6.7650000000000002E-3</v>
      </c>
      <c r="N9" s="46">
        <v>4.530000000000001E-3</v>
      </c>
      <c r="O9" s="46">
        <v>3.3690000000000005E-3</v>
      </c>
      <c r="P9" s="46">
        <v>2.5350000000000004E-3</v>
      </c>
      <c r="Q9" s="46">
        <v>2.0290000000000004E-3</v>
      </c>
      <c r="R9" s="46">
        <v>1.3200000000000002E-3</v>
      </c>
      <c r="S9" s="46">
        <v>9.360000000000002E-4</v>
      </c>
      <c r="T9" s="46">
        <v>6.9900000000000008E-4</v>
      </c>
    </row>
    <row r="10" spans="1:20" ht="15.75" thickBot="1" x14ac:dyDescent="0.3">
      <c r="A10" s="35">
        <v>0.7</v>
      </c>
      <c r="B10" s="45">
        <v>8</v>
      </c>
      <c r="C10" s="46">
        <v>0.17011899999999996</v>
      </c>
      <c r="D10" s="46">
        <v>0.165134</v>
      </c>
      <c r="E10" s="46">
        <v>0.151252</v>
      </c>
      <c r="F10" s="46">
        <v>0.12875099999999998</v>
      </c>
      <c r="G10" s="46">
        <v>0.10082000000000001</v>
      </c>
      <c r="H10" s="46">
        <v>6.8896999999999986E-2</v>
      </c>
      <c r="I10" s="46">
        <v>5.0761000000000001E-2</v>
      </c>
      <c r="J10" s="46">
        <v>3.0946000000000001E-2</v>
      </c>
      <c r="K10" s="46">
        <v>1.7976999999999996E-2</v>
      </c>
      <c r="L10" s="65">
        <v>9.5530000000000007E-3</v>
      </c>
      <c r="M10" s="46">
        <v>6.3850000000000009E-3</v>
      </c>
      <c r="N10" s="46">
        <v>4.4200000000000003E-3</v>
      </c>
      <c r="O10" s="46">
        <v>3.2160000000000001E-3</v>
      </c>
      <c r="P10" s="46">
        <v>2.4670000000000004E-3</v>
      </c>
      <c r="Q10" s="46">
        <v>1.9720000000000002E-3</v>
      </c>
      <c r="R10" s="46">
        <v>1.2900000000000001E-3</v>
      </c>
      <c r="S10" s="46">
        <v>9.1800000000000009E-4</v>
      </c>
      <c r="T10" s="46">
        <v>6.8700000000000011E-4</v>
      </c>
    </row>
    <row r="11" spans="1:20" ht="15.75" thickBot="1" x14ac:dyDescent="0.3">
      <c r="A11" s="35">
        <v>0.8</v>
      </c>
      <c r="B11" s="45">
        <v>9</v>
      </c>
      <c r="C11" s="46">
        <v>0.128552</v>
      </c>
      <c r="D11" s="46">
        <v>0.12420400000000001</v>
      </c>
      <c r="E11" s="46">
        <v>0.11377</v>
      </c>
      <c r="F11" s="46">
        <v>9.7210999999999992E-2</v>
      </c>
      <c r="G11" s="46">
        <v>7.6857999999999982E-2</v>
      </c>
      <c r="H11" s="46">
        <v>5.7168000000000004E-2</v>
      </c>
      <c r="I11" s="46">
        <v>4.1076000000000008E-2</v>
      </c>
      <c r="J11" s="46">
        <v>2.6178E-2</v>
      </c>
      <c r="K11" s="46">
        <v>1.5350000000000006E-2</v>
      </c>
      <c r="L11" s="65">
        <v>8.4350000000000015E-3</v>
      </c>
      <c r="M11" s="46">
        <v>5.935000000000001E-3</v>
      </c>
      <c r="N11" s="46">
        <v>4.1799999999999997E-3</v>
      </c>
      <c r="O11" s="46">
        <v>3.0760000000000002E-3</v>
      </c>
      <c r="P11" s="46">
        <v>2.3920000000000009E-3</v>
      </c>
      <c r="Q11" s="46">
        <v>1.9050000000000004E-3</v>
      </c>
      <c r="R11" s="46">
        <v>1.2600000000000001E-3</v>
      </c>
      <c r="S11" s="46">
        <v>9.0000000000000008E-4</v>
      </c>
      <c r="T11" s="46">
        <v>6.7500000000000004E-4</v>
      </c>
    </row>
    <row r="12" spans="1:20" ht="15.75" thickBot="1" x14ac:dyDescent="0.3">
      <c r="A12" s="35">
        <v>0.9</v>
      </c>
      <c r="B12" s="45">
        <v>10</v>
      </c>
      <c r="C12" s="46">
        <v>9.6573999999999993E-2</v>
      </c>
      <c r="D12" s="46">
        <v>9.2964999999999992E-2</v>
      </c>
      <c r="E12" s="46">
        <v>8.5356000000000015E-2</v>
      </c>
      <c r="F12" s="46">
        <v>7.3135999999999993E-2</v>
      </c>
      <c r="G12" s="46">
        <v>5.8698000000000021E-2</v>
      </c>
      <c r="H12" s="46">
        <v>4.4607999999999974E-2</v>
      </c>
      <c r="I12" s="46">
        <v>3.3012999999999987E-2</v>
      </c>
      <c r="J12" s="46">
        <v>2.1835999999999998E-2</v>
      </c>
      <c r="K12" s="46">
        <v>1.2954000000000004E-2</v>
      </c>
      <c r="L12" s="65">
        <v>7.7650000000000028E-3</v>
      </c>
      <c r="M12" s="46">
        <v>5.6450000000000016E-3</v>
      </c>
      <c r="N12" s="46">
        <v>3.8700000000000006E-3</v>
      </c>
      <c r="O12" s="46">
        <v>2.9310000000000004E-3</v>
      </c>
      <c r="P12" s="46">
        <v>2.2980000000000006E-3</v>
      </c>
      <c r="Q12" s="46">
        <v>1.8420000000000003E-3</v>
      </c>
      <c r="R12" s="46">
        <v>1.2300000000000002E-3</v>
      </c>
      <c r="S12" s="46">
        <v>8.8200000000000019E-4</v>
      </c>
      <c r="T12" s="46">
        <v>6.5600000000000012E-4</v>
      </c>
    </row>
    <row r="13" spans="1:20" ht="15.75" thickBot="1" x14ac:dyDescent="0.3">
      <c r="A13" s="35">
        <v>1</v>
      </c>
      <c r="B13" s="45">
        <v>11</v>
      </c>
      <c r="C13" s="46">
        <v>7.2177999999999992E-2</v>
      </c>
      <c r="D13" s="46">
        <v>6.9760000000000003E-2</v>
      </c>
      <c r="E13" s="46">
        <v>6.4005000000000006E-2</v>
      </c>
      <c r="F13" s="46">
        <v>5.5054999999999993E-2</v>
      </c>
      <c r="G13" s="46">
        <v>4.468999999999998E-2</v>
      </c>
      <c r="H13" s="46">
        <v>3.4779000000000011E-2</v>
      </c>
      <c r="I13" s="46">
        <v>2.6432999999999998E-2</v>
      </c>
      <c r="J13" s="46">
        <v>1.8007999999999996E-2</v>
      </c>
      <c r="K13" s="46">
        <v>1.1390999999999998E-2</v>
      </c>
      <c r="L13" s="65">
        <v>7.2920000000000016E-3</v>
      </c>
      <c r="M13" s="46">
        <v>5.1329999999999995E-3</v>
      </c>
      <c r="N13" s="46">
        <v>3.7370000000000003E-3</v>
      </c>
      <c r="O13" s="46">
        <v>2.8130000000000004E-3</v>
      </c>
      <c r="P13" s="46">
        <v>2.2030000000000001E-3</v>
      </c>
      <c r="Q13" s="46">
        <v>1.7680000000000005E-3</v>
      </c>
      <c r="R13" s="46">
        <v>1.2000000000000001E-3</v>
      </c>
      <c r="S13" s="46">
        <v>8.7400000000000021E-4</v>
      </c>
      <c r="T13" s="46">
        <v>6.5700000000000014E-4</v>
      </c>
    </row>
    <row r="14" spans="1:20" ht="15.75" thickBot="1" x14ac:dyDescent="0.3">
      <c r="A14" s="35">
        <v>1.2</v>
      </c>
      <c r="B14" s="45">
        <v>12</v>
      </c>
      <c r="C14" s="46">
        <v>3.9593000000000003E-2</v>
      </c>
      <c r="D14" s="46">
        <v>3.7690000000000001E-2</v>
      </c>
      <c r="E14" s="46">
        <v>3.5097000000000003E-2</v>
      </c>
      <c r="F14" s="46">
        <v>3.0723000000000007E-2</v>
      </c>
      <c r="G14" s="46">
        <v>2.5571999999999987E-2</v>
      </c>
      <c r="H14" s="46">
        <v>2.06E-2</v>
      </c>
      <c r="I14" s="46">
        <v>1.6390999999999996E-2</v>
      </c>
      <c r="J14" s="46">
        <v>1.1931999999999995E-2</v>
      </c>
      <c r="K14" s="46">
        <v>8.2540000000000009E-3</v>
      </c>
      <c r="L14" s="65">
        <v>5.8600000000000006E-3</v>
      </c>
      <c r="M14" s="46">
        <v>4.3710000000000008E-3</v>
      </c>
      <c r="N14" s="46">
        <v>3.3340000000000006E-3</v>
      </c>
      <c r="O14" s="46">
        <v>2.5820000000000001E-3</v>
      </c>
      <c r="P14" s="46">
        <v>2.0480000000000003E-3</v>
      </c>
      <c r="Q14" s="46">
        <v>1.6570000000000003E-3</v>
      </c>
      <c r="R14" s="46">
        <v>1.1400000000000002E-3</v>
      </c>
      <c r="S14" s="46">
        <v>8.3500000000000002E-4</v>
      </c>
      <c r="T14" s="46">
        <v>6.4300000000000013E-4</v>
      </c>
    </row>
    <row r="15" spans="1:20" ht="15.75" thickBot="1" x14ac:dyDescent="0.3">
      <c r="A15" s="35">
        <v>1.5</v>
      </c>
      <c r="B15" s="45">
        <v>13</v>
      </c>
      <c r="C15" s="46">
        <v>1.4748999999999981E-2</v>
      </c>
      <c r="D15" s="46">
        <v>1.3392000000000012E-2</v>
      </c>
      <c r="E15" s="46">
        <v>1.3245999999999983E-2</v>
      </c>
      <c r="F15" s="46">
        <v>1.1793000000000008E-2</v>
      </c>
      <c r="G15" s="46">
        <v>1.0033000000000004E-2</v>
      </c>
      <c r="H15" s="46">
        <v>8.4280000000000015E-3</v>
      </c>
      <c r="I15" s="46">
        <v>6.9950000000000012E-3</v>
      </c>
      <c r="J15" s="46">
        <v>5.6189999999999921E-3</v>
      </c>
      <c r="K15" s="46">
        <v>4.5310000000000003E-3</v>
      </c>
      <c r="L15" s="65">
        <v>4.1730000000000014E-3</v>
      </c>
      <c r="M15" s="46">
        <v>3.4149999999999996E-3</v>
      </c>
      <c r="N15" s="46">
        <v>2.7729999999999999E-3</v>
      </c>
      <c r="O15" s="46">
        <v>2.2219999999999996E-3</v>
      </c>
      <c r="P15" s="46">
        <v>1.8379999999999996E-3</v>
      </c>
      <c r="Q15" s="46">
        <v>1.4950000000000005E-3</v>
      </c>
      <c r="R15" s="46">
        <v>1.0560000000000003E-3</v>
      </c>
      <c r="S15" s="46">
        <v>7.8300000000000017E-4</v>
      </c>
      <c r="T15" s="46">
        <v>6.0300000000000002E-4</v>
      </c>
    </row>
    <row r="16" spans="1:20" ht="15.75" thickBot="1" x14ac:dyDescent="0.3">
      <c r="A16" s="35">
        <v>2</v>
      </c>
      <c r="B16" s="45">
        <v>14</v>
      </c>
      <c r="C16" s="46">
        <v>2.9599999999998725E-4</v>
      </c>
      <c r="D16" s="46">
        <v>-2.3140000000000036E-3</v>
      </c>
      <c r="E16" s="46">
        <v>-2.6199999999998967E-4</v>
      </c>
      <c r="F16" s="46">
        <v>-9.9000000000003599E-5</v>
      </c>
      <c r="G16" s="46">
        <v>-5.1300000000000477E-4</v>
      </c>
      <c r="H16" s="46">
        <v>3.799999999999637E-5</v>
      </c>
      <c r="I16" s="46">
        <v>-3.6999999999997105E-5</v>
      </c>
      <c r="J16" s="46">
        <v>2.6899999999999667E-4</v>
      </c>
      <c r="K16" s="46">
        <v>8.0400000000000436E-4</v>
      </c>
      <c r="L16" s="65">
        <v>1.7970000000000026E-3</v>
      </c>
      <c r="M16" s="46">
        <v>2.0679999999999995E-3</v>
      </c>
      <c r="N16" s="46">
        <v>1.9270000000000003E-3</v>
      </c>
      <c r="O16" s="46">
        <v>1.6419999999999998E-3</v>
      </c>
      <c r="P16" s="46">
        <v>1.4620000000000002E-3</v>
      </c>
      <c r="Q16" s="46">
        <v>1.2400000000000002E-3</v>
      </c>
      <c r="R16" s="46">
        <v>9.1100000000000003E-4</v>
      </c>
      <c r="S16" s="46">
        <v>7.0200000000000015E-4</v>
      </c>
      <c r="T16" s="46">
        <v>5.4900000000000012E-4</v>
      </c>
    </row>
    <row r="17" spans="1:20" ht="15.75" thickBot="1" x14ac:dyDescent="0.3">
      <c r="A17" s="35">
        <v>2.5</v>
      </c>
      <c r="B17" s="45">
        <v>15</v>
      </c>
      <c r="C17" s="46">
        <v>-3.2380000000000048E-3</v>
      </c>
      <c r="D17" s="46">
        <v>-5.6859999999999983E-3</v>
      </c>
      <c r="E17" s="46">
        <v>-3.7439999999999939E-3</v>
      </c>
      <c r="F17" s="46">
        <v>-3.488999999999999E-3</v>
      </c>
      <c r="G17" s="46">
        <v>-3.0790000000000105E-3</v>
      </c>
      <c r="H17" s="46">
        <v>-3.7989999999999986E-3</v>
      </c>
      <c r="I17" s="46">
        <v>-2.3550000000000012E-3</v>
      </c>
      <c r="J17" s="46">
        <v>-1.8409999999999919E-3</v>
      </c>
      <c r="K17" s="46">
        <v>-1.0139999999999984E-3</v>
      </c>
      <c r="L17" s="65">
        <v>3.8600000000000179E-4</v>
      </c>
      <c r="M17" s="46">
        <v>1.0579999999999999E-3</v>
      </c>
      <c r="N17" s="46">
        <v>1.242E-3</v>
      </c>
      <c r="O17" s="46">
        <v>1.2209999999999999E-3</v>
      </c>
      <c r="P17" s="46">
        <v>1.1180000000000005E-3</v>
      </c>
      <c r="Q17" s="46">
        <v>1.0060000000000002E-3</v>
      </c>
      <c r="R17" s="46">
        <v>7.890000000000002E-4</v>
      </c>
      <c r="S17" s="46">
        <v>6.2399999999999999E-4</v>
      </c>
      <c r="T17" s="46">
        <v>4.9100000000000001E-4</v>
      </c>
    </row>
    <row r="18" spans="1:20" ht="15.75" thickBot="1" x14ac:dyDescent="0.3">
      <c r="A18" s="35">
        <v>3</v>
      </c>
      <c r="B18" s="45">
        <v>16</v>
      </c>
      <c r="C18" s="46">
        <v>-3.8180000000000045E-3</v>
      </c>
      <c r="D18" s="46">
        <v>-5.0760000000000041E-3</v>
      </c>
      <c r="E18" s="46">
        <v>-5.0360000000000049E-3</v>
      </c>
      <c r="F18" s="46">
        <v>-3.805000000000002E-3</v>
      </c>
      <c r="G18" s="46">
        <v>-3.6289999999999977E-3</v>
      </c>
      <c r="H18" s="46">
        <v>-3.3740000000000003E-3</v>
      </c>
      <c r="I18" s="46">
        <v>-2.9529999999999956E-3</v>
      </c>
      <c r="J18" s="46">
        <v>-2.5390000000000031E-3</v>
      </c>
      <c r="K18" s="46">
        <v>-1.7589999999999975E-3</v>
      </c>
      <c r="L18" s="65">
        <v>-4.2500000000000003E-4</v>
      </c>
      <c r="M18" s="46">
        <v>3.6000000000000094E-4</v>
      </c>
      <c r="N18" s="46">
        <v>7.2600000000000008E-4</v>
      </c>
      <c r="O18" s="46">
        <v>8.5400000000000016E-4</v>
      </c>
      <c r="P18" s="46">
        <v>8.6300000000000005E-4</v>
      </c>
      <c r="Q18" s="46">
        <v>7.8899999999999999E-4</v>
      </c>
      <c r="R18" s="46">
        <v>6.5900000000000008E-4</v>
      </c>
      <c r="S18" s="46">
        <v>5.4200000000000006E-4</v>
      </c>
      <c r="T18" s="46">
        <v>4.4000000000000018E-4</v>
      </c>
    </row>
    <row r="19" spans="1:20" ht="15.75" thickBot="1" x14ac:dyDescent="0.3">
      <c r="A19" s="35">
        <v>4</v>
      </c>
      <c r="B19" s="45">
        <v>17</v>
      </c>
      <c r="C19" s="46">
        <v>-3.1589999999999977E-3</v>
      </c>
      <c r="D19" s="46">
        <v>-4.0920000000000002E-3</v>
      </c>
      <c r="E19" s="46">
        <v>-5.1260000000000012E-3</v>
      </c>
      <c r="F19" s="46">
        <v>-3.7880000000000014E-3</v>
      </c>
      <c r="G19" s="46">
        <v>-3.0779999999999983E-3</v>
      </c>
      <c r="H19" s="46">
        <v>-3.1130000000000012E-3</v>
      </c>
      <c r="I19" s="46">
        <v>-2.9380000000000031E-3</v>
      </c>
      <c r="J19" s="46">
        <v>-2.5820000000000027E-3</v>
      </c>
      <c r="K19" s="46">
        <v>-1.9060000000000001E-3</v>
      </c>
      <c r="L19" s="65">
        <v>-1.1240000000000009E-3</v>
      </c>
      <c r="M19" s="46">
        <v>-4.0700000000000024E-4</v>
      </c>
      <c r="N19" s="46">
        <v>3.199999999999991E-5</v>
      </c>
      <c r="O19" s="46">
        <v>2.580000000000002E-4</v>
      </c>
      <c r="P19" s="46">
        <v>4.010000000000001E-4</v>
      </c>
      <c r="Q19" s="46">
        <v>4.6700000000000018E-4</v>
      </c>
      <c r="R19" s="46">
        <v>4.5899999999999999E-4</v>
      </c>
      <c r="S19" s="46">
        <v>4.0400000000000006E-4</v>
      </c>
      <c r="T19" s="46">
        <v>3.6000000000000013E-4</v>
      </c>
    </row>
    <row r="20" spans="1:20" ht="15.75" thickBot="1" x14ac:dyDescent="0.3">
      <c r="A20" s="35">
        <v>5</v>
      </c>
      <c r="B20" s="45">
        <v>18</v>
      </c>
      <c r="C20" s="46">
        <v>-2.3529999999999996E-3</v>
      </c>
      <c r="D20" s="46">
        <v>-3.1529999999999996E-3</v>
      </c>
      <c r="E20" s="46">
        <v>-3.6799999999999988E-3</v>
      </c>
      <c r="F20" s="46">
        <v>-3.1989999999999992E-3</v>
      </c>
      <c r="G20" s="46">
        <v>-2.9880000000000006E-3</v>
      </c>
      <c r="H20" s="46">
        <v>-2.5279999999999981E-3</v>
      </c>
      <c r="I20" s="46">
        <v>-1.7779999999999996E-3</v>
      </c>
      <c r="J20" s="81">
        <v>-1.2519999999999992E-3</v>
      </c>
      <c r="K20" s="81">
        <v>-1.7200000000000006E-3</v>
      </c>
      <c r="L20" s="65">
        <v>-1.2350000000000009E-3</v>
      </c>
      <c r="M20" s="46">
        <v>-7.2800000000000078E-4</v>
      </c>
      <c r="N20" s="46">
        <v>-3.0699999999999955E-4</v>
      </c>
      <c r="O20" s="46">
        <v>-5.5999999999999843E-5</v>
      </c>
      <c r="P20" s="46">
        <v>1.1300000000000004E-4</v>
      </c>
      <c r="Q20" s="46">
        <v>1.879999999999998E-4</v>
      </c>
      <c r="R20" s="46">
        <v>2.7799999999999993E-4</v>
      </c>
      <c r="S20" s="46">
        <v>2.9E-4</v>
      </c>
      <c r="T20" s="46">
        <v>2.5900000000000012E-4</v>
      </c>
    </row>
    <row r="21" spans="1:20" ht="15.75" thickBot="1" x14ac:dyDescent="0.3">
      <c r="A21" s="35">
        <v>6</v>
      </c>
      <c r="B21" s="45">
        <v>19</v>
      </c>
      <c r="C21" s="46">
        <v>-1.7630000000000007E-3</v>
      </c>
      <c r="D21" s="46">
        <v>-3.7250000000000017E-3</v>
      </c>
      <c r="E21" s="46">
        <v>-5.3659999999999992E-3</v>
      </c>
      <c r="F21" s="46">
        <v>-4.1370000000000001E-3</v>
      </c>
      <c r="G21" s="46">
        <v>-3.3660000000000009E-3</v>
      </c>
      <c r="H21" s="46">
        <v>-2.4650000000000002E-3</v>
      </c>
      <c r="I21" s="46">
        <v>-1.8755000000000004E-3</v>
      </c>
      <c r="J21" s="81">
        <v>-1.4129999999999998E-3</v>
      </c>
      <c r="K21" s="81">
        <v>-1.4270000000000008E-3</v>
      </c>
      <c r="L21" s="65">
        <v>-1.1569999999999992E-3</v>
      </c>
      <c r="M21" s="46">
        <v>-7.6399999999999992E-4</v>
      </c>
      <c r="N21" s="46">
        <v>-4.8300000000000036E-4</v>
      </c>
      <c r="O21" s="46">
        <v>-2.2400000000000002E-4</v>
      </c>
      <c r="P21" s="46">
        <v>-5.9999999999999941E-5</v>
      </c>
      <c r="Q21" s="46">
        <v>9.9999999999998094E-6</v>
      </c>
      <c r="R21" s="46">
        <v>1.3899999999999991E-4</v>
      </c>
      <c r="S21" s="46">
        <v>2.0400000000000008E-4</v>
      </c>
      <c r="T21" s="46">
        <v>1.9000000000000006E-4</v>
      </c>
    </row>
    <row r="22" spans="1:20" ht="15.75" thickBot="1" x14ac:dyDescent="0.3">
      <c r="A22" s="35">
        <v>7</v>
      </c>
      <c r="B22" s="45">
        <v>20</v>
      </c>
      <c r="C22" s="46">
        <v>-1.3560000000000011E-3</v>
      </c>
      <c r="D22" s="46">
        <v>-1.7600000000000014E-3</v>
      </c>
      <c r="E22" s="46">
        <v>-2.6549999999999994E-3</v>
      </c>
      <c r="F22" s="46">
        <v>-2.0610000000000012E-3</v>
      </c>
      <c r="G22" s="46">
        <v>-1.4330000000000005E-3</v>
      </c>
      <c r="H22" s="46">
        <v>-1.3490000000000004E-3</v>
      </c>
      <c r="I22" s="46">
        <v>-1.1990000000000006E-3</v>
      </c>
      <c r="J22" s="81">
        <v>-1.2500000000000002E-3</v>
      </c>
      <c r="K22" s="81">
        <v>-1.3339999999999999E-3</v>
      </c>
      <c r="L22" s="65">
        <v>-1.0680000000000002E-3</v>
      </c>
      <c r="M22" s="46">
        <v>-7.8099999999999979E-4</v>
      </c>
      <c r="N22" s="46">
        <v>-4.7400000000000046E-4</v>
      </c>
      <c r="O22" s="46">
        <v>-3.4500000000000004E-4</v>
      </c>
      <c r="P22" s="46">
        <v>-1.9200000000000011E-4</v>
      </c>
      <c r="Q22" s="46">
        <v>-9.1000000000000044E-5</v>
      </c>
      <c r="R22" s="46">
        <v>6.9999999999999967E-5</v>
      </c>
      <c r="S22" s="46">
        <v>1.2600000000000003E-4</v>
      </c>
      <c r="T22" s="46">
        <v>1.3700000000000002E-4</v>
      </c>
    </row>
    <row r="23" spans="1:20" ht="15.75" thickBot="1" x14ac:dyDescent="0.3">
      <c r="A23" s="35">
        <v>8</v>
      </c>
      <c r="B23" s="45">
        <v>21</v>
      </c>
      <c r="C23" s="46">
        <v>-1.0679999999999995E-3</v>
      </c>
      <c r="D23" s="46">
        <v>-8.0699999999999999E-4</v>
      </c>
      <c r="E23" s="46">
        <v>-2.1090000000000011E-3</v>
      </c>
      <c r="F23" s="46">
        <v>-1.4499999999999999E-3</v>
      </c>
      <c r="G23" s="46">
        <v>-1.274E-3</v>
      </c>
      <c r="H23" s="46">
        <v>-1.1740000000000006E-3</v>
      </c>
      <c r="I23" s="46">
        <v>-1.1839999999999995E-3</v>
      </c>
      <c r="J23" s="81">
        <v>-1.1700000000000005E-3</v>
      </c>
      <c r="K23" s="81">
        <v>-1.287000000000001E-3</v>
      </c>
      <c r="L23" s="65">
        <v>-9.3300000000000045E-4</v>
      </c>
      <c r="M23" s="46">
        <v>-6.8700000000000022E-4</v>
      </c>
      <c r="N23" s="46">
        <v>-5.7499999999999977E-4</v>
      </c>
      <c r="O23" s="46">
        <v>-4.1500000000000022E-4</v>
      </c>
      <c r="P23" s="46">
        <v>-2.4600000000000023E-4</v>
      </c>
      <c r="Q23" s="46">
        <v>-1.3400000000000011E-4</v>
      </c>
      <c r="R23" s="46">
        <v>-4.1999999999999937E-5</v>
      </c>
      <c r="S23" s="46">
        <v>9.2999999999999984E-5</v>
      </c>
      <c r="T23" s="46">
        <v>7.9000000000000023E-5</v>
      </c>
    </row>
    <row r="24" spans="1:20" ht="15.75" thickBot="1" x14ac:dyDescent="0.3">
      <c r="A24" s="35">
        <v>9</v>
      </c>
      <c r="B24" s="45">
        <v>22</v>
      </c>
      <c r="C24" s="46">
        <v>-8.6800000000000017E-4</v>
      </c>
      <c r="D24" s="46">
        <v>-1.353E-3</v>
      </c>
      <c r="E24" s="46">
        <v>-3.0270000000000002E-3</v>
      </c>
      <c r="F24" s="46">
        <v>-2.677999999999999E-3</v>
      </c>
      <c r="G24" s="46">
        <v>-2.6859999999999996E-3</v>
      </c>
      <c r="H24" s="46">
        <v>-2.5789999999999997E-3</v>
      </c>
      <c r="I24" s="46">
        <v>-2.1280000000000001E-3</v>
      </c>
      <c r="J24" s="46">
        <v>-1.6889999999999995E-3</v>
      </c>
      <c r="K24" s="46">
        <v>-1.2229999999999993E-3</v>
      </c>
      <c r="L24" s="65">
        <v>-8.7100000000000003E-4</v>
      </c>
      <c r="M24" s="46">
        <v>-6.4600000000000042E-4</v>
      </c>
      <c r="N24" s="46">
        <v>-5.4900000000000033E-4</v>
      </c>
      <c r="O24" s="46">
        <v>-4.2199999999999963E-4</v>
      </c>
      <c r="P24" s="46">
        <v>-2.8700000000000015E-4</v>
      </c>
      <c r="Q24" s="46">
        <v>-2.2599999999999975E-4</v>
      </c>
      <c r="R24" s="46">
        <v>-9.2999999999999984E-5</v>
      </c>
      <c r="S24" s="46">
        <v>1.8000000000000004E-5</v>
      </c>
      <c r="T24" s="46">
        <v>3.0000000000000024E-5</v>
      </c>
    </row>
    <row r="25" spans="1:20" ht="15.75" thickBot="1" x14ac:dyDescent="0.3">
      <c r="A25" s="37">
        <v>10</v>
      </c>
      <c r="B25" s="45">
        <v>23</v>
      </c>
      <c r="C25" s="46">
        <v>-1.5629999999999997E-3</v>
      </c>
      <c r="D25" s="46">
        <v>-1.9550000000000001E-3</v>
      </c>
      <c r="E25" s="46">
        <v>-3.1849999999999999E-3</v>
      </c>
      <c r="F25" s="46">
        <v>-2.8230000000000004E-3</v>
      </c>
      <c r="G25" s="46">
        <v>-2.4009999999999995E-3</v>
      </c>
      <c r="H25" s="46">
        <v>-1.8529999999999998E-3</v>
      </c>
      <c r="I25" s="46">
        <v>-1.5990000000000002E-3</v>
      </c>
      <c r="J25" s="46">
        <v>-1.4510000000000005E-3</v>
      </c>
      <c r="K25" s="46">
        <v>-1.1450000000000006E-3</v>
      </c>
      <c r="L25" s="65">
        <v>-7.5899999999999948E-4</v>
      </c>
      <c r="M25" s="46">
        <v>-5.380000000000005E-4</v>
      </c>
      <c r="N25" s="46">
        <v>-5.669999999999998E-4</v>
      </c>
      <c r="O25" s="46">
        <v>-3.0800000000000033E-4</v>
      </c>
      <c r="P25" s="46">
        <v>-3.2600000000000012E-4</v>
      </c>
      <c r="Q25" s="46">
        <v>-1.9000000000000039E-4</v>
      </c>
      <c r="R25" s="46">
        <v>-2.1999999999999884E-5</v>
      </c>
      <c r="S25" s="46">
        <v>-7.5000000000000143E-5</v>
      </c>
      <c r="T25" s="46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12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2" baseType="lpstr">
      <vt:lpstr>Tránsito</vt:lpstr>
      <vt:lpstr>Espectros de Carga</vt:lpstr>
      <vt:lpstr>Análisis Individual</vt:lpstr>
      <vt:lpstr>Análisis Espectral</vt:lpstr>
      <vt:lpstr>NuevoFormatoPav</vt:lpstr>
      <vt:lpstr>avanzado</vt:lpstr>
      <vt:lpstr>Análisis probabilista</vt:lpstr>
      <vt:lpstr>Larguillo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PGarnica</cp:lastModifiedBy>
  <cp:lastPrinted>2010-08-04T16:03:35Z</cp:lastPrinted>
  <dcterms:created xsi:type="dcterms:W3CDTF">2009-08-24T19:36:12Z</dcterms:created>
  <dcterms:modified xsi:type="dcterms:W3CDTF">2015-07-25T22:35:31Z</dcterms:modified>
</cp:coreProperties>
</file>
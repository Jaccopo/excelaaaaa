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printerSettings/printerSettings1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8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9.xml" ContentType="application/vnd.openxmlformats-officedocument.drawing+xml"/>
  <Override PartName="/xl/charts/chart9.xml" ContentType="application/vnd.openxmlformats-officedocument.drawingml.chart+xml"/>
  <Override PartName="/xl/drawings/drawing10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1.xml" ContentType="application/vnd.openxmlformats-officedocument.drawing+xml"/>
  <Override PartName="/xl/charts/chart15.xml" ContentType="application/vnd.openxmlformats-officedocument.drawingml.chart+xml"/>
  <Override PartName="/xl/drawings/drawing12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827" codeName="{0730EB3F-75F1-03CD-C966-41DC9FD4AD36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aldoj\Documents\GitHub\excelaaaaa\trabajo\"/>
    </mc:Choice>
  </mc:AlternateContent>
  <xr:revisionPtr revIDLastSave="0" documentId="13_ncr:1_{167B5069-1FEE-463E-AF57-B1CB6BD86B1C}" xr6:coauthVersionLast="47" xr6:coauthVersionMax="47" xr10:uidLastSave="{00000000-0000-0000-0000-000000000000}"/>
  <bookViews>
    <workbookView xWindow="-120" yWindow="-120" windowWidth="29040" windowHeight="15840" tabRatio="903" activeTab="8" xr2:uid="{00000000-000D-0000-FFFF-FFFF00000000}"/>
  </bookViews>
  <sheets>
    <sheet name="Tránsito" sheetId="65" r:id="rId1"/>
    <sheet name="Espectros de Carga" sheetId="56" r:id="rId2"/>
    <sheet name="Análisis Individual" sheetId="63" state="hidden" r:id="rId3"/>
    <sheet name="Análisis Espectral" sheetId="64" r:id="rId4"/>
    <sheet name="NuevoFormatoPav" sheetId="52" state="hidden" r:id="rId5"/>
    <sheet name="avanzado" sheetId="60" state="hidden" r:id="rId6"/>
    <sheet name="Análisis probabilista" sheetId="66" r:id="rId7"/>
    <sheet name="Larguillo" sheetId="61" r:id="rId8"/>
    <sheet name="Hoja1" sheetId="67" r:id="rId9"/>
    <sheet name="calculos" sheetId="58" state="hidden" r:id="rId10"/>
    <sheet name="Espectro Daño Deformacion" sheetId="42" state="hidden" r:id="rId11"/>
    <sheet name="Espectro Daño Fatiga" sheetId="43" state="hidden" r:id="rId12"/>
    <sheet name="Daño Acumulado Deformacion" sheetId="51" state="hidden" r:id="rId13"/>
    <sheet name="Daño Acumulado Fatiga" sheetId="38" state="hidden" r:id="rId14"/>
    <sheet name="factor_e_vert" sheetId="47" state="hidden" r:id="rId15"/>
    <sheet name="factor_e_rad" sheetId="49" state="hidden" r:id="rId16"/>
    <sheet name="factor_e_tan" sheetId="50" state="hidden" r:id="rId17"/>
  </sheets>
  <functionGroups builtInGroupCount="19"/>
  <externalReferences>
    <externalReference r:id="rId18"/>
    <externalReference r:id="rId19"/>
    <externalReference r:id="rId20"/>
    <externalReference r:id="rId21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9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9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9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9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9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9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9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9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9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Q4" i="61" l="1"/>
  <c r="BV4" i="61"/>
  <c r="BV1" i="61"/>
  <c r="BU1" i="61"/>
  <c r="BT1" i="61"/>
  <c r="BS1" i="61"/>
  <c r="BR1" i="61"/>
  <c r="BQ1" i="61"/>
  <c r="BP1" i="61"/>
  <c r="BO1" i="61"/>
  <c r="BN1" i="61"/>
  <c r="BM1" i="61"/>
  <c r="BL1" i="61"/>
  <c r="BK1" i="61"/>
  <c r="BJ1" i="61"/>
  <c r="BI1" i="61"/>
  <c r="BH1" i="61"/>
  <c r="BG1" i="61"/>
  <c r="BF1" i="61"/>
  <c r="BE1" i="61"/>
  <c r="BD1" i="61"/>
  <c r="BC1" i="61"/>
  <c r="BB1" i="61"/>
  <c r="BA1" i="61"/>
  <c r="AZ1" i="61"/>
  <c r="AY1" i="61"/>
  <c r="AX1" i="61"/>
  <c r="AW1" i="61"/>
  <c r="AV1" i="61"/>
  <c r="AU1" i="61"/>
  <c r="AT1" i="61"/>
  <c r="AS1" i="61"/>
  <c r="AR1" i="61"/>
  <c r="AQ1" i="61"/>
  <c r="AA1" i="6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K1" i="6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J1" i="61"/>
  <c r="I1" i="61"/>
  <c r="H1" i="61"/>
  <c r="G1" i="61"/>
  <c r="F1" i="61"/>
  <c r="E1" i="61"/>
  <c r="D1" i="61"/>
  <c r="C1" i="61"/>
  <c r="B1" i="61"/>
  <c r="BN4" i="61"/>
  <c r="D14" i="66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K79" i="61" l="1"/>
  <c r="CM69" i="61"/>
  <c r="CM73" i="61" s="1"/>
  <c r="CL69" i="61"/>
  <c r="CL73" i="61" s="1"/>
  <c r="CK69" i="61"/>
  <c r="CK73" i="61" s="1"/>
  <c r="CJ69" i="61"/>
  <c r="CJ73" i="61" s="1"/>
  <c r="CC38" i="6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CK76" i="61" l="1"/>
  <c r="CK82" i="61" s="1"/>
  <c r="CJ76" i="61"/>
  <c r="CK81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U4" i="61"/>
  <c r="BT4" i="61"/>
  <c r="BS4" i="61"/>
  <c r="BR4" i="61"/>
  <c r="BP4" i="61"/>
  <c r="BO4" i="61"/>
</calcChain>
</file>

<file path=xl/sharedStrings.xml><?xml version="1.0" encoding="utf-8"?>
<sst xmlns="http://schemas.openxmlformats.org/spreadsheetml/2006/main" count="453" uniqueCount="265">
  <si>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</si>
  <si>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</si>
  <si>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</si>
  <si>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</si>
  <si>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</si>
  <si>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</si>
  <si>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</si>
  <si>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</si>
  <si>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</si>
  <si>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</si>
  <si>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</si>
  <si>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</si>
  <si>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</si>
  <si>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</si>
  <si>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</si>
  <si>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</si>
  <si>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</si>
  <si>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</si>
  <si>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</si>
  <si>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</si>
  <si>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</si>
  <si>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</si>
  <si>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</si>
  <si>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</si>
  <si>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</si>
  <si>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</si>
  <si>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</si>
  <si>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</si>
  <si>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</si>
  <si>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</si>
  <si>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</si>
  <si>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</si>
  <si>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</si>
  <si>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</si>
  <si>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</si>
  <si>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</si>
  <si>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</si>
  <si>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</si>
  <si>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</si>
  <si>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</si>
  <si>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</si>
  <si>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</si>
  <si>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</si>
  <si>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</si>
  <si>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</si>
  <si>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</si>
  <si>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</si>
  <si>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</si>
  <si>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</si>
  <si>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</si>
  <si>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</si>
  <si>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</si>
  <si>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</si>
  <si>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</si>
  <si>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</si>
  <si>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</si>
  <si>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</si>
  <si>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</si>
  <si>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</si>
  <si>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</si>
  <si>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DEFORMACIÓN</t>
  </si>
  <si>
    <t>FATIGA</t>
  </si>
  <si>
    <t>PERSONALIZADO</t>
  </si>
  <si>
    <t>SIMPLE  (EJES/AÑO)</t>
  </si>
  <si>
    <t>RESPUESTA EJE SIMPLE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</si>
  <si>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</si>
  <si>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</si>
  <si>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</si>
  <si>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</si>
  <si>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</si>
  <si>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</si>
  <si>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</si>
  <si>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</si>
  <si>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</si>
  <si>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</si>
  <si>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</si>
  <si>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</si>
  <si>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</si>
  <si>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</si>
  <si>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</si>
  <si>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</si>
  <si>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</si>
  <si>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</si>
  <si>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</si>
  <si>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</si>
  <si>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</si>
  <si>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</si>
  <si>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</si>
  <si>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</si>
  <si>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</si>
  <si>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</si>
  <si>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</si>
  <si>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</si>
  <si>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</si>
  <si>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</si>
  <si>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</si>
  <si>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</si>
  <si>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</si>
  <si>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</si>
  <si>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</si>
  <si>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</si>
  <si>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</si>
  <si>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</si>
  <si>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</si>
  <si>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</si>
  <si>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</si>
  <si>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</si>
  <si>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</si>
  <si>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</si>
  <si>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</si>
  <si>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</si>
  <si>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</si>
  <si>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</si>
  <si>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</si>
  <si>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</si>
  <si>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</si>
  <si>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</si>
  <si>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</si>
  <si>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</si>
  <si>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</si>
  <si>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</si>
  <si>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</si>
  <si>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</si>
  <si>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</si>
  <si>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</si>
  <si>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</si>
  <si>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</si>
  <si>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</si>
  <si>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</si>
  <si>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</si>
  <si>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</si>
  <si>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</si>
  <si>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</si>
  <si>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</si>
  <si>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</si>
  <si>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</si>
  <si>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</si>
  <si>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</si>
  <si>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</si>
  <si>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</si>
  <si>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</si>
  <si>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</si>
  <si>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</si>
  <si>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</si>
  <si>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</si>
  <si>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</si>
  <si>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</si>
  <si>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</si>
  <si>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</si>
  <si>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</si>
  <si>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</si>
  <si>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</si>
  <si>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</si>
  <si>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</si>
  <si>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</si>
  <si>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</si>
  <si>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</si>
  <si>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</si>
  <si>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</si>
  <si>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</si>
  <si>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</si>
  <si>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</si>
  <si>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</si>
  <si>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</si>
  <si>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</si>
  <si>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</si>
  <si>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</si>
  <si>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</si>
  <si>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</si>
  <si>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</si>
  <si>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</si>
  <si>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</si>
  <si>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</si>
  <si>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</si>
  <si>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</si>
  <si>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</si>
  <si>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</si>
  <si>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</si>
  <si>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</si>
  <si>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</si>
  <si>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</si>
  <si>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</si>
  <si>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</si>
  <si>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</si>
  <si>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</si>
  <si>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</si>
  <si>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</si>
  <si>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</si>
  <si>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</si>
  <si>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</si>
  <si>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</si>
  <si>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</si>
  <si>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</si>
  <si>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</si>
  <si>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</si>
  <si>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</si>
  <si>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</si>
  <si>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r>
      <t xml:space="preserve">Def. tensión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t</t>
    </r>
    <r>
      <rPr>
        <sz val="11"/>
        <color theme="0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</si>
  <si>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color theme="0"/>
        <rFont val="Calibri"/>
        <family val="2"/>
        <scheme val="minor"/>
      </rPr>
      <t>ε</t>
    </r>
    <r>
      <rPr>
        <vertAlign val="subscript"/>
        <sz val="11"/>
        <color theme="0"/>
        <rFont val="Calibri"/>
        <family val="2"/>
        <scheme val="minor"/>
      </rPr>
      <t>c</t>
    </r>
    <r>
      <rPr>
        <sz val="11"/>
        <color theme="0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</si>
  <si>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color theme="0"/>
        <rFont val="Calibri"/>
        <family val="2"/>
      </rPr>
      <t xml:space="preserve">t </t>
    </r>
    <r>
      <rPr>
        <sz val="11"/>
        <color theme="0"/>
        <rFont val="Calibri"/>
        <family val="2"/>
      </rPr>
      <t>(kpa)</t>
    </r>
  </si>
  <si>
    <r>
      <t>σ</t>
    </r>
    <r>
      <rPr>
        <vertAlign val="subscript"/>
        <sz val="11"/>
        <color theme="0"/>
        <rFont val="Calibri"/>
        <family val="2"/>
      </rPr>
      <t xml:space="preserve">z </t>
    </r>
    <r>
      <rPr>
        <sz val="11"/>
        <color theme="0"/>
        <rFont val="Calibri"/>
        <family val="2"/>
      </rPr>
      <t>(kpa)</t>
    </r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</si>
  <si>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</si>
  <si>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</si>
  <si>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</si>
  <si>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</si>
  <si>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</si>
  <si>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</si>
  <si>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</si>
  <si>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</si>
  <si>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</si>
  <si>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</si>
  <si>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</si>
  <si>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</si>
  <si>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</si>
  <si>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</si>
  <si>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</si>
  <si>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</si>
  <si>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</si>
  <si>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</si>
  <si>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</si>
  <si>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</si>
  <si>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</si>
  <si>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</si>
  <si>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</si>
  <si>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</si>
  <si>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</si>
  <si>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</si>
  <si>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</si>
  <si>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</si>
  <si>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</si>
  <si>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</si>
  <si>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</si>
  <si>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</si>
  <si>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</si>
  <si>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</si>
  <si>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</si>
  <si>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</si>
  <si>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</si>
  <si>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</si>
  <si>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</si>
  <si>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</si>
  <si>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</si>
  <si>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</si>
  <si>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</si>
  <si>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</si>
  <si>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</si>
  <si>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</si>
  <si>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</si>
  <si>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</si>
  <si>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</si>
  <si>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</si>
  <si>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</si>
  <si>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</si>
  <si>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E(Vf)</t>
  </si>
  <si>
    <t>E(Vd)</t>
  </si>
  <si>
    <t>V(Vf)</t>
  </si>
  <si>
    <t>V(Vd)</t>
  </si>
  <si>
    <r>
      <t>E(V</t>
    </r>
    <r>
      <rPr>
        <vertAlign val="superscript"/>
        <sz val="11"/>
        <color theme="2" tint="-0.749992370372631"/>
        <rFont val="Calibri"/>
        <family val="2"/>
        <scheme val="minor"/>
      </rPr>
      <t>2</t>
    </r>
    <r>
      <rPr>
        <sz val="11"/>
        <color theme="2" tint="-0.749992370372631"/>
        <rFont val="Calibri"/>
        <family val="2"/>
        <scheme val="minor"/>
      </rPr>
      <t>f)</t>
    </r>
  </si>
  <si>
    <r>
      <t>E(V</t>
    </r>
    <r>
      <rPr>
        <vertAlign val="superscript"/>
        <sz val="11"/>
        <color theme="2" tint="-0.749992370372631"/>
        <rFont val="Calibri"/>
        <family val="2"/>
        <scheme val="minor"/>
      </rPr>
      <t>2</t>
    </r>
    <r>
      <rPr>
        <sz val="11"/>
        <color theme="2" tint="-0.749992370372631"/>
        <rFont val="Calibri"/>
        <family val="2"/>
        <scheme val="minor"/>
      </rPr>
      <t>d)</t>
    </r>
  </si>
  <si>
    <t>Para 75 porciento de confiabilidad</t>
  </si>
  <si>
    <t>Z =</t>
  </si>
  <si>
    <t xml:space="preserve"> &gt; 20</t>
  </si>
  <si>
    <t>Confiabilidad</t>
  </si>
  <si>
    <t>CONFIABILIDAD</t>
  </si>
  <si>
    <t>Tridem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</si>
</sst>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79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0"/>
      <color theme="1"/>
      <name val="Arial Narrow"/>
      <family val="2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5"/>
      <color theme="0"/>
      <name val="Calibri"/>
      <family val="2"/>
      <scheme val="minor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2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b/>
      <sz val="12"/>
      <color theme="0" tint="-0.34998626667073579"/>
      <name val="Calibri"/>
      <family val="2"/>
      <scheme val="minor"/>
    </font>
    <font>
      <b/>
      <sz val="10.5"/>
      <color theme="0" tint="-0.34998626667073579"/>
      <name val="Arial Narrow"/>
      <family val="2"/>
    </font>
    <font>
      <sz val="11"/>
      <color theme="0" tint="-0.34998626667073579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</font>
    <font>
      <sz val="13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1"/>
      <color theme="0"/>
      <name val="Calibri"/>
      <family val="2"/>
    </font>
    <font>
      <vertAlign val="subscript"/>
      <sz val="11"/>
      <color theme="0"/>
      <name val="Calibri"/>
      <family val="2"/>
    </font>
    <font>
      <sz val="10"/>
      <color theme="0"/>
      <name val="Arial"/>
      <family val="2"/>
    </font>
    <font>
      <b/>
      <sz val="14"/>
      <color theme="0"/>
      <name val="Calibri"/>
      <family val="2"/>
      <scheme val="minor"/>
    </font>
    <font>
      <b/>
      <sz val="11"/>
      <color theme="0"/>
      <name val="Arial Narrow"/>
      <family val="2"/>
    </font>
    <font>
      <sz val="11"/>
      <color theme="0"/>
      <name val="Tahoma"/>
      <family val="2"/>
    </font>
    <font>
      <b/>
      <sz val="10.5"/>
      <color theme="0"/>
      <name val="Arial Narrow"/>
      <family val="2"/>
    </font>
    <font>
      <b/>
      <sz val="10.5"/>
      <color theme="0"/>
      <name val="Tahoma"/>
      <family val="2"/>
    </font>
    <font>
      <sz val="11"/>
      <color theme="0"/>
      <name val="Simplified Arabic Fixed"/>
      <family val="3"/>
      <charset val="178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vertAlign val="superscript"/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</fonts>
  <fills count="23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77" fillId="0" borderId="0" applyFont="0" applyFill="0" applyBorder="0" applyAlignment="0" applyProtection="0"/>
  </cellStyleXfs>
  <cellXfs count="352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0" fillId="4" borderId="0" xfId="0" applyFill="1" applyAlignment="1">
      <alignment horizontal="center"/>
    </xf>
    <xf numFmtId="0" fontId="12" fillId="0" borderId="0" xfId="0" applyFont="1"/>
    <xf numFmtId="0" fontId="12" fillId="4" borderId="0" xfId="0" applyFont="1" applyFill="1"/>
    <xf numFmtId="0" fontId="18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31" fillId="0" borderId="0" xfId="0" applyFont="1"/>
    <xf numFmtId="0" fontId="34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1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5" fillId="14" borderId="41" xfId="0" applyFont="1" applyFill="1" applyBorder="1" applyAlignment="1">
      <alignment horizontal="center"/>
    </xf>
    <xf numFmtId="0" fontId="35" fillId="14" borderId="9" xfId="0" applyFont="1" applyFill="1" applyBorder="1" applyAlignment="1">
      <alignment horizontal="center"/>
    </xf>
    <xf numFmtId="0" fontId="35" fillId="14" borderId="3" xfId="0" applyFont="1" applyFill="1" applyBorder="1" applyAlignment="1">
      <alignment horizontal="center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left" vertical="center" wrapText="1"/>
    </xf>
    <xf numFmtId="0" fontId="32" fillId="14" borderId="1" xfId="0" applyFont="1" applyFill="1" applyBorder="1" applyAlignment="1">
      <alignment horizontal="center" vertical="center" wrapText="1"/>
    </xf>
    <xf numFmtId="0" fontId="32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3" fillId="12" borderId="1" xfId="0" applyFont="1" applyFill="1" applyBorder="1" applyAlignment="1">
      <alignment horizontal="center" vertical="center" wrapText="1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11" fontId="0" fillId="0" borderId="0" xfId="0" applyNumberFormat="1"/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29" fillId="0" borderId="0" xfId="0" applyFont="1" applyAlignment="1">
      <alignment horizontal="center"/>
    </xf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5" fillId="14" borderId="1" xfId="0" applyFont="1" applyFill="1" applyBorder="1" applyAlignment="1">
      <alignment horizontal="center"/>
    </xf>
    <xf numFmtId="0" fontId="30" fillId="12" borderId="4" xfId="0" applyFont="1" applyFill="1" applyBorder="1" applyAlignment="1">
      <alignment horizontal="center" vertical="center"/>
    </xf>
    <xf numFmtId="1" fontId="0" fillId="13" borderId="1" xfId="0" applyNumberFormat="1" applyFill="1" applyBorder="1"/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11" fillId="0" borderId="1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30" fillId="0" borderId="0" xfId="0" applyFont="1" applyAlignment="1">
      <alignment horizontal="center" vertical="center"/>
    </xf>
    <xf numFmtId="11" fontId="0" fillId="0" borderId="0" xfId="0" applyNumberFormat="1" applyAlignment="1">
      <alignment horizontal="center"/>
    </xf>
    <xf numFmtId="0" fontId="47" fillId="0" borderId="0" xfId="0" applyFont="1" applyAlignment="1">
      <alignment horizontal="center" vertical="center" wrapText="1"/>
    </xf>
    <xf numFmtId="2" fontId="12" fillId="0" borderId="0" xfId="0" applyNumberFormat="1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0" fontId="20" fillId="0" borderId="0" xfId="0" applyFont="1" applyAlignment="1">
      <alignment vertical="center"/>
    </xf>
    <xf numFmtId="0" fontId="0" fillId="0" borderId="0" xfId="0" applyAlignment="1">
      <alignment vertical="center"/>
    </xf>
    <xf numFmtId="2" fontId="0" fillId="13" borderId="1" xfId="0" applyNumberFormat="1" applyFill="1" applyBorder="1"/>
    <xf numFmtId="0" fontId="50" fillId="0" borderId="0" xfId="0" applyFont="1" applyAlignment="1">
      <alignment vertical="center"/>
    </xf>
    <xf numFmtId="0" fontId="51" fillId="0" borderId="0" xfId="0" applyFont="1"/>
    <xf numFmtId="0" fontId="52" fillId="0" borderId="0" xfId="0" applyFont="1" applyAlignment="1">
      <alignment vertical="center"/>
    </xf>
    <xf numFmtId="0" fontId="51" fillId="0" borderId="0" xfId="0" applyFont="1" applyAlignment="1">
      <alignment vertical="center"/>
    </xf>
    <xf numFmtId="0" fontId="53" fillId="0" borderId="0" xfId="0" applyFont="1" applyAlignment="1">
      <alignment vertical="center"/>
    </xf>
    <xf numFmtId="0" fontId="54" fillId="0" borderId="0" xfId="0" applyFont="1" applyAlignment="1">
      <alignment horizontal="right" vertical="center"/>
    </xf>
    <xf numFmtId="0" fontId="55" fillId="0" borderId="0" xfId="0" applyFont="1" applyAlignment="1">
      <alignment horizontal="center" vertical="center"/>
    </xf>
    <xf numFmtId="0" fontId="55" fillId="0" borderId="0" xfId="0" applyFont="1"/>
    <xf numFmtId="0" fontId="1" fillId="0" borderId="0" xfId="0" applyFont="1"/>
    <xf numFmtId="0" fontId="55" fillId="0" borderId="41" xfId="0" applyFont="1" applyBorder="1"/>
    <xf numFmtId="0" fontId="55" fillId="0" borderId="3" xfId="0" applyFont="1" applyBorder="1"/>
    <xf numFmtId="2" fontId="10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/>
    </xf>
    <xf numFmtId="170" fontId="45" fillId="0" borderId="0" xfId="1" applyNumberFormat="1" applyFont="1" applyAlignment="1">
      <alignment vertical="center"/>
    </xf>
    <xf numFmtId="168" fontId="45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166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167" fontId="4" fillId="0" borderId="0" xfId="0" applyNumberFormat="1" applyFont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0" fillId="0" borderId="41" xfId="0" applyBorder="1"/>
    <xf numFmtId="0" fontId="0" fillId="0" borderId="9" xfId="0" applyBorder="1"/>
    <xf numFmtId="0" fontId="0" fillId="0" borderId="3" xfId="0" applyBorder="1"/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58" fillId="0" borderId="0" xfId="0" applyFont="1"/>
    <xf numFmtId="1" fontId="0" fillId="0" borderId="0" xfId="0" applyNumberFormat="1"/>
    <xf numFmtId="0" fontId="4" fillId="0" borderId="0" xfId="0" applyFont="1"/>
    <xf numFmtId="0" fontId="36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0" fontId="60" fillId="0" borderId="0" xfId="0" applyFont="1"/>
    <xf numFmtId="0" fontId="12" fillId="0" borderId="0" xfId="0" applyFont="1" applyAlignment="1">
      <alignment horizontal="left" vertical="center"/>
    </xf>
    <xf numFmtId="0" fontId="63" fillId="0" borderId="0" xfId="0" applyFont="1"/>
    <xf numFmtId="168" fontId="0" fillId="0" borderId="1" xfId="0" applyNumberFormat="1" applyBorder="1" applyAlignment="1">
      <alignment horizontal="center"/>
    </xf>
    <xf numFmtId="0" fontId="12" fillId="16" borderId="0" xfId="0" applyFont="1" applyFill="1"/>
    <xf numFmtId="0" fontId="12" fillId="16" borderId="0" xfId="0" applyFont="1" applyFill="1" applyAlignment="1">
      <alignment horizontal="center" vertical="center" wrapText="1"/>
    </xf>
    <xf numFmtId="0" fontId="17" fillId="16" borderId="0" xfId="0" applyFont="1" applyFill="1" applyAlignment="1">
      <alignment horizontal="center"/>
    </xf>
    <xf numFmtId="0" fontId="60" fillId="16" borderId="0" xfId="0" applyFont="1" applyFill="1" applyAlignment="1">
      <alignment horizontal="center"/>
    </xf>
    <xf numFmtId="167" fontId="65" fillId="16" borderId="0" xfId="1" applyNumberFormat="1" applyFont="1" applyFill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11" fontId="12" fillId="0" borderId="0" xfId="0" applyNumberFormat="1" applyFont="1" applyAlignment="1">
      <alignment horizontal="center"/>
    </xf>
    <xf numFmtId="2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/>
    </xf>
    <xf numFmtId="0" fontId="17" fillId="0" borderId="0" xfId="0" applyFont="1" applyAlignment="1">
      <alignment horizontal="center"/>
    </xf>
    <xf numFmtId="0" fontId="68" fillId="0" borderId="0" xfId="0" applyFont="1" applyAlignment="1">
      <alignment horizontal="left" vertical="center"/>
    </xf>
    <xf numFmtId="0" fontId="12" fillId="0" borderId="0" xfId="0" applyFont="1" applyAlignment="1">
      <alignment vertical="center"/>
    </xf>
    <xf numFmtId="0" fontId="60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68" fillId="0" borderId="0" xfId="0" applyFont="1"/>
    <xf numFmtId="11" fontId="12" fillId="0" borderId="0" xfId="0" applyNumberFormat="1" applyFont="1"/>
    <xf numFmtId="0" fontId="68" fillId="0" borderId="0" xfId="0" applyFont="1" applyAlignment="1">
      <alignment horizontal="left"/>
    </xf>
    <xf numFmtId="2" fontId="12" fillId="0" borderId="0" xfId="0" applyNumberFormat="1" applyFont="1" applyAlignment="1">
      <alignment horizontal="left"/>
    </xf>
    <xf numFmtId="0" fontId="69" fillId="0" borderId="0" xfId="0" applyFont="1" applyAlignment="1">
      <alignment vertical="center"/>
    </xf>
    <xf numFmtId="0" fontId="70" fillId="0" borderId="0" xfId="0" applyFont="1" applyAlignment="1">
      <alignment vertical="center"/>
    </xf>
    <xf numFmtId="1" fontId="12" fillId="0" borderId="0" xfId="0" applyNumberFormat="1" applyFont="1" applyAlignment="1">
      <alignment horizontal="center"/>
    </xf>
    <xf numFmtId="0" fontId="66" fillId="0" borderId="0" xfId="0" applyFont="1" applyAlignment="1">
      <alignment vertical="center"/>
    </xf>
    <xf numFmtId="0" fontId="71" fillId="0" borderId="0" xfId="0" applyFont="1" applyAlignment="1">
      <alignment horizontal="center" vertical="center"/>
    </xf>
    <xf numFmtId="0" fontId="17" fillId="0" borderId="0" xfId="0" applyFont="1"/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73" fillId="18" borderId="8" xfId="0" applyFont="1" applyFill="1" applyBorder="1" applyAlignment="1">
      <alignment horizontal="center"/>
    </xf>
    <xf numFmtId="0" fontId="73" fillId="18" borderId="0" xfId="0" applyFont="1" applyFill="1" applyAlignment="1">
      <alignment horizontal="center"/>
    </xf>
    <xf numFmtId="0" fontId="73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73" fillId="18" borderId="6" xfId="0" applyFont="1" applyFill="1" applyBorder="1" applyAlignment="1">
      <alignment horizontal="center"/>
    </xf>
    <xf numFmtId="0" fontId="0" fillId="22" borderId="0" xfId="0" applyFill="1"/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2" fillId="22" borderId="0" xfId="0" applyFont="1" applyFill="1" applyAlignment="1">
      <alignment horizontal="center" vertical="center"/>
    </xf>
    <xf numFmtId="0" fontId="30" fillId="22" borderId="0" xfId="0" applyFont="1" applyFill="1" applyAlignment="1">
      <alignment horizontal="center" vertical="center" wrapText="1"/>
    </xf>
    <xf numFmtId="0" fontId="75" fillId="22" borderId="0" xfId="0" applyFont="1" applyFill="1" applyAlignment="1">
      <alignment horizontal="center" vertical="center" wrapText="1"/>
    </xf>
    <xf numFmtId="0" fontId="11" fillId="0" borderId="0" xfId="0" applyFont="1" applyAlignment="1">
      <alignment horizontal="center" vertical="center"/>
    </xf>
    <xf numFmtId="0" fontId="46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30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72" fillId="0" borderId="0" xfId="0" applyFont="1" applyAlignment="1">
      <alignment horizontal="center"/>
    </xf>
    <xf numFmtId="168" fontId="30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75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72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76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78" fillId="4" borderId="0" xfId="0" applyFont="1" applyFill="1" applyAlignment="1" applyProtection="1">
      <alignment horizontal="right" vertical="center"/>
      <protection locked="0"/>
    </xf>
    <xf numFmtId="9" fontId="78" fillId="4" borderId="0" xfId="2" applyFont="1" applyFill="1" applyBorder="1" applyAlignment="1" applyProtection="1">
      <alignment horizontal="center" vertical="center"/>
      <protection locked="0"/>
    </xf>
    <xf numFmtId="0" fontId="76" fillId="21" borderId="48" xfId="0" applyFont="1" applyFill="1" applyBorder="1" applyProtection="1">
      <protection locked="0"/>
    </xf>
    <xf numFmtId="0" fontId="76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72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72" fillId="0" borderId="0" xfId="0" applyFont="1" applyProtection="1">
      <protection locked="0"/>
    </xf>
    <xf numFmtId="0" fontId="73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8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17" fillId="6" borderId="4" xfId="0" applyFont="1" applyFill="1" applyBorder="1" applyAlignment="1">
      <alignment vertical="center"/>
    </xf>
    <xf numFmtId="0" fontId="17" fillId="6" borderId="5" xfId="0" applyFont="1" applyFill="1" applyBorder="1" applyAlignment="1">
      <alignment vertical="center"/>
    </xf>
    <xf numFmtId="0" fontId="17" fillId="6" borderId="2" xfId="0" applyFont="1" applyFill="1" applyBorder="1" applyAlignment="1">
      <alignment vertical="center"/>
    </xf>
    <xf numFmtId="0" fontId="42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168" fontId="57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56" fillId="17" borderId="42" xfId="1" applyNumberFormat="1" applyFont="1" applyFill="1" applyBorder="1" applyAlignment="1">
      <alignment horizontal="center" vertical="center"/>
    </xf>
    <xf numFmtId="3" fontId="56" fillId="17" borderId="42" xfId="1" applyNumberFormat="1" applyFont="1" applyFill="1" applyBorder="1" applyAlignment="1">
      <alignment horizontal="center" vertical="center"/>
    </xf>
    <xf numFmtId="0" fontId="7" fillId="22" borderId="0" xfId="0" applyFont="1" applyFill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0" fontId="12" fillId="16" borderId="0" xfId="0" applyFont="1" applyFill="1" applyAlignment="1">
      <alignment horizontal="center" vertical="center" textRotation="90" wrapText="1"/>
    </xf>
    <xf numFmtId="0" fontId="12" fillId="16" borderId="0" xfId="0" applyFont="1" applyFill="1" applyAlignment="1">
      <alignment horizontal="center" vertical="center"/>
    </xf>
    <xf numFmtId="0" fontId="12" fillId="16" borderId="0" xfId="0" applyFont="1" applyFill="1"/>
    <xf numFmtId="171" fontId="12" fillId="0" borderId="0" xfId="0" applyNumberFormat="1" applyFont="1" applyAlignment="1">
      <alignment horizontal="center" readingOrder="1"/>
    </xf>
    <xf numFmtId="0" fontId="12" fillId="0" borderId="0" xfId="0" applyFont="1" applyAlignment="1">
      <alignment horizontal="center"/>
    </xf>
    <xf numFmtId="167" fontId="12" fillId="0" borderId="0" xfId="0" applyNumberFormat="1" applyFont="1" applyAlignment="1">
      <alignment horizont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168" fontId="17" fillId="0" borderId="0" xfId="0" applyNumberFormat="1" applyFont="1" applyAlignment="1">
      <alignment horizontal="center"/>
    </xf>
    <xf numFmtId="0" fontId="67" fillId="0" borderId="0" xfId="0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20" fillId="0" borderId="0" xfId="0" applyFont="1" applyAlignment="1" applyProtection="1">
      <alignment horizontal="center"/>
      <protection locked="0"/>
    </xf>
    <xf numFmtId="0" fontId="30" fillId="22" borderId="4" xfId="0" applyFont="1" applyFill="1" applyBorder="1" applyAlignment="1">
      <alignment horizontal="center" vertical="center"/>
    </xf>
    <xf numFmtId="0" fontId="30" fillId="22" borderId="5" xfId="0" applyFont="1" applyFill="1" applyBorder="1" applyAlignment="1">
      <alignment horizontal="center" vertical="center"/>
    </xf>
    <xf numFmtId="0" fontId="30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30" fillId="22" borderId="1" xfId="0" applyFont="1" applyFill="1" applyBorder="1" applyAlignment="1">
      <alignment horizontal="center" vertical="center" wrapText="1"/>
    </xf>
    <xf numFmtId="0" fontId="28" fillId="12" borderId="4" xfId="0" applyFont="1" applyFill="1" applyBorder="1" applyAlignment="1">
      <alignment horizontal="center" vertical="center"/>
    </xf>
    <xf numFmtId="0" fontId="28" fillId="12" borderId="5" xfId="0" applyFont="1" applyFill="1" applyBorder="1" applyAlignment="1">
      <alignment horizontal="center" vertical="center"/>
    </xf>
    <xf numFmtId="0" fontId="28" fillId="12" borderId="2" xfId="0" applyFont="1" applyFill="1" applyBorder="1" applyAlignment="1">
      <alignment horizontal="center" vertical="center"/>
    </xf>
    <xf numFmtId="0" fontId="30" fillId="0" borderId="0" xfId="0" applyFont="1" applyAlignment="1">
      <alignment horizontal="center" vertical="center" wrapText="1"/>
    </xf>
    <xf numFmtId="0" fontId="44" fillId="0" borderId="1" xfId="0" applyFont="1" applyBorder="1" applyAlignment="1">
      <alignment horizontal="right" vertical="center"/>
    </xf>
    <xf numFmtId="0" fontId="49" fillId="0" borderId="1" xfId="0" applyFont="1" applyBorder="1" applyAlignment="1">
      <alignment horizontal="right" vertical="center"/>
    </xf>
    <xf numFmtId="0" fontId="20" fillId="15" borderId="1" xfId="0" applyFont="1" applyFill="1" applyBorder="1" applyAlignment="1">
      <alignment horizontal="center"/>
    </xf>
    <xf numFmtId="0" fontId="30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30" fillId="19" borderId="1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6" borderId="4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6" fillId="2" borderId="4" xfId="0" applyFont="1" applyFill="1" applyBorder="1" applyAlignment="1">
      <alignment horizontal="center" vertical="center"/>
    </xf>
    <xf numFmtId="0" fontId="36" fillId="2" borderId="2" xfId="0" applyFont="1" applyFill="1" applyBorder="1" applyAlignment="1">
      <alignment horizontal="center" vertical="center"/>
    </xf>
    <xf numFmtId="0" fontId="0" fillId="0" borderId="6" xfId="0" applyBorder="1" applyAlignment="1"/>
    <xf numFmtId="0" fontId="0" fillId="0" borderId="13" xfId="0" applyBorder="1" applyAlignment="1"/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worksheet" Target="worksheets/sheet1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3"/>
          <c:order val="0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5.7771608833961974</c:v>
                </c:pt>
                <c:pt idx="3">
                  <c:v>19.972095289182327</c:v>
                </c:pt>
                <c:pt idx="4">
                  <c:v>32.826251977169122</c:v>
                </c:pt>
                <c:pt idx="5">
                  <c:v>36.433346807019589</c:v>
                </c:pt>
                <c:pt idx="6">
                  <c:v>32.198756240991251</c:v>
                </c:pt>
                <c:pt idx="7">
                  <c:v>24.732148373171594</c:v>
                </c:pt>
                <c:pt idx="8">
                  <c:v>17.367074133946065</c:v>
                </c:pt>
                <c:pt idx="9">
                  <c:v>11.500303185486164</c:v>
                </c:pt>
                <c:pt idx="10">
                  <c:v>7.3259697526529637</c:v>
                </c:pt>
                <c:pt idx="11">
                  <c:v>4.5493809445334197</c:v>
                </c:pt>
                <c:pt idx="12">
                  <c:v>2.7791264220493628</c:v>
                </c:pt>
                <c:pt idx="13">
                  <c:v>1.6806773415264196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4.8499637236258782E-2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1.1247970563587192E-2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5.4516982097750608E-5</c:v>
                </c:pt>
                <c:pt idx="36">
                  <c:v>3.6233062091893961E-5</c:v>
                </c:pt>
                <c:pt idx="37">
                  <c:v>2.4202169709192039E-5</c:v>
                </c:pt>
                <c:pt idx="38">
                  <c:v>1.6245462275469062E-5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1.6371949461751938E-6</c:v>
                </c:pt>
                <c:pt idx="45">
                  <c:v>1.1339549835821426E-6</c:v>
                </c:pt>
                <c:pt idx="46">
                  <c:v>7.8861301898841043E-7</c:v>
                </c:pt>
                <c:pt idx="47">
                  <c:v>5.506360847713136E-7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6.9046488078788535E-8</c:v>
                </c:pt>
                <c:pt idx="54">
                  <c:v>4.9457986872646788E-8</c:v>
                </c:pt>
                <c:pt idx="55">
                  <c:v>3.5545181342800917E-8</c:v>
                </c:pt>
                <c:pt idx="56">
                  <c:v>2.5629702090279795E-8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1.5472789146013586E-9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4.7732533288633531E-10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2.0279321554633339E-10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5.0984906491278563E-11</c:v>
                </c:pt>
                <c:pt idx="78">
                  <c:v>3.893670637883868E-11</c:v>
                </c:pt>
                <c:pt idx="79">
                  <c:v>2.9797858011377825E-11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1.3519420775686371E-11</c:v>
                </c:pt>
                <c:pt idx="83">
                  <c:v>1.0429534487160752E-11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2.2864183272947833E-12</c:v>
                </c:pt>
                <c:pt idx="90">
                  <c:v>1.7865926078701759E-12</c:v>
                </c:pt>
                <c:pt idx="91">
                  <c:v>1.398428981486493E-12</c:v>
                </c:pt>
                <c:pt idx="92">
                  <c:v>1.0964499471370086E-12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5.3373268178504371E-13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8C-4038-9CBB-B8E305D61A12}"/>
            </c:ext>
          </c:extLst>
        </c:ser>
        <c:ser>
          <c:idx val="0"/>
          <c:order val="1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1.0230462885613235E-2</c:v>
                </c:pt>
                <c:pt idx="1">
                  <c:v>0.86532236371898352</c:v>
                </c:pt>
                <c:pt idx="2">
                  <c:v>4.7605152483056923</c:v>
                </c:pt>
                <c:pt idx="3">
                  <c:v>10.710955146851209</c:v>
                </c:pt>
                <c:pt idx="4">
                  <c:v>15.995120928826331</c:v>
                </c:pt>
                <c:pt idx="5">
                  <c:v>19.145891541151848</c:v>
                </c:pt>
                <c:pt idx="6">
                  <c:v>20.093085940899698</c:v>
                </c:pt>
                <c:pt idx="7">
                  <c:v>19.401982224594843</c:v>
                </c:pt>
                <c:pt idx="8">
                  <c:v>17.730767805417603</c:v>
                </c:pt>
                <c:pt idx="9">
                  <c:v>15.606798399314259</c:v>
                </c:pt>
                <c:pt idx="10">
                  <c:v>13.383614336839198</c:v>
                </c:pt>
                <c:pt idx="11">
                  <c:v>11.268467517219708</c:v>
                </c:pt>
                <c:pt idx="12">
                  <c:v>9.3653787083903257</c:v>
                </c:pt>
                <c:pt idx="13">
                  <c:v>7.7129406692098588</c:v>
                </c:pt>
                <c:pt idx="14">
                  <c:v>6.3118702042644177</c:v>
                </c:pt>
                <c:pt idx="15">
                  <c:v>5.1431789233970866</c:v>
                </c:pt>
                <c:pt idx="16">
                  <c:v>4.179335828286149</c:v>
                </c:pt>
                <c:pt idx="17">
                  <c:v>3.3906906315406062</c:v>
                </c:pt>
                <c:pt idx="18">
                  <c:v>2.7488893852824234</c:v>
                </c:pt>
                <c:pt idx="19">
                  <c:v>2.2284748747851846</c:v>
                </c:pt>
                <c:pt idx="20">
                  <c:v>1.8074444170183728</c:v>
                </c:pt>
                <c:pt idx="21">
                  <c:v>1.4672443402791193</c:v>
                </c:pt>
                <c:pt idx="22">
                  <c:v>1.1924875224863591</c:v>
                </c:pt>
                <c:pt idx="23">
                  <c:v>0.97055857021151148</c:v>
                </c:pt>
                <c:pt idx="24">
                  <c:v>0.79119671059977792</c:v>
                </c:pt>
                <c:pt idx="25">
                  <c:v>0.64610218776533646</c:v>
                </c:pt>
                <c:pt idx="26">
                  <c:v>0.52858645474948052</c:v>
                </c:pt>
                <c:pt idx="27">
                  <c:v>0.4332723437499667</c:v>
                </c:pt>
                <c:pt idx="28">
                  <c:v>0.35584304165053393</c:v>
                </c:pt>
                <c:pt idx="29">
                  <c:v>0.29283524223680374</c:v>
                </c:pt>
                <c:pt idx="30">
                  <c:v>0.24147056915994058</c:v>
                </c:pt>
                <c:pt idx="31">
                  <c:v>0.1995192449710754</c:v>
                </c:pt>
                <c:pt idx="32">
                  <c:v>0.16519043047129084</c:v>
                </c:pt>
                <c:pt idx="33">
                  <c:v>0.13704434234827553</c:v>
                </c:pt>
                <c:pt idx="34">
                  <c:v>0.11392199564721488</c:v>
                </c:pt>
                <c:pt idx="35">
                  <c:v>9.4889120018841158E-2</c:v>
                </c:pt>
                <c:pt idx="36">
                  <c:v>7.9191424341782057E-2</c:v>
                </c:pt>
                <c:pt idx="37">
                  <c:v>6.6218920333807482E-2</c:v>
                </c:pt>
                <c:pt idx="38">
                  <c:v>5.5477463603646457E-2</c:v>
                </c:pt>
                <c:pt idx="39">
                  <c:v>4.6566038451719777E-2</c:v>
                </c:pt>
                <c:pt idx="40">
                  <c:v>3.915861132811882E-2</c:v>
                </c:pt>
                <c:pt idx="41">
                  <c:v>3.298961821233562E-2</c:v>
                </c:pt>
                <c:pt idx="42">
                  <c:v>2.7842343500715381E-2</c:v>
                </c:pt>
                <c:pt idx="43">
                  <c:v>2.3539601226641567E-2</c:v>
                </c:pt>
                <c:pt idx="44">
                  <c:v>1.9936251182123308E-2</c:v>
                </c:pt>
                <c:pt idx="45">
                  <c:v>1.6913179045076089E-2</c:v>
                </c:pt>
                <c:pt idx="46">
                  <c:v>1.4372446074699253E-2</c:v>
                </c:pt>
                <c:pt idx="47">
                  <c:v>1.2233374459176372E-2</c:v>
                </c:pt>
                <c:pt idx="48">
                  <c:v>1.0429382302211828E-2</c:v>
                </c:pt>
                <c:pt idx="49">
                  <c:v>8.9054201592180977E-3</c:v>
                </c:pt>
                <c:pt idx="50">
                  <c:v>7.6158910757205649E-3</c:v>
                </c:pt>
                <c:pt idx="51">
                  <c:v>6.5229598973204515E-3</c:v>
                </c:pt>
                <c:pt idx="52">
                  <c:v>5.5951765210824683E-3</c:v>
                </c:pt>
                <c:pt idx="53">
                  <c:v>4.806352774608111E-3</c:v>
                </c:pt>
                <c:pt idx="54">
                  <c:v>4.1346445547695947E-3</c:v>
                </c:pt>
                <c:pt idx="55">
                  <c:v>3.5618003741336841E-3</c:v>
                </c:pt>
                <c:pt idx="56">
                  <c:v>3.0725450547288151E-3</c:v>
                </c:pt>
                <c:pt idx="57">
                  <c:v>2.6540733743980866E-3</c:v>
                </c:pt>
                <c:pt idx="58">
                  <c:v>2.2956333249080506E-3</c:v>
                </c:pt>
                <c:pt idx="59">
                  <c:v>1.9881825315446909E-3</c:v>
                </c:pt>
                <c:pt idx="60">
                  <c:v>1.7241045074323166E-3</c:v>
                </c:pt>
                <c:pt idx="61">
                  <c:v>1.4969739276518216E-3</c:v>
                </c:pt>
                <c:pt idx="62">
                  <c:v>1.3013621315702991E-3</c:v>
                </c:pt>
                <c:pt idx="63">
                  <c:v>1.1326756943699835E-3</c:v>
                </c:pt>
                <c:pt idx="64">
                  <c:v>9.8702222826611537E-4</c:v>
                </c:pt>
                <c:pt idx="65">
                  <c:v>8.6109864216420313E-4</c:v>
                </c:pt>
                <c:pt idx="66">
                  <c:v>7.5209795481859644E-4</c:v>
                </c:pt>
                <c:pt idx="67">
                  <c:v>6.5763146026944278E-4</c:v>
                </c:pt>
                <c:pt idx="68">
                  <c:v>5.7566361692322021E-4</c:v>
                </c:pt>
                <c:pt idx="69">
                  <c:v>5.044574983070106E-4</c:v>
                </c:pt>
                <c:pt idx="70">
                  <c:v>4.4252902448750143E-4</c:v>
                </c:pt>
                <c:pt idx="71">
                  <c:v>3.8860850464794944E-4</c:v>
                </c:pt>
                <c:pt idx="72">
                  <c:v>3.4160827643457876E-4</c:v>
                </c:pt>
                <c:pt idx="73">
                  <c:v>3.0059543695739921E-4</c:v>
                </c:pt>
                <c:pt idx="74">
                  <c:v>2.6476883226831614E-4</c:v>
                </c:pt>
                <c:pt idx="75">
                  <c:v>2.3343961362322564E-4</c:v>
                </c:pt>
                <c:pt idx="76">
                  <c:v>2.060147854380862E-4</c:v>
                </c:pt>
                <c:pt idx="77">
                  <c:v>1.8198326609371616E-4</c:v>
                </c:pt>
                <c:pt idx="78">
                  <c:v>1.6090406230425701E-4</c:v>
                </c:pt>
                <c:pt idx="79">
                  <c:v>1.4239622363018461E-4</c:v>
                </c:pt>
                <c:pt idx="80">
                  <c:v>1.2613029832539028E-4</c:v>
                </c:pt>
                <c:pt idx="81">
                  <c:v>1.1182105704895388E-4</c:v>
                </c:pt>
                <c:pt idx="82">
                  <c:v>9.9221288672271258E-5</c:v>
                </c:pt>
                <c:pt idx="83">
                  <c:v>8.811650380312462E-5</c:v>
                </c:pt>
                <c:pt idx="84">
                  <c:v>7.8320407822323623E-5</c:v>
                </c:pt>
                <c:pt idx="85">
                  <c:v>6.9671027082570227E-5</c:v>
                </c:pt>
                <c:pt idx="86">
                  <c:v>6.2027390191027161E-5</c:v>
                </c:pt>
                <c:pt idx="87">
                  <c:v>5.5266681594179042E-5</c:v>
                </c:pt>
                <c:pt idx="88">
                  <c:v>4.928179750718495E-5</c:v>
                </c:pt>
                <c:pt idx="89">
                  <c:v>4.3979244993913462E-5</c:v>
                </c:pt>
                <c:pt idx="90">
                  <c:v>3.9277334050607349E-5</c:v>
                </c:pt>
                <c:pt idx="91">
                  <c:v>3.5104620159207483E-5</c:v>
                </c:pt>
                <c:pt idx="92">
                  <c:v>3.1398561190929942E-5</c:v>
                </c:pt>
                <c:pt idx="93">
                  <c:v>2.8104357952088862E-5</c:v>
                </c:pt>
                <c:pt idx="94">
                  <c:v>2.5173952234765639E-5</c:v>
                </c:pt>
                <c:pt idx="95">
                  <c:v>2.2565160100012398E-5</c:v>
                </c:pt>
                <c:pt idx="96">
                  <c:v>2.024092139358866E-5</c:v>
                </c:pt>
                <c:pt idx="97">
                  <c:v>1.8168649267891271E-5</c:v>
                </c:pt>
                <c:pt idx="98">
                  <c:v>1.6319665837437104E-5</c:v>
                </c:pt>
                <c:pt idx="99">
                  <c:v>1.4668712094823936E-5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78C-4038-9CBB-B8E305D61A12}"/>
            </c:ext>
          </c:extLst>
        </c:ser>
        <c:ser>
          <c:idx val="1"/>
          <c:order val="2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3.6237480807441398E-44</c:v>
                </c:pt>
                <c:pt idx="1">
                  <c:v>2.6485240668866928E-25</c:v>
                </c:pt>
                <c:pt idx="2">
                  <c:v>1.0950807514640619E-16</c:v>
                </c:pt>
                <c:pt idx="3">
                  <c:v>1.1759734859855953E-11</c:v>
                </c:pt>
                <c:pt idx="4">
                  <c:v>2.2589422048739467E-8</c:v>
                </c:pt>
                <c:pt idx="5">
                  <c:v>4.3192740320749625E-6</c:v>
                </c:pt>
                <c:pt idx="6">
                  <c:v>1.9178942093744388E-4</c:v>
                </c:pt>
                <c:pt idx="7">
                  <c:v>3.1722395453638373E-3</c:v>
                </c:pt>
                <c:pt idx="8">
                  <c:v>2.6150125731252305E-2</c:v>
                </c:pt>
                <c:pt idx="9">
                  <c:v>0.13916471050075616</c:v>
                </c:pt>
                <c:pt idx="10">
                  <c:v>0.70104083165052467</c:v>
                </c:pt>
                <c:pt idx="11">
                  <c:v>3.3165624014858528</c:v>
                </c:pt>
                <c:pt idx="12">
                  <c:v>10.091504899312715</c:v>
                </c:pt>
                <c:pt idx="13">
                  <c:v>17.949351244108627</c:v>
                </c:pt>
                <c:pt idx="14">
                  <c:v>20.114248592711633</c:v>
                </c:pt>
                <c:pt idx="15">
                  <c:v>16.109804337707189</c:v>
                </c:pt>
                <c:pt idx="16">
                  <c:v>10.888808907374575</c:v>
                </c:pt>
                <c:pt idx="17">
                  <c:v>7.4420856341065003</c:v>
                </c:pt>
                <c:pt idx="18">
                  <c:v>5.6161160671101404</c:v>
                </c:pt>
                <c:pt idx="19">
                  <c:v>4.5017709266379509</c:v>
                </c:pt>
                <c:pt idx="20">
                  <c:v>3.6294453077649758</c:v>
                </c:pt>
                <c:pt idx="21">
                  <c:v>2.952743704558987</c:v>
                </c:pt>
                <c:pt idx="22">
                  <c:v>2.6464421890542544</c:v>
                </c:pt>
                <c:pt idx="23">
                  <c:v>2.9867785661526822</c:v>
                </c:pt>
                <c:pt idx="24">
                  <c:v>4.2048553116447582</c:v>
                </c:pt>
                <c:pt idx="25">
                  <c:v>6.2737774520790017</c:v>
                </c:pt>
                <c:pt idx="26">
                  <c:v>8.7691853760975125</c:v>
                </c:pt>
                <c:pt idx="27">
                  <c:v>10.969943483875491</c:v>
                </c:pt>
                <c:pt idx="28">
                  <c:v>12.181108218103253</c:v>
                </c:pt>
                <c:pt idx="29">
                  <c:v>12.061529535115145</c:v>
                </c:pt>
                <c:pt idx="30">
                  <c:v>10.738564313742675</c:v>
                </c:pt>
                <c:pt idx="31">
                  <c:v>8.6732886194945049</c:v>
                </c:pt>
                <c:pt idx="32">
                  <c:v>6.4094457194503542</c:v>
                </c:pt>
                <c:pt idx="33">
                  <c:v>4.3679208045867854</c:v>
                </c:pt>
                <c:pt idx="34">
                  <c:v>2.764756226648895</c:v>
                </c:pt>
                <c:pt idx="35">
                  <c:v>1.6360023538969699</c:v>
                </c:pt>
                <c:pt idx="36">
                  <c:v>0.91034851380487358</c:v>
                </c:pt>
                <c:pt idx="37">
                  <c:v>0.47890066132979647</c:v>
                </c:pt>
                <c:pt idx="38">
                  <c:v>0.23933832389245452</c:v>
                </c:pt>
                <c:pt idx="39">
                  <c:v>0.11414438716552958</c:v>
                </c:pt>
                <c:pt idx="40">
                  <c:v>5.2166002948883926E-2</c:v>
                </c:pt>
                <c:pt idx="41">
                  <c:v>2.29372163697137E-2</c:v>
                </c:pt>
                <c:pt idx="42">
                  <c:v>9.7413477329632518E-3</c:v>
                </c:pt>
                <c:pt idx="43">
                  <c:v>4.0122918102917593E-3</c:v>
                </c:pt>
                <c:pt idx="44">
                  <c:v>1.6100248360196544E-3</c:v>
                </c:pt>
                <c:pt idx="45">
                  <c:v>6.3288288463051281E-4</c:v>
                </c:pt>
                <c:pt idx="46">
                  <c:v>2.4545781459225458E-4</c:v>
                </c:pt>
                <c:pt idx="47">
                  <c:v>9.485440416665839E-5</c:v>
                </c:pt>
                <c:pt idx="48">
                  <c:v>3.7018608790161658E-5</c:v>
                </c:pt>
                <c:pt idx="49">
                  <c:v>1.484674393575485E-5</c:v>
                </c:pt>
                <c:pt idx="50">
                  <c:v>6.2396122782658661E-6</c:v>
                </c:pt>
                <c:pt idx="51">
                  <c:v>2.7937122528741105E-6</c:v>
                </c:pt>
                <c:pt idx="52">
                  <c:v>1.3423155656182128E-6</c:v>
                </c:pt>
                <c:pt idx="53">
                  <c:v>6.8884395522960762E-7</c:v>
                </c:pt>
                <c:pt idx="54">
                  <c:v>3.7259283521759841E-7</c:v>
                </c:pt>
                <c:pt idx="55">
                  <c:v>2.0917863728828378E-7</c:v>
                </c:pt>
                <c:pt idx="56">
                  <c:v>1.203173526637903E-7</c:v>
                </c:pt>
                <c:pt idx="57">
                  <c:v>7.0256541483690827E-8</c:v>
                </c:pt>
                <c:pt idx="58">
                  <c:v>4.1407451206506655E-8</c:v>
                </c:pt>
                <c:pt idx="59">
                  <c:v>2.4548481825732431E-8</c:v>
                </c:pt>
                <c:pt idx="60">
                  <c:v>1.4611584844927895E-8</c:v>
                </c:pt>
                <c:pt idx="61">
                  <c:v>8.7226983051200027E-9</c:v>
                </c:pt>
                <c:pt idx="62">
                  <c:v>5.2198035296554267E-9</c:v>
                </c:pt>
                <c:pt idx="63">
                  <c:v>3.1303500351245439E-9</c:v>
                </c:pt>
                <c:pt idx="64">
                  <c:v>1.8811113971799365E-9</c:v>
                </c:pt>
                <c:pt idx="65">
                  <c:v>1.1326563810323409E-9</c:v>
                </c:pt>
                <c:pt idx="66">
                  <c:v>6.833431019463353E-10</c:v>
                </c:pt>
                <c:pt idx="67">
                  <c:v>4.1308432840657209E-10</c:v>
                </c:pt>
                <c:pt idx="68">
                  <c:v>2.5020917791899651E-10</c:v>
                </c:pt>
                <c:pt idx="69">
                  <c:v>1.5185832948507946E-10</c:v>
                </c:pt>
                <c:pt idx="70">
                  <c:v>9.2352994323082484E-11</c:v>
                </c:pt>
                <c:pt idx="71">
                  <c:v>5.6278929493255826E-11</c:v>
                </c:pt>
                <c:pt idx="72">
                  <c:v>3.4365910839886583E-11</c:v>
                </c:pt>
                <c:pt idx="73">
                  <c:v>2.1028142841791286E-11</c:v>
                </c:pt>
                <c:pt idx="74">
                  <c:v>1.2893416393903717E-11</c:v>
                </c:pt>
                <c:pt idx="75">
                  <c:v>7.9219360440261257E-12</c:v>
                </c:pt>
                <c:pt idx="76">
                  <c:v>4.8774446162316554E-12</c:v>
                </c:pt>
                <c:pt idx="77">
                  <c:v>3.0092053307371805E-12</c:v>
                </c:pt>
                <c:pt idx="78">
                  <c:v>1.8604152762457768E-12</c:v>
                </c:pt>
                <c:pt idx="79">
                  <c:v>1.15256685991703E-12</c:v>
                </c:pt>
                <c:pt idx="80">
                  <c:v>7.1551631968387576E-13</c:v>
                </c:pt>
                <c:pt idx="81">
                  <c:v>4.451113692996448E-13</c:v>
                </c:pt>
                <c:pt idx="82">
                  <c:v>2.7746720557102212E-13</c:v>
                </c:pt>
                <c:pt idx="83">
                  <c:v>1.7331899415055902E-13</c:v>
                </c:pt>
                <c:pt idx="84">
                  <c:v>1.0848495573696115E-13</c:v>
                </c:pt>
                <c:pt idx="85">
                  <c:v>6.8042258985146983E-14</c:v>
                </c:pt>
                <c:pt idx="86">
                  <c:v>4.276322721096538E-14</c:v>
                </c:pt>
                <c:pt idx="87">
                  <c:v>2.6930299075338244E-14</c:v>
                </c:pt>
                <c:pt idx="88">
                  <c:v>1.6993662837116725E-14</c:v>
                </c:pt>
                <c:pt idx="89">
                  <c:v>1.0744936913146753E-14</c:v>
                </c:pt>
                <c:pt idx="90">
                  <c:v>6.8074980127197871E-15</c:v>
                </c:pt>
                <c:pt idx="91">
                  <c:v>4.3214898826651413E-15</c:v>
                </c:pt>
                <c:pt idx="92">
                  <c:v>2.748762253085783E-15</c:v>
                </c:pt>
                <c:pt idx="93">
                  <c:v>1.7518373552265539E-15</c:v>
                </c:pt>
                <c:pt idx="94">
                  <c:v>1.1186607644499714E-15</c:v>
                </c:pt>
                <c:pt idx="95">
                  <c:v>7.157247254241042E-16</c:v>
                </c:pt>
                <c:pt idx="96">
                  <c:v>4.5880853966301048E-16</c:v>
                </c:pt>
                <c:pt idx="97">
                  <c:v>2.9467927636290825E-16</c:v>
                </c:pt>
                <c:pt idx="98">
                  <c:v>1.896247479902647E-16</c:v>
                </c:pt>
                <c:pt idx="99">
                  <c:v>1.2225380267803984E-16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78C-4038-9CBB-B8E305D61A12}"/>
            </c:ext>
          </c:extLst>
        </c:ser>
        <c:ser>
          <c:idx val="2"/>
          <c:order val="3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3.1753350949166831E-19</c:v>
                </c:pt>
                <c:pt idx="1">
                  <c:v>4.6516849591301319E-10</c:v>
                </c:pt>
                <c:pt idx="2">
                  <c:v>5.0397948011464576E-6</c:v>
                </c:pt>
                <c:pt idx="3">
                  <c:v>9.3579365247105253E-4</c:v>
                </c:pt>
                <c:pt idx="4">
                  <c:v>2.462851738949844E-2</c:v>
                </c:pt>
                <c:pt idx="5">
                  <c:v>0.21462148420327809</c:v>
                </c:pt>
                <c:pt idx="6">
                  <c:v>0.93784915714764172</c:v>
                </c:pt>
                <c:pt idx="7">
                  <c:v>2.5852286884627191</c:v>
                </c:pt>
                <c:pt idx="8">
                  <c:v>5.1612874234912116</c:v>
                </c:pt>
                <c:pt idx="9">
                  <c:v>8.1530141067954318</c:v>
                </c:pt>
                <c:pt idx="10">
                  <c:v>10.813536964682509</c:v>
                </c:pt>
                <c:pt idx="11">
                  <c:v>12.551316727867659</c:v>
                </c:pt>
                <c:pt idx="12">
                  <c:v>13.135149264546408</c:v>
                </c:pt>
                <c:pt idx="13">
                  <c:v>12.673014304797942</c:v>
                </c:pt>
                <c:pt idx="14">
                  <c:v>11.475317970407644</c:v>
                </c:pt>
                <c:pt idx="15">
                  <c:v>9.915675219229442</c:v>
                </c:pt>
                <c:pt idx="16">
                  <c:v>8.3397785672248848</c:v>
                </c:pt>
                <c:pt idx="17">
                  <c:v>7.0193662523897649</c:v>
                </c:pt>
                <c:pt idx="18">
                  <c:v>6.1298012073299368</c:v>
                </c:pt>
                <c:pt idx="19">
                  <c:v>5.7381890974029472</c:v>
                </c:pt>
                <c:pt idx="20">
                  <c:v>5.8035421179720457</c:v>
                </c:pt>
                <c:pt idx="21">
                  <c:v>6.1956102208059454</c:v>
                </c:pt>
                <c:pt idx="22">
                  <c:v>6.7326123030640259</c:v>
                </c:pt>
                <c:pt idx="23">
                  <c:v>7.2282245960984275</c:v>
                </c:pt>
                <c:pt idx="24">
                  <c:v>7.5333978820482956</c:v>
                </c:pt>
                <c:pt idx="25">
                  <c:v>7.5615594205091954</c:v>
                </c:pt>
                <c:pt idx="26">
                  <c:v>7.293427684636268</c:v>
                </c:pt>
                <c:pt idx="27">
                  <c:v>6.7651322128130857</c:v>
                </c:pt>
                <c:pt idx="28">
                  <c:v>6.0473725192963688</c:v>
                </c:pt>
                <c:pt idx="29">
                  <c:v>5.2234866364913293</c:v>
                </c:pt>
                <c:pt idx="30">
                  <c:v>4.3719004119118967</c:v>
                </c:pt>
                <c:pt idx="31">
                  <c:v>3.5553064107499073</c:v>
                </c:pt>
                <c:pt idx="32">
                  <c:v>2.8163799556415423</c:v>
                </c:pt>
                <c:pt idx="33">
                  <c:v>2.1784022795305926</c:v>
                </c:pt>
                <c:pt idx="34">
                  <c:v>1.6487503246071948</c:v>
                </c:pt>
                <c:pt idx="35">
                  <c:v>1.2234729111923055</c:v>
                </c:pt>
                <c:pt idx="36">
                  <c:v>0.89172360756128721</c:v>
                </c:pt>
                <c:pt idx="37">
                  <c:v>0.63938761704403624</c:v>
                </c:pt>
                <c:pt idx="38">
                  <c:v>0.4516816676821811</c:v>
                </c:pt>
                <c:pt idx="39">
                  <c:v>0.31478378996360085</c:v>
                </c:pt>
                <c:pt idx="40">
                  <c:v>0.21668478684391812</c:v>
                </c:pt>
                <c:pt idx="41">
                  <c:v>0.14748837148376864</c:v>
                </c:pt>
                <c:pt idx="42">
                  <c:v>9.9365384466838819E-2</c:v>
                </c:pt>
                <c:pt idx="43">
                  <c:v>6.6321917606760941E-2</c:v>
                </c:pt>
                <c:pt idx="44">
                  <c:v>4.3892084438761303E-2</c:v>
                </c:pt>
                <c:pt idx="45">
                  <c:v>2.8824016849710386E-2</c:v>
                </c:pt>
                <c:pt idx="46">
                  <c:v>1.8796048362822493E-2</c:v>
                </c:pt>
                <c:pt idx="47">
                  <c:v>1.2178740465265955E-2</c:v>
                </c:pt>
                <c:pt idx="48">
                  <c:v>7.8454880423093325E-3</c:v>
                </c:pt>
                <c:pt idx="49">
                  <c:v>5.0275639666005631E-3</c:v>
                </c:pt>
                <c:pt idx="50">
                  <c:v>3.2065348562229918E-3</c:v>
                </c:pt>
                <c:pt idx="51">
                  <c:v>2.0363856355909028E-3</c:v>
                </c:pt>
                <c:pt idx="52">
                  <c:v>1.2883114029161587E-3</c:v>
                </c:pt>
                <c:pt idx="53">
                  <c:v>8.1226409526693284E-4</c:v>
                </c:pt>
                <c:pt idx="54">
                  <c:v>5.1057244020002177E-4</c:v>
                </c:pt>
                <c:pt idx="55">
                  <c:v>3.2008116931838847E-4</c:v>
                </c:pt>
                <c:pt idx="56">
                  <c:v>2.0019661275849578E-4</c:v>
                </c:pt>
                <c:pt idx="57">
                  <c:v>1.2496605482305401E-4</c:v>
                </c:pt>
                <c:pt idx="58">
                  <c:v>7.7876447717339356E-5</c:v>
                </c:pt>
                <c:pt idx="59">
                  <c:v>4.8465813876066243E-5</c:v>
                </c:pt>
                <c:pt idx="60">
                  <c:v>3.013108628933719E-5</c:v>
                </c:pt>
                <c:pt idx="61">
                  <c:v>1.8718805628029744E-5</c:v>
                </c:pt>
                <c:pt idx="62">
                  <c:v>1.1624141011724669E-5</c:v>
                </c:pt>
                <c:pt idx="63">
                  <c:v>7.2177384504084502E-6</c:v>
                </c:pt>
                <c:pt idx="64">
                  <c:v>4.4827203879372553E-6</c:v>
                </c:pt>
                <c:pt idx="65">
                  <c:v>2.785681443780324E-6</c:v>
                </c:pt>
                <c:pt idx="66">
                  <c:v>1.7327175026458826E-6</c:v>
                </c:pt>
                <c:pt idx="67">
                  <c:v>1.079189639070676E-6</c:v>
                </c:pt>
                <c:pt idx="68">
                  <c:v>6.7331813233129893E-7</c:v>
                </c:pt>
                <c:pt idx="69">
                  <c:v>4.2100512360518421E-7</c:v>
                </c:pt>
                <c:pt idx="70">
                  <c:v>2.6394001634828981E-7</c:v>
                </c:pt>
                <c:pt idx="71">
                  <c:v>1.6599499053993931E-7</c:v>
                </c:pt>
                <c:pt idx="72">
                  <c:v>1.0478336363113587E-7</c:v>
                </c:pt>
                <c:pt idx="73">
                  <c:v>6.6427271169317155E-8</c:v>
                </c:pt>
                <c:pt idx="74">
                  <c:v>4.2317225015618755E-8</c:v>
                </c:pt>
                <c:pt idx="75">
                  <c:v>2.7106375020981147E-8</c:v>
                </c:pt>
                <c:pt idx="76">
                  <c:v>1.7469367587028002E-8</c:v>
                </c:pt>
                <c:pt idx="77">
                  <c:v>1.1334342671307782E-8</c:v>
                </c:pt>
                <c:pt idx="78">
                  <c:v>7.4075775906381694E-9</c:v>
                </c:pt>
                <c:pt idx="79">
                  <c:v>4.8791032881543386E-9</c:v>
                </c:pt>
                <c:pt idx="80">
                  <c:v>3.2402408268469126E-9</c:v>
                </c:pt>
                <c:pt idx="81">
                  <c:v>2.1703765141320448E-9</c:v>
                </c:pt>
                <c:pt idx="82">
                  <c:v>1.4665970471854962E-9</c:v>
                </c:pt>
                <c:pt idx="83">
                  <c:v>9.998796236442197E-10</c:v>
                </c:pt>
                <c:pt idx="84">
                  <c:v>6.877545985985403E-10</c:v>
                </c:pt>
                <c:pt idx="85">
                  <c:v>4.7720196049605216E-10</c:v>
                </c:pt>
                <c:pt idx="86">
                  <c:v>3.3391761895265665E-10</c:v>
                </c:pt>
                <c:pt idx="87">
                  <c:v>2.3555332774190893E-10</c:v>
                </c:pt>
                <c:pt idx="88">
                  <c:v>1.6744199530912865E-10</c:v>
                </c:pt>
                <c:pt idx="89">
                  <c:v>1.1988229402042999E-10</c:v>
                </c:pt>
                <c:pt idx="90">
                  <c:v>8.6404994796662463E-11</c:v>
                </c:pt>
                <c:pt idx="91">
                  <c:v>6.2659861794784973E-11</c:v>
                </c:pt>
                <c:pt idx="92">
                  <c:v>4.5696575735509725E-11</c:v>
                </c:pt>
                <c:pt idx="93">
                  <c:v>3.3497103815163748E-11</c:v>
                </c:pt>
                <c:pt idx="94">
                  <c:v>2.4669417798260915E-11</c:v>
                </c:pt>
                <c:pt idx="95">
                  <c:v>1.8245373482414909E-11</c:v>
                </c:pt>
                <c:pt idx="96">
                  <c:v>1.3546274579441301E-11</c:v>
                </c:pt>
                <c:pt idx="97">
                  <c:v>1.0092726959071102E-11</c:v>
                </c:pt>
                <c:pt idx="98">
                  <c:v>7.543690290487523E-12</c:v>
                </c:pt>
                <c:pt idx="99">
                  <c:v>5.6549268638067578E-12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78C-4038-9CBB-B8E305D61A12}"/>
            </c:ext>
          </c:extLst>
        </c:ser>
        <c:ser>
          <c:idx val="4"/>
          <c:order val="4"/>
          <c:tx>
            <c:v>Legal 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'Espectros de Carga'!$V$3:$V$4</c:f>
              <c:numCache>
                <c:formatCode>General</c:formatCode>
                <c:ptCount val="2"/>
                <c:pt idx="0">
                  <c:v>6.5</c:v>
                </c:pt>
                <c:pt idx="1">
                  <c:v>6.5</c:v>
                </c:pt>
              </c:numCache>
            </c:numRef>
          </c:xVal>
          <c:yVal>
            <c:numRef>
              <c:f>'Espectros de Carga'!$W$3:$W$4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78C-4038-9CBB-B8E305D61A12}"/>
            </c:ext>
          </c:extLst>
        </c:ser>
        <c:ser>
          <c:idx val="5"/>
          <c:order val="5"/>
          <c:tx>
            <c:v>Legal SDual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'Espectros de Carga'!$V$5:$V$6</c:f>
              <c:numCache>
                <c:formatCode>General</c:formatCode>
                <c:ptCount val="2"/>
                <c:pt idx="0">
                  <c:v>11</c:v>
                </c:pt>
                <c:pt idx="1">
                  <c:v>11</c:v>
                </c:pt>
              </c:numCache>
            </c:numRef>
          </c:xVal>
          <c:yVal>
            <c:numRef>
              <c:f>'Espectros de Carga'!$W$5:$W$6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78C-4038-9CBB-B8E305D61A12}"/>
            </c:ext>
          </c:extLst>
        </c:ser>
        <c:ser>
          <c:idx val="6"/>
          <c:order val="6"/>
          <c:tx>
            <c:v>Legal 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'Espectros de Carga'!$V$7:$V$8</c:f>
              <c:numCache>
                <c:formatCode>General</c:formatCode>
                <c:ptCount val="2"/>
                <c:pt idx="0">
                  <c:v>18</c:v>
                </c:pt>
                <c:pt idx="1">
                  <c:v>18</c:v>
                </c:pt>
              </c:numCache>
            </c:numRef>
          </c:xVal>
          <c:yVal>
            <c:numRef>
              <c:f>'Espectros de Carga'!$W$7:$W$8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778C-4038-9CBB-B8E305D61A12}"/>
            </c:ext>
          </c:extLst>
        </c:ser>
        <c:ser>
          <c:idx val="7"/>
          <c:order val="7"/>
          <c:tx>
            <c:v>Legal 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'Espectros de Carga'!$V$9:$V$10</c:f>
              <c:numCache>
                <c:formatCode>General</c:formatCode>
                <c:ptCount val="2"/>
                <c:pt idx="0">
                  <c:v>23</c:v>
                </c:pt>
                <c:pt idx="1">
                  <c:v>23</c:v>
                </c:pt>
              </c:numCache>
            </c:numRef>
          </c:xVal>
          <c:yVal>
            <c:numRef>
              <c:f>'Espectros de Carga'!$W$9:$W$10</c:f>
              <c:numCache>
                <c:formatCode>General</c:formatCode>
                <c:ptCount val="2"/>
                <c:pt idx="0">
                  <c:v>0</c:v>
                </c:pt>
                <c:pt idx="1">
                  <c:v>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78C-4038-9CBB-B8E305D61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A9-4515-9C73-76F9CA19C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30-48B1-AF44-EF8D9D41B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FFA-409A-9F92-987AA932E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28-4AF5-8083-1A6F950D00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5ED-45B7-9C72-27CF62FBCA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  <c:pt idx="0">
                  <c:v>5.2073631221545558E-13</c:v>
                </c:pt>
                <c:pt idx="1">
                  <c:v>2.5124500176001705E-8</c:v>
                </c:pt>
                <c:pt idx="2">
                  <c:v>2.2286384939533842E-6</c:v>
                </c:pt>
                <c:pt idx="3">
                  <c:v>2.3724072385647015E-5</c:v>
                </c:pt>
                <c:pt idx="4">
                  <c:v>9.3051842689560765E-5</c:v>
                </c:pt>
                <c:pt idx="5">
                  <c:v>2.0976026300236934E-4</c:v>
                </c:pt>
                <c:pt idx="6">
                  <c:v>3.3687486104424982E-4</c:v>
                </c:pt>
                <c:pt idx="7">
                  <c:v>4.3344701681899742E-4</c:v>
                </c:pt>
                <c:pt idx="8">
                  <c:v>4.7911599343099503E-4</c:v>
                </c:pt>
                <c:pt idx="9">
                  <c:v>4.7551432812045508E-4</c:v>
                </c:pt>
                <c:pt idx="10">
                  <c:v>4.3634456167674312E-4</c:v>
                </c:pt>
                <c:pt idx="11">
                  <c:v>3.7774727982177968E-4</c:v>
                </c:pt>
                <c:pt idx="12">
                  <c:v>3.1296671843475149E-4</c:v>
                </c:pt>
                <c:pt idx="13">
                  <c:v>2.5075226034947231E-4</c:v>
                </c:pt>
                <c:pt idx="14">
                  <c:v>1.9579538872730552E-4</c:v>
                </c:pt>
                <c:pt idx="15">
                  <c:v>1.4986890447595639E-4</c:v>
                </c:pt>
                <c:pt idx="16">
                  <c:v>1.1295911992508762E-4</c:v>
                </c:pt>
                <c:pt idx="17">
                  <c:v>8.4129151380858539E-5</c:v>
                </c:pt>
                <c:pt idx="18">
                  <c:v>6.2083657186994909E-5</c:v>
                </c:pt>
                <c:pt idx="19">
                  <c:v>4.5494370871436279E-5</c:v>
                </c:pt>
                <c:pt idx="20">
                  <c:v>3.3162141974480416E-5</c:v>
                </c:pt>
                <c:pt idx="21">
                  <c:v>2.4079089235038193E-5</c:v>
                </c:pt>
                <c:pt idx="22">
                  <c:v>1.7435836218909758E-5</c:v>
                </c:pt>
                <c:pt idx="23">
                  <c:v>1.2602363225373157E-5</c:v>
                </c:pt>
                <c:pt idx="24">
                  <c:v>9.0990461495633549E-6</c:v>
                </c:pt>
                <c:pt idx="25">
                  <c:v>6.5666480949966962E-6</c:v>
                </c:pt>
                <c:pt idx="26">
                  <c:v>4.7393332824198318E-6</c:v>
                </c:pt>
                <c:pt idx="27">
                  <c:v>3.4221504749688779E-6</c:v>
                </c:pt>
                <c:pt idx="28">
                  <c:v>2.4730909026394022E-6</c:v>
                </c:pt>
                <c:pt idx="29">
                  <c:v>1.7892236814808752E-6</c:v>
                </c:pt>
                <c:pt idx="30">
                  <c:v>1.2962101498617267E-6</c:v>
                </c:pt>
                <c:pt idx="31">
                  <c:v>9.4049592788730447E-7</c:v>
                </c:pt>
                <c:pt idx="32">
                  <c:v>6.8356291472061015E-7</c:v>
                </c:pt>
                <c:pt idx="33">
                  <c:v>4.9773341427979742E-7</c:v>
                </c:pt>
                <c:pt idx="34">
                  <c:v>3.63126402526821E-7</c:v>
                </c:pt>
                <c:pt idx="35">
                  <c:v>2.6545969662171891E-7</c:v>
                </c:pt>
                <c:pt idx="36">
                  <c:v>1.94468167415092E-7</c:v>
                </c:pt>
                <c:pt idx="37">
                  <c:v>1.4276791508665293E-7</c:v>
                </c:pt>
                <c:pt idx="38">
                  <c:v>1.0504187100008222E-7</c:v>
                </c:pt>
                <c:pt idx="39">
                  <c:v>7.7456339585411669E-8</c:v>
                </c:pt>
                <c:pt idx="40">
                  <c:v>5.7243109063334748E-8</c:v>
                </c:pt>
                <c:pt idx="41">
                  <c:v>4.2400100584299879E-8</c:v>
                </c:pt>
                <c:pt idx="42">
                  <c:v>3.1476820986909765E-8</c:v>
                </c:pt>
                <c:pt idx="43">
                  <c:v>2.3420470582417682E-8</c:v>
                </c:pt>
                <c:pt idx="44">
                  <c:v>1.7465441796058769E-8</c:v>
                </c:pt>
                <c:pt idx="45">
                  <c:v>1.305387471882615E-8</c:v>
                </c:pt>
                <c:pt idx="46">
                  <c:v>9.7784596015420161E-9</c:v>
                </c:pt>
                <c:pt idx="47">
                  <c:v>7.3411921391901765E-9</c:v>
                </c:pt>
                <c:pt idx="48">
                  <c:v>5.5235823535555552E-9</c:v>
                </c:pt>
                <c:pt idx="49">
                  <c:v>4.1650983404526271E-9</c:v>
                </c:pt>
                <c:pt idx="50">
                  <c:v>3.1475397946495361E-9</c:v>
                </c:pt>
                <c:pt idx="51">
                  <c:v>2.3836885020982098E-9</c:v>
                </c:pt>
                <c:pt idx="52">
                  <c:v>1.8090490469363997E-9</c:v>
                </c:pt>
                <c:pt idx="53">
                  <c:v>1.3758263284858372E-9</c:v>
                </c:pt>
                <c:pt idx="54">
                  <c:v>1.0485252006489592E-9</c:v>
                </c:pt>
                <c:pt idx="55">
                  <c:v>8.0072873039509105E-10</c:v>
                </c:pt>
                <c:pt idx="56">
                  <c:v>6.1273451189553756E-10</c:v>
                </c:pt>
                <c:pt idx="57">
                  <c:v>4.6981690610743551E-10</c:v>
                </c:pt>
                <c:pt idx="58">
                  <c:v>3.6094679472026879E-10</c:v>
                </c:pt>
                <c:pt idx="59">
                  <c:v>2.7784642979479169E-10</c:v>
                </c:pt>
                <c:pt idx="60">
                  <c:v>2.1429021797073233E-10</c:v>
                </c:pt>
                <c:pt idx="61">
                  <c:v>1.6558637174663757E-10</c:v>
                </c:pt>
                <c:pt idx="62">
                  <c:v>1.2819184826613829E-10</c:v>
                </c:pt>
                <c:pt idx="63">
                  <c:v>9.9425713839584896E-11</c:v>
                </c:pt>
                <c:pt idx="64">
                  <c:v>7.7255339278510346E-11</c:v>
                </c:pt>
                <c:pt idx="65">
                  <c:v>6.0136596721809704E-11</c:v>
                </c:pt>
                <c:pt idx="66">
                  <c:v>4.689417788667276E-11</c:v>
                </c:pt>
                <c:pt idx="67">
                  <c:v>3.6631781408428875E-11</c:v>
                </c:pt>
                <c:pt idx="68">
                  <c:v>2.8664581298579304E-11</c:v>
                </c:pt>
                <c:pt idx="69">
                  <c:v>2.2468349270136884E-11</c:v>
                </c:pt>
                <c:pt idx="70">
                  <c:v>1.7641049449110186E-11</c:v>
                </c:pt>
                <c:pt idx="71">
                  <c:v>1.3873792164944392E-11</c:v>
                </c:pt>
                <c:pt idx="72">
                  <c:v>1.0928824265544303E-11</c:v>
                </c:pt>
                <c:pt idx="73">
                  <c:v>8.6228199337684895E-12</c:v>
                </c:pt>
                <c:pt idx="74">
                  <c:v>6.8141718837320406E-12</c:v>
                </c:pt>
                <c:pt idx="75">
                  <c:v>5.3933073989774487E-12</c:v>
                </c:pt>
                <c:pt idx="76">
                  <c:v>4.2752958334150342E-12</c:v>
                </c:pt>
                <c:pt idx="77">
                  <c:v>3.3941952060094896E-12</c:v>
                </c:pt>
                <c:pt idx="78">
                  <c:v>2.6987210787785528E-12</c:v>
                </c:pt>
                <c:pt idx="79">
                  <c:v>2.1489226182711963E-12</c:v>
                </c:pt>
                <c:pt idx="80">
                  <c:v>1.7136271968953763E-12</c:v>
                </c:pt>
                <c:pt idx="81">
                  <c:v>1.3684724688042625E-12</c:v>
                </c:pt>
                <c:pt idx="82">
                  <c:v>1.0943882958161542E-12</c:v>
                </c:pt>
                <c:pt idx="83">
                  <c:v>8.7642373255365255E-13</c:v>
                </c:pt>
                <c:pt idx="84">
                  <c:v>7.028391409829539E-13</c:v>
                </c:pt>
                <c:pt idx="85">
                  <c:v>5.6440236207155038E-13</c:v>
                </c:pt>
                <c:pt idx="86">
                  <c:v>4.5384220112942124E-13</c:v>
                </c:pt>
                <c:pt idx="87">
                  <c:v>3.6542338998998415E-13</c:v>
                </c:pt>
                <c:pt idx="88">
                  <c:v>2.9461550510412876E-13</c:v>
                </c:pt>
                <c:pt idx="89">
                  <c:v>2.3783467197516426E-13</c:v>
                </c:pt>
                <c:pt idx="90">
                  <c:v>1.9224174539021786E-13</c:v>
                </c:pt>
                <c:pt idx="91">
                  <c:v>1.5558437840147225E-13</c:v>
                </c:pt>
                <c:pt idx="92">
                  <c:v>1.2607325101699942E-13</c:v>
                </c:pt>
                <c:pt idx="93">
                  <c:v>1.0228492680244663E-13</c:v>
                </c:pt>
                <c:pt idx="94">
                  <c:v>8.3085497540836523E-14</c:v>
                </c:pt>
                <c:pt idx="95">
                  <c:v>6.7570481010728311E-14</c:v>
                </c:pt>
                <c:pt idx="96">
                  <c:v>5.5017444929963075E-14</c:v>
                </c:pt>
                <c:pt idx="97">
                  <c:v>4.4848609939888727E-14</c:v>
                </c:pt>
                <c:pt idx="98">
                  <c:v>3.6601288738832727E-14</c:v>
                </c:pt>
                <c:pt idx="99">
                  <c:v>2.990448735859515E-14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8F4-486B-8EFB-7E88CE643AC6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  <c:pt idx="0">
                  <c:v>1.1796211210467526E-11</c:v>
                </c:pt>
                <c:pt idx="1">
                  <c:v>1.5420329955663643E-8</c:v>
                </c:pt>
                <c:pt idx="2">
                  <c:v>4.2085275306791938E-7</c:v>
                </c:pt>
                <c:pt idx="3">
                  <c:v>2.9499348338610462E-6</c:v>
                </c:pt>
                <c:pt idx="4">
                  <c:v>1.0635705437857622E-5</c:v>
                </c:pt>
                <c:pt idx="5">
                  <c:v>2.6158948881218332E-5</c:v>
                </c:pt>
                <c:pt idx="6">
                  <c:v>5.0469750251726705E-5</c:v>
                </c:pt>
                <c:pt idx="7">
                  <c:v>8.2584550021108487E-5</c:v>
                </c:pt>
                <c:pt idx="8">
                  <c:v>1.2018014138353414E-4</c:v>
                </c:pt>
                <c:pt idx="9">
                  <c:v>1.603840131382088E-4</c:v>
                </c:pt>
                <c:pt idx="10">
                  <c:v>2.004111017951532E-4</c:v>
                </c:pt>
                <c:pt idx="11">
                  <c:v>2.3794579527550012E-4</c:v>
                </c:pt>
                <c:pt idx="12">
                  <c:v>2.712994048647058E-4</c:v>
                </c:pt>
                <c:pt idx="13">
                  <c:v>2.9941460954306838E-4</c:v>
                </c:pt>
                <c:pt idx="14">
                  <c:v>3.2178499483839085E-4</c:v>
                </c:pt>
                <c:pt idx="15">
                  <c:v>3.3833959126986613E-4</c:v>
                </c:pt>
                <c:pt idx="16">
                  <c:v>3.4932346977989024E-4</c:v>
                </c:pt>
                <c:pt idx="17">
                  <c:v>3.551908890965264E-4</c:v>
                </c:pt>
                <c:pt idx="18">
                  <c:v>3.5651782128607576E-4</c:v>
                </c:pt>
                <c:pt idx="19">
                  <c:v>3.5393497494132307E-4</c:v>
                </c:pt>
                <c:pt idx="20">
                  <c:v>3.4807947932184767E-4</c:v>
                </c:pt>
                <c:pt idx="21">
                  <c:v>3.3956216037246668E-4</c:v>
                </c:pt>
                <c:pt idx="22">
                  <c:v>3.289470921152055E-4</c:v>
                </c:pt>
                <c:pt idx="23">
                  <c:v>3.1674036249059497E-4</c:v>
                </c:pt>
                <c:pt idx="24">
                  <c:v>3.03385460031456E-4</c:v>
                </c:pt>
                <c:pt idx="25">
                  <c:v>2.8926320371598245E-4</c:v>
                </c:pt>
                <c:pt idx="26">
                  <c:v>2.7469462032321393E-4</c:v>
                </c:pt>
                <c:pt idx="27">
                  <c:v>2.5994558643368891E-4</c:v>
                </c:pt>
                <c:pt idx="28">
                  <c:v>2.4523238694435548E-4</c:v>
                </c:pt>
                <c:pt idx="29">
                  <c:v>2.3072760291071567E-4</c:v>
                </c:pt>
                <c:pt idx="30">
                  <c:v>2.1656593870534419E-4</c:v>
                </c:pt>
                <c:pt idx="31">
                  <c:v>2.0284974347484574E-4</c:v>
                </c:pt>
                <c:pt idx="32">
                  <c:v>1.8965408575499692E-4</c:v>
                </c:pt>
                <c:pt idx="33">
                  <c:v>1.7703131250909271E-4</c:v>
                </c:pt>
                <c:pt idx="34">
                  <c:v>1.6501507273769214E-4</c:v>
                </c:pt>
                <c:pt idx="35">
                  <c:v>1.5362381748385001E-4</c:v>
                </c:pt>
                <c:pt idx="36">
                  <c:v>1.4286380740582874E-4</c:v>
                </c:pt>
                <c:pt idx="37">
                  <c:v>1.3273166979715329E-4</c:v>
                </c:pt>
                <c:pt idx="38">
                  <c:v>1.2321655173742801E-4</c:v>
                </c:pt>
                <c:pt idx="39">
                  <c:v>1.1430191695114339E-4</c:v>
                </c:pt>
                <c:pt idx="40">
                  <c:v>1.0596703236551361E-4</c:v>
                </c:pt>
                <c:pt idx="41">
                  <c:v>9.8188187298871212E-5</c:v>
                </c:pt>
                <c:pt idx="42">
                  <c:v>9.0939684372744948E-5</c:v>
                </c:pt>
                <c:pt idx="43">
                  <c:v>8.4194637090751777E-5</c:v>
                </c:pt>
                <c:pt idx="44">
                  <c:v>7.792560487015743E-5</c:v>
                </c:pt>
                <c:pt idx="45">
                  <c:v>7.2105092336531801E-5</c:v>
                </c:pt>
                <c:pt idx="46">
                  <c:v>6.6705936007407181E-5</c:v>
                </c:pt>
                <c:pt idx="47">
                  <c:v>6.1701598151694975E-5</c:v>
                </c:pt>
                <c:pt idx="48">
                  <c:v>5.7066384636144982E-5</c:v>
                </c:pt>
                <c:pt idx="49">
                  <c:v>5.2775600953354546E-5</c:v>
                </c:pt>
                <c:pt idx="50">
                  <c:v>4.88056583486652E-5</c:v>
                </c:pt>
                <c:pt idx="51">
                  <c:v>4.5134139998791462E-5</c:v>
                </c:pt>
                <c:pt idx="52">
                  <c:v>4.1739835512548661E-5</c:v>
                </c:pt>
                <c:pt idx="53">
                  <c:v>3.8602750592128023E-5</c:v>
                </c:pt>
                <c:pt idx="54">
                  <c:v>3.5704097481318037E-5</c:v>
                </c:pt>
                <c:pt idx="55">
                  <c:v>3.3026270806160013E-5</c:v>
                </c:pt>
                <c:pt idx="56">
                  <c:v>3.055281255743038E-5</c:v>
                </c:pt>
                <c:pt idx="57">
                  <c:v>2.8268369249447188E-5</c:v>
                </c:pt>
                <c:pt idx="58">
                  <c:v>2.6158643695063159E-5</c:v>
                </c:pt>
                <c:pt idx="59">
                  <c:v>2.421034334403026E-5</c:v>
                </c:pt>
                <c:pt idx="60">
                  <c:v>2.2411126725272321E-5</c:v>
                </c:pt>
                <c:pt idx="61">
                  <c:v>2.0749549199293939E-5</c:v>
                </c:pt>
                <c:pt idx="62">
                  <c:v>1.9215008953234474E-5</c:v>
                </c:pt>
                <c:pt idx="63">
                  <c:v>1.7797693947950812E-5</c:v>
                </c:pt>
                <c:pt idx="64">
                  <c:v>1.6488530345490772E-5</c:v>
                </c:pt>
                <c:pt idx="65">
                  <c:v>1.5279132799234287E-5</c:v>
                </c:pt>
                <c:pt idx="66">
                  <c:v>1.4161756871795918E-5</c:v>
                </c:pt>
                <c:pt idx="67">
                  <c:v>1.3129253752428535E-5</c:v>
                </c:pt>
                <c:pt idx="68">
                  <c:v>1.2175027371907075E-5</c:v>
                </c:pt>
                <c:pt idx="69">
                  <c:v>1.1292993955158678E-5</c:v>
                </c:pt>
                <c:pt idx="70">
                  <c:v>1.0477544007298444E-5</c:v>
                </c:pt>
                <c:pt idx="71">
                  <c:v>9.7235066947735004E-6</c:v>
                </c:pt>
                <c:pt idx="72">
                  <c:v>9.0261165579887954E-6</c:v>
                </c:pt>
                <c:pt idx="73">
                  <c:v>8.3809824734077584E-6</c:v>
                </c:pt>
                <c:pt idx="74">
                  <c:v>7.7840587703052036E-6</c:v>
                </c:pt>
                <c:pt idx="75">
                  <c:v>7.231618398965435E-6</c:v>
                </c:pt>
                <c:pt idx="76">
                  <c:v>6.720228042230068E-6</c:v>
                </c:pt>
                <c:pt idx="77">
                  <c:v>6.2467250601486108E-6</c:v>
                </c:pt>
                <c:pt idx="78">
                  <c:v>5.808196157445752E-6</c:v>
                </c:pt>
                <c:pt idx="79">
                  <c:v>5.4019576650934669E-6</c:v>
                </c:pt>
                <c:pt idx="80">
                  <c:v>5.0255373300499293E-6</c:v>
                </c:pt>
                <c:pt idx="81">
                  <c:v>4.6766575108782849E-6</c:v>
                </c:pt>
                <c:pt idx="82">
                  <c:v>4.353219681220153E-6</c:v>
                </c:pt>
                <c:pt idx="83">
                  <c:v>4.0532901477642445E-6</c:v>
                </c:pt>
                <c:pt idx="84">
                  <c:v>3.7750868942553205E-6</c:v>
                </c:pt>
                <c:pt idx="85">
                  <c:v>3.5169674681015454E-6</c:v>
                </c:pt>
                <c:pt idx="86">
                  <c:v>3.2774178311631891E-6</c:v>
                </c:pt>
                <c:pt idx="87">
                  <c:v>3.055042101262815E-6</c:v>
                </c:pt>
                <c:pt idx="88">
                  <c:v>2.8485531157929296E-6</c:v>
                </c:pt>
                <c:pt idx="89">
                  <c:v>2.6567637534680626E-6</c:v>
                </c:pt>
                <c:pt idx="90">
                  <c:v>2.4785789547465757E-6</c:v>
                </c:pt>
                <c:pt idx="91">
                  <c:v>2.312988385713833E-6</c:v>
                </c:pt>
                <c:pt idx="92">
                  <c:v>2.1590596942601191E-6</c:v>
                </c:pt>
                <c:pt idx="93">
                  <c:v>2.0159323112004822E-6</c:v>
                </c:pt>
                <c:pt idx="94">
                  <c:v>1.8828117525665469E-6</c:v>
                </c:pt>
                <c:pt idx="95">
                  <c:v>1.7589643826567603E-6</c:v>
                </c:pt>
                <c:pt idx="96">
                  <c:v>1.6437126005660852E-6</c:v>
                </c:pt>
                <c:pt idx="97">
                  <c:v>1.536430415836587E-6</c:v>
                </c:pt>
                <c:pt idx="98">
                  <c:v>1.4365393815856654E-6</c:v>
                </c:pt>
                <c:pt idx="99">
                  <c:v>1.3435048559878182E-6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8F4-486B-8EFB-7E88CE643AC6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  <c:pt idx="0">
                  <c:v>6.0389758734243109E-54</c:v>
                </c:pt>
                <c:pt idx="1">
                  <c:v>6.8214657473891335E-34</c:v>
                </c:pt>
                <c:pt idx="2">
                  <c:v>1.3992019368809611E-24</c:v>
                </c:pt>
                <c:pt idx="3">
                  <c:v>4.6810124045648605E-19</c:v>
                </c:pt>
                <c:pt idx="4">
                  <c:v>2.170910568753918E-15</c:v>
                </c:pt>
                <c:pt idx="5">
                  <c:v>8.5293020317742217E-13</c:v>
                </c:pt>
                <c:pt idx="6">
                  <c:v>6.9625319670206989E-11</c:v>
                </c:pt>
                <c:pt idx="7">
                  <c:v>1.9515366850826507E-9</c:v>
                </c:pt>
                <c:pt idx="8">
                  <c:v>2.5617514447175198E-8</c:v>
                </c:pt>
                <c:pt idx="9">
                  <c:v>2.0669711582623504E-7</c:v>
                </c:pt>
                <c:pt idx="10">
                  <c:v>1.5172240438480315E-6</c:v>
                </c:pt>
                <c:pt idx="11">
                  <c:v>1.0121838208552086E-5</c:v>
                </c:pt>
                <c:pt idx="12">
                  <c:v>4.2251046782480151E-5</c:v>
                </c:pt>
                <c:pt idx="13">
                  <c:v>1.0070703119400889E-4</c:v>
                </c:pt>
                <c:pt idx="14">
                  <c:v>1.4820729565339489E-4</c:v>
                </c:pt>
                <c:pt idx="15">
                  <c:v>1.5316851203496501E-4</c:v>
                </c:pt>
                <c:pt idx="16">
                  <c:v>1.3154032540511117E-4</c:v>
                </c:pt>
                <c:pt idx="17">
                  <c:v>1.1267468546046863E-4</c:v>
                </c:pt>
                <c:pt idx="18">
                  <c:v>1.0527326550157596E-4</c:v>
                </c:pt>
                <c:pt idx="19">
                  <c:v>1.0333731452643353E-4</c:v>
                </c:pt>
                <c:pt idx="20">
                  <c:v>1.0102102408359634E-4</c:v>
                </c:pt>
                <c:pt idx="21">
                  <c:v>9.8764447295378232E-5</c:v>
                </c:pt>
                <c:pt idx="22">
                  <c:v>1.0550976599323738E-4</c:v>
                </c:pt>
                <c:pt idx="23">
                  <c:v>1.4087785388452E-4</c:v>
                </c:pt>
                <c:pt idx="24">
                  <c:v>2.3303405204645381E-4</c:v>
                </c:pt>
                <c:pt idx="25">
                  <c:v>4.0595615431023762E-4</c:v>
                </c:pt>
                <c:pt idx="26">
                  <c:v>6.5864502467141261E-4</c:v>
                </c:pt>
                <c:pt idx="27">
                  <c:v>9.5122643307591194E-4</c:v>
                </c:pt>
                <c:pt idx="28">
                  <c:v>1.213288802302576E-3</c:v>
                </c:pt>
                <c:pt idx="29">
                  <c:v>1.3735252163237953E-3</c:v>
                </c:pt>
                <c:pt idx="30">
                  <c:v>1.3919710703643746E-3</c:v>
                </c:pt>
                <c:pt idx="31">
                  <c:v>1.2744755526673574E-3</c:v>
                </c:pt>
                <c:pt idx="32">
                  <c:v>1.063544907995348E-3</c:v>
                </c:pt>
                <c:pt idx="33">
                  <c:v>8.1549588518158901E-4</c:v>
                </c:pt>
                <c:pt idx="34">
                  <c:v>5.7880319026513245E-4</c:v>
                </c:pt>
                <c:pt idx="35">
                  <c:v>3.8281072655371365E-4</c:v>
                </c:pt>
                <c:pt idx="36">
                  <c:v>2.3736123545441761E-4</c:v>
                </c:pt>
                <c:pt idx="37">
                  <c:v>1.3873816293577624E-4</c:v>
                </c:pt>
                <c:pt idx="38">
                  <c:v>7.6828568134506905E-5</c:v>
                </c:pt>
                <c:pt idx="39">
                  <c:v>4.0494572890754261E-5</c:v>
                </c:pt>
                <c:pt idx="40">
                  <c:v>2.0402768028140284E-5</c:v>
                </c:pt>
                <c:pt idx="41">
                  <c:v>9.8668994986077173E-6</c:v>
                </c:pt>
                <c:pt idx="42">
                  <c:v>4.5985905465639695E-6</c:v>
                </c:pt>
                <c:pt idx="43">
                  <c:v>2.0741295535630894E-6</c:v>
                </c:pt>
                <c:pt idx="44">
                  <c:v>9.0955151390540699E-7</c:v>
                </c:pt>
                <c:pt idx="45">
                  <c:v>3.8996181434251889E-7</c:v>
                </c:pt>
                <c:pt idx="46">
                  <c:v>1.6465263991350574E-7</c:v>
                </c:pt>
                <c:pt idx="47">
                  <c:v>6.9145780654749452E-8</c:v>
                </c:pt>
                <c:pt idx="48">
                  <c:v>2.9275202353913153E-8</c:v>
                </c:pt>
                <c:pt idx="49">
                  <c:v>1.2716512765551247E-8</c:v>
                </c:pt>
                <c:pt idx="50">
                  <c:v>5.7791650222432916E-9</c:v>
                </c:pt>
                <c:pt idx="51">
                  <c:v>2.7938312843347961E-9</c:v>
                </c:pt>
                <c:pt idx="52">
                  <c:v>1.4472701586510789E-9</c:v>
                </c:pt>
                <c:pt idx="53">
                  <c:v>7.9961604349803319E-10</c:v>
                </c:pt>
                <c:pt idx="54">
                  <c:v>4.6502084293952164E-10</c:v>
                </c:pt>
                <c:pt idx="55">
                  <c:v>2.8032726011020382E-10</c:v>
                </c:pt>
                <c:pt idx="56">
                  <c:v>1.7291761774174177E-10</c:v>
                </c:pt>
                <c:pt idx="57">
                  <c:v>1.0815152254148026E-10</c:v>
                </c:pt>
                <c:pt idx="58">
                  <c:v>6.8194482956314429E-11</c:v>
                </c:pt>
                <c:pt idx="59">
                  <c:v>4.3204339890135882E-11</c:v>
                </c:pt>
                <c:pt idx="60">
                  <c:v>2.7450829269960025E-11</c:v>
                </c:pt>
                <c:pt idx="61">
                  <c:v>1.7474442191772905E-11</c:v>
                </c:pt>
                <c:pt idx="62">
                  <c:v>1.1139215944790723E-11</c:v>
                </c:pt>
                <c:pt idx="63">
                  <c:v>7.1090095299165979E-12</c:v>
                </c:pt>
                <c:pt idx="64">
                  <c:v>4.5417954370071717E-12</c:v>
                </c:pt>
                <c:pt idx="65">
                  <c:v>2.9047049017050514E-12</c:v>
                </c:pt>
                <c:pt idx="66">
                  <c:v>1.8596858286239321E-12</c:v>
                </c:pt>
                <c:pt idx="67">
                  <c:v>1.1919395224974584E-12</c:v>
                </c:pt>
                <c:pt idx="68">
                  <c:v>7.6482564319717607E-13</c:v>
                </c:pt>
                <c:pt idx="69">
                  <c:v>4.9133892620636082E-13</c:v>
                </c:pt>
                <c:pt idx="70">
                  <c:v>3.1602886731677334E-13</c:v>
                </c:pt>
                <c:pt idx="71">
                  <c:v>2.035234636450336E-13</c:v>
                </c:pt>
                <c:pt idx="72">
                  <c:v>1.3123765228795639E-13</c:v>
                </c:pt>
                <c:pt idx="73">
                  <c:v>8.473669236032348E-14</c:v>
                </c:pt>
                <c:pt idx="74">
                  <c:v>5.4785457799137967E-14</c:v>
                </c:pt>
                <c:pt idx="75">
                  <c:v>3.5469112158450944E-14</c:v>
                </c:pt>
                <c:pt idx="76">
                  <c:v>2.2995137313711082E-14</c:v>
                </c:pt>
                <c:pt idx="77">
                  <c:v>1.4929002793894424E-14</c:v>
                </c:pt>
                <c:pt idx="78">
                  <c:v>9.7060428372934038E-15</c:v>
                </c:pt>
                <c:pt idx="79">
                  <c:v>6.319414943999919E-15</c:v>
                </c:pt>
                <c:pt idx="80">
                  <c:v>4.1204122008366957E-15</c:v>
                </c:pt>
                <c:pt idx="81">
                  <c:v>2.6905353381162737E-15</c:v>
                </c:pt>
                <c:pt idx="82">
                  <c:v>1.7594438899578769E-15</c:v>
                </c:pt>
                <c:pt idx="83">
                  <c:v>1.1522710113230167E-15</c:v>
                </c:pt>
                <c:pt idx="84">
                  <c:v>7.5575245895190328E-16</c:v>
                </c:pt>
                <c:pt idx="85">
                  <c:v>4.9642415158829386E-16</c:v>
                </c:pt>
                <c:pt idx="86">
                  <c:v>3.2657039888237394E-16</c:v>
                </c:pt>
                <c:pt idx="87">
                  <c:v>2.1515578501672013E-16</c:v>
                </c:pt>
                <c:pt idx="88">
                  <c:v>1.4196550113406675E-16</c:v>
                </c:pt>
                <c:pt idx="89">
                  <c:v>9.3813875753849035E-17</c:v>
                </c:pt>
                <c:pt idx="90">
                  <c:v>6.2087806809833029E-17</c:v>
                </c:pt>
                <c:pt idx="91">
                  <c:v>4.1152925575859337E-17</c:v>
                </c:pt>
                <c:pt idx="92">
                  <c:v>2.7318076778880079E-17</c:v>
                </c:pt>
                <c:pt idx="93">
                  <c:v>1.8161599763689256E-17</c:v>
                </c:pt>
                <c:pt idx="94">
                  <c:v>1.2092384366304853E-17</c:v>
                </c:pt>
                <c:pt idx="95">
                  <c:v>8.0634832346001898E-18</c:v>
                </c:pt>
                <c:pt idx="96">
                  <c:v>5.384992952284701E-18</c:v>
                </c:pt>
                <c:pt idx="97">
                  <c:v>3.6016200045946006E-18</c:v>
                </c:pt>
                <c:pt idx="98">
                  <c:v>2.4124556130790972E-18</c:v>
                </c:pt>
                <c:pt idx="99">
                  <c:v>1.6183321905128157E-18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8F4-486B-8EFB-7E88CE643AC6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  <c:pt idx="0">
                  <c:v>1.0424279563861188E-30</c:v>
                </c:pt>
                <c:pt idx="1">
                  <c:v>2.3601264030581009E-20</c:v>
                </c:pt>
                <c:pt idx="2">
                  <c:v>1.2685228568344872E-15</c:v>
                </c:pt>
                <c:pt idx="3">
                  <c:v>7.3379297108326128E-13</c:v>
                </c:pt>
                <c:pt idx="4">
                  <c:v>4.6625797406677224E-11</c:v>
                </c:pt>
                <c:pt idx="5">
                  <c:v>8.3488588652624746E-10</c:v>
                </c:pt>
                <c:pt idx="6">
                  <c:v>6.7069757657536066E-9</c:v>
                </c:pt>
                <c:pt idx="7">
                  <c:v>3.1330036576486033E-8</c:v>
                </c:pt>
                <c:pt idx="8">
                  <c:v>9.9603005593533681E-8</c:v>
                </c:pt>
                <c:pt idx="9">
                  <c:v>2.3854739613385742E-7</c:v>
                </c:pt>
                <c:pt idx="10">
                  <c:v>4.6102594014577128E-7</c:v>
                </c:pt>
                <c:pt idx="11">
                  <c:v>7.5459113275576193E-7</c:v>
                </c:pt>
                <c:pt idx="12">
                  <c:v>1.0833473880691607E-6</c:v>
                </c:pt>
                <c:pt idx="13">
                  <c:v>1.4006904016597584E-6</c:v>
                </c:pt>
                <c:pt idx="14">
                  <c:v>1.6656420954811009E-6</c:v>
                </c:pt>
                <c:pt idx="15">
                  <c:v>1.857174497816156E-6</c:v>
                </c:pt>
                <c:pt idx="16">
                  <c:v>1.9846514496690326E-6</c:v>
                </c:pt>
                <c:pt idx="17">
                  <c:v>2.0935376959106405E-6</c:v>
                </c:pt>
                <c:pt idx="18">
                  <c:v>2.2634953191541707E-6</c:v>
                </c:pt>
                <c:pt idx="19">
                  <c:v>2.5947757199103044E-6</c:v>
                </c:pt>
                <c:pt idx="20">
                  <c:v>3.1821147847621652E-6</c:v>
                </c:pt>
                <c:pt idx="21">
                  <c:v>4.082349315859847E-6</c:v>
                </c:pt>
                <c:pt idx="22">
                  <c:v>5.2876785466433225E-6</c:v>
                </c:pt>
                <c:pt idx="23">
                  <c:v>6.7161831359711297E-6</c:v>
                </c:pt>
                <c:pt idx="24">
                  <c:v>8.2245174520228614E-6</c:v>
                </c:pt>
                <c:pt idx="25">
                  <c:v>9.6385694366851336E-6</c:v>
                </c:pt>
                <c:pt idx="26">
                  <c:v>1.0791331559160004E-5</c:v>
                </c:pt>
                <c:pt idx="27">
                  <c:v>1.1555985785434512E-5</c:v>
                </c:pt>
                <c:pt idx="28">
                  <c:v>1.1865752908021638E-5</c:v>
                </c:pt>
                <c:pt idx="29">
                  <c:v>1.1717795940520795E-5</c:v>
                </c:pt>
                <c:pt idx="30">
                  <c:v>1.1163630095393943E-5</c:v>
                </c:pt>
                <c:pt idx="31">
                  <c:v>1.0291435035530823E-5</c:v>
                </c:pt>
                <c:pt idx="32">
                  <c:v>9.2061446392534006E-6</c:v>
                </c:pt>
                <c:pt idx="33">
                  <c:v>8.011914235992092E-6</c:v>
                </c:pt>
                <c:pt idx="34">
                  <c:v>6.7995497522150582E-6</c:v>
                </c:pt>
                <c:pt idx="35">
                  <c:v>5.6395665087253679E-6</c:v>
                </c:pt>
                <c:pt idx="36">
                  <c:v>4.5801907045162106E-6</c:v>
                </c:pt>
                <c:pt idx="37">
                  <c:v>3.6489332117351562E-6</c:v>
                </c:pt>
                <c:pt idx="38">
                  <c:v>2.8562363943176098E-6</c:v>
                </c:pt>
                <c:pt idx="39">
                  <c:v>2.1999145509337153E-6</c:v>
                </c:pt>
                <c:pt idx="40">
                  <c:v>1.6694796967951576E-6</c:v>
                </c:pt>
                <c:pt idx="41">
                  <c:v>1.2498242991792502E-6</c:v>
                </c:pt>
                <c:pt idx="42">
                  <c:v>9.2404262124591027E-7</c:v>
                </c:pt>
                <c:pt idx="43">
                  <c:v>6.7538534611207402E-7</c:v>
                </c:pt>
                <c:pt idx="44">
                  <c:v>4.8846350566914261E-7</c:v>
                </c:pt>
                <c:pt idx="45">
                  <c:v>3.4986816301289142E-7</c:v>
                </c:pt>
                <c:pt idx="46">
                  <c:v>2.4837597175046643E-7</c:v>
                </c:pt>
                <c:pt idx="47">
                  <c:v>1.7488870010866291E-7</c:v>
                </c:pt>
                <c:pt idx="48">
                  <c:v>1.2222244506081024E-7</c:v>
                </c:pt>
                <c:pt idx="49">
                  <c:v>8.4829246357849123E-8</c:v>
                </c:pt>
                <c:pt idx="50">
                  <c:v>5.8505224126875059E-8</c:v>
                </c:pt>
                <c:pt idx="51">
                  <c:v>4.0117117351822396E-8</c:v>
                </c:pt>
                <c:pt idx="52">
                  <c:v>2.7363208666712949E-8</c:v>
                </c:pt>
                <c:pt idx="53">
                  <c:v>1.8574156238066741E-8</c:v>
                </c:pt>
                <c:pt idx="54">
                  <c:v>1.2552969648697984E-8</c:v>
                </c:pt>
                <c:pt idx="55">
                  <c:v>8.4500507683320992E-9</c:v>
                </c:pt>
                <c:pt idx="56">
                  <c:v>5.667857093682436E-9</c:v>
                </c:pt>
                <c:pt idx="57">
                  <c:v>3.7895629050114712E-9</c:v>
                </c:pt>
                <c:pt idx="58">
                  <c:v>2.5265509806564559E-9</c:v>
                </c:pt>
                <c:pt idx="59">
                  <c:v>1.6803100919667184E-9</c:v>
                </c:pt>
                <c:pt idx="60">
                  <c:v>1.1151264679772223E-9</c:v>
                </c:pt>
                <c:pt idx="61">
                  <c:v>7.3872329582802889E-10</c:v>
                </c:pt>
                <c:pt idx="62">
                  <c:v>4.8866645410347462E-10</c:v>
                </c:pt>
                <c:pt idx="63">
                  <c:v>3.2290035635093765E-10</c:v>
                </c:pt>
                <c:pt idx="64">
                  <c:v>2.1320917795674715E-10</c:v>
                </c:pt>
                <c:pt idx="65">
                  <c:v>1.4072993375778636E-10</c:v>
                </c:pt>
                <c:pt idx="66">
                  <c:v>9.2892300757434486E-11</c:v>
                </c:pt>
                <c:pt idx="67">
                  <c:v>6.1342921959224738E-11</c:v>
                </c:pt>
                <c:pt idx="68">
                  <c:v>4.0544383873707493E-11</c:v>
                </c:pt>
                <c:pt idx="69">
                  <c:v>2.6833734959300165E-11</c:v>
                </c:pt>
                <c:pt idx="70">
                  <c:v>1.779230453150992E-11</c:v>
                </c:pt>
                <c:pt idx="71">
                  <c:v>1.1825372486877408E-11</c:v>
                </c:pt>
                <c:pt idx="72">
                  <c:v>7.8826840482133444E-12</c:v>
                </c:pt>
                <c:pt idx="73">
                  <c:v>5.2731265189177024E-12</c:v>
                </c:pt>
                <c:pt idx="74">
                  <c:v>3.5421394737004692E-12</c:v>
                </c:pt>
                <c:pt idx="75">
                  <c:v>2.3907910352231453E-12</c:v>
                </c:pt>
                <c:pt idx="76">
                  <c:v>1.6224526619173041E-12</c:v>
                </c:pt>
                <c:pt idx="77">
                  <c:v>1.1077110952036311E-12</c:v>
                </c:pt>
                <c:pt idx="78">
                  <c:v>7.6130679555820145E-13</c:v>
                </c:pt>
                <c:pt idx="79">
                  <c:v>5.2698948183875808E-13</c:v>
                </c:pt>
                <c:pt idx="80">
                  <c:v>3.675780766432335E-13</c:v>
                </c:pt>
                <c:pt idx="81">
                  <c:v>2.5843794840517875E-13</c:v>
                </c:pt>
                <c:pt idx="82">
                  <c:v>1.8320012166772854E-13</c:v>
                </c:pt>
                <c:pt idx="83">
                  <c:v>1.3095056742627576E-13</c:v>
                </c:pt>
                <c:pt idx="84">
                  <c:v>9.4383210517234008E-14</c:v>
                </c:pt>
                <c:pt idx="85">
                  <c:v>6.858475447321861E-14</c:v>
                </c:pt>
                <c:pt idx="86">
                  <c:v>5.0233896839831856E-14</c:v>
                </c:pt>
                <c:pt idx="87">
                  <c:v>3.7072535151878101E-14</c:v>
                </c:pt>
                <c:pt idx="88">
                  <c:v>2.7555697178433606E-14</c:v>
                </c:pt>
                <c:pt idx="89">
                  <c:v>2.0619087600421935E-14</c:v>
                </c:pt>
                <c:pt idx="90">
                  <c:v>1.552418589799187E-14</c:v>
                </c:pt>
                <c:pt idx="91">
                  <c:v>1.1754599520098173E-14</c:v>
                </c:pt>
                <c:pt idx="92">
                  <c:v>8.94638926790599E-15</c:v>
                </c:pt>
                <c:pt idx="93">
                  <c:v>6.8409870382843811E-15</c:v>
                </c:pt>
                <c:pt idx="94">
                  <c:v>5.2531962757811728E-15</c:v>
                </c:pt>
                <c:pt idx="95">
                  <c:v>4.0493061670322905E-15</c:v>
                </c:pt>
                <c:pt idx="96">
                  <c:v>3.1320213320656517E-15</c:v>
                </c:pt>
                <c:pt idx="97">
                  <c:v>2.4300097153231248E-15</c:v>
                </c:pt>
                <c:pt idx="98">
                  <c:v>1.8905987012391579E-15</c:v>
                </c:pt>
                <c:pt idx="99">
                  <c:v>1.474631406121972E-15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8F4-486B-8EFB-7E88CE643AC6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  <c:pt idx="0">
                  <c:v>1.2316947522682982E-11</c:v>
                </c:pt>
                <c:pt idx="1">
                  <c:v>4.0544830131688949E-8</c:v>
                </c:pt>
                <c:pt idx="2">
                  <c:v>2.6494912482898265E-6</c:v>
                </c:pt>
                <c:pt idx="3">
                  <c:v>2.6674007953301499E-5</c:v>
                </c:pt>
                <c:pt idx="4">
                  <c:v>1.036875947553867E-4</c:v>
                </c:pt>
                <c:pt idx="5">
                  <c:v>2.359200476224044E-4</c:v>
                </c:pt>
                <c:pt idx="6">
                  <c:v>3.8735138789706194E-4</c:v>
                </c:pt>
                <c:pt idx="7">
                  <c:v>5.1606484841336744E-4</c:v>
                </c:pt>
                <c:pt idx="8">
                  <c:v>5.9942135533456987E-4</c:v>
                </c:pt>
                <c:pt idx="9">
                  <c:v>6.36343585770624E-4</c:v>
                </c:pt>
                <c:pt idx="10">
                  <c:v>6.3873391345589008E-4</c:v>
                </c:pt>
                <c:pt idx="11">
                  <c:v>6.2656950443858769E-4</c:v>
                </c:pt>
                <c:pt idx="12">
                  <c:v>6.2760051747000659E-4</c:v>
                </c:pt>
                <c:pt idx="13">
                  <c:v>6.5227459148820932E-4</c:v>
                </c:pt>
                <c:pt idx="14">
                  <c:v>6.6745332131457242E-4</c:v>
                </c:pt>
                <c:pt idx="15">
                  <c:v>6.4323418227860368E-4</c:v>
                </c:pt>
                <c:pt idx="16">
                  <c:v>5.9580756655975805E-4</c:v>
                </c:pt>
                <c:pt idx="17">
                  <c:v>5.5408826363376423E-4</c:v>
                </c:pt>
                <c:pt idx="18">
                  <c:v>5.2613823929380081E-4</c:v>
                </c:pt>
                <c:pt idx="19">
                  <c:v>5.0536143605910318E-4</c:v>
                </c:pt>
                <c:pt idx="20">
                  <c:v>4.8544476016468659E-4</c:v>
                </c:pt>
                <c:pt idx="21">
                  <c:v>4.6648804621874295E-4</c:v>
                </c:pt>
                <c:pt idx="22">
                  <c:v>4.5718037287399596E-4</c:v>
                </c:pt>
                <c:pt idx="23">
                  <c:v>4.7693676273645919E-4</c:v>
                </c:pt>
                <c:pt idx="24">
                  <c:v>5.5374307567949608E-4</c:v>
                </c:pt>
                <c:pt idx="25">
                  <c:v>7.114245755579019E-4</c:v>
                </c:pt>
                <c:pt idx="26">
                  <c:v>9.4887030983620637E-4</c:v>
                </c:pt>
                <c:pt idx="27">
                  <c:v>1.2261501557700042E-3</c:v>
                </c:pt>
                <c:pt idx="28">
                  <c:v>1.4728600330575926E-3</c:v>
                </c:pt>
                <c:pt idx="29">
                  <c:v>1.6177598388565125E-3</c:v>
                </c:pt>
                <c:pt idx="30">
                  <c:v>1.6209968493149745E-3</c:v>
                </c:pt>
                <c:pt idx="31">
                  <c:v>1.4885572271056211E-3</c:v>
                </c:pt>
                <c:pt idx="32">
                  <c:v>1.263088701304319E-3</c:v>
                </c:pt>
                <c:pt idx="33">
                  <c:v>1.0010368453409536E-3</c:v>
                </c:pt>
                <c:pt idx="34">
                  <c:v>7.5098093915756644E-4</c:v>
                </c:pt>
                <c:pt idx="35">
                  <c:v>5.423395702429107E-4</c:v>
                </c:pt>
                <c:pt idx="36">
                  <c:v>3.8499970173217765E-4</c:v>
                </c:pt>
                <c:pt idx="37">
                  <c:v>2.7526153385975133E-4</c:v>
                </c:pt>
                <c:pt idx="38">
                  <c:v>2.0300639813725259E-4</c:v>
                </c:pt>
                <c:pt idx="39">
                  <c:v>1.570738607324168E-4</c:v>
                </c:pt>
                <c:pt idx="40">
                  <c:v>1.280965231995124E-4</c:v>
                </c:pt>
                <c:pt idx="41">
                  <c:v>1.0934731119724248E-4</c:v>
                </c:pt>
                <c:pt idx="42">
                  <c:v>9.6493794361541741E-5</c:v>
                </c:pt>
                <c:pt idx="43">
                  <c:v>8.6967572461009365E-5</c:v>
                </c:pt>
                <c:pt idx="44">
                  <c:v>7.9341085331528042E-5</c:v>
                </c:pt>
                <c:pt idx="45">
                  <c:v>7.2857976188606048E-5</c:v>
                </c:pt>
                <c:pt idx="46">
                  <c:v>6.7128743078672689E-5</c:v>
                </c:pt>
                <c:pt idx="47">
                  <c:v>6.1952973824597573E-5</c:v>
                </c:pt>
                <c:pt idx="48">
                  <c:v>5.7223405865913263E-5</c:v>
                </c:pt>
                <c:pt idx="49">
                  <c:v>5.2877311810818392E-5</c:v>
                </c:pt>
                <c:pt idx="50">
                  <c:v>4.8873090277608967E-5</c:v>
                </c:pt>
                <c:pt idx="51">
                  <c:v>4.5179434635929714E-5</c:v>
                </c:pt>
                <c:pt idx="52">
                  <c:v>4.1770455040420961E-5</c:v>
                </c:pt>
                <c:pt idx="53">
                  <c:v>3.8623500190738078E-5</c:v>
                </c:pt>
                <c:pt idx="54">
                  <c:v>3.5718163997010327E-5</c:v>
                </c:pt>
                <c:pt idx="55">
                  <c:v>3.3035801912918852E-5</c:v>
                </c:pt>
                <c:pt idx="56">
                  <c:v>3.0559266066653705E-5</c:v>
                </c:pt>
                <c:pt idx="57">
                  <c:v>2.8272736780780849E-5</c:v>
                </c:pt>
                <c:pt idx="58">
                  <c:v>2.6161599387321493E-5</c:v>
                </c:pt>
                <c:pt idx="59">
                  <c:v>2.421234470489191E-5</c:v>
                </c:pt>
                <c:pt idx="60">
                  <c:v>2.2412483592787537E-5</c:v>
                </c:pt>
                <c:pt idx="61">
                  <c:v>2.0750470983403705E-5</c:v>
                </c:pt>
                <c:pt idx="62">
                  <c:v>1.9215636950752787E-5</c:v>
                </c:pt>
                <c:pt idx="63">
                  <c:v>1.7798123383030536E-5</c:v>
                </c:pt>
                <c:pt idx="64">
                  <c:v>1.6488825351803444E-5</c:v>
                </c:pt>
                <c:pt idx="65">
                  <c:v>1.5279336570469669E-5</c:v>
                </c:pt>
                <c:pt idx="66">
                  <c:v>1.4161898517960392E-5</c:v>
                </c:pt>
                <c:pt idx="67">
                  <c:v>1.3129352919071424E-5</c:v>
                </c:pt>
                <c:pt idx="68">
                  <c:v>1.217509734569789E-5</c:v>
                </c:pt>
                <c:pt idx="69">
                  <c:v>1.1293043748581835E-5</c:v>
                </c:pt>
                <c:pt idx="70">
                  <c:v>1.0477579756681292E-5</c:v>
                </c:pt>
                <c:pt idx="71">
                  <c:v>9.7235325974616166E-6</c:v>
                </c:pt>
                <c:pt idx="72">
                  <c:v>9.0261355007347607E-6</c:v>
                </c:pt>
                <c:pt idx="73">
                  <c:v>8.3809964540909027E-6</c:v>
                </c:pt>
                <c:pt idx="74">
                  <c:v>7.7840691814020184E-6</c:v>
                </c:pt>
                <c:pt idx="75">
                  <c:v>7.2316262185329815E-6</c:v>
                </c:pt>
                <c:pt idx="76">
                  <c:v>6.7202339629737006E-6</c:v>
                </c:pt>
                <c:pt idx="77">
                  <c:v>6.2467295769839147E-6</c:v>
                </c:pt>
                <c:pt idx="78">
                  <c:v>5.8081996271796694E-6</c:v>
                </c:pt>
                <c:pt idx="79">
                  <c:v>5.4019603473249815E-6</c:v>
                </c:pt>
                <c:pt idx="80">
                  <c:v>5.025539415375615E-6</c:v>
                </c:pt>
                <c:pt idx="81">
                  <c:v>4.6766591404792369E-6</c:v>
                </c:pt>
                <c:pt idx="82">
                  <c:v>4.3532209605680151E-6</c:v>
                </c:pt>
                <c:pt idx="83">
                  <c:v>4.0532911562908164E-6</c:v>
                </c:pt>
                <c:pt idx="84">
                  <c:v>3.7750876922334244E-6</c:v>
                </c:pt>
                <c:pt idx="85">
                  <c:v>3.5169681015850861E-6</c:v>
                </c:pt>
                <c:pt idx="86">
                  <c:v>3.2774183355658577E-6</c:v>
                </c:pt>
                <c:pt idx="87">
                  <c:v>3.0550425039738957E-6</c:v>
                </c:pt>
                <c:pt idx="88">
                  <c:v>2.8485534381060972E-6</c:v>
                </c:pt>
                <c:pt idx="89">
                  <c:v>2.6567640120156363E-6</c:v>
                </c:pt>
                <c:pt idx="90">
                  <c:v>2.4785791625745953E-6</c:v>
                </c:pt>
                <c:pt idx="91">
                  <c:v>2.3129885530939639E-6</c:v>
                </c:pt>
                <c:pt idx="92">
                  <c:v>2.1590598293070771E-6</c:v>
                </c:pt>
                <c:pt idx="93">
                  <c:v>2.0159324203445577E-6</c:v>
                </c:pt>
                <c:pt idx="94">
                  <c:v>1.8828118409173333E-6</c:v>
                </c:pt>
                <c:pt idx="95">
                  <c:v>1.7589644542846111E-6</c:v>
                </c:pt>
                <c:pt idx="96">
                  <c:v>1.6437126587209366E-6</c:v>
                </c:pt>
                <c:pt idx="97">
                  <c:v>1.5364304631188081E-6</c:v>
                </c:pt>
                <c:pt idx="98">
                  <c:v>1.4365394200799652E-6</c:v>
                </c:pt>
                <c:pt idx="99">
                  <c:v>1.3435048873685552E-6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8F4-486B-8EFB-7E88CE643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  <c:pt idx="0">
                  <c:v>8.7950924493197219E-12</c:v>
                </c:pt>
                <c:pt idx="1">
                  <c:v>4.540363888058468E-7</c:v>
                </c:pt>
                <c:pt idx="2">
                  <c:v>3.8940946614480246E-5</c:v>
                </c:pt>
                <c:pt idx="3">
                  <c:v>3.8557952915077982E-4</c:v>
                </c:pt>
                <c:pt idx="4">
                  <c:v>1.3798670965568442E-3</c:v>
                </c:pt>
                <c:pt idx="5">
                  <c:v>2.8077719341195115E-3</c:v>
                </c:pt>
                <c:pt idx="6">
                  <c:v>4.044928679774862E-3</c:v>
                </c:pt>
                <c:pt idx="7">
                  <c:v>4.651416320904809E-3</c:v>
                </c:pt>
                <c:pt idx="8">
                  <c:v>4.5856557403647262E-3</c:v>
                </c:pt>
                <c:pt idx="9">
                  <c:v>4.0550792792527117E-3</c:v>
                </c:pt>
                <c:pt idx="10">
                  <c:v>3.314471116910096E-3</c:v>
                </c:pt>
                <c:pt idx="11">
                  <c:v>2.5563742358980851E-3</c:v>
                </c:pt>
                <c:pt idx="12">
                  <c:v>1.8879965889159846E-3</c:v>
                </c:pt>
                <c:pt idx="13">
                  <c:v>1.3495152024589196E-3</c:v>
                </c:pt>
                <c:pt idx="14">
                  <c:v>9.4100661855057359E-4</c:v>
                </c:pt>
                <c:pt idx="15">
                  <c:v>6.4393454615384359E-4</c:v>
                </c:pt>
                <c:pt idx="16">
                  <c:v>4.3442329132601791E-4</c:v>
                </c:pt>
                <c:pt idx="17">
                  <c:v>2.8996687978201244E-4</c:v>
                </c:pt>
                <c:pt idx="18">
                  <c:v>1.9202398622188743E-4</c:v>
                </c:pt>
                <c:pt idx="19">
                  <c:v>1.2644137620639403E-4</c:v>
                </c:pt>
                <c:pt idx="20">
                  <c:v>8.2929707208804625E-5</c:v>
                </c:pt>
                <c:pt idx="21">
                  <c:v>5.4253508116559614E-5</c:v>
                </c:pt>
                <c:pt idx="22">
                  <c:v>3.5443241470865648E-5</c:v>
                </c:pt>
                <c:pt idx="23">
                  <c:v>2.3143247230346521E-5</c:v>
                </c:pt>
                <c:pt idx="24">
                  <c:v>1.5115512015051588E-5</c:v>
                </c:pt>
                <c:pt idx="25">
                  <c:v>9.8807831586263542E-6</c:v>
                </c:pt>
                <c:pt idx="26">
                  <c:v>6.4676020871626898E-6</c:v>
                </c:pt>
                <c:pt idx="27">
                  <c:v>4.2408451975584078E-6</c:v>
                </c:pt>
                <c:pt idx="28">
                  <c:v>2.7865063713085062E-6</c:v>
                </c:pt>
                <c:pt idx="29">
                  <c:v>1.8351886651776938E-6</c:v>
                </c:pt>
                <c:pt idx="30">
                  <c:v>1.2117330202160545E-6</c:v>
                </c:pt>
                <c:pt idx="31">
                  <c:v>8.02255869504825E-7</c:v>
                </c:pt>
                <c:pt idx="32">
                  <c:v>5.3266917723446941E-7</c:v>
                </c:pt>
                <c:pt idx="33">
                  <c:v>3.5472124980711575E-7</c:v>
                </c:pt>
                <c:pt idx="34">
                  <c:v>2.3693950397348951E-7</c:v>
                </c:pt>
                <c:pt idx="35">
                  <c:v>1.5875782333822753E-7</c:v>
                </c:pt>
                <c:pt idx="36">
                  <c:v>1.0670861613306806E-7</c:v>
                </c:pt>
                <c:pt idx="37">
                  <c:v>7.1952114408309848E-8</c:v>
                </c:pt>
                <c:pt idx="38">
                  <c:v>4.8671543116353194E-8</c:v>
                </c:pt>
                <c:pt idx="39">
                  <c:v>3.3029156478504755E-8</c:v>
                </c:pt>
                <c:pt idx="40">
                  <c:v>2.248589964161211E-8</c:v>
                </c:pt>
                <c:pt idx="41">
                  <c:v>1.5357126152629593E-8</c:v>
                </c:pt>
                <c:pt idx="42">
                  <c:v>1.0521808475242736E-8</c:v>
                </c:pt>
                <c:pt idx="43">
                  <c:v>7.2317475053711894E-9</c:v>
                </c:pt>
                <c:pt idx="44">
                  <c:v>4.9860700458771043E-9</c:v>
                </c:pt>
                <c:pt idx="45">
                  <c:v>3.4484511118555458E-9</c:v>
                </c:pt>
                <c:pt idx="46">
                  <c:v>2.3923648559225413E-9</c:v>
                </c:pt>
                <c:pt idx="47">
                  <c:v>1.6647707414968991E-9</c:v>
                </c:pt>
                <c:pt idx="48">
                  <c:v>1.1619577541736034E-9</c:v>
                </c:pt>
                <c:pt idx="49">
                  <c:v>8.134290165936682E-10</c:v>
                </c:pt>
                <c:pt idx="50">
                  <c:v>5.7111873581510195E-10</c:v>
                </c:pt>
                <c:pt idx="51">
                  <c:v>4.0215565600818207E-10</c:v>
                </c:pt>
                <c:pt idx="52">
                  <c:v>2.8399211348091484E-10</c:v>
                </c:pt>
                <c:pt idx="53">
                  <c:v>2.0111561401632269E-10</c:v>
                </c:pt>
                <c:pt idx="54">
                  <c:v>1.4282218004998269E-10</c:v>
                </c:pt>
                <c:pt idx="55">
                  <c:v>1.0170417050249778E-10</c:v>
                </c:pt>
                <c:pt idx="56">
                  <c:v>7.2620287092899951E-11</c:v>
                </c:pt>
                <c:pt idx="57">
                  <c:v>5.1991954854580366E-11</c:v>
                </c:pt>
                <c:pt idx="58">
                  <c:v>3.732125849210628E-11</c:v>
                </c:pt>
                <c:pt idx="59">
                  <c:v>2.6859716718207644E-11</c:v>
                </c:pt>
                <c:pt idx="60">
                  <c:v>1.9380045500032214E-11</c:v>
                </c:pt>
                <c:pt idx="61">
                  <c:v>1.4018441480495883E-11</c:v>
                </c:pt>
                <c:pt idx="62">
                  <c:v>1.0165290374105068E-11</c:v>
                </c:pt>
                <c:pt idx="63">
                  <c:v>7.3892216584198808E-12</c:v>
                </c:pt>
                <c:pt idx="64">
                  <c:v>5.3841902120454215E-12</c:v>
                </c:pt>
                <c:pt idx="65">
                  <c:v>3.9325029141861097E-12</c:v>
                </c:pt>
                <c:pt idx="66">
                  <c:v>2.8789164852514767E-12</c:v>
                </c:pt>
                <c:pt idx="67">
                  <c:v>2.1124433291690211E-12</c:v>
                </c:pt>
                <c:pt idx="68">
                  <c:v>1.5535381729160837E-12</c:v>
                </c:pt>
                <c:pt idx="69">
                  <c:v>1.1450508525545908E-12</c:v>
                </c:pt>
                <c:pt idx="70">
                  <c:v>8.4582199372536963E-13</c:v>
                </c:pt>
                <c:pt idx="71">
                  <c:v>6.2613812544678105E-13</c:v>
                </c:pt>
                <c:pt idx="72">
                  <c:v>4.644983462977444E-13</c:v>
                </c:pt>
                <c:pt idx="73">
                  <c:v>3.4530842024493404E-13</c:v>
                </c:pt>
                <c:pt idx="74">
                  <c:v>2.5723230720799594E-13</c:v>
                </c:pt>
                <c:pt idx="75">
                  <c:v>1.9201087631433646E-13</c:v>
                </c:pt>
                <c:pt idx="76">
                  <c:v>1.4361340848186156E-13</c:v>
                </c:pt>
                <c:pt idx="77">
                  <c:v>1.0762672108801506E-13</c:v>
                </c:pt>
                <c:pt idx="78">
                  <c:v>8.0814361691368781E-14</c:v>
                </c:pt>
                <c:pt idx="79">
                  <c:v>6.0797804968326706E-14</c:v>
                </c:pt>
                <c:pt idx="80">
                  <c:v>4.5825372210721742E-14</c:v>
                </c:pt>
                <c:pt idx="81">
                  <c:v>3.4604367557600217E-14</c:v>
                </c:pt>
                <c:pt idx="82">
                  <c:v>2.6178872593759851E-14</c:v>
                </c:pt>
                <c:pt idx="83">
                  <c:v>1.9840590322330057E-14</c:v>
                </c:pt>
                <c:pt idx="84">
                  <c:v>1.5063663540617572E-14</c:v>
                </c:pt>
                <c:pt idx="85">
                  <c:v>1.1456921771463682E-14</c:v>
                </c:pt>
                <c:pt idx="86">
                  <c:v>8.7288249131857229E-15</c:v>
                </c:pt>
                <c:pt idx="87">
                  <c:v>6.6616757377661989E-15</c:v>
                </c:pt>
                <c:pt idx="88">
                  <c:v>5.0926127384274886E-15</c:v>
                </c:pt>
                <c:pt idx="89">
                  <c:v>3.899573000492552E-15</c:v>
                </c:pt>
                <c:pt idx="90">
                  <c:v>2.9909054098137747E-15</c:v>
                </c:pt>
                <c:pt idx="91">
                  <c:v>2.2976702215989466E-15</c:v>
                </c:pt>
                <c:pt idx="92">
                  <c:v>1.7679194297364296E-15</c:v>
                </c:pt>
                <c:pt idx="93">
                  <c:v>1.3624404960637066E-15</c:v>
                </c:pt>
                <c:pt idx="94">
                  <c:v>1.0515832193664757E-15</c:v>
                </c:pt>
                <c:pt idx="95">
                  <c:v>8.1288981569703968E-16</c:v>
                </c:pt>
                <c:pt idx="96">
                  <c:v>6.293217267478386E-16</c:v>
                </c:pt>
                <c:pt idx="97">
                  <c:v>4.8793056206351993E-16</c:v>
                </c:pt>
                <c:pt idx="98">
                  <c:v>3.7886019653439488E-16</c:v>
                </c:pt>
                <c:pt idx="99">
                  <c:v>2.9459622234701165E-16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214-4E8F-A540-52497317254B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  <c:pt idx="0">
                  <c:v>7.3532877572814274E-12</c:v>
                </c:pt>
                <c:pt idx="1">
                  <c:v>1.242263676245432E-8</c:v>
                </c:pt>
                <c:pt idx="2">
                  <c:v>3.9391639651623225E-7</c:v>
                </c:pt>
                <c:pt idx="3">
                  <c:v>3.0712391883692574E-6</c:v>
                </c:pt>
                <c:pt idx="4">
                  <c:v>1.0822312285331486E-5</c:v>
                </c:pt>
                <c:pt idx="5">
                  <c:v>2.6869464946176201E-5</c:v>
                </c:pt>
                <c:pt idx="6">
                  <c:v>5.7705604863249796E-5</c:v>
                </c:pt>
                <c:pt idx="7">
                  <c:v>9.9154892769356821E-5</c:v>
                </c:pt>
                <c:pt idx="8">
                  <c:v>1.4731607373421812E-4</c:v>
                </c:pt>
                <c:pt idx="9">
                  <c:v>1.9724509400858306E-4</c:v>
                </c:pt>
                <c:pt idx="10">
                  <c:v>2.4185780306432784E-4</c:v>
                </c:pt>
                <c:pt idx="11">
                  <c:v>2.737382962931095E-4</c:v>
                </c:pt>
                <c:pt idx="12">
                  <c:v>2.9891819758488938E-4</c:v>
                </c:pt>
                <c:pt idx="13">
                  <c:v>3.3540083607379697E-4</c:v>
                </c:pt>
                <c:pt idx="14">
                  <c:v>3.6464483685234937E-4</c:v>
                </c:pt>
                <c:pt idx="15">
                  <c:v>3.8543781603990734E-4</c:v>
                </c:pt>
                <c:pt idx="16">
                  <c:v>3.9653989465850083E-4</c:v>
                </c:pt>
                <c:pt idx="17">
                  <c:v>3.9394655696108841E-4</c:v>
                </c:pt>
                <c:pt idx="18">
                  <c:v>3.8680767506873173E-4</c:v>
                </c:pt>
                <c:pt idx="19">
                  <c:v>3.7563135662313784E-4</c:v>
                </c:pt>
                <c:pt idx="20">
                  <c:v>3.610952805923152E-4</c:v>
                </c:pt>
                <c:pt idx="21">
                  <c:v>3.4394265965001421E-4</c:v>
                </c:pt>
                <c:pt idx="22">
                  <c:v>3.2552188218309416E-4</c:v>
                </c:pt>
                <c:pt idx="23">
                  <c:v>3.1107319875435302E-4</c:v>
                </c:pt>
                <c:pt idx="24">
                  <c:v>2.9525636086739291E-4</c:v>
                </c:pt>
                <c:pt idx="25">
                  <c:v>2.7850655848067054E-4</c:v>
                </c:pt>
                <c:pt idx="26">
                  <c:v>2.6122501450342203E-4</c:v>
                </c:pt>
                <c:pt idx="27">
                  <c:v>2.4376505110829808E-4</c:v>
                </c:pt>
                <c:pt idx="28">
                  <c:v>2.2642575182835526E-4</c:v>
                </c:pt>
                <c:pt idx="29">
                  <c:v>2.0945098236326191E-4</c:v>
                </c:pt>
                <c:pt idx="30">
                  <c:v>1.9135200810554E-4</c:v>
                </c:pt>
                <c:pt idx="31">
                  <c:v>1.7454379541752992E-4</c:v>
                </c:pt>
                <c:pt idx="32">
                  <c:v>1.5899136590370063E-4</c:v>
                </c:pt>
                <c:pt idx="33">
                  <c:v>1.4463449058440972E-4</c:v>
                </c:pt>
                <c:pt idx="34">
                  <c:v>1.3141237839495992E-4</c:v>
                </c:pt>
                <c:pt idx="35">
                  <c:v>1.1931906473420807E-4</c:v>
                </c:pt>
                <c:pt idx="36">
                  <c:v>1.084194071044581E-4</c:v>
                </c:pt>
                <c:pt idx="37">
                  <c:v>9.843689616902914E-5</c:v>
                </c:pt>
                <c:pt idx="38">
                  <c:v>8.9307340565606387E-5</c:v>
                </c:pt>
                <c:pt idx="39">
                  <c:v>8.0969428614177967E-5</c:v>
                </c:pt>
                <c:pt idx="40">
                  <c:v>7.3364628013438885E-5</c:v>
                </c:pt>
                <c:pt idx="41">
                  <c:v>6.6437187246697125E-5</c:v>
                </c:pt>
                <c:pt idx="42">
                  <c:v>6.0134179250272215E-5</c:v>
                </c:pt>
                <c:pt idx="43">
                  <c:v>5.4405551004316757E-5</c:v>
                </c:pt>
                <c:pt idx="44">
                  <c:v>4.9204158330125396E-5</c:v>
                </c:pt>
                <c:pt idx="45">
                  <c:v>4.4485775532427216E-5</c:v>
                </c:pt>
                <c:pt idx="46">
                  <c:v>4.018387840846341E-5</c:v>
                </c:pt>
                <c:pt idx="47">
                  <c:v>3.6106993714043102E-5</c:v>
                </c:pt>
                <c:pt idx="48">
                  <c:v>3.2452850239142242E-5</c:v>
                </c:pt>
                <c:pt idx="49">
                  <c:v>2.9176814070888065E-5</c:v>
                </c:pt>
                <c:pt idx="50">
                  <c:v>2.6239071766045056E-5</c:v>
                </c:pt>
                <c:pt idx="51">
                  <c:v>2.3579968725698985E-5</c:v>
                </c:pt>
                <c:pt idx="52">
                  <c:v>2.1173096178084901E-5</c:v>
                </c:pt>
                <c:pt idx="53">
                  <c:v>1.9018266724990029E-5</c:v>
                </c:pt>
                <c:pt idx="54">
                  <c:v>1.708861117800081E-5</c:v>
                </c:pt>
                <c:pt idx="55">
                  <c:v>1.536015407360864E-5</c:v>
                </c:pt>
                <c:pt idx="56">
                  <c:v>1.3811500517217713E-5</c:v>
                </c:pt>
                <c:pt idx="57">
                  <c:v>1.242355723962588E-5</c:v>
                </c:pt>
                <c:pt idx="58">
                  <c:v>1.1179283953917812E-5</c:v>
                </c:pt>
                <c:pt idx="59">
                  <c:v>1.0063471620058473E-5</c:v>
                </c:pt>
                <c:pt idx="60">
                  <c:v>9.062544651600451E-6</c:v>
                </c:pt>
                <c:pt idx="61">
                  <c:v>8.1643844558164917E-6</c:v>
                </c:pt>
                <c:pt idx="62">
                  <c:v>7.3581720011154808E-6</c:v>
                </c:pt>
                <c:pt idx="63">
                  <c:v>6.6342473653410872E-6</c:v>
                </c:pt>
                <c:pt idx="64">
                  <c:v>5.983984443945433E-6</c:v>
                </c:pt>
                <c:pt idx="65">
                  <c:v>5.3996791943467616E-6</c:v>
                </c:pt>
                <c:pt idx="66">
                  <c:v>4.8744499667329288E-6</c:v>
                </c:pt>
                <c:pt idx="67">
                  <c:v>4.393904511137999E-6</c:v>
                </c:pt>
                <c:pt idx="68">
                  <c:v>3.9543429612069131E-6</c:v>
                </c:pt>
                <c:pt idx="69">
                  <c:v>3.5605632354819355E-6</c:v>
                </c:pt>
                <c:pt idx="70">
                  <c:v>3.2076235981835049E-6</c:v>
                </c:pt>
                <c:pt idx="71">
                  <c:v>2.8911324240560147E-6</c:v>
                </c:pt>
                <c:pt idx="72">
                  <c:v>2.6071853846323107E-6</c:v>
                </c:pt>
                <c:pt idx="73">
                  <c:v>2.3523099459622234E-6</c:v>
                </c:pt>
                <c:pt idx="74">
                  <c:v>2.1234163166181551E-6</c:v>
                </c:pt>
                <c:pt idx="75">
                  <c:v>1.9177540865018795E-6</c:v>
                </c:pt>
                <c:pt idx="76">
                  <c:v>1.7328738867816317E-6</c:v>
                </c:pt>
                <c:pt idx="77">
                  <c:v>1.5665934805501344E-6</c:v>
                </c:pt>
                <c:pt idx="78">
                  <c:v>1.4169677637212788E-6</c:v>
                </c:pt>
                <c:pt idx="79">
                  <c:v>1.2822622173552474E-6</c:v>
                </c:pt>
                <c:pt idx="80">
                  <c:v>1.1589262804778893E-6</c:v>
                </c:pt>
                <c:pt idx="81">
                  <c:v>1.0461123080337318E-6</c:v>
                </c:pt>
                <c:pt idx="82">
                  <c:v>9.4476790690096797E-7</c:v>
                </c:pt>
                <c:pt idx="83">
                  <c:v>8.5192941997034309E-7</c:v>
                </c:pt>
                <c:pt idx="84">
                  <c:v>7.6768578017909247E-7</c:v>
                </c:pt>
                <c:pt idx="85">
                  <c:v>6.9212395867566335E-7</c:v>
                </c:pt>
                <c:pt idx="86">
                  <c:v>6.2431571965061771E-7</c:v>
                </c:pt>
                <c:pt idx="87">
                  <c:v>5.6343527268776981E-7</c:v>
                </c:pt>
                <c:pt idx="88">
                  <c:v>5.0874767052389815E-7</c:v>
                </c:pt>
                <c:pt idx="89">
                  <c:v>4.595985451513592E-7</c:v>
                </c:pt>
                <c:pt idx="90">
                  <c:v>4.1540502662516293E-7</c:v>
                </c:pt>
                <c:pt idx="91">
                  <c:v>3.756477068981707E-7</c:v>
                </c:pt>
                <c:pt idx="92">
                  <c:v>3.3986352696950333E-7</c:v>
                </c:pt>
                <c:pt idx="93">
                  <c:v>3.0763947979457189E-7</c:v>
                </c:pt>
                <c:pt idx="94">
                  <c:v>2.7860703395697366E-7</c:v>
                </c:pt>
                <c:pt idx="95">
                  <c:v>2.5243719421469298E-7</c:v>
                </c:pt>
                <c:pt idx="96">
                  <c:v>2.2883612486194144E-7</c:v>
                </c:pt>
                <c:pt idx="97">
                  <c:v>2.0754127053530237E-7</c:v>
                </c:pt>
                <c:pt idx="98">
                  <c:v>1.8831791676653895E-7</c:v>
                </c:pt>
                <c:pt idx="99">
                  <c:v>1.7095613935913092E-7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14-4E8F-A540-52497317254B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  <c:pt idx="0">
                  <c:v>2.6889285168017565E-54</c:v>
                </c:pt>
                <c:pt idx="1">
                  <c:v>3.9253172567929716E-34</c:v>
                </c:pt>
                <c:pt idx="2">
                  <c:v>9.3547292913134253E-25</c:v>
                </c:pt>
                <c:pt idx="3">
                  <c:v>3.4811116383738739E-19</c:v>
                </c:pt>
                <c:pt idx="4">
                  <c:v>1.7533830220582755E-15</c:v>
                </c:pt>
                <c:pt idx="5">
                  <c:v>7.369625492910552E-13</c:v>
                </c:pt>
                <c:pt idx="6">
                  <c:v>6.3689734636095781E-11</c:v>
                </c:pt>
                <c:pt idx="7">
                  <c:v>1.875581659035946E-9</c:v>
                </c:pt>
                <c:pt idx="8">
                  <c:v>2.5717140688437376E-8</c:v>
                </c:pt>
                <c:pt idx="9">
                  <c:v>2.157497887348733E-7</c:v>
                </c:pt>
                <c:pt idx="10">
                  <c:v>1.6405178961783827E-6</c:v>
                </c:pt>
                <c:pt idx="11">
                  <c:v>1.1302445317981451E-5</c:v>
                </c:pt>
                <c:pt idx="12">
                  <c:v>4.8597337470831522E-5</c:v>
                </c:pt>
                <c:pt idx="13">
                  <c:v>1.19053763547948E-4</c:v>
                </c:pt>
                <c:pt idx="14">
                  <c:v>1.7973775424173788E-4</c:v>
                </c:pt>
                <c:pt idx="15">
                  <c:v>1.9024350969953929E-4</c:v>
                </c:pt>
                <c:pt idx="16">
                  <c:v>1.3942097285585899E-4</c:v>
                </c:pt>
                <c:pt idx="17">
                  <c:v>1.2175255456257152E-4</c:v>
                </c:pt>
                <c:pt idx="18">
                  <c:v>1.1526439274075807E-4</c:v>
                </c:pt>
                <c:pt idx="19">
                  <c:v>1.1397722716397267E-4</c:v>
                </c:pt>
                <c:pt idx="20">
                  <c:v>1.1163806074979763E-4</c:v>
                </c:pt>
                <c:pt idx="21">
                  <c:v>1.0827232743131281E-4</c:v>
                </c:pt>
                <c:pt idx="22">
                  <c:v>1.1357152733439784E-4</c:v>
                </c:pt>
                <c:pt idx="23">
                  <c:v>1.486783483401557E-4</c:v>
                </c:pt>
                <c:pt idx="24">
                  <c:v>2.4030615073297623E-4</c:v>
                </c:pt>
                <c:pt idx="25">
                  <c:v>4.105383696981033E-4</c:v>
                </c:pt>
                <c:pt idx="26">
                  <c:v>6.7137602991205569E-4</c:v>
                </c:pt>
                <c:pt idx="27">
                  <c:v>9.7681140097681009E-4</c:v>
                </c:pt>
                <c:pt idx="28">
                  <c:v>1.2539820585037442E-3</c:v>
                </c:pt>
                <c:pt idx="29">
                  <c:v>1.4270352961097438E-3</c:v>
                </c:pt>
                <c:pt idx="30">
                  <c:v>1.4517787050583404E-3</c:v>
                </c:pt>
                <c:pt idx="31">
                  <c:v>1.3324148079014674E-3</c:v>
                </c:pt>
                <c:pt idx="32">
                  <c:v>1.1128976191399974E-3</c:v>
                </c:pt>
                <c:pt idx="33">
                  <c:v>8.4983065002959394E-4</c:v>
                </c:pt>
                <c:pt idx="34">
                  <c:v>5.9514053916809599E-4</c:v>
                </c:pt>
                <c:pt idx="35">
                  <c:v>3.887159480814433E-4</c:v>
                </c:pt>
                <c:pt idx="36">
                  <c:v>2.3816474206771486E-4</c:v>
                </c:pt>
                <c:pt idx="37">
                  <c:v>1.3760910141325276E-4</c:v>
                </c:pt>
                <c:pt idx="38">
                  <c:v>7.5343695334198965E-5</c:v>
                </c:pt>
                <c:pt idx="39">
                  <c:v>3.9266786419114074E-5</c:v>
                </c:pt>
                <c:pt idx="40">
                  <c:v>1.9561795385420492E-5</c:v>
                </c:pt>
                <c:pt idx="41">
                  <c:v>9.3528527172222955E-6</c:v>
                </c:pt>
                <c:pt idx="42">
                  <c:v>4.3088269314568376E-6</c:v>
                </c:pt>
                <c:pt idx="43">
                  <c:v>1.9206555375010027E-6</c:v>
                </c:pt>
                <c:pt idx="44">
                  <c:v>8.3217602109793109E-7</c:v>
                </c:pt>
                <c:pt idx="45">
                  <c:v>3.5310031863112694E-7</c:v>
                </c:pt>
                <c:pt idx="46">
                  <c:v>1.4864175630458442E-7</c:v>
                </c:pt>
                <c:pt idx="47">
                  <c:v>6.2215397527669288E-8</c:v>
                </c:pt>
                <c:pt idx="48">
                  <c:v>2.6204416004385726E-8</c:v>
                </c:pt>
                <c:pt idx="49">
                  <c:v>1.1310988592407267E-8</c:v>
                </c:pt>
                <c:pt idx="50">
                  <c:v>5.1070016659280736E-9</c:v>
                </c:pt>
                <c:pt idx="51">
                  <c:v>2.4522719389596105E-9</c:v>
                </c:pt>
                <c:pt idx="52">
                  <c:v>1.2614689486444926E-9</c:v>
                </c:pt>
                <c:pt idx="53">
                  <c:v>6.9191408612768203E-10</c:v>
                </c:pt>
                <c:pt idx="54">
                  <c:v>3.9936343611852671E-10</c:v>
                </c:pt>
                <c:pt idx="55">
                  <c:v>2.3887233252529758E-10</c:v>
                </c:pt>
                <c:pt idx="56">
                  <c:v>1.4615817335903897E-10</c:v>
                </c:pt>
                <c:pt idx="57">
                  <c:v>9.0652319403747987E-11</c:v>
                </c:pt>
                <c:pt idx="58">
                  <c:v>5.6668048507277339E-11</c:v>
                </c:pt>
                <c:pt idx="59">
                  <c:v>3.558290262268465E-11</c:v>
                </c:pt>
                <c:pt idx="60">
                  <c:v>2.2301987041215809E-11</c:v>
                </c:pt>
                <c:pt idx="61">
                  <c:v>1.4006461005324154E-11</c:v>
                </c:pt>
                <c:pt idx="62">
                  <c:v>8.8108133333438516E-12</c:v>
                </c:pt>
                <c:pt idx="63">
                  <c:v>5.5499801845680751E-12</c:v>
                </c:pt>
                <c:pt idx="64">
                  <c:v>3.5002798541573221E-12</c:v>
                </c:pt>
                <c:pt idx="65">
                  <c:v>2.2101961369519127E-12</c:v>
                </c:pt>
                <c:pt idx="66">
                  <c:v>1.397246277567422E-12</c:v>
                </c:pt>
                <c:pt idx="67">
                  <c:v>8.8437132894145872E-13</c:v>
                </c:pt>
                <c:pt idx="68">
                  <c:v>5.6043466065768089E-13</c:v>
                </c:pt>
                <c:pt idx="69">
                  <c:v>3.5559401140384028E-13</c:v>
                </c:pt>
                <c:pt idx="70">
                  <c:v>2.2590911141543698E-13</c:v>
                </c:pt>
                <c:pt idx="71">
                  <c:v>1.4377357040790872E-13</c:v>
                </c:pt>
                <c:pt idx="72">
                  <c:v>9.168014281506032E-14</c:v>
                </c:pt>
                <c:pt idx="73">
                  <c:v>5.8542274318347447E-14</c:v>
                </c:pt>
                <c:pt idx="74">
                  <c:v>3.7434166724301329E-14</c:v>
                </c:pt>
                <c:pt idx="75">
                  <c:v>2.3956729405675518E-14</c:v>
                </c:pt>
                <c:pt idx="76">
                  <c:v>1.5341942137523306E-14</c:v>
                </c:pt>
                <c:pt idx="77">
                  <c:v>9.8396994942622969E-15</c:v>
                </c:pt>
                <c:pt idx="78">
                  <c:v>6.3202567111424541E-15</c:v>
                </c:pt>
                <c:pt idx="79">
                  <c:v>4.0657565131958813E-15</c:v>
                </c:pt>
                <c:pt idx="80">
                  <c:v>2.6194121249168735E-15</c:v>
                </c:pt>
                <c:pt idx="81">
                  <c:v>1.6901446008341479E-15</c:v>
                </c:pt>
                <c:pt idx="82">
                  <c:v>1.0922018173430667E-15</c:v>
                </c:pt>
                <c:pt idx="83">
                  <c:v>7.0687412165379052E-16</c:v>
                </c:pt>
                <c:pt idx="84">
                  <c:v>4.5818651086323776E-16</c:v>
                </c:pt>
                <c:pt idx="85">
                  <c:v>2.9744327322257126E-16</c:v>
                </c:pt>
                <c:pt idx="86">
                  <c:v>1.9338731848532145E-16</c:v>
                </c:pt>
                <c:pt idx="87">
                  <c:v>1.259255705164975E-16</c:v>
                </c:pt>
                <c:pt idx="88">
                  <c:v>8.2122438177488496E-17</c:v>
                </c:pt>
                <c:pt idx="89">
                  <c:v>5.3637851099986864E-17</c:v>
                </c:pt>
                <c:pt idx="90">
                  <c:v>3.5086656031879317E-17</c:v>
                </c:pt>
                <c:pt idx="91">
                  <c:v>2.2986503154067315E-17</c:v>
                </c:pt>
                <c:pt idx="92">
                  <c:v>1.508214865918002E-17</c:v>
                </c:pt>
                <c:pt idx="93">
                  <c:v>9.9047614938935966E-18</c:v>
                </c:pt>
                <c:pt idx="94">
                  <c:v>6.4999712791404493E-18</c:v>
                </c:pt>
                <c:pt idx="95">
                  <c:v>4.2725474461232015E-18</c:v>
                </c:pt>
                <c:pt idx="96">
                  <c:v>2.8129780411966017E-18</c:v>
                </c:pt>
                <c:pt idx="97">
                  <c:v>1.8550077187449799E-18</c:v>
                </c:pt>
                <c:pt idx="98">
                  <c:v>1.2248742326854821E-18</c:v>
                </c:pt>
                <c:pt idx="99">
                  <c:v>8.094948779660339E-19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214-4E8F-A540-52497317254B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  <c:pt idx="0">
                  <c:v>4.1198997756014657E-31</c:v>
                </c:pt>
                <c:pt idx="1">
                  <c:v>1.2054715438230558E-20</c:v>
                </c:pt>
                <c:pt idx="2">
                  <c:v>7.5278986304782483E-16</c:v>
                </c:pt>
                <c:pt idx="3">
                  <c:v>4.8436900571897642E-13</c:v>
                </c:pt>
                <c:pt idx="4">
                  <c:v>3.3426105150007474E-11</c:v>
                </c:pt>
                <c:pt idx="5">
                  <c:v>6.4030026751792475E-10</c:v>
                </c:pt>
                <c:pt idx="6">
                  <c:v>5.4456987507287754E-9</c:v>
                </c:pt>
                <c:pt idx="7">
                  <c:v>2.6726666729205752E-8</c:v>
                </c:pt>
                <c:pt idx="8">
                  <c:v>8.8752945135824446E-8</c:v>
                </c:pt>
                <c:pt idx="9">
                  <c:v>2.2101170832560523E-7</c:v>
                </c:pt>
                <c:pt idx="10">
                  <c:v>4.4246737799627076E-7</c:v>
                </c:pt>
                <c:pt idx="11">
                  <c:v>7.4791003374971907E-7</c:v>
                </c:pt>
                <c:pt idx="12">
                  <c:v>1.1060312099848726E-6</c:v>
                </c:pt>
                <c:pt idx="13">
                  <c:v>1.4697725326279809E-6</c:v>
                </c:pt>
                <c:pt idx="14">
                  <c:v>1.7929825180664213E-6</c:v>
                </c:pt>
                <c:pt idx="15">
                  <c:v>2.0474707497728489E-6</c:v>
                </c:pt>
                <c:pt idx="16">
                  <c:v>2.2376437657635322E-6</c:v>
                </c:pt>
                <c:pt idx="17">
                  <c:v>2.4108612310454498E-6</c:v>
                </c:pt>
                <c:pt idx="18">
                  <c:v>2.6592491812381911E-6</c:v>
                </c:pt>
                <c:pt idx="19">
                  <c:v>3.1068588644651017E-6</c:v>
                </c:pt>
                <c:pt idx="20">
                  <c:v>3.103292439123584E-6</c:v>
                </c:pt>
                <c:pt idx="21">
                  <c:v>4.1251238151059979E-6</c:v>
                </c:pt>
                <c:pt idx="22">
                  <c:v>5.4822463031524902E-6</c:v>
                </c:pt>
                <c:pt idx="23">
                  <c:v>7.1023202338232082E-6</c:v>
                </c:pt>
                <c:pt idx="24">
                  <c:v>8.8508683042224838E-6</c:v>
                </c:pt>
                <c:pt idx="25">
                  <c:v>1.0528364050316741E-5</c:v>
                </c:pt>
                <c:pt idx="26">
                  <c:v>1.1932050983829612E-5</c:v>
                </c:pt>
                <c:pt idx="27">
                  <c:v>1.2898951439377137E-5</c:v>
                </c:pt>
                <c:pt idx="28">
                  <c:v>1.3335082015723113E-5</c:v>
                </c:pt>
                <c:pt idx="29">
                  <c:v>1.3224984848351189E-5</c:v>
                </c:pt>
                <c:pt idx="30">
                  <c:v>1.2622956777849706E-5</c:v>
                </c:pt>
                <c:pt idx="31">
                  <c:v>1.1632225179788152E-5</c:v>
                </c:pt>
                <c:pt idx="32">
                  <c:v>1.0327208970334649E-5</c:v>
                </c:pt>
                <c:pt idx="33">
                  <c:v>8.8800739233698089E-6</c:v>
                </c:pt>
                <c:pt idx="34">
                  <c:v>7.4414842790190371E-6</c:v>
                </c:pt>
                <c:pt idx="35">
                  <c:v>6.0903052451359787E-6</c:v>
                </c:pt>
                <c:pt idx="36">
                  <c:v>4.8775793833465482E-6</c:v>
                </c:pt>
                <c:pt idx="37">
                  <c:v>3.8146320317448944E-6</c:v>
                </c:pt>
                <c:pt idx="38">
                  <c:v>2.9556779291129385E-6</c:v>
                </c:pt>
                <c:pt idx="39">
                  <c:v>2.2886306146726469E-6</c:v>
                </c:pt>
                <c:pt idx="40">
                  <c:v>1.7457848610552946E-6</c:v>
                </c:pt>
                <c:pt idx="41">
                  <c:v>1.3133005013983115E-6</c:v>
                </c:pt>
                <c:pt idx="42">
                  <c:v>9.7527749795954625E-7</c:v>
                </c:pt>
                <c:pt idx="43">
                  <c:v>7.156277352869629E-7</c:v>
                </c:pt>
                <c:pt idx="44">
                  <c:v>5.1930025567311826E-7</c:v>
                </c:pt>
                <c:pt idx="45">
                  <c:v>3.7297085683847576E-7</c:v>
                </c:pt>
                <c:pt idx="46">
                  <c:v>2.6532948962324828E-7</c:v>
                </c:pt>
                <c:pt idx="47">
                  <c:v>1.8709321053880612E-7</c:v>
                </c:pt>
                <c:pt idx="48">
                  <c:v>1.3085189248879293E-7</c:v>
                </c:pt>
                <c:pt idx="49">
                  <c:v>9.0828178410992067E-8</c:v>
                </c:pt>
                <c:pt idx="50">
                  <c:v>6.2386927856956138E-8</c:v>
                </c:pt>
                <c:pt idx="51">
                  <c:v>4.2393379740142544E-8</c:v>
                </c:pt>
                <c:pt idx="52">
                  <c:v>2.8667824952446997E-8</c:v>
                </c:pt>
                <c:pt idx="53">
                  <c:v>1.9299483716029291E-8</c:v>
                </c:pt>
                <c:pt idx="54">
                  <c:v>1.2939183403262916E-8</c:v>
                </c:pt>
                <c:pt idx="55">
                  <c:v>8.6422936076884699E-9</c:v>
                </c:pt>
                <c:pt idx="56">
                  <c:v>5.752524106184501E-9</c:v>
                </c:pt>
                <c:pt idx="57">
                  <c:v>3.817138617204211E-9</c:v>
                </c:pt>
                <c:pt idx="58">
                  <c:v>2.5258506226764419E-9</c:v>
                </c:pt>
                <c:pt idx="59">
                  <c:v>1.6672714352044322E-9</c:v>
                </c:pt>
                <c:pt idx="60">
                  <c:v>1.0981765249937961E-9</c:v>
                </c:pt>
                <c:pt idx="61">
                  <c:v>7.2201189003265421E-10</c:v>
                </c:pt>
                <c:pt idx="62">
                  <c:v>4.739846243523979E-10</c:v>
                </c:pt>
                <c:pt idx="63">
                  <c:v>3.1079706298747459E-10</c:v>
                </c:pt>
                <c:pt idx="64">
                  <c:v>2.0362569464238511E-10</c:v>
                </c:pt>
                <c:pt idx="65">
                  <c:v>1.333485883800015E-10</c:v>
                </c:pt>
                <c:pt idx="66">
                  <c:v>8.731928289077413E-11</c:v>
                </c:pt>
                <c:pt idx="67">
                  <c:v>5.7197069568682659E-11</c:v>
                </c:pt>
                <c:pt idx="68">
                  <c:v>3.7566009895353481E-11</c:v>
                </c:pt>
                <c:pt idx="69">
                  <c:v>2.4813638919751851E-11</c:v>
                </c:pt>
                <c:pt idx="70">
                  <c:v>1.6418317277092533E-11</c:v>
                </c:pt>
                <c:pt idx="71">
                  <c:v>1.0887680350507284E-11</c:v>
                </c:pt>
                <c:pt idx="72">
                  <c:v>7.2349178033473624E-12</c:v>
                </c:pt>
                <c:pt idx="73">
                  <c:v>4.8197688288871106E-12</c:v>
                </c:pt>
                <c:pt idx="74">
                  <c:v>3.2239368543380165E-12</c:v>
                </c:pt>
                <c:pt idx="75">
                  <c:v>2.1666334827042104E-12</c:v>
                </c:pt>
                <c:pt idx="76">
                  <c:v>1.4638462198117826E-12</c:v>
                </c:pt>
                <c:pt idx="77">
                  <c:v>9.9490885114620534E-13</c:v>
                </c:pt>
                <c:pt idx="78">
                  <c:v>6.8061473638086085E-13</c:v>
                </c:pt>
                <c:pt idx="79">
                  <c:v>4.6889772089315453E-13</c:v>
                </c:pt>
                <c:pt idx="80">
                  <c:v>3.2546823609624135E-13</c:v>
                </c:pt>
                <c:pt idx="81">
                  <c:v>2.2769076951621648E-13</c:v>
                </c:pt>
                <c:pt idx="82">
                  <c:v>1.6058007077865982E-13</c:v>
                </c:pt>
                <c:pt idx="83">
                  <c:v>1.1418163013235637E-13</c:v>
                </c:pt>
                <c:pt idx="84">
                  <c:v>8.1856399469443226E-14</c:v>
                </c:pt>
                <c:pt idx="85">
                  <c:v>5.9156252202170096E-14</c:v>
                </c:pt>
                <c:pt idx="86">
                  <c:v>4.3085534825055597E-14</c:v>
                </c:pt>
                <c:pt idx="87">
                  <c:v>3.1615150369776319E-14</c:v>
                </c:pt>
                <c:pt idx="88">
                  <c:v>2.336200185345348E-14</c:v>
                </c:pt>
                <c:pt idx="89">
                  <c:v>1.7376879045291986E-14</c:v>
                </c:pt>
                <c:pt idx="90">
                  <c:v>1.2964759718520105E-14</c:v>
                </c:pt>
                <c:pt idx="91">
                  <c:v>9.7278735723315788E-15</c:v>
                </c:pt>
                <c:pt idx="92">
                  <c:v>7.3377214679151213E-15</c:v>
                </c:pt>
                <c:pt idx="93">
                  <c:v>5.5613423503901053E-15</c:v>
                </c:pt>
                <c:pt idx="94">
                  <c:v>4.2332272687253405E-15</c:v>
                </c:pt>
                <c:pt idx="95">
                  <c:v>3.2348286981081269E-15</c:v>
                </c:pt>
                <c:pt idx="96">
                  <c:v>2.4805616383546151E-15</c:v>
                </c:pt>
                <c:pt idx="97">
                  <c:v>1.9081675466555241E-15</c:v>
                </c:pt>
                <c:pt idx="98">
                  <c:v>1.4720294184190984E-15</c:v>
                </c:pt>
                <c:pt idx="99">
                  <c:v>1.1384969869966549E-15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14-4E8F-A540-52497317254B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  <c:pt idx="0">
                  <c:v>1.6148380206601149E-11</c:v>
                </c:pt>
                <c:pt idx="1">
                  <c:v>4.6645902556831318E-7</c:v>
                </c:pt>
                <c:pt idx="2">
                  <c:v>3.9334863011749269E-5</c:v>
                </c:pt>
                <c:pt idx="3">
                  <c:v>3.886507688235184E-4</c:v>
                </c:pt>
                <c:pt idx="4">
                  <c:v>1.3906894422700343E-3</c:v>
                </c:pt>
                <c:pt idx="5">
                  <c:v>2.834642040102918E-3</c:v>
                </c:pt>
                <c:pt idx="6">
                  <c:v>4.102639794026597E-3</c:v>
                </c:pt>
                <c:pt idx="7">
                  <c:v>4.7505998159225538E-3</c:v>
                </c:pt>
                <c:pt idx="8">
                  <c:v>4.7330862841847687E-3</c:v>
                </c:pt>
                <c:pt idx="9">
                  <c:v>4.2527611347583554E-3</c:v>
                </c:pt>
                <c:pt idx="10">
                  <c:v>3.5584119052485988E-3</c:v>
                </c:pt>
                <c:pt idx="11">
                  <c:v>2.8421628875429259E-3</c:v>
                </c:pt>
                <c:pt idx="12">
                  <c:v>2.2366181551816905E-3</c:v>
                </c:pt>
                <c:pt idx="13">
                  <c:v>1.8054395746132925E-3</c:v>
                </c:pt>
                <c:pt idx="14">
                  <c:v>1.4871821921627272E-3</c:v>
                </c:pt>
                <c:pt idx="15">
                  <c:v>1.2216633426430628E-3</c:v>
                </c:pt>
                <c:pt idx="16">
                  <c:v>9.7262180260614117E-4</c:v>
                </c:pt>
                <c:pt idx="17">
                  <c:v>8.0807685253671789E-4</c:v>
                </c:pt>
                <c:pt idx="18">
                  <c:v>6.9675530321261546E-4</c:v>
                </c:pt>
                <c:pt idx="19">
                  <c:v>6.1915681885796965E-4</c:v>
                </c:pt>
                <c:pt idx="20">
                  <c:v>5.5876634099004104E-4</c:v>
                </c:pt>
                <c:pt idx="21">
                  <c:v>5.1059361901299261E-4</c:v>
                </c:pt>
                <c:pt idx="22">
                  <c:v>4.8001889729151011E-4</c:v>
                </c:pt>
                <c:pt idx="23">
                  <c:v>4.8999711455867845E-4</c:v>
                </c:pt>
                <c:pt idx="24">
                  <c:v>5.5952889191964318E-4</c:v>
                </c:pt>
                <c:pt idx="25">
                  <c:v>7.09454075387717E-4</c:v>
                </c:pt>
                <c:pt idx="26">
                  <c:v>9.5100069748647008E-4</c:v>
                </c:pt>
                <c:pt idx="27">
                  <c:v>1.2377162487220436E-3</c:v>
                </c:pt>
                <c:pt idx="28">
                  <c:v>1.4965293987191312E-3</c:v>
                </c:pt>
                <c:pt idx="29">
                  <c:v>1.6515464519865346E-3</c:v>
                </c:pt>
                <c:pt idx="30">
                  <c:v>1.6569654029619462E-3</c:v>
                </c:pt>
                <c:pt idx="31">
                  <c:v>1.5193930843682903E-3</c:v>
                </c:pt>
                <c:pt idx="32">
                  <c:v>1.2827488631912669E-3</c:v>
                </c:pt>
                <c:pt idx="33">
                  <c:v>1.0036999357871806E-3</c:v>
                </c:pt>
                <c:pt idx="34">
                  <c:v>7.3423134134604844E-4</c:v>
                </c:pt>
                <c:pt idx="35">
                  <c:v>5.1428407588412553E-4</c:v>
                </c:pt>
                <c:pt idx="36">
                  <c:v>3.5156843717165258E-4</c:v>
                </c:pt>
                <c:pt idx="37">
                  <c:v>2.3993258172843511E-4</c:v>
                </c:pt>
                <c:pt idx="38">
                  <c:v>1.6765538537203464E-4</c:v>
                </c:pt>
                <c:pt idx="39">
                  <c:v>1.2255787480444319E-4</c:v>
                </c:pt>
                <c:pt idx="40">
                  <c:v>9.4694694159556277E-5</c:v>
                </c:pt>
                <c:pt idx="41">
                  <c:v>7.7118697591470364E-5</c:v>
                </c:pt>
                <c:pt idx="42">
                  <c:v>6.5428805488163837E-5</c:v>
                </c:pt>
                <c:pt idx="43">
                  <c:v>5.7049066024610091E-5</c:v>
                </c:pt>
                <c:pt idx="44">
                  <c:v>5.0560620676942328E-5</c:v>
                </c:pt>
                <c:pt idx="45">
                  <c:v>4.5215295159008678E-5</c:v>
                </c:pt>
                <c:pt idx="46">
                  <c:v>4.0600242019247163E-5</c:v>
                </c:pt>
                <c:pt idx="47">
                  <c:v>3.635796709285107E-5</c:v>
                </c:pt>
                <c:pt idx="48">
                  <c:v>3.2611068505389597E-5</c:v>
                </c:pt>
                <c:pt idx="49">
                  <c:v>2.9279766666908061E-5</c:v>
                </c:pt>
                <c:pt idx="50">
                  <c:v>2.6307136814303756E-5</c:v>
                </c:pt>
                <c:pt idx="51">
                  <c:v>2.3625216533034096E-5</c:v>
                </c:pt>
                <c:pt idx="52">
                  <c:v>2.1203309464099471E-5</c:v>
                </c:pt>
                <c:pt idx="53">
                  <c:v>1.9038459238406204E-5</c:v>
                </c:pt>
                <c:pt idx="54">
                  <c:v>1.7102092547020242E-5</c:v>
                </c:pt>
                <c:pt idx="55">
                  <c:v>1.5369136943719356E-5</c:v>
                </c:pt>
                <c:pt idx="56">
                  <c:v>1.381747181978435E-5</c:v>
                </c:pt>
                <c:pt idx="57">
                  <c:v>1.2427517022517342E-5</c:v>
                </c:pt>
                <c:pt idx="58">
                  <c:v>1.1181903793847488E-5</c:v>
                </c:pt>
                <c:pt idx="59">
                  <c:v>1.0065201334113019E-5</c:v>
                </c:pt>
                <c:pt idx="60">
                  <c:v>9.0636845101579853E-6</c:v>
                </c:pt>
                <c:pt idx="61">
                  <c:v>8.1651344926090092E-6</c:v>
                </c:pt>
                <c:pt idx="62">
                  <c:v>7.3586649618435404E-6</c:v>
                </c:pt>
                <c:pt idx="63">
                  <c:v>6.6345711016059183E-6</c:v>
                </c:pt>
                <c:pt idx="64">
                  <c:v>5.9841969541101422E-6</c:v>
                </c:pt>
                <c:pt idx="65">
                  <c:v>5.3998186856341925E-6</c:v>
                </c:pt>
                <c:pt idx="66">
                  <c:v>4.8745415621785819E-6</c:v>
                </c:pt>
                <c:pt idx="67">
                  <c:v>4.3939647050222261E-6</c:v>
                </c:pt>
                <c:pt idx="68">
                  <c:v>3.9543826411896412E-6</c:v>
                </c:pt>
                <c:pt idx="69">
                  <c:v>3.560589549765719E-6</c:v>
                </c:pt>
                <c:pt idx="70">
                  <c:v>3.2076410882318871E-6</c:v>
                </c:pt>
                <c:pt idx="71">
                  <c:v>2.8911440816480614E-6</c:v>
                </c:pt>
                <c:pt idx="72">
                  <c:v>2.607193175728603E-6</c:v>
                </c:pt>
                <c:pt idx="73">
                  <c:v>2.3523151695817467E-6</c:v>
                </c:pt>
                <c:pt idx="74">
                  <c:v>2.1234198352214834E-6</c:v>
                </c:pt>
                <c:pt idx="75">
                  <c:v>1.9177564691029679E-6</c:v>
                </c:pt>
                <c:pt idx="76">
                  <c:v>1.7328755095832023E-6</c:v>
                </c:pt>
                <c:pt idx="77">
                  <c:v>1.566594592925406E-6</c:v>
                </c:pt>
                <c:pt idx="78">
                  <c:v>1.4169685314706336E-6</c:v>
                </c:pt>
                <c:pt idx="79">
                  <c:v>1.2822627511165296E-6</c:v>
                </c:pt>
                <c:pt idx="80">
                  <c:v>1.1589266543909097E-6</c:v>
                </c:pt>
                <c:pt idx="81">
                  <c:v>1.0461125720190135E-6</c:v>
                </c:pt>
                <c:pt idx="82">
                  <c:v>9.4476809475211319E-7</c:v>
                </c:pt>
                <c:pt idx="83">
                  <c:v>8.5192955469943756E-7</c:v>
                </c:pt>
                <c:pt idx="84">
                  <c:v>7.6768587755734205E-7</c:v>
                </c:pt>
                <c:pt idx="85">
                  <c:v>6.9212402958628056E-7</c:v>
                </c:pt>
                <c:pt idx="86">
                  <c:v>6.2431577165836476E-7</c:v>
                </c:pt>
                <c:pt idx="87">
                  <c:v>5.6343531109052141E-7</c:v>
                </c:pt>
                <c:pt idx="88">
                  <c:v>5.0874769906063508E-7</c:v>
                </c:pt>
                <c:pt idx="89">
                  <c:v>4.5959856648144908E-7</c:v>
                </c:pt>
                <c:pt idx="90">
                  <c:v>4.1540504261591471E-7</c:v>
                </c:pt>
                <c:pt idx="91">
                  <c:v>3.7564771894670097E-7</c:v>
                </c:pt>
                <c:pt idx="92">
                  <c:v>3.3986353609022642E-7</c:v>
                </c:pt>
                <c:pt idx="93">
                  <c:v>3.0763948672825951E-7</c:v>
                </c:pt>
                <c:pt idx="94">
                  <c:v>2.7860703924828408E-7</c:v>
                </c:pt>
                <c:pt idx="95">
                  <c:v>2.5243719826668399E-7</c:v>
                </c:pt>
                <c:pt idx="96">
                  <c:v>2.2883612797463778E-7</c:v>
                </c:pt>
                <c:pt idx="97">
                  <c:v>2.0754127293325547E-7</c:v>
                </c:pt>
                <c:pt idx="98">
                  <c:v>1.8831791861865344E-7</c:v>
                </c:pt>
                <c:pt idx="99">
                  <c:v>1.7095614079303363E-7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214-4E8F-A540-5249731725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  <c:pt idx="0">
                  <c:v>5.2073631221545558E-13</c:v>
                </c:pt>
                <c:pt idx="1">
                  <c:v>2.512502091231392E-8</c:v>
                </c:pt>
                <c:pt idx="2">
                  <c:v>2.2537635148656981E-6</c:v>
                </c:pt>
                <c:pt idx="3">
                  <c:v>2.5977835900512713E-5</c:v>
                </c:pt>
                <c:pt idx="4">
                  <c:v>1.1902967859007347E-4</c:v>
                </c:pt>
                <c:pt idx="5">
                  <c:v>3.2878994159244281E-4</c:v>
                </c:pt>
                <c:pt idx="6">
                  <c:v>6.6566480263669263E-4</c:v>
                </c:pt>
                <c:pt idx="7">
                  <c:v>1.09911181945569E-3</c:v>
                </c:pt>
                <c:pt idx="8">
                  <c:v>1.578227812886685E-3</c:v>
                </c:pt>
                <c:pt idx="9">
                  <c:v>2.0537421410071399E-3</c:v>
                </c:pt>
                <c:pt idx="10">
                  <c:v>2.4900867026838832E-3</c:v>
                </c:pt>
                <c:pt idx="11">
                  <c:v>2.867833982505663E-3</c:v>
                </c:pt>
                <c:pt idx="12">
                  <c:v>3.1808007009404143E-3</c:v>
                </c:pt>
                <c:pt idx="13">
                  <c:v>3.4315529612898867E-3</c:v>
                </c:pt>
                <c:pt idx="14">
                  <c:v>3.6273483500171922E-3</c:v>
                </c:pt>
                <c:pt idx="15">
                  <c:v>3.7772172544931486E-3</c:v>
                </c:pt>
                <c:pt idx="16">
                  <c:v>3.8901763744182364E-3</c:v>
                </c:pt>
                <c:pt idx="17">
                  <c:v>3.9743055257990953E-3</c:v>
                </c:pt>
                <c:pt idx="18">
                  <c:v>4.0363891829860903E-3</c:v>
                </c:pt>
                <c:pt idx="19">
                  <c:v>4.0818835538575264E-3</c:v>
                </c:pt>
                <c:pt idx="20">
                  <c:v>4.1150456958320069E-3</c:v>
                </c:pt>
                <c:pt idx="21">
                  <c:v>4.1391247850670453E-3</c:v>
                </c:pt>
                <c:pt idx="22">
                  <c:v>4.1565606212859551E-3</c:v>
                </c:pt>
                <c:pt idx="23">
                  <c:v>4.1691629845113281E-3</c:v>
                </c:pt>
                <c:pt idx="24">
                  <c:v>4.1782620306608917E-3</c:v>
                </c:pt>
                <c:pt idx="25">
                  <c:v>4.1848286787558881E-3</c:v>
                </c:pt>
                <c:pt idx="26">
                  <c:v>4.1895680120383081E-3</c:v>
                </c:pt>
                <c:pt idx="27">
                  <c:v>4.1929901625132769E-3</c:v>
                </c:pt>
                <c:pt idx="28">
                  <c:v>4.1954632534159167E-3</c:v>
                </c:pt>
                <c:pt idx="29">
                  <c:v>4.1972524770973975E-3</c:v>
                </c:pt>
                <c:pt idx="30">
                  <c:v>4.198548687247259E-3</c:v>
                </c:pt>
                <c:pt idx="31">
                  <c:v>4.1994891831751459E-3</c:v>
                </c:pt>
                <c:pt idx="32">
                  <c:v>4.2001727460898664E-3</c:v>
                </c:pt>
                <c:pt idx="33">
                  <c:v>4.2006704795041466E-3</c:v>
                </c:pt>
                <c:pt idx="34">
                  <c:v>4.2010336059066736E-3</c:v>
                </c:pt>
                <c:pt idx="35">
                  <c:v>4.2012990656032957E-3</c:v>
                </c:pt>
                <c:pt idx="36">
                  <c:v>4.2014935337707105E-3</c:v>
                </c:pt>
                <c:pt idx="37">
                  <c:v>4.2016363016857969E-3</c:v>
                </c:pt>
                <c:pt idx="38">
                  <c:v>4.2017413435567969E-3</c:v>
                </c:pt>
                <c:pt idx="39">
                  <c:v>4.2018187998963822E-3</c:v>
                </c:pt>
                <c:pt idx="40">
                  <c:v>4.2018760430054458E-3</c:v>
                </c:pt>
                <c:pt idx="41">
                  <c:v>4.20191844310603E-3</c:v>
                </c:pt>
                <c:pt idx="42">
                  <c:v>4.2019499199270165E-3</c:v>
                </c:pt>
                <c:pt idx="43">
                  <c:v>4.2019733403975985E-3</c:v>
                </c:pt>
                <c:pt idx="44">
                  <c:v>4.2019908058393944E-3</c:v>
                </c:pt>
                <c:pt idx="45">
                  <c:v>4.2020038597141134E-3</c:v>
                </c:pt>
                <c:pt idx="46">
                  <c:v>4.2020136381737154E-3</c:v>
                </c:pt>
                <c:pt idx="47">
                  <c:v>4.2020209793658548E-3</c:v>
                </c:pt>
                <c:pt idx="48">
                  <c:v>4.2020265029482085E-3</c:v>
                </c:pt>
                <c:pt idx="49">
                  <c:v>4.2020306680465493E-3</c:v>
                </c:pt>
                <c:pt idx="50">
                  <c:v>4.2020338155863441E-3</c:v>
                </c:pt>
                <c:pt idx="51">
                  <c:v>4.2020361992748459E-3</c:v>
                </c:pt>
                <c:pt idx="52">
                  <c:v>4.2020380083238927E-3</c:v>
                </c:pt>
                <c:pt idx="53">
                  <c:v>4.2020393841502215E-3</c:v>
                </c:pt>
                <c:pt idx="54">
                  <c:v>4.2020404326754222E-3</c:v>
                </c:pt>
                <c:pt idx="55">
                  <c:v>4.2020412334041529E-3</c:v>
                </c:pt>
                <c:pt idx="56">
                  <c:v>4.2020418461386645E-3</c:v>
                </c:pt>
                <c:pt idx="57">
                  <c:v>4.2020423159555703E-3</c:v>
                </c:pt>
                <c:pt idx="58">
                  <c:v>4.2020426769023653E-3</c:v>
                </c:pt>
                <c:pt idx="59">
                  <c:v>4.2020429547487952E-3</c:v>
                </c:pt>
                <c:pt idx="60">
                  <c:v>4.2020431690390136E-3</c:v>
                </c:pt>
                <c:pt idx="61">
                  <c:v>4.2020433346253855E-3</c:v>
                </c:pt>
                <c:pt idx="62">
                  <c:v>4.2020434628172341E-3</c:v>
                </c:pt>
                <c:pt idx="63">
                  <c:v>4.2020435622429483E-3</c:v>
                </c:pt>
                <c:pt idx="64">
                  <c:v>4.2020436394982876E-3</c:v>
                </c:pt>
                <c:pt idx="65">
                  <c:v>4.2020436996348847E-3</c:v>
                </c:pt>
                <c:pt idx="66">
                  <c:v>4.2020437465290624E-3</c:v>
                </c:pt>
                <c:pt idx="67">
                  <c:v>4.2020437831608443E-3</c:v>
                </c:pt>
                <c:pt idx="68">
                  <c:v>4.2020438118254254E-3</c:v>
                </c:pt>
                <c:pt idx="69">
                  <c:v>4.2020438342937746E-3</c:v>
                </c:pt>
                <c:pt idx="70">
                  <c:v>4.2020438519348238E-3</c:v>
                </c:pt>
                <c:pt idx="71">
                  <c:v>4.2020438658086157E-3</c:v>
                </c:pt>
                <c:pt idx="72">
                  <c:v>4.2020438767374404E-3</c:v>
                </c:pt>
                <c:pt idx="73">
                  <c:v>4.2020438853602607E-3</c:v>
                </c:pt>
                <c:pt idx="74">
                  <c:v>4.2020438921744323E-3</c:v>
                </c:pt>
                <c:pt idx="75">
                  <c:v>4.2020438975677397E-3</c:v>
                </c:pt>
                <c:pt idx="76">
                  <c:v>4.2020439018430359E-3</c:v>
                </c:pt>
                <c:pt idx="77">
                  <c:v>4.2020439052372315E-3</c:v>
                </c:pt>
                <c:pt idx="78">
                  <c:v>4.2020439079359529E-3</c:v>
                </c:pt>
                <c:pt idx="79">
                  <c:v>4.2020439100848754E-3</c:v>
                </c:pt>
                <c:pt idx="80">
                  <c:v>4.2020439117985029E-3</c:v>
                </c:pt>
                <c:pt idx="81">
                  <c:v>4.2020439131669751E-3</c:v>
                </c:pt>
                <c:pt idx="82">
                  <c:v>4.2020439142613636E-3</c:v>
                </c:pt>
                <c:pt idx="83">
                  <c:v>4.2020439151377875E-3</c:v>
                </c:pt>
                <c:pt idx="84">
                  <c:v>4.2020439158406264E-3</c:v>
                </c:pt>
                <c:pt idx="85">
                  <c:v>4.202043916405029E-3</c:v>
                </c:pt>
                <c:pt idx="86">
                  <c:v>4.2020439168588709E-3</c:v>
                </c:pt>
                <c:pt idx="87">
                  <c:v>4.2020439172242938E-3</c:v>
                </c:pt>
                <c:pt idx="88">
                  <c:v>4.2020439175189097E-3</c:v>
                </c:pt>
                <c:pt idx="89">
                  <c:v>4.2020439177567447E-3</c:v>
                </c:pt>
                <c:pt idx="90">
                  <c:v>4.2020439179489867E-3</c:v>
                </c:pt>
                <c:pt idx="91">
                  <c:v>4.2020439181045715E-3</c:v>
                </c:pt>
                <c:pt idx="92">
                  <c:v>4.2020439182306451E-3</c:v>
                </c:pt>
                <c:pt idx="93">
                  <c:v>4.2020439183329296E-3</c:v>
                </c:pt>
                <c:pt idx="94">
                  <c:v>4.202043918416015E-3</c:v>
                </c:pt>
                <c:pt idx="95">
                  <c:v>4.2020439184835851E-3</c:v>
                </c:pt>
                <c:pt idx="96">
                  <c:v>4.2020439185386027E-3</c:v>
                </c:pt>
                <c:pt idx="97">
                  <c:v>4.2020439185834514E-3</c:v>
                </c:pt>
                <c:pt idx="98">
                  <c:v>4.2020439186200523E-3</c:v>
                </c:pt>
                <c:pt idx="99">
                  <c:v>4.2020439186499572E-3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603-4553-A2E5-8719A1E50EF6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  <c:pt idx="0">
                  <c:v>1.1796211210467526E-11</c:v>
                </c:pt>
                <c:pt idx="1">
                  <c:v>1.5432126166874109E-8</c:v>
                </c:pt>
                <c:pt idx="2">
                  <c:v>4.3628487923479351E-7</c:v>
                </c:pt>
                <c:pt idx="3">
                  <c:v>3.3862197130958398E-6</c:v>
                </c:pt>
                <c:pt idx="4">
                  <c:v>1.4021925150953462E-5</c:v>
                </c:pt>
                <c:pt idx="5">
                  <c:v>4.0180874032171791E-5</c:v>
                </c:pt>
                <c:pt idx="6">
                  <c:v>9.0650624283898496E-5</c:v>
                </c:pt>
                <c:pt idx="7">
                  <c:v>1.73235174305007E-4</c:v>
                </c:pt>
                <c:pt idx="8">
                  <c:v>2.9341531568854117E-4</c:v>
                </c:pt>
                <c:pt idx="9">
                  <c:v>4.5379932882674996E-4</c:v>
                </c:pt>
                <c:pt idx="10">
                  <c:v>6.5421043062190317E-4</c:v>
                </c:pt>
                <c:pt idx="11">
                  <c:v>8.9215622589740328E-4</c:v>
                </c:pt>
                <c:pt idx="12">
                  <c:v>1.1634556307621091E-3</c:v>
                </c:pt>
                <c:pt idx="13">
                  <c:v>1.4628702403051775E-3</c:v>
                </c:pt>
                <c:pt idx="14">
                  <c:v>1.7846552351435683E-3</c:v>
                </c:pt>
                <c:pt idx="15">
                  <c:v>2.1229948264134342E-3</c:v>
                </c:pt>
                <c:pt idx="16">
                  <c:v>2.4723182961933245E-3</c:v>
                </c:pt>
                <c:pt idx="17">
                  <c:v>2.8275091852898509E-3</c:v>
                </c:pt>
                <c:pt idx="18">
                  <c:v>3.1840270065759267E-3</c:v>
                </c:pt>
                <c:pt idx="19">
                  <c:v>3.5379619815172499E-3</c:v>
                </c:pt>
                <c:pt idx="20">
                  <c:v>3.8860414608390976E-3</c:v>
                </c:pt>
                <c:pt idx="21">
                  <c:v>4.2256036212115645E-3</c:v>
                </c:pt>
                <c:pt idx="22">
                  <c:v>4.5545507133267701E-3</c:v>
                </c:pt>
                <c:pt idx="23">
                  <c:v>4.8712910758173652E-3</c:v>
                </c:pt>
                <c:pt idx="24">
                  <c:v>5.1746765358488215E-3</c:v>
                </c:pt>
                <c:pt idx="25">
                  <c:v>5.4639397395648036E-3</c:v>
                </c:pt>
                <c:pt idx="26">
                  <c:v>5.7386343598880172E-3</c:v>
                </c:pt>
                <c:pt idx="27">
                  <c:v>5.9985799463217063E-3</c:v>
                </c:pt>
                <c:pt idx="28">
                  <c:v>6.2438123332660619E-3</c:v>
                </c:pt>
                <c:pt idx="29">
                  <c:v>6.4745399361767772E-3</c:v>
                </c:pt>
                <c:pt idx="30">
                  <c:v>6.6911058748821218E-3</c:v>
                </c:pt>
                <c:pt idx="31">
                  <c:v>6.8939556183569674E-3</c:v>
                </c:pt>
                <c:pt idx="32">
                  <c:v>7.0836097041119643E-3</c:v>
                </c:pt>
                <c:pt idx="33">
                  <c:v>7.2606410166210569E-3</c:v>
                </c:pt>
                <c:pt idx="34">
                  <c:v>7.4256560893587488E-3</c:v>
                </c:pt>
                <c:pt idx="35">
                  <c:v>7.5792799068425988E-3</c:v>
                </c:pt>
                <c:pt idx="36">
                  <c:v>7.7221437142484277E-3</c:v>
                </c:pt>
                <c:pt idx="37">
                  <c:v>7.8548753840455808E-3</c:v>
                </c:pt>
                <c:pt idx="38">
                  <c:v>7.978091935783008E-3</c:v>
                </c:pt>
                <c:pt idx="39">
                  <c:v>8.0923938527341522E-3</c:v>
                </c:pt>
                <c:pt idx="40">
                  <c:v>8.1983608850996655E-3</c:v>
                </c:pt>
                <c:pt idx="41">
                  <c:v>8.2965490723985371E-3</c:v>
                </c:pt>
                <c:pt idx="42">
                  <c:v>8.3874887567712813E-3</c:v>
                </c:pt>
                <c:pt idx="43">
                  <c:v>8.4716833938620322E-3</c:v>
                </c:pt>
                <c:pt idx="44">
                  <c:v>8.5496089987321892E-3</c:v>
                </c:pt>
                <c:pt idx="45">
                  <c:v>8.6217140910687211E-3</c:v>
                </c:pt>
                <c:pt idx="46">
                  <c:v>8.6884200270761283E-3</c:v>
                </c:pt>
                <c:pt idx="47">
                  <c:v>8.750121625227824E-3</c:v>
                </c:pt>
                <c:pt idx="48">
                  <c:v>8.8071880098639695E-3</c:v>
                </c:pt>
                <c:pt idx="49">
                  <c:v>8.859963610817324E-3</c:v>
                </c:pt>
                <c:pt idx="50">
                  <c:v>8.9087692691659885E-3</c:v>
                </c:pt>
                <c:pt idx="51">
                  <c:v>8.9539034091647794E-3</c:v>
                </c:pt>
                <c:pt idx="52">
                  <c:v>8.9956432446773281E-3</c:v>
                </c:pt>
                <c:pt idx="53">
                  <c:v>9.0342459952694569E-3</c:v>
                </c:pt>
                <c:pt idx="54">
                  <c:v>9.0699500927507743E-3</c:v>
                </c:pt>
                <c:pt idx="55">
                  <c:v>9.102976363556935E-3</c:v>
                </c:pt>
                <c:pt idx="56">
                  <c:v>9.1335291761143658E-3</c:v>
                </c:pt>
                <c:pt idx="57">
                  <c:v>9.1617975453638124E-3</c:v>
                </c:pt>
                <c:pt idx="58">
                  <c:v>9.1879561890588751E-3</c:v>
                </c:pt>
                <c:pt idx="59">
                  <c:v>9.2121665324029055E-3</c:v>
                </c:pt>
                <c:pt idx="60">
                  <c:v>9.2345776591281781E-3</c:v>
                </c:pt>
                <c:pt idx="61">
                  <c:v>9.2553272083274723E-3</c:v>
                </c:pt>
                <c:pt idx="62">
                  <c:v>9.2745422172807075E-3</c:v>
                </c:pt>
                <c:pt idx="63">
                  <c:v>9.2923399112286587E-3</c:v>
                </c:pt>
                <c:pt idx="64">
                  <c:v>9.3088284415741487E-3</c:v>
                </c:pt>
                <c:pt idx="65">
                  <c:v>9.3241075743733838E-3</c:v>
                </c:pt>
                <c:pt idx="66">
                  <c:v>9.3382693312451803E-3</c:v>
                </c:pt>
                <c:pt idx="67">
                  <c:v>9.351398584997608E-3</c:v>
                </c:pt>
                <c:pt idx="68">
                  <c:v>9.3635736123695145E-3</c:v>
                </c:pt>
                <c:pt idx="69">
                  <c:v>9.3748666063246736E-3</c:v>
                </c:pt>
                <c:pt idx="70">
                  <c:v>9.3853441503319712E-3</c:v>
                </c:pt>
                <c:pt idx="71">
                  <c:v>9.3950676570267455E-3</c:v>
                </c:pt>
                <c:pt idx="72">
                  <c:v>9.404093773584735E-3</c:v>
                </c:pt>
                <c:pt idx="73">
                  <c:v>9.412474756058142E-3</c:v>
                </c:pt>
                <c:pt idx="74">
                  <c:v>9.4202588148284468E-3</c:v>
                </c:pt>
                <c:pt idx="75">
                  <c:v>9.4274904332274125E-3</c:v>
                </c:pt>
                <c:pt idx="76">
                  <c:v>9.4342106612696434E-3</c:v>
                </c:pt>
                <c:pt idx="77">
                  <c:v>9.4404573863297921E-3</c:v>
                </c:pt>
                <c:pt idx="78">
                  <c:v>9.4462655824872378E-3</c:v>
                </c:pt>
                <c:pt idx="79">
                  <c:v>9.4516675401523313E-3</c:v>
                </c:pt>
                <c:pt idx="80">
                  <c:v>9.456693077482382E-3</c:v>
                </c:pt>
                <c:pt idx="81">
                  <c:v>9.4613697349932597E-3</c:v>
                </c:pt>
                <c:pt idx="82">
                  <c:v>9.4657229546744794E-3</c:v>
                </c:pt>
                <c:pt idx="83">
                  <c:v>9.4697762448222433E-3</c:v>
                </c:pt>
                <c:pt idx="84">
                  <c:v>9.4735513317164982E-3</c:v>
                </c:pt>
                <c:pt idx="85">
                  <c:v>9.4770682991845989E-3</c:v>
                </c:pt>
                <c:pt idx="86">
                  <c:v>9.4803457170157621E-3</c:v>
                </c:pt>
                <c:pt idx="87">
                  <c:v>9.4834007591170257E-3</c:v>
                </c:pt>
                <c:pt idx="88">
                  <c:v>9.4862493122328181E-3</c:v>
                </c:pt>
                <c:pt idx="89">
                  <c:v>9.4889060759862868E-3</c:v>
                </c:pt>
                <c:pt idx="90">
                  <c:v>9.491384654941034E-3</c:v>
                </c:pt>
                <c:pt idx="91">
                  <c:v>9.4936976433267484E-3</c:v>
                </c:pt>
                <c:pt idx="92">
                  <c:v>9.4958567030210082E-3</c:v>
                </c:pt>
                <c:pt idx="93">
                  <c:v>9.4978726353322079E-3</c:v>
                </c:pt>
                <c:pt idx="94">
                  <c:v>9.4997554470847741E-3</c:v>
                </c:pt>
                <c:pt idx="95">
                  <c:v>9.5015144114674304E-3</c:v>
                </c:pt>
                <c:pt idx="96">
                  <c:v>9.5031581240679966E-3</c:v>
                </c:pt>
                <c:pt idx="97">
                  <c:v>9.5046945544838331E-3</c:v>
                </c:pt>
                <c:pt idx="98">
                  <c:v>9.5061310938654182E-3</c:v>
                </c:pt>
                <c:pt idx="99">
                  <c:v>9.5074745987214059E-3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603-4553-A2E5-8719A1E50EF6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  <c:pt idx="0">
                  <c:v>6.0389758734243109E-54</c:v>
                </c:pt>
                <c:pt idx="1">
                  <c:v>6.8214657473891335E-34</c:v>
                </c:pt>
                <c:pt idx="2">
                  <c:v>1.3992019375631077E-24</c:v>
                </c:pt>
                <c:pt idx="3">
                  <c:v>4.6810263965842364E-19</c:v>
                </c:pt>
                <c:pt idx="4">
                  <c:v>2.1713786713935765E-15</c:v>
                </c:pt>
                <c:pt idx="5">
                  <c:v>8.5510158184881572E-13</c:v>
                </c:pt>
                <c:pt idx="6">
                  <c:v>7.0480421252055803E-11</c:v>
                </c:pt>
                <c:pt idx="7">
                  <c:v>2.0220171063347066E-9</c:v>
                </c:pt>
                <c:pt idx="8">
                  <c:v>2.7639531553509906E-8</c:v>
                </c:pt>
                <c:pt idx="9">
                  <c:v>2.3433664737974494E-7</c:v>
                </c:pt>
                <c:pt idx="10">
                  <c:v>1.7515606912277764E-6</c:v>
                </c:pt>
                <c:pt idx="11">
                  <c:v>1.1873398899779862E-5</c:v>
                </c:pt>
                <c:pt idx="12">
                  <c:v>5.4124445682260017E-5</c:v>
                </c:pt>
                <c:pt idx="13">
                  <c:v>1.5483147687626891E-4</c:v>
                </c:pt>
                <c:pt idx="14">
                  <c:v>3.0303877252966377E-4</c:v>
                </c:pt>
                <c:pt idx="15">
                  <c:v>4.5620728456462878E-4</c:v>
                </c:pt>
                <c:pt idx="16">
                  <c:v>5.8774760996973998E-4</c:v>
                </c:pt>
                <c:pt idx="17">
                  <c:v>7.0042229543020864E-4</c:v>
                </c:pt>
                <c:pt idx="18">
                  <c:v>8.0569556093178457E-4</c:v>
                </c:pt>
                <c:pt idx="19">
                  <c:v>9.0903287545821812E-4</c:v>
                </c:pt>
                <c:pt idx="20">
                  <c:v>1.0100538995418144E-3</c:v>
                </c:pt>
                <c:pt idx="21">
                  <c:v>1.1088183468371926E-3</c:v>
                </c:pt>
                <c:pt idx="22">
                  <c:v>1.2143281128304299E-3</c:v>
                </c:pt>
                <c:pt idx="23">
                  <c:v>1.3552059667149498E-3</c:v>
                </c:pt>
                <c:pt idx="24">
                  <c:v>1.5882400187614035E-3</c:v>
                </c:pt>
                <c:pt idx="25">
                  <c:v>1.9941961730716414E-3</c:v>
                </c:pt>
                <c:pt idx="26">
                  <c:v>2.6528411977430541E-3</c:v>
                </c:pt>
                <c:pt idx="27">
                  <c:v>3.6040676308189659E-3</c:v>
                </c:pt>
                <c:pt idx="28">
                  <c:v>4.8173564331215422E-3</c:v>
                </c:pt>
                <c:pt idx="29">
                  <c:v>6.1908816494453374E-3</c:v>
                </c:pt>
                <c:pt idx="30">
                  <c:v>7.582852719809712E-3</c:v>
                </c:pt>
                <c:pt idx="31">
                  <c:v>8.8573282724770698E-3</c:v>
                </c:pt>
                <c:pt idx="32">
                  <c:v>9.9208731804724185E-3</c:v>
                </c:pt>
                <c:pt idx="33">
                  <c:v>1.0736369065654007E-2</c:v>
                </c:pt>
                <c:pt idx="34">
                  <c:v>1.131517225591914E-2</c:v>
                </c:pt>
                <c:pt idx="35">
                  <c:v>1.1697982982472854E-2</c:v>
                </c:pt>
                <c:pt idx="36">
                  <c:v>1.1935344217927272E-2</c:v>
                </c:pt>
                <c:pt idx="37">
                  <c:v>1.2074082380863049E-2</c:v>
                </c:pt>
                <c:pt idx="38">
                  <c:v>1.2150910948997557E-2</c:v>
                </c:pt>
                <c:pt idx="39">
                  <c:v>1.2191405521888311E-2</c:v>
                </c:pt>
                <c:pt idx="40">
                  <c:v>1.2211808289916451E-2</c:v>
                </c:pt>
                <c:pt idx="41">
                  <c:v>1.222167518941506E-2</c:v>
                </c:pt>
                <c:pt idx="42">
                  <c:v>1.2226273779961624E-2</c:v>
                </c:pt>
                <c:pt idx="43">
                  <c:v>1.2228347909515188E-2</c:v>
                </c:pt>
                <c:pt idx="44">
                  <c:v>1.2229257461029094E-2</c:v>
                </c:pt>
                <c:pt idx="45">
                  <c:v>1.2229647422843435E-2</c:v>
                </c:pt>
                <c:pt idx="46">
                  <c:v>1.2229812075483348E-2</c:v>
                </c:pt>
                <c:pt idx="47">
                  <c:v>1.2229881221264003E-2</c:v>
                </c:pt>
                <c:pt idx="48">
                  <c:v>1.2229910496466358E-2</c:v>
                </c:pt>
                <c:pt idx="49">
                  <c:v>1.2229923212979124E-2</c:v>
                </c:pt>
                <c:pt idx="50">
                  <c:v>1.2229928992144146E-2</c:v>
                </c:pt>
                <c:pt idx="51">
                  <c:v>1.222993178597543E-2</c:v>
                </c:pt>
                <c:pt idx="52">
                  <c:v>1.2229933233245588E-2</c:v>
                </c:pt>
                <c:pt idx="53">
                  <c:v>1.2229934032861631E-2</c:v>
                </c:pt>
                <c:pt idx="54">
                  <c:v>1.2229934497882474E-2</c:v>
                </c:pt>
                <c:pt idx="55">
                  <c:v>1.2229934778209734E-2</c:v>
                </c:pt>
                <c:pt idx="56">
                  <c:v>1.2229934951127352E-2</c:v>
                </c:pt>
                <c:pt idx="57">
                  <c:v>1.2229935059278874E-2</c:v>
                </c:pt>
                <c:pt idx="58">
                  <c:v>1.2229935127473357E-2</c:v>
                </c:pt>
                <c:pt idx="59">
                  <c:v>1.2229935170677697E-2</c:v>
                </c:pt>
                <c:pt idx="60">
                  <c:v>1.2229935198128527E-2</c:v>
                </c:pt>
                <c:pt idx="61">
                  <c:v>1.2229935215602969E-2</c:v>
                </c:pt>
                <c:pt idx="62">
                  <c:v>1.2229935226742185E-2</c:v>
                </c:pt>
                <c:pt idx="63">
                  <c:v>1.2229935233851194E-2</c:v>
                </c:pt>
                <c:pt idx="64">
                  <c:v>1.222993523839299E-2</c:v>
                </c:pt>
                <c:pt idx="65">
                  <c:v>1.2229935241297694E-2</c:v>
                </c:pt>
                <c:pt idx="66">
                  <c:v>1.222993524315738E-2</c:v>
                </c:pt>
                <c:pt idx="67">
                  <c:v>1.2229935244349319E-2</c:v>
                </c:pt>
                <c:pt idx="68">
                  <c:v>1.2229935245114145E-2</c:v>
                </c:pt>
                <c:pt idx="69">
                  <c:v>1.2229935245605485E-2</c:v>
                </c:pt>
                <c:pt idx="70">
                  <c:v>1.2229935245921513E-2</c:v>
                </c:pt>
                <c:pt idx="71">
                  <c:v>1.2229935246125036E-2</c:v>
                </c:pt>
                <c:pt idx="72">
                  <c:v>1.2229935246256273E-2</c:v>
                </c:pt>
                <c:pt idx="73">
                  <c:v>1.2229935246341009E-2</c:v>
                </c:pt>
                <c:pt idx="74">
                  <c:v>1.2229935246395795E-2</c:v>
                </c:pt>
                <c:pt idx="75">
                  <c:v>1.2229935246431265E-2</c:v>
                </c:pt>
                <c:pt idx="76">
                  <c:v>1.2229935246454261E-2</c:v>
                </c:pt>
                <c:pt idx="77">
                  <c:v>1.222993524646919E-2</c:v>
                </c:pt>
                <c:pt idx="78">
                  <c:v>1.2229935246478895E-2</c:v>
                </c:pt>
                <c:pt idx="79">
                  <c:v>1.2229935246485215E-2</c:v>
                </c:pt>
                <c:pt idx="80">
                  <c:v>1.2229935246489335E-2</c:v>
                </c:pt>
                <c:pt idx="81">
                  <c:v>1.2229935246492026E-2</c:v>
                </c:pt>
                <c:pt idx="82">
                  <c:v>1.2229935246493785E-2</c:v>
                </c:pt>
                <c:pt idx="83">
                  <c:v>1.2229935246494936E-2</c:v>
                </c:pt>
                <c:pt idx="84">
                  <c:v>1.2229935246495693E-2</c:v>
                </c:pt>
                <c:pt idx="85">
                  <c:v>1.2229935246496189E-2</c:v>
                </c:pt>
                <c:pt idx="86">
                  <c:v>1.2229935246496515E-2</c:v>
                </c:pt>
                <c:pt idx="87">
                  <c:v>1.222993524649673E-2</c:v>
                </c:pt>
                <c:pt idx="88">
                  <c:v>1.2229935246496872E-2</c:v>
                </c:pt>
                <c:pt idx="89">
                  <c:v>1.2229935246496966E-2</c:v>
                </c:pt>
                <c:pt idx="90">
                  <c:v>1.2229935246497028E-2</c:v>
                </c:pt>
                <c:pt idx="91">
                  <c:v>1.222993524649707E-2</c:v>
                </c:pt>
                <c:pt idx="92">
                  <c:v>1.2229935246497098E-2</c:v>
                </c:pt>
                <c:pt idx="93">
                  <c:v>1.2229935246497115E-2</c:v>
                </c:pt>
                <c:pt idx="94">
                  <c:v>1.2229935246497127E-2</c:v>
                </c:pt>
                <c:pt idx="95">
                  <c:v>1.2229935246497136E-2</c:v>
                </c:pt>
                <c:pt idx="96">
                  <c:v>1.2229935246497141E-2</c:v>
                </c:pt>
                <c:pt idx="97">
                  <c:v>1.2229935246497145E-2</c:v>
                </c:pt>
                <c:pt idx="98">
                  <c:v>1.2229935246497146E-2</c:v>
                </c:pt>
                <c:pt idx="99">
                  <c:v>1.2229935246497148E-2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603-4553-A2E5-8719A1E50EF6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  <c:pt idx="0">
                  <c:v>1.0424279563861188E-30</c:v>
                </c:pt>
                <c:pt idx="1">
                  <c:v>2.3601264031623437E-20</c:v>
                </c:pt>
                <c:pt idx="2">
                  <c:v>1.2685464580985187E-15</c:v>
                </c:pt>
                <c:pt idx="3">
                  <c:v>7.3506151754135975E-13</c:v>
                </c:pt>
                <c:pt idx="4">
                  <c:v>4.7360858924218582E-11</c:v>
                </c:pt>
                <c:pt idx="5">
                  <c:v>8.8224674545046602E-10</c:v>
                </c:pt>
                <c:pt idx="6">
                  <c:v>7.5892225112040728E-9</c:v>
                </c:pt>
                <c:pt idx="7">
                  <c:v>3.8919259087690104E-8</c:v>
                </c:pt>
                <c:pt idx="8">
                  <c:v>1.3852226468122379E-7</c:v>
                </c:pt>
                <c:pt idx="9">
                  <c:v>3.7706966081508118E-7</c:v>
                </c:pt>
                <c:pt idx="10">
                  <c:v>8.3809560096085246E-7</c:v>
                </c:pt>
                <c:pt idx="11">
                  <c:v>1.5926867337166145E-6</c:v>
                </c:pt>
                <c:pt idx="12">
                  <c:v>2.6760341217857754E-6</c:v>
                </c:pt>
                <c:pt idx="13">
                  <c:v>4.0767245234455338E-6</c:v>
                </c:pt>
                <c:pt idx="14">
                  <c:v>5.7423666189266347E-6</c:v>
                </c:pt>
                <c:pt idx="15">
                  <c:v>7.5995411167427906E-6</c:v>
                </c:pt>
                <c:pt idx="16">
                  <c:v>9.5841925664118232E-6</c:v>
                </c:pt>
                <c:pt idx="17">
                  <c:v>1.1677730262322464E-5</c:v>
                </c:pt>
                <c:pt idx="18">
                  <c:v>1.3941225581476634E-5</c:v>
                </c:pt>
                <c:pt idx="19">
                  <c:v>1.6536001301386938E-5</c:v>
                </c:pt>
                <c:pt idx="20">
                  <c:v>1.9718116086149103E-5</c:v>
                </c:pt>
                <c:pt idx="21">
                  <c:v>2.380046540200895E-5</c:v>
                </c:pt>
                <c:pt idx="22">
                  <c:v>2.908814394865227E-5</c:v>
                </c:pt>
                <c:pt idx="23">
                  <c:v>3.5804327084623402E-5</c:v>
                </c:pt>
                <c:pt idx="24">
                  <c:v>4.4028844536646263E-5</c:v>
                </c:pt>
                <c:pt idx="25">
                  <c:v>5.3667413973331397E-5</c:v>
                </c:pt>
                <c:pt idx="26">
                  <c:v>6.4458745532491399E-5</c:v>
                </c:pt>
                <c:pt idx="27">
                  <c:v>7.6014731317925916E-5</c:v>
                </c:pt>
                <c:pt idx="28">
                  <c:v>8.7880484225947553E-5</c:v>
                </c:pt>
                <c:pt idx="29">
                  <c:v>9.9598280166468344E-5</c:v>
                </c:pt>
                <c:pt idx="30">
                  <c:v>1.1076191026186228E-4</c:v>
                </c:pt>
                <c:pt idx="31">
                  <c:v>1.210533452973931E-4</c:v>
                </c:pt>
                <c:pt idx="32">
                  <c:v>1.3025948993664651E-4</c:v>
                </c:pt>
                <c:pt idx="33">
                  <c:v>1.3827140417263861E-4</c:v>
                </c:pt>
                <c:pt idx="34">
                  <c:v>1.4507095392485368E-4</c:v>
                </c:pt>
                <c:pt idx="35">
                  <c:v>1.5071052043357904E-4</c:v>
                </c:pt>
                <c:pt idx="36">
                  <c:v>1.5529071113809525E-4</c:v>
                </c:pt>
                <c:pt idx="37">
                  <c:v>1.5893964434983041E-4</c:v>
                </c:pt>
                <c:pt idx="38">
                  <c:v>1.6179588074414803E-4</c:v>
                </c:pt>
                <c:pt idx="39">
                  <c:v>1.6399579529508175E-4</c:v>
                </c:pt>
                <c:pt idx="40">
                  <c:v>1.6566527499187691E-4</c:v>
                </c:pt>
                <c:pt idx="41">
                  <c:v>1.6691509929105615E-4</c:v>
                </c:pt>
                <c:pt idx="42">
                  <c:v>1.6783914191230206E-4</c:v>
                </c:pt>
                <c:pt idx="43">
                  <c:v>1.6851452725841413E-4</c:v>
                </c:pt>
                <c:pt idx="44">
                  <c:v>1.6900299076408326E-4</c:v>
                </c:pt>
                <c:pt idx="45">
                  <c:v>1.6935285892709614E-4</c:v>
                </c:pt>
                <c:pt idx="46">
                  <c:v>1.6960123489884662E-4</c:v>
                </c:pt>
                <c:pt idx="47">
                  <c:v>1.6977612359895527E-4</c:v>
                </c:pt>
                <c:pt idx="48">
                  <c:v>1.6989834604401609E-4</c:v>
                </c:pt>
                <c:pt idx="49">
                  <c:v>1.6998317529037395E-4</c:v>
                </c:pt>
                <c:pt idx="50">
                  <c:v>1.7004168051450082E-4</c:v>
                </c:pt>
                <c:pt idx="51">
                  <c:v>1.7008179763185264E-4</c:v>
                </c:pt>
                <c:pt idx="52">
                  <c:v>1.7010916084051936E-4</c:v>
                </c:pt>
                <c:pt idx="53">
                  <c:v>1.7012773499675742E-4</c:v>
                </c:pt>
                <c:pt idx="54">
                  <c:v>1.7014028796640611E-4</c:v>
                </c:pt>
                <c:pt idx="55">
                  <c:v>1.7014873801717446E-4</c:v>
                </c:pt>
                <c:pt idx="56">
                  <c:v>1.7015440587426814E-4</c:v>
                </c:pt>
                <c:pt idx="57">
                  <c:v>1.7015819543717315E-4</c:v>
                </c:pt>
                <c:pt idx="58">
                  <c:v>1.7016072198815382E-4</c:v>
                </c:pt>
                <c:pt idx="59">
                  <c:v>1.7016240229824578E-4</c:v>
                </c:pt>
                <c:pt idx="60">
                  <c:v>1.7016351742471376E-4</c:v>
                </c:pt>
                <c:pt idx="61">
                  <c:v>1.7016425614800959E-4</c:v>
                </c:pt>
                <c:pt idx="62">
                  <c:v>1.701647448144637E-4</c:v>
                </c:pt>
                <c:pt idx="63">
                  <c:v>1.7016506771482006E-4</c:v>
                </c:pt>
                <c:pt idx="64">
                  <c:v>1.7016528092399802E-4</c:v>
                </c:pt>
                <c:pt idx="65">
                  <c:v>1.7016542165393178E-4</c:v>
                </c:pt>
                <c:pt idx="66">
                  <c:v>1.7016551454623253E-4</c:v>
                </c:pt>
                <c:pt idx="67">
                  <c:v>1.7016557588915449E-4</c:v>
                </c:pt>
                <c:pt idx="68">
                  <c:v>1.7016561643353836E-4</c:v>
                </c:pt>
                <c:pt idx="69">
                  <c:v>1.7016564326727333E-4</c:v>
                </c:pt>
                <c:pt idx="70">
                  <c:v>1.7016566105957785E-4</c:v>
                </c:pt>
                <c:pt idx="71">
                  <c:v>1.7016567288495035E-4</c:v>
                </c:pt>
                <c:pt idx="72">
                  <c:v>1.7016568076763441E-4</c:v>
                </c:pt>
                <c:pt idx="73">
                  <c:v>1.7016568604076094E-4</c:v>
                </c:pt>
                <c:pt idx="74">
                  <c:v>1.7016568958290042E-4</c:v>
                </c:pt>
                <c:pt idx="75">
                  <c:v>1.7016569197369146E-4</c:v>
                </c:pt>
                <c:pt idx="76">
                  <c:v>1.7016569359614412E-4</c:v>
                </c:pt>
                <c:pt idx="77">
                  <c:v>1.7016569470385521E-4</c:v>
                </c:pt>
                <c:pt idx="78">
                  <c:v>1.70165695465162E-4</c:v>
                </c:pt>
                <c:pt idx="79">
                  <c:v>1.7016569599215148E-4</c:v>
                </c:pt>
                <c:pt idx="80">
                  <c:v>1.7016569635972954E-4</c:v>
                </c:pt>
                <c:pt idx="81">
                  <c:v>1.7016569661816748E-4</c:v>
                </c:pt>
                <c:pt idx="82">
                  <c:v>1.7016569680136762E-4</c:v>
                </c:pt>
                <c:pt idx="83">
                  <c:v>1.7016569693231818E-4</c:v>
                </c:pt>
                <c:pt idx="84">
                  <c:v>1.7016569702670139E-4</c:v>
                </c:pt>
                <c:pt idx="85">
                  <c:v>1.7016569709528615E-4</c:v>
                </c:pt>
                <c:pt idx="86">
                  <c:v>1.7016569714552006E-4</c:v>
                </c:pt>
                <c:pt idx="87">
                  <c:v>1.7016569718259259E-4</c:v>
                </c:pt>
                <c:pt idx="88">
                  <c:v>1.7016569721014829E-4</c:v>
                </c:pt>
                <c:pt idx="89">
                  <c:v>1.7016569723076738E-4</c:v>
                </c:pt>
                <c:pt idx="90">
                  <c:v>1.7016569724629155E-4</c:v>
                </c:pt>
                <c:pt idx="91">
                  <c:v>1.7016569725804615E-4</c:v>
                </c:pt>
                <c:pt idx="92">
                  <c:v>1.7016569726699255E-4</c:v>
                </c:pt>
                <c:pt idx="93">
                  <c:v>1.7016569727383354E-4</c:v>
                </c:pt>
                <c:pt idx="94">
                  <c:v>1.7016569727908675E-4</c:v>
                </c:pt>
                <c:pt idx="95">
                  <c:v>1.7016569728313605E-4</c:v>
                </c:pt>
                <c:pt idx="96">
                  <c:v>1.7016569728626807E-4</c:v>
                </c:pt>
                <c:pt idx="97">
                  <c:v>1.7016569728869809E-4</c:v>
                </c:pt>
                <c:pt idx="98">
                  <c:v>1.7016569729058869E-4</c:v>
                </c:pt>
                <c:pt idx="99">
                  <c:v>1.7016569729206332E-4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603-4553-A2E5-8719A1E50EF6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  <c:pt idx="0">
                  <c:v>1.2316947522682982E-11</c:v>
                </c:pt>
                <c:pt idx="1">
                  <c:v>4.055714707921163E-8</c:v>
                </c:pt>
                <c:pt idx="2">
                  <c:v>2.6900483953690383E-6</c:v>
                </c:pt>
                <c:pt idx="3">
                  <c:v>2.9364056348670537E-5</c:v>
                </c:pt>
                <c:pt idx="4">
                  <c:v>1.3305165110405722E-4</c:v>
                </c:pt>
                <c:pt idx="5">
                  <c:v>3.6897169872646162E-4</c:v>
                </c:pt>
                <c:pt idx="6">
                  <c:v>7.5632308662352361E-4</c:v>
                </c:pt>
                <c:pt idx="7">
                  <c:v>1.2723879350368908E-3</c:v>
                </c:pt>
                <c:pt idx="8">
                  <c:v>1.8718092903714607E-3</c:v>
                </c:pt>
                <c:pt idx="9">
                  <c:v>2.5081528761420847E-3</c:v>
                </c:pt>
                <c:pt idx="10">
                  <c:v>3.1468867895979749E-3</c:v>
                </c:pt>
                <c:pt idx="11">
                  <c:v>3.7734562940365626E-3</c:v>
                </c:pt>
                <c:pt idx="12">
                  <c:v>4.4010568115065698E-3</c:v>
                </c:pt>
                <c:pt idx="13">
                  <c:v>5.0533314029947776E-3</c:v>
                </c:pt>
                <c:pt idx="14">
                  <c:v>5.7207847243093508E-3</c:v>
                </c:pt>
                <c:pt idx="15">
                  <c:v>6.3640189065879548E-3</c:v>
                </c:pt>
                <c:pt idx="16">
                  <c:v>6.9598264731477125E-3</c:v>
                </c:pt>
                <c:pt idx="17">
                  <c:v>7.5139147367814779E-3</c:v>
                </c:pt>
                <c:pt idx="18">
                  <c:v>8.0400529760752786E-3</c:v>
                </c:pt>
                <c:pt idx="19">
                  <c:v>8.5454144121343816E-3</c:v>
                </c:pt>
                <c:pt idx="20">
                  <c:v>9.0308591722990678E-3</c:v>
                </c:pt>
                <c:pt idx="21">
                  <c:v>9.4973472185178112E-3</c:v>
                </c:pt>
                <c:pt idx="22">
                  <c:v>9.9545275913918065E-3</c:v>
                </c:pt>
                <c:pt idx="23">
                  <c:v>1.0431464354128266E-2</c:v>
                </c:pt>
                <c:pt idx="24">
                  <c:v>1.0985207429807763E-2</c:v>
                </c:pt>
                <c:pt idx="25">
                  <c:v>1.1696632005365665E-2</c:v>
                </c:pt>
                <c:pt idx="26">
                  <c:v>1.2645502315201871E-2</c:v>
                </c:pt>
                <c:pt idx="27">
                  <c:v>1.3871652470971874E-2</c:v>
                </c:pt>
                <c:pt idx="28">
                  <c:v>1.5344512504029469E-2</c:v>
                </c:pt>
                <c:pt idx="29">
                  <c:v>1.696227234288598E-2</c:v>
                </c:pt>
                <c:pt idx="30">
                  <c:v>1.8583269192200956E-2</c:v>
                </c:pt>
                <c:pt idx="31">
                  <c:v>2.0071826419306577E-2</c:v>
                </c:pt>
                <c:pt idx="32">
                  <c:v>2.1334915120610896E-2</c:v>
                </c:pt>
                <c:pt idx="33">
                  <c:v>2.2335951965951849E-2</c:v>
                </c:pt>
                <c:pt idx="34">
                  <c:v>2.3086932905109415E-2</c:v>
                </c:pt>
                <c:pt idx="35">
                  <c:v>2.362927247535233E-2</c:v>
                </c:pt>
                <c:pt idx="36">
                  <c:v>2.4014272177084503E-2</c:v>
                </c:pt>
                <c:pt idx="37">
                  <c:v>2.4289533710944257E-2</c:v>
                </c:pt>
                <c:pt idx="38">
                  <c:v>2.4492540109081511E-2</c:v>
                </c:pt>
                <c:pt idx="39">
                  <c:v>2.4649613969813928E-2</c:v>
                </c:pt>
                <c:pt idx="40">
                  <c:v>2.4777710493013441E-2</c:v>
                </c:pt>
                <c:pt idx="41">
                  <c:v>2.4887057804210681E-2</c:v>
                </c:pt>
                <c:pt idx="42">
                  <c:v>2.4983551598572223E-2</c:v>
                </c:pt>
                <c:pt idx="43">
                  <c:v>2.5070519171033232E-2</c:v>
                </c:pt>
                <c:pt idx="44">
                  <c:v>2.5149860256364759E-2</c:v>
                </c:pt>
                <c:pt idx="45">
                  <c:v>2.5222718232553367E-2</c:v>
                </c:pt>
                <c:pt idx="46">
                  <c:v>2.5289846975632038E-2</c:v>
                </c:pt>
                <c:pt idx="47">
                  <c:v>2.5351799949456636E-2</c:v>
                </c:pt>
                <c:pt idx="48">
                  <c:v>2.5409023355322552E-2</c:v>
                </c:pt>
                <c:pt idx="49">
                  <c:v>2.5461900667133372E-2</c:v>
                </c:pt>
                <c:pt idx="50">
                  <c:v>2.5510773757410982E-2</c:v>
                </c:pt>
                <c:pt idx="51">
                  <c:v>2.5555953192046905E-2</c:v>
                </c:pt>
                <c:pt idx="52">
                  <c:v>2.5597723647087327E-2</c:v>
                </c:pt>
                <c:pt idx="53">
                  <c:v>2.5636347147278069E-2</c:v>
                </c:pt>
                <c:pt idx="54">
                  <c:v>2.5672065311275076E-2</c:v>
                </c:pt>
                <c:pt idx="55">
                  <c:v>2.5705101113187995E-2</c:v>
                </c:pt>
                <c:pt idx="56">
                  <c:v>2.5735660379254649E-2</c:v>
                </c:pt>
                <c:pt idx="57">
                  <c:v>2.5763933116035431E-2</c:v>
                </c:pt>
                <c:pt idx="58">
                  <c:v>2.5790094715422748E-2</c:v>
                </c:pt>
                <c:pt idx="59">
                  <c:v>2.5814307060127641E-2</c:v>
                </c:pt>
                <c:pt idx="60">
                  <c:v>2.5836719543720431E-2</c:v>
                </c:pt>
                <c:pt idx="61">
                  <c:v>2.5857470014703836E-2</c:v>
                </c:pt>
                <c:pt idx="62">
                  <c:v>2.5876685651654591E-2</c:v>
                </c:pt>
                <c:pt idx="63">
                  <c:v>2.589448377503762E-2</c:v>
                </c:pt>
                <c:pt idx="64">
                  <c:v>2.5910972600389427E-2</c:v>
                </c:pt>
                <c:pt idx="65">
                  <c:v>2.5926251936959892E-2</c:v>
                </c:pt>
                <c:pt idx="66">
                  <c:v>2.5940413835477856E-2</c:v>
                </c:pt>
                <c:pt idx="67">
                  <c:v>2.5953543188396926E-2</c:v>
                </c:pt>
                <c:pt idx="68">
                  <c:v>2.5965718285742626E-2</c:v>
                </c:pt>
                <c:pt idx="69">
                  <c:v>2.5977011329491206E-2</c:v>
                </c:pt>
                <c:pt idx="70">
                  <c:v>2.5987488909247885E-2</c:v>
                </c:pt>
                <c:pt idx="71">
                  <c:v>2.5997212441845344E-2</c:v>
                </c:pt>
                <c:pt idx="72">
                  <c:v>2.6006238577346082E-2</c:v>
                </c:pt>
                <c:pt idx="73">
                  <c:v>2.6014619573800173E-2</c:v>
                </c:pt>
                <c:pt idx="74">
                  <c:v>2.6022403642981574E-2</c:v>
                </c:pt>
                <c:pt idx="75">
                  <c:v>2.6029635269200106E-2</c:v>
                </c:pt>
                <c:pt idx="76">
                  <c:v>2.6036355503163085E-2</c:v>
                </c:pt>
                <c:pt idx="77">
                  <c:v>2.6042602232740068E-2</c:v>
                </c:pt>
                <c:pt idx="78">
                  <c:v>2.6048410432367247E-2</c:v>
                </c:pt>
                <c:pt idx="79">
                  <c:v>2.6053812392714575E-2</c:v>
                </c:pt>
                <c:pt idx="80">
                  <c:v>2.6058837932129948E-2</c:v>
                </c:pt>
                <c:pt idx="81">
                  <c:v>2.6063514591270424E-2</c:v>
                </c:pt>
                <c:pt idx="82">
                  <c:v>2.6067867812230992E-2</c:v>
                </c:pt>
                <c:pt idx="83">
                  <c:v>2.6071921103387283E-2</c:v>
                </c:pt>
                <c:pt idx="84">
                  <c:v>2.6075696191079516E-2</c:v>
                </c:pt>
                <c:pt idx="85">
                  <c:v>2.6079213159181106E-2</c:v>
                </c:pt>
                <c:pt idx="86">
                  <c:v>2.608249057751667E-2</c:v>
                </c:pt>
                <c:pt idx="87">
                  <c:v>2.6085545620020644E-2</c:v>
                </c:pt>
                <c:pt idx="88">
                  <c:v>2.6088394173458748E-2</c:v>
                </c:pt>
                <c:pt idx="89">
                  <c:v>2.6091050937470765E-2</c:v>
                </c:pt>
                <c:pt idx="90">
                  <c:v>2.6093529516633341E-2</c:v>
                </c:pt>
                <c:pt idx="91">
                  <c:v>2.6095842505186435E-2</c:v>
                </c:pt>
                <c:pt idx="92">
                  <c:v>2.6098001565015745E-2</c:v>
                </c:pt>
                <c:pt idx="93">
                  <c:v>2.6100017497436085E-2</c:v>
                </c:pt>
                <c:pt idx="94">
                  <c:v>2.6101900309277001E-2</c:v>
                </c:pt>
                <c:pt idx="95">
                  <c:v>2.6103659273731289E-2</c:v>
                </c:pt>
                <c:pt idx="96">
                  <c:v>2.6105302986390005E-2</c:v>
                </c:pt>
                <c:pt idx="97">
                  <c:v>2.6106839416853128E-2</c:v>
                </c:pt>
                <c:pt idx="98">
                  <c:v>2.6108275956273207E-2</c:v>
                </c:pt>
                <c:pt idx="99">
                  <c:v>2.6109619461160576E-2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603-4553-A2E5-8719A1E50E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18B-4B3E-9C44-324FE6826D3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18B-4B3E-9C44-324FE6826D3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C913-4012-B173-E2A5730A8247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913-4012-B173-E2A5730A824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89A-4F6C-8DC3-468CC315E718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9A-4F6C-8DC3-468CC315E71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2814-42E1-8F13-9FA811DF19DD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14-42E1-8F13-9FA811DF19D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217-4364-B575-646FF08F612F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217-4364-B575-646FF08F612F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  <c:pt idx="0">
                  <c:v>8.7950924493197219E-12</c:v>
                </c:pt>
                <c:pt idx="1">
                  <c:v>4.5404518389829614E-7</c:v>
                </c:pt>
                <c:pt idx="2">
                  <c:v>3.9394991798378541E-5</c:v>
                </c:pt>
                <c:pt idx="3">
                  <c:v>4.2497452094915838E-4</c:v>
                </c:pt>
                <c:pt idx="4">
                  <c:v>1.8048416175060027E-3</c:v>
                </c:pt>
                <c:pt idx="5">
                  <c:v>4.6126135516255141E-3</c:v>
                </c:pt>
                <c:pt idx="6">
                  <c:v>8.6575422314003753E-3</c:v>
                </c:pt>
                <c:pt idx="7">
                  <c:v>1.3308958552305183E-2</c:v>
                </c:pt>
                <c:pt idx="8">
                  <c:v>1.7894614292669909E-2</c:v>
                </c:pt>
                <c:pt idx="9">
                  <c:v>2.194969357192262E-2</c:v>
                </c:pt>
                <c:pt idx="10">
                  <c:v>2.5264164688832715E-2</c:v>
                </c:pt>
                <c:pt idx="11">
                  <c:v>2.7820538924730801E-2</c:v>
                </c:pt>
                <c:pt idx="12">
                  <c:v>2.9708535513646786E-2</c:v>
                </c:pt>
                <c:pt idx="13">
                  <c:v>3.1058050716105706E-2</c:v>
                </c:pt>
                <c:pt idx="14">
                  <c:v>3.1999057334656279E-2</c:v>
                </c:pt>
                <c:pt idx="15">
                  <c:v>3.2642991880810122E-2</c:v>
                </c:pt>
                <c:pt idx="16">
                  <c:v>3.3077415172136138E-2</c:v>
                </c:pt>
                <c:pt idx="17">
                  <c:v>3.3367382051918151E-2</c:v>
                </c:pt>
                <c:pt idx="18">
                  <c:v>3.355940603814004E-2</c:v>
                </c:pt>
                <c:pt idx="19">
                  <c:v>3.3685847414346437E-2</c:v>
                </c:pt>
                <c:pt idx="20">
                  <c:v>3.3768777121555245E-2</c:v>
                </c:pt>
                <c:pt idx="21">
                  <c:v>3.3823030629671805E-2</c:v>
                </c:pt>
                <c:pt idx="22">
                  <c:v>3.3858473871142672E-2</c:v>
                </c:pt>
                <c:pt idx="23">
                  <c:v>3.3881617118373016E-2</c:v>
                </c:pt>
                <c:pt idx="24">
                  <c:v>3.3896732630388067E-2</c:v>
                </c:pt>
                <c:pt idx="25">
                  <c:v>3.3906613413546692E-2</c:v>
                </c:pt>
                <c:pt idx="26">
                  <c:v>3.3913081015633853E-2</c:v>
                </c:pt>
                <c:pt idx="27">
                  <c:v>3.3917321860831413E-2</c:v>
                </c:pt>
                <c:pt idx="28">
                  <c:v>3.3920108367202724E-2</c:v>
                </c:pt>
                <c:pt idx="29">
                  <c:v>3.3921943555867903E-2</c:v>
                </c:pt>
                <c:pt idx="30">
                  <c:v>3.3923155288888118E-2</c:v>
                </c:pt>
                <c:pt idx="31">
                  <c:v>3.3923957544757626E-2</c:v>
                </c:pt>
                <c:pt idx="32">
                  <c:v>3.3924490213934858E-2</c:v>
                </c:pt>
                <c:pt idx="33">
                  <c:v>3.3924844935184661E-2</c:v>
                </c:pt>
                <c:pt idx="34">
                  <c:v>3.3925081874688637E-2</c:v>
                </c:pt>
                <c:pt idx="35">
                  <c:v>3.3925240632511976E-2</c:v>
                </c:pt>
                <c:pt idx="36">
                  <c:v>3.3925347341128106E-2</c:v>
                </c:pt>
                <c:pt idx="37">
                  <c:v>3.3925419293242512E-2</c:v>
                </c:pt>
                <c:pt idx="38">
                  <c:v>3.3925467964785627E-2</c:v>
                </c:pt>
                <c:pt idx="39">
                  <c:v>3.3925500993942106E-2</c:v>
                </c:pt>
                <c:pt idx="40">
                  <c:v>3.3925523479841749E-2</c:v>
                </c:pt>
                <c:pt idx="41">
                  <c:v>3.3925538836967903E-2</c:v>
                </c:pt>
                <c:pt idx="42">
                  <c:v>3.3925549358776376E-2</c:v>
                </c:pt>
                <c:pt idx="43">
                  <c:v>3.3925556590523882E-2</c:v>
                </c:pt>
                <c:pt idx="44">
                  <c:v>3.3925561576593925E-2</c:v>
                </c:pt>
                <c:pt idx="45">
                  <c:v>3.392556502504504E-2</c:v>
                </c:pt>
                <c:pt idx="46">
                  <c:v>3.3925567417409895E-2</c:v>
                </c:pt>
                <c:pt idx="47">
                  <c:v>3.392556908218064E-2</c:v>
                </c:pt>
                <c:pt idx="48">
                  <c:v>3.3925570244138392E-2</c:v>
                </c:pt>
                <c:pt idx="49">
                  <c:v>3.3925571057567411E-2</c:v>
                </c:pt>
                <c:pt idx="50">
                  <c:v>3.3925571628686146E-2</c:v>
                </c:pt>
                <c:pt idx="51">
                  <c:v>3.3925572030841802E-2</c:v>
                </c:pt>
                <c:pt idx="52">
                  <c:v>3.3925572314833917E-2</c:v>
                </c:pt>
                <c:pt idx="53">
                  <c:v>3.3925572515949534E-2</c:v>
                </c:pt>
                <c:pt idx="54">
                  <c:v>3.3925572658771712E-2</c:v>
                </c:pt>
                <c:pt idx="55">
                  <c:v>3.3925572760475885E-2</c:v>
                </c:pt>
                <c:pt idx="56">
                  <c:v>3.392557283309617E-2</c:v>
                </c:pt>
                <c:pt idx="57">
                  <c:v>3.3925572885088122E-2</c:v>
                </c:pt>
                <c:pt idx="58">
                  <c:v>3.3925572922409379E-2</c:v>
                </c:pt>
                <c:pt idx="59">
                  <c:v>3.3925572949269095E-2</c:v>
                </c:pt>
                <c:pt idx="60">
                  <c:v>3.3925572968649141E-2</c:v>
                </c:pt>
                <c:pt idx="61">
                  <c:v>3.392557298266758E-2</c:v>
                </c:pt>
                <c:pt idx="62">
                  <c:v>3.3925572992832873E-2</c:v>
                </c:pt>
                <c:pt idx="63">
                  <c:v>3.3925573000222094E-2</c:v>
                </c:pt>
                <c:pt idx="64">
                  <c:v>3.3925573005606287E-2</c:v>
                </c:pt>
                <c:pt idx="65">
                  <c:v>3.3925573009538787E-2</c:v>
                </c:pt>
                <c:pt idx="66">
                  <c:v>3.3925573012417706E-2</c:v>
                </c:pt>
                <c:pt idx="67">
                  <c:v>3.3925573014530148E-2</c:v>
                </c:pt>
                <c:pt idx="68">
                  <c:v>3.3925573016083684E-2</c:v>
                </c:pt>
                <c:pt idx="69">
                  <c:v>3.3925573017228733E-2</c:v>
                </c:pt>
                <c:pt idx="70">
                  <c:v>3.3925573018074556E-2</c:v>
                </c:pt>
                <c:pt idx="71">
                  <c:v>3.3925573018700694E-2</c:v>
                </c:pt>
                <c:pt idx="72">
                  <c:v>3.3925573019165191E-2</c:v>
                </c:pt>
                <c:pt idx="73">
                  <c:v>3.3925573019510498E-2</c:v>
                </c:pt>
                <c:pt idx="74">
                  <c:v>3.392557301976773E-2</c:v>
                </c:pt>
                <c:pt idx="75">
                  <c:v>3.3925573019959743E-2</c:v>
                </c:pt>
                <c:pt idx="76">
                  <c:v>3.3925573020103357E-2</c:v>
                </c:pt>
                <c:pt idx="77">
                  <c:v>3.3925573020210986E-2</c:v>
                </c:pt>
                <c:pt idx="78">
                  <c:v>3.3925573020291803E-2</c:v>
                </c:pt>
                <c:pt idx="79">
                  <c:v>3.3925573020352602E-2</c:v>
                </c:pt>
                <c:pt idx="80">
                  <c:v>3.3925573020398427E-2</c:v>
                </c:pt>
                <c:pt idx="81">
                  <c:v>3.3925573020433031E-2</c:v>
                </c:pt>
                <c:pt idx="82">
                  <c:v>3.3925573020459211E-2</c:v>
                </c:pt>
                <c:pt idx="83">
                  <c:v>3.392557302047905E-2</c:v>
                </c:pt>
                <c:pt idx="84">
                  <c:v>3.3925573020494114E-2</c:v>
                </c:pt>
                <c:pt idx="85">
                  <c:v>3.392557302050557E-2</c:v>
                </c:pt>
                <c:pt idx="86">
                  <c:v>3.3925573020514299E-2</c:v>
                </c:pt>
                <c:pt idx="87">
                  <c:v>3.392557302052096E-2</c:v>
                </c:pt>
                <c:pt idx="88">
                  <c:v>3.3925573020526054E-2</c:v>
                </c:pt>
                <c:pt idx="89">
                  <c:v>3.3925573020529953E-2</c:v>
                </c:pt>
                <c:pt idx="90">
                  <c:v>3.3925573020532944E-2</c:v>
                </c:pt>
                <c:pt idx="91">
                  <c:v>3.3925573020535241E-2</c:v>
                </c:pt>
                <c:pt idx="92">
                  <c:v>3.392557302053701E-2</c:v>
                </c:pt>
                <c:pt idx="93">
                  <c:v>3.392557302053837E-2</c:v>
                </c:pt>
                <c:pt idx="94">
                  <c:v>3.3925573020539425E-2</c:v>
                </c:pt>
                <c:pt idx="95">
                  <c:v>3.3925573020540237E-2</c:v>
                </c:pt>
                <c:pt idx="96">
                  <c:v>3.3925573020540868E-2</c:v>
                </c:pt>
                <c:pt idx="97">
                  <c:v>3.3925573020541354E-2</c:v>
                </c:pt>
                <c:pt idx="98">
                  <c:v>3.3925573020541736E-2</c:v>
                </c:pt>
                <c:pt idx="99">
                  <c:v>3.3925573020542027E-2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564-42FC-B3E8-B352AAE82B67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  <c:pt idx="0">
                  <c:v>7.3532877572814274E-12</c:v>
                </c:pt>
                <c:pt idx="1">
                  <c:v>1.2429990050211602E-8</c:v>
                </c:pt>
                <c:pt idx="2">
                  <c:v>4.0634638656644386E-7</c:v>
                </c:pt>
                <c:pt idx="3">
                  <c:v>3.4775855749357011E-6</c:v>
                </c:pt>
                <c:pt idx="4">
                  <c:v>1.4299897860267187E-5</c:v>
                </c:pt>
                <c:pt idx="5">
                  <c:v>4.1169362806443388E-5</c:v>
                </c:pt>
                <c:pt idx="6">
                  <c:v>9.8874967669693184E-5</c:v>
                </c:pt>
                <c:pt idx="7">
                  <c:v>1.9802986043904999E-4</c:v>
                </c:pt>
                <c:pt idx="8">
                  <c:v>3.4534593417326809E-4</c:v>
                </c:pt>
                <c:pt idx="9">
                  <c:v>5.425910281818512E-4</c:v>
                </c:pt>
                <c:pt idx="10">
                  <c:v>7.8444883124617908E-4</c:v>
                </c:pt>
                <c:pt idx="11">
                  <c:v>1.0581871275392885E-3</c:v>
                </c:pt>
                <c:pt idx="12">
                  <c:v>1.357105325124178E-3</c:v>
                </c:pt>
                <c:pt idx="13">
                  <c:v>1.692506161197975E-3</c:v>
                </c:pt>
                <c:pt idx="14">
                  <c:v>2.0571509980503245E-3</c:v>
                </c:pt>
                <c:pt idx="15">
                  <c:v>2.4425888140902317E-3</c:v>
                </c:pt>
                <c:pt idx="16">
                  <c:v>2.8391287087487327E-3</c:v>
                </c:pt>
                <c:pt idx="17">
                  <c:v>3.2330752657098211E-3</c:v>
                </c:pt>
                <c:pt idx="18">
                  <c:v>3.6198829407785528E-3</c:v>
                </c:pt>
                <c:pt idx="19">
                  <c:v>3.9955142974016904E-3</c:v>
                </c:pt>
                <c:pt idx="20">
                  <c:v>4.356609577994006E-3</c:v>
                </c:pt>
                <c:pt idx="21">
                  <c:v>4.7005522376440201E-3</c:v>
                </c:pt>
                <c:pt idx="22">
                  <c:v>5.0260741198271145E-3</c:v>
                </c:pt>
                <c:pt idx="23">
                  <c:v>5.3371473185814672E-3</c:v>
                </c:pt>
                <c:pt idx="24">
                  <c:v>5.6324036794488603E-3</c:v>
                </c:pt>
                <c:pt idx="25">
                  <c:v>5.9109102379295304E-3</c:v>
                </c:pt>
                <c:pt idx="26">
                  <c:v>6.1721352524329526E-3</c:v>
                </c:pt>
                <c:pt idx="27">
                  <c:v>6.4159003035412507E-3</c:v>
                </c:pt>
                <c:pt idx="28">
                  <c:v>6.6423260553696061E-3</c:v>
                </c:pt>
                <c:pt idx="29">
                  <c:v>6.8517770377328679E-3</c:v>
                </c:pt>
                <c:pt idx="30">
                  <c:v>7.0431290458384081E-3</c:v>
                </c:pt>
                <c:pt idx="31">
                  <c:v>7.2176728412559378E-3</c:v>
                </c:pt>
                <c:pt idx="32">
                  <c:v>7.3766642071596382E-3</c:v>
                </c:pt>
                <c:pt idx="33">
                  <c:v>7.5212986977440475E-3</c:v>
                </c:pt>
                <c:pt idx="34">
                  <c:v>7.6527110761390078E-3</c:v>
                </c:pt>
                <c:pt idx="35">
                  <c:v>7.772030140873216E-3</c:v>
                </c:pt>
                <c:pt idx="36">
                  <c:v>7.8804495479776748E-3</c:v>
                </c:pt>
                <c:pt idx="37">
                  <c:v>7.9788864441467048E-3</c:v>
                </c:pt>
                <c:pt idx="38">
                  <c:v>8.068193784712312E-3</c:v>
                </c:pt>
                <c:pt idx="39">
                  <c:v>8.1491632133264894E-3</c:v>
                </c:pt>
                <c:pt idx="40">
                  <c:v>8.2225278413399286E-3</c:v>
                </c:pt>
                <c:pt idx="41">
                  <c:v>8.288965028586625E-3</c:v>
                </c:pt>
                <c:pt idx="42">
                  <c:v>8.3490992078368974E-3</c:v>
                </c:pt>
                <c:pt idx="43">
                  <c:v>8.4035047588412147E-3</c:v>
                </c:pt>
                <c:pt idx="44">
                  <c:v>8.4527089171713404E-3</c:v>
                </c:pt>
                <c:pt idx="45">
                  <c:v>8.4971946927037672E-3</c:v>
                </c:pt>
                <c:pt idx="46">
                  <c:v>8.5373785711122304E-3</c:v>
                </c:pt>
                <c:pt idx="47">
                  <c:v>8.573485564826273E-3</c:v>
                </c:pt>
                <c:pt idx="48">
                  <c:v>8.6059384150654148E-3</c:v>
                </c:pt>
                <c:pt idx="49">
                  <c:v>8.6351152291363024E-3</c:v>
                </c:pt>
                <c:pt idx="50">
                  <c:v>8.6613543009023478E-3</c:v>
                </c:pt>
                <c:pt idx="51">
                  <c:v>8.6849342696280474E-3</c:v>
                </c:pt>
                <c:pt idx="52">
                  <c:v>8.706107365806133E-3</c:v>
                </c:pt>
                <c:pt idx="53">
                  <c:v>8.7251256325311232E-3</c:v>
                </c:pt>
                <c:pt idx="54">
                  <c:v>8.7422142437091239E-3</c:v>
                </c:pt>
                <c:pt idx="55">
                  <c:v>8.7575743977827327E-3</c:v>
                </c:pt>
                <c:pt idx="56">
                  <c:v>8.7713858982999496E-3</c:v>
                </c:pt>
                <c:pt idx="57">
                  <c:v>8.7838094555395749E-3</c:v>
                </c:pt>
                <c:pt idx="58">
                  <c:v>8.7949887394934926E-3</c:v>
                </c:pt>
                <c:pt idx="59">
                  <c:v>8.805052211113551E-3</c:v>
                </c:pt>
                <c:pt idx="60">
                  <c:v>8.8141147557651515E-3</c:v>
                </c:pt>
                <c:pt idx="61">
                  <c:v>8.8222791402209674E-3</c:v>
                </c:pt>
                <c:pt idx="62">
                  <c:v>8.8296373122220828E-3</c:v>
                </c:pt>
                <c:pt idx="63">
                  <c:v>8.8362715595874247E-3</c:v>
                </c:pt>
                <c:pt idx="64">
                  <c:v>8.8422555440313706E-3</c:v>
                </c:pt>
                <c:pt idx="65">
                  <c:v>8.8476552232257168E-3</c:v>
                </c:pt>
                <c:pt idx="66">
                  <c:v>8.8525296731924493E-3</c:v>
                </c:pt>
                <c:pt idx="67">
                  <c:v>8.8569235777035873E-3</c:v>
                </c:pt>
                <c:pt idx="68">
                  <c:v>8.860877920664794E-3</c:v>
                </c:pt>
                <c:pt idx="69">
                  <c:v>8.8644384839002763E-3</c:v>
                </c:pt>
                <c:pt idx="70">
                  <c:v>8.8676461074984596E-3</c:v>
                </c:pt>
                <c:pt idx="71">
                  <c:v>8.8705372399225154E-3</c:v>
                </c:pt>
                <c:pt idx="72">
                  <c:v>8.8731444253071484E-3</c:v>
                </c:pt>
                <c:pt idx="73">
                  <c:v>8.8754967352531102E-3</c:v>
                </c:pt>
                <c:pt idx="74">
                  <c:v>8.8776201515697283E-3</c:v>
                </c:pt>
                <c:pt idx="75">
                  <c:v>8.8795379056562304E-3</c:v>
                </c:pt>
                <c:pt idx="76">
                  <c:v>8.8812707795430119E-3</c:v>
                </c:pt>
                <c:pt idx="77">
                  <c:v>8.8828373730235628E-3</c:v>
                </c:pt>
                <c:pt idx="78">
                  <c:v>8.8842543407872832E-3</c:v>
                </c:pt>
                <c:pt idx="79">
                  <c:v>8.8855366030046387E-3</c:v>
                </c:pt>
                <c:pt idx="80">
                  <c:v>8.8866955292851157E-3</c:v>
                </c:pt>
                <c:pt idx="81">
                  <c:v>8.8877416415931495E-3</c:v>
                </c:pt>
                <c:pt idx="82">
                  <c:v>8.88868640950005E-3</c:v>
                </c:pt>
                <c:pt idx="83">
                  <c:v>8.8895383389200212E-3</c:v>
                </c:pt>
                <c:pt idx="84">
                  <c:v>8.8903060247002008E-3</c:v>
                </c:pt>
                <c:pt idx="85">
                  <c:v>8.8909981486588758E-3</c:v>
                </c:pt>
                <c:pt idx="86">
                  <c:v>8.891622464378527E-3</c:v>
                </c:pt>
                <c:pt idx="87">
                  <c:v>8.892185899651215E-3</c:v>
                </c:pt>
                <c:pt idx="88">
                  <c:v>8.8926946473217392E-3</c:v>
                </c:pt>
                <c:pt idx="89">
                  <c:v>8.8931542458668914E-3</c:v>
                </c:pt>
                <c:pt idx="90">
                  <c:v>8.8935696508935166E-3</c:v>
                </c:pt>
                <c:pt idx="91">
                  <c:v>8.8939452986004155E-3</c:v>
                </c:pt>
                <c:pt idx="92">
                  <c:v>8.8942851621273845E-3</c:v>
                </c:pt>
                <c:pt idx="93">
                  <c:v>8.8945928016071797E-3</c:v>
                </c:pt>
                <c:pt idx="94">
                  <c:v>8.8948714086411369E-3</c:v>
                </c:pt>
                <c:pt idx="95">
                  <c:v>8.895123845835351E-3</c:v>
                </c:pt>
                <c:pt idx="96">
                  <c:v>8.8953526819602127E-3</c:v>
                </c:pt>
                <c:pt idx="97">
                  <c:v>8.8955602232307484E-3</c:v>
                </c:pt>
                <c:pt idx="98">
                  <c:v>8.8957485411475141E-3</c:v>
                </c:pt>
                <c:pt idx="99">
                  <c:v>8.8959194972868735E-3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564-42FC-B3E8-B352AAE82B67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  <c:pt idx="0">
                  <c:v>2.6889285168017565E-54</c:v>
                </c:pt>
                <c:pt idx="1">
                  <c:v>3.9253172567929716E-34</c:v>
                </c:pt>
                <c:pt idx="2">
                  <c:v>9.3547292952387426E-25</c:v>
                </c:pt>
                <c:pt idx="3">
                  <c:v>3.4811209931031692E-19</c:v>
                </c:pt>
                <c:pt idx="4">
                  <c:v>1.7537311341575859E-15</c:v>
                </c:pt>
                <c:pt idx="5">
                  <c:v>7.3871628042521276E-13</c:v>
                </c:pt>
                <c:pt idx="6">
                  <c:v>6.4428450916520992E-11</c:v>
                </c:pt>
                <c:pt idx="7">
                  <c:v>1.940010109952467E-9</c:v>
                </c:pt>
                <c:pt idx="8">
                  <c:v>2.7657150798389843E-8</c:v>
                </c:pt>
                <c:pt idx="9">
                  <c:v>2.4340693953326314E-7</c:v>
                </c:pt>
                <c:pt idx="10">
                  <c:v>1.8839248357116458E-6</c:v>
                </c:pt>
                <c:pt idx="11">
                  <c:v>1.3186370153693096E-5</c:v>
                </c:pt>
                <c:pt idx="12">
                  <c:v>6.1783707624524611E-5</c:v>
                </c:pt>
                <c:pt idx="13">
                  <c:v>1.8083747117247261E-4</c:v>
                </c:pt>
                <c:pt idx="14">
                  <c:v>3.6057522541421049E-4</c:v>
                </c:pt>
                <c:pt idx="15">
                  <c:v>5.5081873511374983E-4</c:v>
                </c:pt>
                <c:pt idx="16">
                  <c:v>6.9023970796960876E-4</c:v>
                </c:pt>
                <c:pt idx="17">
                  <c:v>8.1199226253218034E-4</c:v>
                </c:pt>
                <c:pt idx="18">
                  <c:v>9.2725665527293845E-4</c:v>
                </c:pt>
                <c:pt idx="19">
                  <c:v>1.0412338824369112E-3</c:v>
                </c:pt>
                <c:pt idx="20">
                  <c:v>1.1528719431867088E-3</c:v>
                </c:pt>
                <c:pt idx="21">
                  <c:v>1.2611442706180215E-3</c:v>
                </c:pt>
                <c:pt idx="22">
                  <c:v>1.3747157979524193E-3</c:v>
                </c:pt>
                <c:pt idx="23">
                  <c:v>1.523394146292575E-3</c:v>
                </c:pt>
                <c:pt idx="24">
                  <c:v>1.7637002970255513E-3</c:v>
                </c:pt>
                <c:pt idx="25">
                  <c:v>2.1742386667236548E-3</c:v>
                </c:pt>
                <c:pt idx="26">
                  <c:v>2.8456146966357107E-3</c:v>
                </c:pt>
                <c:pt idx="27">
                  <c:v>3.8224260976125208E-3</c:v>
                </c:pt>
                <c:pt idx="28">
                  <c:v>5.076408156116265E-3</c:v>
                </c:pt>
                <c:pt idx="29">
                  <c:v>6.5034434522260086E-3</c:v>
                </c:pt>
                <c:pt idx="30">
                  <c:v>7.9552221572843484E-3</c:v>
                </c:pt>
                <c:pt idx="31">
                  <c:v>9.2876369651858151E-3</c:v>
                </c:pt>
                <c:pt idx="32">
                  <c:v>1.0400534584325813E-2</c:v>
                </c:pt>
                <c:pt idx="33">
                  <c:v>1.1250365234355407E-2</c:v>
                </c:pt>
                <c:pt idx="34">
                  <c:v>1.1845505773523503E-2</c:v>
                </c:pt>
                <c:pt idx="35">
                  <c:v>1.2234221721604946E-2</c:v>
                </c:pt>
                <c:pt idx="36">
                  <c:v>1.2472386463672661E-2</c:v>
                </c:pt>
                <c:pt idx="37">
                  <c:v>1.2609995565085914E-2</c:v>
                </c:pt>
                <c:pt idx="38">
                  <c:v>1.2685339260420113E-2</c:v>
                </c:pt>
                <c:pt idx="39">
                  <c:v>1.2724606046839226E-2</c:v>
                </c:pt>
                <c:pt idx="40">
                  <c:v>1.2744167842224647E-2</c:v>
                </c:pt>
                <c:pt idx="41">
                  <c:v>1.2753520694941869E-2</c:v>
                </c:pt>
                <c:pt idx="42">
                  <c:v>1.2757829521873326E-2</c:v>
                </c:pt>
                <c:pt idx="43">
                  <c:v>1.2759750177410828E-2</c:v>
                </c:pt>
                <c:pt idx="44">
                  <c:v>1.2760582353431926E-2</c:v>
                </c:pt>
                <c:pt idx="45">
                  <c:v>1.2760935453750557E-2</c:v>
                </c:pt>
                <c:pt idx="46">
                  <c:v>1.2761084095506862E-2</c:v>
                </c:pt>
                <c:pt idx="47">
                  <c:v>1.276114631090439E-2</c:v>
                </c:pt>
                <c:pt idx="48">
                  <c:v>1.2761172515320395E-2</c:v>
                </c:pt>
                <c:pt idx="49">
                  <c:v>1.2761183826308987E-2</c:v>
                </c:pt>
                <c:pt idx="50">
                  <c:v>1.2761188933310652E-2</c:v>
                </c:pt>
                <c:pt idx="51">
                  <c:v>1.2761191385582592E-2</c:v>
                </c:pt>
                <c:pt idx="52">
                  <c:v>1.276119264705154E-2</c:v>
                </c:pt>
                <c:pt idx="53">
                  <c:v>1.2761193338965627E-2</c:v>
                </c:pt>
                <c:pt idx="54">
                  <c:v>1.2761193738329063E-2</c:v>
                </c:pt>
                <c:pt idx="55">
                  <c:v>1.2761193977201397E-2</c:v>
                </c:pt>
                <c:pt idx="56">
                  <c:v>1.2761194123359571E-2</c:v>
                </c:pt>
                <c:pt idx="57">
                  <c:v>1.276119421401189E-2</c:v>
                </c:pt>
                <c:pt idx="58">
                  <c:v>1.2761194270679939E-2</c:v>
                </c:pt>
                <c:pt idx="59">
                  <c:v>1.2761194306262841E-2</c:v>
                </c:pt>
                <c:pt idx="60">
                  <c:v>1.2761194328564828E-2</c:v>
                </c:pt>
                <c:pt idx="61">
                  <c:v>1.2761194342571289E-2</c:v>
                </c:pt>
                <c:pt idx="62">
                  <c:v>1.2761194351382102E-2</c:v>
                </c:pt>
                <c:pt idx="63">
                  <c:v>1.2761194356932083E-2</c:v>
                </c:pt>
                <c:pt idx="64">
                  <c:v>1.2761194360432363E-2</c:v>
                </c:pt>
                <c:pt idx="65">
                  <c:v>1.2761194362642558E-2</c:v>
                </c:pt>
                <c:pt idx="66">
                  <c:v>1.2761194364039805E-2</c:v>
                </c:pt>
                <c:pt idx="67">
                  <c:v>1.2761194364924176E-2</c:v>
                </c:pt>
                <c:pt idx="68">
                  <c:v>1.2761194365484611E-2</c:v>
                </c:pt>
                <c:pt idx="69">
                  <c:v>1.2761194365840205E-2</c:v>
                </c:pt>
                <c:pt idx="70">
                  <c:v>1.2761194366066115E-2</c:v>
                </c:pt>
                <c:pt idx="71">
                  <c:v>1.2761194366209889E-2</c:v>
                </c:pt>
                <c:pt idx="72">
                  <c:v>1.2761194366301569E-2</c:v>
                </c:pt>
                <c:pt idx="73">
                  <c:v>1.2761194366360111E-2</c:v>
                </c:pt>
                <c:pt idx="74">
                  <c:v>1.2761194366397544E-2</c:v>
                </c:pt>
                <c:pt idx="75">
                  <c:v>1.2761194366421501E-2</c:v>
                </c:pt>
                <c:pt idx="76">
                  <c:v>1.2761194366436843E-2</c:v>
                </c:pt>
                <c:pt idx="77">
                  <c:v>1.2761194366446682E-2</c:v>
                </c:pt>
                <c:pt idx="78">
                  <c:v>1.2761194366453002E-2</c:v>
                </c:pt>
                <c:pt idx="79">
                  <c:v>1.2761194366457068E-2</c:v>
                </c:pt>
                <c:pt idx="80">
                  <c:v>1.2761194366459687E-2</c:v>
                </c:pt>
                <c:pt idx="81">
                  <c:v>1.2761194366461377E-2</c:v>
                </c:pt>
                <c:pt idx="82">
                  <c:v>1.276119436646247E-2</c:v>
                </c:pt>
                <c:pt idx="83">
                  <c:v>1.2761194366463176E-2</c:v>
                </c:pt>
                <c:pt idx="84">
                  <c:v>1.2761194366463634E-2</c:v>
                </c:pt>
                <c:pt idx="85">
                  <c:v>1.276119436646393E-2</c:v>
                </c:pt>
                <c:pt idx="86">
                  <c:v>1.2761194366464123E-2</c:v>
                </c:pt>
                <c:pt idx="87">
                  <c:v>1.276119436646425E-2</c:v>
                </c:pt>
                <c:pt idx="88">
                  <c:v>1.2761194366464331E-2</c:v>
                </c:pt>
                <c:pt idx="89">
                  <c:v>1.2761194366464385E-2</c:v>
                </c:pt>
                <c:pt idx="90">
                  <c:v>1.276119436646442E-2</c:v>
                </c:pt>
                <c:pt idx="91">
                  <c:v>1.2761194366464442E-2</c:v>
                </c:pt>
                <c:pt idx="92">
                  <c:v>1.2761194366464458E-2</c:v>
                </c:pt>
                <c:pt idx="93">
                  <c:v>1.2761194366464468E-2</c:v>
                </c:pt>
                <c:pt idx="94">
                  <c:v>1.2761194366464475E-2</c:v>
                </c:pt>
                <c:pt idx="95">
                  <c:v>1.2761194366464479E-2</c:v>
                </c:pt>
                <c:pt idx="96">
                  <c:v>1.2761194366464482E-2</c:v>
                </c:pt>
                <c:pt idx="97">
                  <c:v>1.2761194366464484E-2</c:v>
                </c:pt>
                <c:pt idx="98">
                  <c:v>1.2761194366464486E-2</c:v>
                </c:pt>
                <c:pt idx="99">
                  <c:v>1.2761194366464486E-2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564-42FC-B3E8-B352AAE82B67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  <c:pt idx="0">
                  <c:v>4.1198997756014657E-31</c:v>
                </c:pt>
                <c:pt idx="1">
                  <c:v>1.2054715438642547E-20</c:v>
                </c:pt>
                <c:pt idx="2">
                  <c:v>7.5280191776326347E-16</c:v>
                </c:pt>
                <c:pt idx="3">
                  <c:v>4.8512180763673971E-13</c:v>
                </c:pt>
                <c:pt idx="4">
                  <c:v>3.3911226957644217E-11</c:v>
                </c:pt>
                <c:pt idx="5">
                  <c:v>6.7421149447556897E-10</c:v>
                </c:pt>
                <c:pt idx="6">
                  <c:v>6.1199102452043442E-9</c:v>
                </c:pt>
                <c:pt idx="7">
                  <c:v>3.2846576974410093E-8</c:v>
                </c:pt>
                <c:pt idx="8">
                  <c:v>1.2159952211023455E-7</c:v>
                </c:pt>
                <c:pt idx="9">
                  <c:v>3.4261123043583978E-7</c:v>
                </c:pt>
                <c:pt idx="10">
                  <c:v>7.8507860843211049E-7</c:v>
                </c:pt>
                <c:pt idx="11">
                  <c:v>1.5329886421818297E-6</c:v>
                </c:pt>
                <c:pt idx="12">
                  <c:v>2.6390198521667021E-6</c:v>
                </c:pt>
                <c:pt idx="13">
                  <c:v>4.1087923847946828E-6</c:v>
                </c:pt>
                <c:pt idx="14">
                  <c:v>5.9017749028611045E-6</c:v>
                </c:pt>
                <c:pt idx="15">
                  <c:v>7.9492456526339543E-6</c:v>
                </c:pt>
                <c:pt idx="16">
                  <c:v>1.0186889418397486E-5</c:v>
                </c:pt>
                <c:pt idx="17">
                  <c:v>1.2597750649442935E-5</c:v>
                </c:pt>
                <c:pt idx="18">
                  <c:v>1.5256999830681126E-5</c:v>
                </c:pt>
                <c:pt idx="19">
                  <c:v>1.8363858695146229E-5</c:v>
                </c:pt>
                <c:pt idx="20">
                  <c:v>2.1467151134269812E-5</c:v>
                </c:pt>
                <c:pt idx="21">
                  <c:v>2.5592274949375809E-5</c:v>
                </c:pt>
                <c:pt idx="22">
                  <c:v>3.1074521252528297E-5</c:v>
                </c:pt>
                <c:pt idx="23">
                  <c:v>3.8176841486351508E-5</c:v>
                </c:pt>
                <c:pt idx="24">
                  <c:v>4.7027709790573995E-5</c:v>
                </c:pt>
                <c:pt idx="25">
                  <c:v>5.7556073840890734E-5</c:v>
                </c:pt>
                <c:pt idx="26">
                  <c:v>6.948812482472034E-5</c:v>
                </c:pt>
                <c:pt idx="27">
                  <c:v>8.2387076264097477E-5</c:v>
                </c:pt>
                <c:pt idx="28">
                  <c:v>9.5722158279820595E-5</c:v>
                </c:pt>
                <c:pt idx="29">
                  <c:v>1.0894714312817179E-4</c:v>
                </c:pt>
                <c:pt idx="30">
                  <c:v>1.2157009990602149E-4</c:v>
                </c:pt>
                <c:pt idx="31">
                  <c:v>1.3320232508580963E-4</c:v>
                </c:pt>
                <c:pt idx="32">
                  <c:v>1.4352953405614429E-4</c:v>
                </c:pt>
                <c:pt idx="33">
                  <c:v>1.5240960797951412E-4</c:v>
                </c:pt>
                <c:pt idx="34">
                  <c:v>1.5985109225853314E-4</c:v>
                </c:pt>
                <c:pt idx="35">
                  <c:v>1.6594139750366913E-4</c:v>
                </c:pt>
                <c:pt idx="36">
                  <c:v>1.7081897688701569E-4</c:v>
                </c:pt>
                <c:pt idx="37">
                  <c:v>1.7463360891876059E-4</c:v>
                </c:pt>
                <c:pt idx="38">
                  <c:v>1.7758928684787352E-4</c:v>
                </c:pt>
                <c:pt idx="39">
                  <c:v>1.7987791746254617E-4</c:v>
                </c:pt>
                <c:pt idx="40">
                  <c:v>1.8162370232360146E-4</c:v>
                </c:pt>
                <c:pt idx="41">
                  <c:v>1.8293700282499977E-4</c:v>
                </c:pt>
                <c:pt idx="42">
                  <c:v>1.8391228032295931E-4</c:v>
                </c:pt>
                <c:pt idx="43">
                  <c:v>1.8462790805824628E-4</c:v>
                </c:pt>
                <c:pt idx="44">
                  <c:v>1.851472083139194E-4</c:v>
                </c:pt>
                <c:pt idx="45">
                  <c:v>1.8552017917075787E-4</c:v>
                </c:pt>
                <c:pt idx="46">
                  <c:v>1.8578550866038112E-4</c:v>
                </c:pt>
                <c:pt idx="47">
                  <c:v>1.8597260187091993E-4</c:v>
                </c:pt>
                <c:pt idx="48">
                  <c:v>1.8610345376340873E-4</c:v>
                </c:pt>
                <c:pt idx="49">
                  <c:v>1.8619428194181973E-4</c:v>
                </c:pt>
                <c:pt idx="50">
                  <c:v>1.862566688696767E-4</c:v>
                </c:pt>
                <c:pt idx="51">
                  <c:v>1.8629906224941684E-4</c:v>
                </c:pt>
                <c:pt idx="52">
                  <c:v>1.8632773007436928E-4</c:v>
                </c:pt>
                <c:pt idx="53">
                  <c:v>1.8634702955808532E-4</c:v>
                </c:pt>
                <c:pt idx="54">
                  <c:v>1.8635996874148859E-4</c:v>
                </c:pt>
                <c:pt idx="55">
                  <c:v>1.8636861103509629E-4</c:v>
                </c:pt>
                <c:pt idx="56">
                  <c:v>1.8637436355920247E-4</c:v>
                </c:pt>
                <c:pt idx="57">
                  <c:v>1.8637818069781967E-4</c:v>
                </c:pt>
                <c:pt idx="58">
                  <c:v>1.8638070654844235E-4</c:v>
                </c:pt>
                <c:pt idx="59">
                  <c:v>1.8638237381987755E-4</c:v>
                </c:pt>
                <c:pt idx="60">
                  <c:v>1.8638347199640255E-4</c:v>
                </c:pt>
                <c:pt idx="61">
                  <c:v>1.8638419400829258E-4</c:v>
                </c:pt>
                <c:pt idx="62">
                  <c:v>1.8638466799291694E-4</c:v>
                </c:pt>
                <c:pt idx="63">
                  <c:v>1.8638497878997994E-4</c:v>
                </c:pt>
                <c:pt idx="64">
                  <c:v>1.8638518241567459E-4</c:v>
                </c:pt>
                <c:pt idx="65">
                  <c:v>1.8638531576426297E-4</c:v>
                </c:pt>
                <c:pt idx="66">
                  <c:v>1.8638540308354586E-4</c:v>
                </c:pt>
                <c:pt idx="67">
                  <c:v>1.8638546028061542E-4</c:v>
                </c:pt>
                <c:pt idx="68">
                  <c:v>1.8638549784662532E-4</c:v>
                </c:pt>
                <c:pt idx="69">
                  <c:v>1.8638552266026423E-4</c:v>
                </c:pt>
                <c:pt idx="70">
                  <c:v>1.8638553907858151E-4</c:v>
                </c:pt>
                <c:pt idx="71">
                  <c:v>1.8638554996626186E-4</c:v>
                </c:pt>
                <c:pt idx="72">
                  <c:v>1.8638555720117966E-4</c:v>
                </c:pt>
                <c:pt idx="73">
                  <c:v>1.8638556202094848E-4</c:v>
                </c:pt>
                <c:pt idx="74">
                  <c:v>1.8638556524488533E-4</c:v>
                </c:pt>
                <c:pt idx="75">
                  <c:v>1.8638556741151882E-4</c:v>
                </c:pt>
                <c:pt idx="76">
                  <c:v>1.8638556887536504E-4</c:v>
                </c:pt>
                <c:pt idx="77">
                  <c:v>1.8638556987027389E-4</c:v>
                </c:pt>
                <c:pt idx="78">
                  <c:v>1.8638557055088864E-4</c:v>
                </c:pt>
                <c:pt idx="79">
                  <c:v>1.8638557101978637E-4</c:v>
                </c:pt>
                <c:pt idx="80">
                  <c:v>1.8638557134525462E-4</c:v>
                </c:pt>
                <c:pt idx="81">
                  <c:v>1.863855715729454E-4</c:v>
                </c:pt>
                <c:pt idx="82">
                  <c:v>1.8638557173352547E-4</c:v>
                </c:pt>
                <c:pt idx="83">
                  <c:v>1.8638557184770711E-4</c:v>
                </c:pt>
                <c:pt idx="84">
                  <c:v>1.8638557192956351E-4</c:v>
                </c:pt>
                <c:pt idx="85">
                  <c:v>1.8638557198871975E-4</c:v>
                </c:pt>
                <c:pt idx="86">
                  <c:v>1.8638557203180529E-4</c:v>
                </c:pt>
                <c:pt idx="87">
                  <c:v>1.8638557206342044E-4</c:v>
                </c:pt>
                <c:pt idx="88">
                  <c:v>1.8638557208678245E-4</c:v>
                </c:pt>
                <c:pt idx="89">
                  <c:v>1.8638557210415933E-4</c:v>
                </c:pt>
                <c:pt idx="90">
                  <c:v>1.8638557211712409E-4</c:v>
                </c:pt>
                <c:pt idx="91">
                  <c:v>1.8638557212685196E-4</c:v>
                </c:pt>
                <c:pt idx="92">
                  <c:v>1.8638557213418967E-4</c:v>
                </c:pt>
                <c:pt idx="93">
                  <c:v>1.8638557213975101E-4</c:v>
                </c:pt>
                <c:pt idx="94">
                  <c:v>1.8638557214398425E-4</c:v>
                </c:pt>
                <c:pt idx="95">
                  <c:v>1.8638557214721907E-4</c:v>
                </c:pt>
                <c:pt idx="96">
                  <c:v>1.8638557214969965E-4</c:v>
                </c:pt>
                <c:pt idx="97">
                  <c:v>1.8638557215160781E-4</c:v>
                </c:pt>
                <c:pt idx="98">
                  <c:v>1.8638557215307984E-4</c:v>
                </c:pt>
                <c:pt idx="99">
                  <c:v>1.8638557215421833E-4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564-42FC-B3E8-B352AAE82B6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  <c:pt idx="0">
                  <c:v>1.6148380206601149E-11</c:v>
                </c:pt>
                <c:pt idx="1">
                  <c:v>4.6647517394851982E-7</c:v>
                </c:pt>
                <c:pt idx="2">
                  <c:v>3.9801338185697789E-5</c:v>
                </c:pt>
                <c:pt idx="3">
                  <c:v>4.2845210700921622E-4</c:v>
                </c:pt>
                <c:pt idx="4">
                  <c:v>1.8191415492792506E-3</c:v>
                </c:pt>
                <c:pt idx="5">
                  <c:v>4.6537835893821688E-3</c:v>
                </c:pt>
                <c:pt idx="6">
                  <c:v>8.7564233834087641E-3</c:v>
                </c:pt>
                <c:pt idx="7">
                  <c:v>1.3507023199331317E-2</c:v>
                </c:pt>
                <c:pt idx="8">
                  <c:v>1.8240109483516086E-2</c:v>
                </c:pt>
                <c:pt idx="9">
                  <c:v>2.249287061827444E-2</c:v>
                </c:pt>
                <c:pt idx="10">
                  <c:v>2.6051282523523039E-2</c:v>
                </c:pt>
                <c:pt idx="11">
                  <c:v>2.8893445411065966E-2</c:v>
                </c:pt>
                <c:pt idx="12">
                  <c:v>3.1130063566247656E-2</c:v>
                </c:pt>
                <c:pt idx="13">
                  <c:v>3.2935503140860946E-2</c:v>
                </c:pt>
                <c:pt idx="14">
                  <c:v>3.4422685333023673E-2</c:v>
                </c:pt>
                <c:pt idx="15">
                  <c:v>3.5644348675666737E-2</c:v>
                </c:pt>
                <c:pt idx="16">
                  <c:v>3.6616970478272871E-2</c:v>
                </c:pt>
                <c:pt idx="17">
                  <c:v>3.7425047330809598E-2</c:v>
                </c:pt>
                <c:pt idx="18">
                  <c:v>3.8121802634022213E-2</c:v>
                </c:pt>
                <c:pt idx="19">
                  <c:v>3.8740959452880183E-2</c:v>
                </c:pt>
                <c:pt idx="20">
                  <c:v>3.9299725793870227E-2</c:v>
                </c:pt>
                <c:pt idx="21">
                  <c:v>3.9810319412883217E-2</c:v>
                </c:pt>
                <c:pt idx="22">
                  <c:v>4.0290338310174728E-2</c:v>
                </c:pt>
                <c:pt idx="23">
                  <c:v>4.0780335424733409E-2</c:v>
                </c:pt>
                <c:pt idx="24">
                  <c:v>4.1339864316653048E-2</c:v>
                </c:pt>
                <c:pt idx="25">
                  <c:v>4.204931839204077E-2</c:v>
                </c:pt>
                <c:pt idx="26">
                  <c:v>4.3000319089527235E-2</c:v>
                </c:pt>
                <c:pt idx="27">
                  <c:v>4.4238035338249278E-2</c:v>
                </c:pt>
                <c:pt idx="28">
                  <c:v>4.5734564736968415E-2</c:v>
                </c:pt>
                <c:pt idx="29">
                  <c:v>4.7386111188954957E-2</c:v>
                </c:pt>
                <c:pt idx="30">
                  <c:v>4.9043076591916902E-2</c:v>
                </c:pt>
                <c:pt idx="31">
                  <c:v>5.0562469676285193E-2</c:v>
                </c:pt>
                <c:pt idx="32">
                  <c:v>5.1845218539476455E-2</c:v>
                </c:pt>
                <c:pt idx="33">
                  <c:v>5.2848918475263629E-2</c:v>
                </c:pt>
                <c:pt idx="34">
                  <c:v>5.3583149816609672E-2</c:v>
                </c:pt>
                <c:pt idx="35">
                  <c:v>5.4097433892493808E-2</c:v>
                </c:pt>
                <c:pt idx="36">
                  <c:v>5.4449002329665458E-2</c:v>
                </c:pt>
                <c:pt idx="37">
                  <c:v>5.4688934911393892E-2</c:v>
                </c:pt>
                <c:pt idx="38">
                  <c:v>5.4856590296765921E-2</c:v>
                </c:pt>
                <c:pt idx="39">
                  <c:v>5.4979148171570368E-2</c:v>
                </c:pt>
                <c:pt idx="40">
                  <c:v>5.5073842865729923E-2</c:v>
                </c:pt>
                <c:pt idx="41">
                  <c:v>5.5150961563321402E-2</c:v>
                </c:pt>
                <c:pt idx="42">
                  <c:v>5.5216390368809563E-2</c:v>
                </c:pt>
                <c:pt idx="43">
                  <c:v>5.5273439434834169E-2</c:v>
                </c:pt>
                <c:pt idx="44">
                  <c:v>5.5324000055511108E-2</c:v>
                </c:pt>
                <c:pt idx="45">
                  <c:v>5.5369215350670124E-2</c:v>
                </c:pt>
                <c:pt idx="46">
                  <c:v>5.5409815592689364E-2</c:v>
                </c:pt>
                <c:pt idx="47">
                  <c:v>5.5446173559782222E-2</c:v>
                </c:pt>
                <c:pt idx="48">
                  <c:v>5.5478784628287606E-2</c:v>
                </c:pt>
                <c:pt idx="49">
                  <c:v>5.5508064394954523E-2</c:v>
                </c:pt>
                <c:pt idx="50">
                  <c:v>5.5534371531768822E-2</c:v>
                </c:pt>
                <c:pt idx="51">
                  <c:v>5.5557996748301856E-2</c:v>
                </c:pt>
                <c:pt idx="52">
                  <c:v>5.5579200057765961E-2</c:v>
                </c:pt>
                <c:pt idx="53">
                  <c:v>5.5598238517004371E-2</c:v>
                </c:pt>
                <c:pt idx="54">
                  <c:v>5.5615340609551388E-2</c:v>
                </c:pt>
                <c:pt idx="55">
                  <c:v>5.5630709746495109E-2</c:v>
                </c:pt>
                <c:pt idx="56">
                  <c:v>5.5644527218314886E-2</c:v>
                </c:pt>
                <c:pt idx="57">
                  <c:v>5.5656954735337404E-2</c:v>
                </c:pt>
                <c:pt idx="58">
                  <c:v>5.5668136639131255E-2</c:v>
                </c:pt>
                <c:pt idx="59">
                  <c:v>5.5678201840465361E-2</c:v>
                </c:pt>
                <c:pt idx="60">
                  <c:v>5.5687265524975528E-2</c:v>
                </c:pt>
                <c:pt idx="61">
                  <c:v>5.569543065946813E-2</c:v>
                </c:pt>
                <c:pt idx="62">
                  <c:v>5.5702789324429972E-2</c:v>
                </c:pt>
                <c:pt idx="63">
                  <c:v>5.570942389553158E-2</c:v>
                </c:pt>
                <c:pt idx="64">
                  <c:v>5.5715408092485694E-2</c:v>
                </c:pt>
                <c:pt idx="65">
                  <c:v>5.572080791117133E-2</c:v>
                </c:pt>
                <c:pt idx="66">
                  <c:v>5.5725682452733509E-2</c:v>
                </c:pt>
                <c:pt idx="67">
                  <c:v>5.5730076417438532E-2</c:v>
                </c:pt>
                <c:pt idx="68">
                  <c:v>5.5734030800079708E-2</c:v>
                </c:pt>
                <c:pt idx="69">
                  <c:v>5.5737591389629478E-2</c:v>
                </c:pt>
                <c:pt idx="70">
                  <c:v>5.5740799030717714E-2</c:v>
                </c:pt>
                <c:pt idx="71">
                  <c:v>5.5743690174799368E-2</c:v>
                </c:pt>
                <c:pt idx="72">
                  <c:v>5.5746297367975088E-2</c:v>
                </c:pt>
                <c:pt idx="73">
                  <c:v>5.574864968314467E-2</c:v>
                </c:pt>
                <c:pt idx="74">
                  <c:v>5.5750773102979885E-2</c:v>
                </c:pt>
                <c:pt idx="75">
                  <c:v>5.5752690859448992E-2</c:v>
                </c:pt>
                <c:pt idx="76">
                  <c:v>5.5754423734958578E-2</c:v>
                </c:pt>
                <c:pt idx="77">
                  <c:v>5.5755990329551502E-2</c:v>
                </c:pt>
                <c:pt idx="78">
                  <c:v>5.5757407298082977E-2</c:v>
                </c:pt>
                <c:pt idx="79">
                  <c:v>5.5758689560834095E-2</c:v>
                </c:pt>
                <c:pt idx="80">
                  <c:v>5.5759848487488481E-2</c:v>
                </c:pt>
                <c:pt idx="81">
                  <c:v>5.5760894600060507E-2</c:v>
                </c:pt>
                <c:pt idx="82">
                  <c:v>5.5761839368155257E-2</c:v>
                </c:pt>
                <c:pt idx="83">
                  <c:v>5.576269129770995E-2</c:v>
                </c:pt>
                <c:pt idx="84">
                  <c:v>5.5763458983587512E-2</c:v>
                </c:pt>
                <c:pt idx="85">
                  <c:v>5.5764151107617094E-2</c:v>
                </c:pt>
                <c:pt idx="86">
                  <c:v>5.5764775423388757E-2</c:v>
                </c:pt>
                <c:pt idx="87">
                  <c:v>5.5765338858699845E-2</c:v>
                </c:pt>
                <c:pt idx="88">
                  <c:v>5.5765847606398904E-2</c:v>
                </c:pt>
                <c:pt idx="89">
                  <c:v>5.5766307204965386E-2</c:v>
                </c:pt>
                <c:pt idx="90">
                  <c:v>5.5766722610008E-2</c:v>
                </c:pt>
                <c:pt idx="91">
                  <c:v>5.5767098257726945E-2</c:v>
                </c:pt>
                <c:pt idx="92">
                  <c:v>5.5767438121263044E-2</c:v>
                </c:pt>
                <c:pt idx="93">
                  <c:v>5.5767745760749769E-2</c:v>
                </c:pt>
                <c:pt idx="94">
                  <c:v>5.5768024367789021E-2</c:v>
                </c:pt>
                <c:pt idx="95">
                  <c:v>5.5768276804987284E-2</c:v>
                </c:pt>
                <c:pt idx="96">
                  <c:v>5.5768505641115261E-2</c:v>
                </c:pt>
                <c:pt idx="97">
                  <c:v>5.5768713182388192E-2</c:v>
                </c:pt>
                <c:pt idx="98">
                  <c:v>5.5768901500306813E-2</c:v>
                </c:pt>
                <c:pt idx="99">
                  <c:v>5.5769072456447605E-2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564-42FC-B3E8-B352AAE82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766-47B4-842F-ADE311AFEF7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17.931085383945408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66-47B4-842F-ADE311AFEF7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274-4826-B61E-23E57495E404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274-4826-B61E-23E57495E404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AA4-4B67-8F16-C645142BFA0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AA4-4B67-8F16-C645142BFA0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30-48EB-96AA-0FEA89E4B24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930-48EB-96AA-0FEA89E4B24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C0D-4AD2-A8F2-10F0E37DD1C6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C0D-4AD2-A8F2-10F0E37DD1C6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image" Target="../media/image2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12" Type="http://schemas.openxmlformats.org/officeDocument/2006/relationships/image" Target="../media/image3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Relationship Id="rId14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.emf"/><Relationship Id="rId2" Type="http://schemas.openxmlformats.org/officeDocument/2006/relationships/image" Target="../media/image25.emf"/><Relationship Id="rId1" Type="http://schemas.openxmlformats.org/officeDocument/2006/relationships/image" Target="../media/image24.emf"/><Relationship Id="rId6" Type="http://schemas.openxmlformats.org/officeDocument/2006/relationships/image" Target="../media/image28.emf"/><Relationship Id="rId5" Type="http://schemas.openxmlformats.org/officeDocument/2006/relationships/image" Target="../media/image23.emf"/><Relationship Id="rId4" Type="http://schemas.openxmlformats.org/officeDocument/2006/relationships/image" Target="../media/image2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6.emf"/><Relationship Id="rId1" Type="http://schemas.openxmlformats.org/officeDocument/2006/relationships/image" Target="../media/image3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666750</xdr:colOff>
          <xdr:row>9</xdr:row>
          <xdr:rowOff>19050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666750</xdr:colOff>
          <xdr:row>9</xdr:row>
          <xdr:rowOff>257175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714375</xdr:colOff>
          <xdr:row>13</xdr:row>
          <xdr:rowOff>257175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11</xdr:col>
          <xdr:colOff>600075</xdr:colOff>
          <xdr:row>5</xdr:row>
          <xdr:rowOff>104775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600075</xdr:colOff>
          <xdr:row>9</xdr:row>
          <xdr:rowOff>85725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600075</xdr:colOff>
          <xdr:row>11</xdr:row>
          <xdr:rowOff>104775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11</xdr:col>
          <xdr:colOff>590550</xdr:colOff>
          <xdr:row>13</xdr:row>
          <xdr:rowOff>95250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581025</xdr:colOff>
          <xdr:row>15</xdr:row>
          <xdr:rowOff>47625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11</xdr:col>
          <xdr:colOff>561975</xdr:colOff>
          <xdr:row>19</xdr:row>
          <xdr:rowOff>85725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381126" y="771525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133350</xdr:colOff>
          <xdr:row>14</xdr:row>
          <xdr:rowOff>28575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190500</xdr:colOff>
          <xdr:row>15</xdr:row>
          <xdr:rowOff>66675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12</xdr:col>
          <xdr:colOff>523875</xdr:colOff>
          <xdr:row>16</xdr:row>
          <xdr:rowOff>104775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219075</xdr:colOff>
          <xdr:row>17</xdr:row>
          <xdr:rowOff>171450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114300</xdr:colOff>
          <xdr:row>21</xdr:row>
          <xdr:rowOff>95250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381000</xdr:colOff>
          <xdr:row>11</xdr:row>
          <xdr:rowOff>47625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19050</xdr:colOff>
          <xdr:row>8</xdr:row>
          <xdr:rowOff>19050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28575</xdr:colOff>
          <xdr:row>7</xdr:row>
          <xdr:rowOff>9525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28575</xdr:colOff>
          <xdr:row>8</xdr:row>
          <xdr:rowOff>19050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D8177554-AE10-6574-B38A-450D7C4B304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F59D277F-B514-8BE0-506E-777FB3983A1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0B20BCF7-7739-7D88-A498-16C361B78D6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6D692E32-D37A-1307-3D95-BA222448110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FF01CEAD-499A-4B94-FC36-48394E50E681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C731A6D7-761F-1A72-86D5-3F21D4B4B91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36EE52FC-CD6C-C9F4-7D6E-87492FD5FC88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5E7091F7-17EE-4FF9-A21C-1395FAE9284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C9F4C86D-1F14-817D-C373-A4F1A7ADB60F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A68B8DE6-107E-37B6-4B3C-DDD95789FDE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zoomScaleNormal="100" workbookViewId="0">
      <selection activeCell="D5" sqref="D5:E6"/>
    </sheetView>
  </sheetViews>
  <sheetFormatPr baseColWidth="10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1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</row>
    <row r="3" spans="1:21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</row>
    <row r="4" spans="1:21" ht="19.5" customHeight="1" x14ac:dyDescent="0.25">
      <c r="A4" s="89"/>
      <c r="B4" s="89"/>
      <c r="D4" s="88"/>
      <c r="E4" s="88"/>
      <c r="F4" s="88"/>
      <c r="G4" s="88"/>
      <c r="H4" s="88"/>
      <c r="I4" s="88"/>
      <c r="J4" s="294" t="s">
        <v>37</v>
      </c>
      <c r="K4" s="294"/>
      <c r="L4" s="294"/>
      <c r="M4" s="235"/>
      <c r="T4" s="185" t="s">
        <v>183</v>
      </c>
      <c r="U4" s="185">
        <v>5000</v>
      </c>
    </row>
    <row r="5" spans="1:21" ht="21" customHeight="1" x14ac:dyDescent="0.25">
      <c r="A5" s="89"/>
      <c r="B5" s="89"/>
      <c r="D5" s="295" t="s">
        <v>191</v>
      </c>
      <c r="E5" s="295"/>
      <c r="F5" s="234"/>
      <c r="G5" s="184"/>
      <c r="H5" s="184"/>
      <c r="I5" s="184"/>
      <c r="J5" s="287" t="s">
        <v>4</v>
      </c>
      <c r="K5" s="288">
        <v>78</v>
      </c>
      <c r="L5" s="288"/>
      <c r="N5" s="183"/>
      <c r="T5" s="185" t="s">
        <v>184</v>
      </c>
      <c r="U5" s="185">
        <v>0.5</v>
      </c>
    </row>
    <row r="6" spans="1:21" ht="15" customHeight="1" x14ac:dyDescent="0.25">
      <c r="A6" s="89"/>
      <c r="B6" s="89"/>
      <c r="D6" s="295"/>
      <c r="E6" s="295"/>
      <c r="F6" s="234"/>
      <c r="G6" s="94"/>
      <c r="H6" s="94"/>
      <c r="J6" s="287"/>
      <c r="K6" s="288"/>
      <c r="L6" s="288"/>
      <c r="N6" s="183"/>
      <c r="T6" s="185" t="s">
        <v>185</v>
      </c>
      <c r="U6" s="185">
        <v>0.5</v>
      </c>
    </row>
    <row r="7" spans="1:21" ht="15.75" customHeight="1" x14ac:dyDescent="0.25">
      <c r="A7" s="89"/>
      <c r="B7" s="89"/>
      <c r="G7" s="94"/>
      <c r="H7" s="94"/>
      <c r="J7" s="287" t="s">
        <v>176</v>
      </c>
      <c r="K7" s="288">
        <v>0</v>
      </c>
      <c r="L7" s="288"/>
      <c r="T7" s="185" t="s">
        <v>186</v>
      </c>
      <c r="U7" s="185">
        <v>3</v>
      </c>
    </row>
    <row r="8" spans="1:21" ht="18.75" customHeight="1" x14ac:dyDescent="0.25">
      <c r="A8" s="89"/>
      <c r="B8" s="89"/>
      <c r="D8" s="294" t="s">
        <v>163</v>
      </c>
      <c r="E8" s="294"/>
      <c r="F8" s="294"/>
      <c r="J8" s="287"/>
      <c r="K8" s="288"/>
      <c r="L8" s="288"/>
      <c r="T8" s="185" t="s">
        <v>187</v>
      </c>
      <c r="U8" s="185">
        <v>20</v>
      </c>
    </row>
    <row r="9" spans="1:21" ht="17.25" customHeight="1" x14ac:dyDescent="0.25">
      <c r="A9" s="89"/>
      <c r="B9" s="89"/>
      <c r="D9" s="294" t="s">
        <v>40</v>
      </c>
      <c r="E9" s="294"/>
      <c r="F9" s="234"/>
      <c r="J9" s="287" t="s">
        <v>139</v>
      </c>
      <c r="K9" s="288">
        <v>0</v>
      </c>
      <c r="L9" s="288"/>
      <c r="T9" s="185" t="s">
        <v>4</v>
      </c>
      <c r="U9" s="185">
        <v>63</v>
      </c>
    </row>
    <row r="10" spans="1:21" ht="21.75" customHeight="1" x14ac:dyDescent="0.25">
      <c r="A10" s="89"/>
      <c r="B10" s="89"/>
      <c r="D10" s="294" t="s">
        <v>41</v>
      </c>
      <c r="E10" s="294"/>
      <c r="F10" s="234"/>
      <c r="J10" s="287"/>
      <c r="K10" s="288"/>
      <c r="L10" s="288"/>
      <c r="T10" s="185" t="s">
        <v>176</v>
      </c>
      <c r="U10" s="185">
        <v>5</v>
      </c>
    </row>
    <row r="11" spans="1:21" ht="15" customHeight="1" x14ac:dyDescent="0.25">
      <c r="A11" s="89"/>
      <c r="B11" s="89"/>
      <c r="J11" s="287" t="s">
        <v>32</v>
      </c>
      <c r="K11" s="288">
        <v>5</v>
      </c>
      <c r="L11" s="288"/>
      <c r="M11" s="87"/>
      <c r="T11" s="185" t="s">
        <v>139</v>
      </c>
      <c r="U11" s="185">
        <v>1</v>
      </c>
    </row>
    <row r="12" spans="1:21" ht="15" customHeight="1" x14ac:dyDescent="0.25">
      <c r="A12" s="89"/>
      <c r="B12" s="89"/>
      <c r="D12" s="294" t="s">
        <v>38</v>
      </c>
      <c r="E12" s="294"/>
      <c r="F12" s="294"/>
      <c r="J12" s="287"/>
      <c r="K12" s="288"/>
      <c r="L12" s="288"/>
      <c r="M12" s="87"/>
      <c r="T12" s="185" t="s">
        <v>32</v>
      </c>
      <c r="U12" s="185">
        <v>9</v>
      </c>
    </row>
    <row r="13" spans="1:21" ht="17.25" customHeight="1" x14ac:dyDescent="0.25">
      <c r="A13" s="89"/>
      <c r="B13" s="89"/>
      <c r="D13" s="294" t="s">
        <v>137</v>
      </c>
      <c r="E13" s="294"/>
      <c r="F13" s="234"/>
      <c r="J13" s="287" t="s">
        <v>33</v>
      </c>
      <c r="K13" s="288">
        <v>5</v>
      </c>
      <c r="L13" s="288"/>
      <c r="T13" s="185" t="s">
        <v>33</v>
      </c>
      <c r="U13" s="185">
        <v>10</v>
      </c>
    </row>
    <row r="14" spans="1:21" ht="21.75" customHeight="1" x14ac:dyDescent="0.25">
      <c r="A14" s="89"/>
      <c r="B14" s="89"/>
      <c r="D14" s="294" t="s">
        <v>39</v>
      </c>
      <c r="E14" s="294"/>
      <c r="F14" s="234"/>
      <c r="J14" s="287"/>
      <c r="K14" s="288"/>
      <c r="L14" s="288"/>
      <c r="T14" s="185" t="s">
        <v>188</v>
      </c>
      <c r="U14" s="185">
        <v>6</v>
      </c>
    </row>
    <row r="15" spans="1:21" ht="18.75" customHeight="1" x14ac:dyDescent="0.25">
      <c r="A15" s="89"/>
      <c r="B15" s="89"/>
      <c r="D15" s="170"/>
      <c r="J15" s="287" t="s">
        <v>34</v>
      </c>
      <c r="K15" s="288">
        <v>7</v>
      </c>
      <c r="L15" s="288"/>
      <c r="T15" s="185" t="s">
        <v>189</v>
      </c>
      <c r="U15" s="185">
        <v>3</v>
      </c>
    </row>
    <row r="16" spans="1:21" ht="15" customHeight="1" x14ac:dyDescent="0.25">
      <c r="A16" s="89"/>
      <c r="B16" s="89"/>
      <c r="J16" s="287"/>
      <c r="K16" s="288"/>
      <c r="L16" s="288"/>
      <c r="T16" s="185" t="s">
        <v>190</v>
      </c>
      <c r="U16" s="185">
        <v>1</v>
      </c>
    </row>
    <row r="17" spans="1:21" ht="15" customHeight="1" x14ac:dyDescent="0.25">
      <c r="A17" s="89"/>
      <c r="B17" s="89"/>
      <c r="D17" s="173"/>
      <c r="E17" s="290" t="s">
        <v>134</v>
      </c>
      <c r="F17" s="291"/>
      <c r="G17" s="291"/>
      <c r="H17" s="291"/>
      <c r="J17" s="287" t="s">
        <v>35</v>
      </c>
      <c r="K17" s="288">
        <v>4</v>
      </c>
      <c r="L17" s="288"/>
      <c r="T17" s="185" t="s">
        <v>193</v>
      </c>
      <c r="U17" s="185">
        <v>2</v>
      </c>
    </row>
    <row r="18" spans="1:21" ht="15" customHeight="1" x14ac:dyDescent="0.25">
      <c r="A18" s="89"/>
      <c r="B18" s="89"/>
      <c r="C18" s="168"/>
      <c r="D18" s="173"/>
      <c r="E18" s="290" t="s">
        <v>135</v>
      </c>
      <c r="F18" s="291"/>
      <c r="G18" s="291" t="s">
        <v>136</v>
      </c>
      <c r="H18" s="291"/>
      <c r="J18" s="287"/>
      <c r="K18" s="288"/>
      <c r="L18" s="288"/>
    </row>
    <row r="19" spans="1:21" ht="18" customHeight="1" x14ac:dyDescent="0.25">
      <c r="A19" s="89"/>
      <c r="B19" s="89"/>
      <c r="C19" s="168"/>
      <c r="D19" s="174"/>
      <c r="E19" s="290"/>
      <c r="F19" s="291"/>
      <c r="G19" s="291"/>
      <c r="H19" s="291"/>
      <c r="J19" s="287" t="s">
        <v>36</v>
      </c>
      <c r="K19" s="288">
        <v>1</v>
      </c>
      <c r="L19" s="288"/>
    </row>
    <row r="20" spans="1:21" ht="18.75" customHeight="1" x14ac:dyDescent="0.25">
      <c r="A20" s="89"/>
      <c r="B20" s="89"/>
      <c r="C20" s="168"/>
      <c r="D20" s="172" t="s">
        <v>29</v>
      </c>
      <c r="E20" s="292">
        <v>42.68292682926829</v>
      </c>
      <c r="F20" s="292"/>
      <c r="G20" s="293">
        <v>214543.14631045362</v>
      </c>
      <c r="H20" s="293"/>
      <c r="J20" s="287"/>
      <c r="K20" s="288"/>
      <c r="L20" s="288"/>
    </row>
    <row r="21" spans="1:21" ht="15" customHeight="1" x14ac:dyDescent="0.25">
      <c r="A21" s="89"/>
      <c r="B21" s="89"/>
      <c r="C21" s="168"/>
      <c r="D21" s="171" t="s">
        <v>31</v>
      </c>
      <c r="E21" s="292">
        <v>17.073170731707318</v>
      </c>
      <c r="F21" s="292"/>
      <c r="G21" s="293">
        <v>85817.258524181467</v>
      </c>
      <c r="H21" s="293"/>
      <c r="I21" s="169"/>
      <c r="J21" s="287" t="s">
        <v>193</v>
      </c>
    </row>
    <row r="22" spans="1:21" ht="18.75" customHeight="1" x14ac:dyDescent="0.25">
      <c r="A22" s="89"/>
      <c r="B22" s="89"/>
      <c r="C22" s="168"/>
      <c r="D22" s="171" t="s">
        <v>10</v>
      </c>
      <c r="E22" s="292">
        <v>36.585365853658537</v>
      </c>
      <c r="F22" s="292"/>
      <c r="G22" s="293">
        <v>183894.12540896027</v>
      </c>
      <c r="H22" s="293"/>
      <c r="I22" s="143"/>
      <c r="J22" s="287"/>
      <c r="K22" s="143"/>
    </row>
    <row r="23" spans="1:21" ht="15.75" customHeight="1" x14ac:dyDescent="0.25">
      <c r="A23" s="89"/>
      <c r="B23" s="89"/>
      <c r="C23" s="168"/>
      <c r="D23" s="171" t="s">
        <v>11</v>
      </c>
      <c r="E23" s="292">
        <v>3.6585365853658538</v>
      </c>
      <c r="F23" s="292"/>
      <c r="G23" s="293">
        <v>18389.412540896028</v>
      </c>
      <c r="H23" s="293"/>
      <c r="J23" s="236" t="s">
        <v>138</v>
      </c>
      <c r="K23" s="289">
        <v>100</v>
      </c>
      <c r="L23" s="289"/>
    </row>
    <row r="24" spans="1:21" ht="15.75" x14ac:dyDescent="0.25">
      <c r="A24" s="89"/>
      <c r="B24" s="89"/>
      <c r="E24" s="132"/>
      <c r="F24" s="132"/>
      <c r="G24" s="132"/>
      <c r="L24" s="11"/>
    </row>
    <row r="25" spans="1:21" ht="15.75" x14ac:dyDescent="0.25">
      <c r="A25" s="89"/>
      <c r="B25" s="89"/>
      <c r="E25" s="132"/>
      <c r="F25" s="132"/>
      <c r="G25" s="132"/>
      <c r="L25" s="11"/>
    </row>
    <row r="26" spans="1:21" x14ac:dyDescent="0.25">
      <c r="A26" s="89"/>
      <c r="B26" s="89"/>
      <c r="I26" s="11"/>
      <c r="J26" s="11"/>
      <c r="K26" s="11"/>
      <c r="L26" s="11"/>
    </row>
    <row r="27" spans="1:21" x14ac:dyDescent="0.25">
      <c r="A27" s="89"/>
      <c r="B27" s="89"/>
      <c r="F27" s="167"/>
      <c r="G27" s="166"/>
      <c r="I27" s="166"/>
    </row>
    <row r="28" spans="1:21" x14ac:dyDescent="0.25">
      <c r="F28" s="167"/>
      <c r="G28" s="166"/>
      <c r="I28" s="166"/>
    </row>
    <row r="29" spans="1:21" x14ac:dyDescent="0.25">
      <c r="F29" s="167"/>
      <c r="G29" s="166"/>
      <c r="I29" s="166"/>
    </row>
    <row r="30" spans="1:21" x14ac:dyDescent="0.25">
      <c r="F30" s="167"/>
      <c r="G30" s="166"/>
      <c r="I30" s="166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D13:E13"/>
    <mergeCell ref="D14:E14"/>
    <mergeCell ref="D9:E9"/>
    <mergeCell ref="D10:E10"/>
    <mergeCell ref="D12:F12"/>
    <mergeCell ref="J4:L4"/>
    <mergeCell ref="J5:J6"/>
    <mergeCell ref="K5:L6"/>
    <mergeCell ref="D5:E6"/>
    <mergeCell ref="D8:F8"/>
    <mergeCell ref="J7:J8"/>
    <mergeCell ref="K7:L8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27" r:id="rId3" name="otros">
          <controlPr defaultSize="0" autoLine="0" autoPict="0" r:id="rId4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3" name="otros"/>
      </mc:Fallback>
    </mc:AlternateContent>
    <mc:AlternateContent xmlns:mc="http://schemas.openxmlformats.org/markup-compatibility/2006">
      <mc:Choice Requires="x14">
        <control shapeId="115726" r:id="rId5" name="TDPA1">
          <controlPr defaultSize="0" autoLine="0" autoPict="0" r:id="rId6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5" name="TDPA1"/>
      </mc:Fallback>
    </mc:AlternateContent>
    <mc:AlternateContent xmlns:mc="http://schemas.openxmlformats.org/markup-compatibility/2006">
      <mc:Choice Requires="x14">
        <control shapeId="115725" r:id="rId7" name="VehiculoT3S2R4">
          <controlPr defaultSize="0" autoLine="0" r:id="rId8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7" name="VehiculoT3S2R4"/>
      </mc:Fallback>
    </mc:AlternateContent>
    <mc:AlternateContent xmlns:mc="http://schemas.openxmlformats.org/markup-compatibility/2006">
      <mc:Choice Requires="x14">
        <control shapeId="115724" r:id="rId9" name="VehiculoT3S3">
          <controlPr defaultSize="0" autoLine="0" r:id="rId10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9" name="VehiculoT3S3"/>
      </mc:Fallback>
    </mc:AlternateContent>
    <mc:AlternateContent xmlns:mc="http://schemas.openxmlformats.org/markup-compatibility/2006">
      <mc:Choice Requires="x14">
        <control shapeId="115723" r:id="rId11" name="VehiculoT3S2">
          <controlPr defaultSize="0" autoLine="0" r:id="rId1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11" name="VehiculoT3S2"/>
      </mc:Fallback>
    </mc:AlternateContent>
    <mc:AlternateContent xmlns:mc="http://schemas.openxmlformats.org/markup-compatibility/2006">
      <mc:Choice Requires="x14">
        <control shapeId="115722" r:id="rId13" name="vehiculoC3">
          <controlPr defaultSize="0" autoLine="0" r:id="rId14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3" name="vehiculoC3"/>
      </mc:Fallback>
    </mc:AlternateContent>
    <mc:AlternateContent xmlns:mc="http://schemas.openxmlformats.org/markup-compatibility/2006">
      <mc:Choice Requires="x14">
        <control shapeId="115721" r:id="rId15" name="VehiculoC2">
          <controlPr defaultSize="0" autoLine="0" r:id="rId16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5" name="VehiculoC2"/>
      </mc:Fallback>
    </mc:AlternateContent>
    <mc:AlternateContent xmlns:mc="http://schemas.openxmlformats.org/markup-compatibility/2006">
      <mc:Choice Requires="x14">
        <control shapeId="115720" r:id="rId17" name="VehiculoB3">
          <controlPr defaultSize="0" autoLine="0" r:id="rId18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7" name="VehiculoB3"/>
      </mc:Fallback>
    </mc:AlternateContent>
    <mc:AlternateContent xmlns:mc="http://schemas.openxmlformats.org/markup-compatibility/2006">
      <mc:Choice Requires="x14">
        <control shapeId="115719" r:id="rId19" name="VehiculoB2">
          <controlPr defaultSize="0" autoLine="0" autoPict="0" r:id="rId20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9" name="VehiculoB2"/>
      </mc:Fallback>
    </mc:AlternateContent>
    <mc:AlternateContent xmlns:mc="http://schemas.openxmlformats.org/markup-compatibility/2006">
      <mc:Choice Requires="x14">
        <control shapeId="115718" r:id="rId21" name="vehiculoA">
          <controlPr defaultSize="0" autoLine="0" r:id="rId2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21" name="vehiculoA"/>
      </mc:Fallback>
    </mc:AlternateContent>
    <mc:AlternateContent xmlns:mc="http://schemas.openxmlformats.org/markup-compatibility/2006">
      <mc:Choice Requires="x14">
        <control shapeId="115717" r:id="rId23" name="Tasa1">
          <controlPr defaultSize="0" autoLine="0" r:id="rId24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23" name="Tasa1"/>
      </mc:Fallback>
    </mc:AlternateContent>
    <mc:AlternateContent xmlns:mc="http://schemas.openxmlformats.org/markup-compatibility/2006">
      <mc:Choice Requires="x14">
        <control shapeId="115716" r:id="rId25" name="años1">
          <controlPr defaultSize="0" autoLine="0" r:id="rId26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25" name="años1"/>
      </mc:Fallback>
    </mc:AlternateContent>
    <mc:AlternateContent xmlns:mc="http://schemas.openxmlformats.org/markup-compatibility/2006">
      <mc:Choice Requires="x14">
        <control shapeId="115715" r:id="rId27" name="FDC1">
          <controlPr defaultSize="0" autoLine="0" r:id="rId28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27" name="FDC1"/>
      </mc:Fallback>
    </mc:AlternateContent>
    <mc:AlternateContent xmlns:mc="http://schemas.openxmlformats.org/markup-compatibility/2006">
      <mc:Choice Requires="x14">
        <control shapeId="115714" r:id="rId29" name="FDS1">
          <controlPr defaultSize="0" autoLine="0" r:id="rId30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29" name="FDS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W53"/>
  <sheetViews>
    <sheetView showGridLines="0" showRowColHeaders="0" zoomScaleNormal="100" workbookViewId="0">
      <selection activeCell="D6" sqref="D6"/>
    </sheetView>
  </sheetViews>
  <sheetFormatPr baseColWidth="10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23" x14ac:dyDescent="0.25">
      <c r="A1" s="89"/>
      <c r="B1" s="89"/>
      <c r="C1" s="89"/>
      <c r="D1" s="89"/>
      <c r="E1" s="89"/>
      <c r="F1" s="89"/>
      <c r="G1" s="89"/>
      <c r="H1" s="89"/>
      <c r="I1" s="89"/>
      <c r="J1" s="89"/>
      <c r="K1" s="89"/>
      <c r="L1" s="89"/>
      <c r="M1" s="89"/>
      <c r="N1" s="89"/>
      <c r="O1" s="89"/>
      <c r="P1" s="89"/>
    </row>
    <row r="2" spans="1:23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T2" t="s">
        <v>182</v>
      </c>
      <c r="U2">
        <v>1</v>
      </c>
    </row>
    <row r="3" spans="1:23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89"/>
      <c r="N3" s="89"/>
      <c r="O3" s="89"/>
      <c r="P3" s="89"/>
      <c r="T3" t="s">
        <v>178</v>
      </c>
      <c r="U3" s="180" t="b">
        <v>1</v>
      </c>
      <c r="V3">
        <v>6.5</v>
      </c>
      <c r="W3">
        <v>0</v>
      </c>
    </row>
    <row r="4" spans="1:23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  <c r="T4" t="s">
        <v>181</v>
      </c>
      <c r="U4" s="181" t="b">
        <v>1</v>
      </c>
      <c r="V4">
        <v>6.5</v>
      </c>
      <c r="W4">
        <v>25</v>
      </c>
    </row>
    <row r="5" spans="1:23" x14ac:dyDescent="0.25">
      <c r="A5" s="89"/>
      <c r="B5" s="89"/>
      <c r="T5" t="s">
        <v>179</v>
      </c>
      <c r="U5" s="181" t="b">
        <v>1</v>
      </c>
      <c r="V5">
        <v>11</v>
      </c>
      <c r="W5">
        <v>0</v>
      </c>
    </row>
    <row r="6" spans="1:23" x14ac:dyDescent="0.25">
      <c r="A6" s="89"/>
      <c r="B6" s="89"/>
      <c r="D6" s="233" t="s">
        <v>203</v>
      </c>
      <c r="T6" t="s">
        <v>180</v>
      </c>
      <c r="U6" s="182" t="b">
        <v>1</v>
      </c>
      <c r="V6">
        <v>11</v>
      </c>
      <c r="W6">
        <v>25</v>
      </c>
    </row>
    <row r="7" spans="1:23" ht="15.75" x14ac:dyDescent="0.25">
      <c r="A7" s="89"/>
      <c r="B7" s="89"/>
      <c r="L7" s="237"/>
      <c r="V7">
        <v>18</v>
      </c>
      <c r="W7">
        <v>0</v>
      </c>
    </row>
    <row r="8" spans="1:23" ht="18.75" x14ac:dyDescent="0.25">
      <c r="A8" s="89"/>
      <c r="B8" s="89"/>
      <c r="L8" s="238" t="s">
        <v>73</v>
      </c>
      <c r="T8">
        <v>1</v>
      </c>
      <c r="U8">
        <v>4</v>
      </c>
      <c r="V8">
        <v>18</v>
      </c>
      <c r="W8">
        <v>25</v>
      </c>
    </row>
    <row r="9" spans="1:23" ht="15.75" customHeight="1" x14ac:dyDescent="0.25">
      <c r="A9" s="89"/>
      <c r="B9" s="89"/>
      <c r="L9" s="237"/>
      <c r="T9">
        <v>2</v>
      </c>
      <c r="V9">
        <v>23</v>
      </c>
      <c r="W9">
        <v>0</v>
      </c>
    </row>
    <row r="10" spans="1:23" ht="15.75" customHeight="1" x14ac:dyDescent="0.25">
      <c r="A10" s="89"/>
      <c r="B10" s="89"/>
      <c r="L10" s="179"/>
      <c r="T10">
        <v>3</v>
      </c>
      <c r="V10">
        <v>23</v>
      </c>
      <c r="W10">
        <v>25</v>
      </c>
    </row>
    <row r="11" spans="1:23" ht="18.75" x14ac:dyDescent="0.3">
      <c r="A11" s="89"/>
      <c r="B11" s="89"/>
      <c r="E11" t="s">
        <v>74</v>
      </c>
      <c r="L11" s="128"/>
      <c r="T11">
        <v>4</v>
      </c>
    </row>
    <row r="12" spans="1:23" ht="18.75" x14ac:dyDescent="0.3">
      <c r="A12" s="89"/>
      <c r="B12" s="89"/>
      <c r="L12" s="128"/>
    </row>
    <row r="13" spans="1:23" ht="18.75" x14ac:dyDescent="0.3">
      <c r="A13" s="89"/>
      <c r="B13" s="89"/>
      <c r="L13" s="128"/>
    </row>
    <row r="14" spans="1:23" ht="18.75" x14ac:dyDescent="0.3">
      <c r="A14" s="89"/>
      <c r="B14" s="89"/>
      <c r="L14" s="128"/>
    </row>
    <row r="15" spans="1:23" ht="16.5" customHeight="1" x14ac:dyDescent="0.3">
      <c r="A15" s="89"/>
      <c r="B15" s="89"/>
      <c r="L15" s="128"/>
    </row>
    <row r="16" spans="1:23" ht="19.5" customHeight="1" x14ac:dyDescent="0.25">
      <c r="A16" s="89"/>
      <c r="B16" s="89"/>
    </row>
    <row r="17" spans="1:11" x14ac:dyDescent="0.25">
      <c r="A17" s="89"/>
      <c r="B17" s="89"/>
    </row>
    <row r="18" spans="1:11" x14ac:dyDescent="0.25">
      <c r="A18" s="89"/>
      <c r="B18" s="89"/>
    </row>
    <row r="19" spans="1:11" x14ac:dyDescent="0.25">
      <c r="A19" s="89"/>
      <c r="B19" s="89"/>
    </row>
    <row r="20" spans="1:11" x14ac:dyDescent="0.25">
      <c r="A20" s="89"/>
      <c r="B20" s="89"/>
    </row>
    <row r="21" spans="1:11" x14ac:dyDescent="0.25">
      <c r="A21" s="89"/>
      <c r="B21" s="89"/>
    </row>
    <row r="22" spans="1:11" x14ac:dyDescent="0.25">
      <c r="A22" s="89"/>
      <c r="B22" s="89"/>
    </row>
    <row r="23" spans="1:11" x14ac:dyDescent="0.25">
      <c r="A23" s="89"/>
      <c r="B23" s="89"/>
    </row>
    <row r="24" spans="1:11" x14ac:dyDescent="0.25">
      <c r="A24" s="89"/>
      <c r="B24" s="89"/>
    </row>
    <row r="25" spans="1:11" x14ac:dyDescent="0.25">
      <c r="A25" s="89"/>
      <c r="B25" s="89"/>
    </row>
    <row r="26" spans="1:11" x14ac:dyDescent="0.25">
      <c r="A26" s="89"/>
      <c r="B26" s="89"/>
    </row>
    <row r="27" spans="1:11" x14ac:dyDescent="0.25">
      <c r="A27" s="187"/>
      <c r="B27" s="187"/>
      <c r="C27" s="187"/>
      <c r="D27" s="187"/>
      <c r="E27" s="187"/>
      <c r="F27" s="187"/>
      <c r="G27" s="187"/>
      <c r="H27" s="187"/>
      <c r="I27" s="187"/>
      <c r="J27" s="187"/>
      <c r="K27" s="187"/>
    </row>
    <row r="28" spans="1:11" x14ac:dyDescent="0.25">
      <c r="A28" s="195"/>
      <c r="B28" s="297" t="s">
        <v>66</v>
      </c>
      <c r="C28" s="298"/>
      <c r="D28" s="298"/>
      <c r="E28" s="298"/>
      <c r="F28" s="298"/>
      <c r="G28" s="298"/>
      <c r="H28" s="298"/>
      <c r="I28" s="298"/>
      <c r="J28" s="298"/>
      <c r="K28" s="298"/>
    </row>
    <row r="29" spans="1:11" ht="15.95" customHeight="1" x14ac:dyDescent="0.25">
      <c r="A29" s="296" t="s">
        <v>77</v>
      </c>
      <c r="B29" s="196" t="s">
        <v>65</v>
      </c>
      <c r="C29" s="197" t="s">
        <v>52</v>
      </c>
      <c r="D29" s="197" t="s">
        <v>53</v>
      </c>
      <c r="E29" s="197" t="s">
        <v>54</v>
      </c>
      <c r="F29" s="198" t="s">
        <v>124</v>
      </c>
      <c r="G29" s="198" t="s">
        <v>125</v>
      </c>
      <c r="H29" s="198" t="s">
        <v>126</v>
      </c>
      <c r="I29" s="198" t="s">
        <v>127</v>
      </c>
      <c r="J29" s="198" t="s">
        <v>128</v>
      </c>
      <c r="K29" s="198" t="s">
        <v>129</v>
      </c>
    </row>
    <row r="30" spans="1:11" ht="15.95" customHeight="1" x14ac:dyDescent="0.25">
      <c r="A30" s="296"/>
      <c r="B30" s="196" t="s">
        <v>29</v>
      </c>
      <c r="C30" s="199">
        <v>1</v>
      </c>
      <c r="D30" s="199">
        <v>0</v>
      </c>
      <c r="E30" s="199">
        <v>0</v>
      </c>
      <c r="F30" s="199">
        <v>1.2</v>
      </c>
      <c r="G30" s="199">
        <v>0</v>
      </c>
      <c r="H30" s="199">
        <v>0</v>
      </c>
      <c r="I30" s="199">
        <v>0.35</v>
      </c>
      <c r="J30" s="199">
        <v>1E-8</v>
      </c>
      <c r="K30" s="199">
        <v>1E-8</v>
      </c>
    </row>
    <row r="31" spans="1:11" ht="15.95" customHeight="1" x14ac:dyDescent="0.25">
      <c r="A31" s="296"/>
      <c r="B31" s="196" t="s">
        <v>31</v>
      </c>
      <c r="C31" s="199">
        <v>1</v>
      </c>
      <c r="D31" s="199">
        <v>0</v>
      </c>
      <c r="E31" s="199">
        <v>0</v>
      </c>
      <c r="F31" s="199">
        <v>1.504</v>
      </c>
      <c r="G31" s="199">
        <v>0</v>
      </c>
      <c r="H31" s="199">
        <v>0</v>
      </c>
      <c r="I31" s="199">
        <v>0.5</v>
      </c>
      <c r="J31" s="199">
        <v>1E-8</v>
      </c>
      <c r="K31" s="199">
        <v>1E-8</v>
      </c>
    </row>
    <row r="32" spans="1:11" ht="15.95" customHeight="1" x14ac:dyDescent="0.25">
      <c r="A32" s="296"/>
      <c r="B32" s="196" t="s">
        <v>10</v>
      </c>
      <c r="C32" s="199">
        <v>0.3</v>
      </c>
      <c r="D32" s="199">
        <v>0.25</v>
      </c>
      <c r="E32" s="199">
        <v>0.45</v>
      </c>
      <c r="F32" s="199">
        <v>2</v>
      </c>
      <c r="G32" s="199">
        <v>2.2000000000000002</v>
      </c>
      <c r="H32" s="199">
        <v>2.7</v>
      </c>
      <c r="I32" s="199">
        <v>0.1</v>
      </c>
      <c r="J32" s="199">
        <v>0.2</v>
      </c>
      <c r="K32" s="199">
        <v>0.1</v>
      </c>
    </row>
    <row r="33" spans="1:11" ht="15.95" customHeight="1" x14ac:dyDescent="0.25">
      <c r="A33" s="296"/>
      <c r="B33" s="196" t="s">
        <v>11</v>
      </c>
      <c r="C33" s="199">
        <v>0.6</v>
      </c>
      <c r="D33" s="199">
        <v>0.4</v>
      </c>
      <c r="E33" s="199">
        <v>0</v>
      </c>
      <c r="F33" s="199">
        <v>1.946</v>
      </c>
      <c r="G33" s="199">
        <v>2.6</v>
      </c>
      <c r="H33" s="199">
        <v>0</v>
      </c>
      <c r="I33" s="199">
        <v>0.27</v>
      </c>
      <c r="J33" s="199">
        <v>0.17</v>
      </c>
      <c r="K33" s="199">
        <v>1E-10</v>
      </c>
    </row>
    <row r="34" spans="1:11" ht="15.95" customHeight="1" x14ac:dyDescent="0.25">
      <c r="A34" s="296" t="s">
        <v>75</v>
      </c>
      <c r="B34" s="196" t="s">
        <v>65</v>
      </c>
      <c r="C34" s="197" t="s">
        <v>52</v>
      </c>
      <c r="D34" s="197" t="s">
        <v>53</v>
      </c>
      <c r="E34" s="197" t="s">
        <v>54</v>
      </c>
      <c r="F34" s="198" t="s">
        <v>124</v>
      </c>
      <c r="G34" s="198" t="s">
        <v>125</v>
      </c>
      <c r="H34" s="198" t="s">
        <v>126</v>
      </c>
      <c r="I34" s="198" t="s">
        <v>127</v>
      </c>
      <c r="J34" s="198" t="s">
        <v>128</v>
      </c>
      <c r="K34" s="198" t="s">
        <v>129</v>
      </c>
    </row>
    <row r="35" spans="1:11" ht="15.95" customHeight="1" x14ac:dyDescent="0.25">
      <c r="A35" s="296"/>
      <c r="B35" s="196" t="s">
        <v>29</v>
      </c>
      <c r="C35" s="199">
        <v>1</v>
      </c>
      <c r="D35" s="199">
        <v>0</v>
      </c>
      <c r="E35" s="199">
        <v>0</v>
      </c>
      <c r="F35" s="199">
        <v>1.2</v>
      </c>
      <c r="G35" s="199">
        <v>0</v>
      </c>
      <c r="H35" s="199">
        <v>0</v>
      </c>
      <c r="I35" s="199">
        <v>0.35</v>
      </c>
      <c r="J35" s="199">
        <v>9.9999999999999994E-12</v>
      </c>
      <c r="K35" s="199">
        <v>1E-10</v>
      </c>
    </row>
    <row r="36" spans="1:11" ht="15.95" customHeight="1" x14ac:dyDescent="0.25">
      <c r="A36" s="296"/>
      <c r="B36" s="196" t="s">
        <v>31</v>
      </c>
      <c r="C36" s="199">
        <v>1</v>
      </c>
      <c r="D36" s="199">
        <v>0</v>
      </c>
      <c r="E36" s="199">
        <v>0</v>
      </c>
      <c r="F36" s="199">
        <v>1.7</v>
      </c>
      <c r="G36" s="199">
        <v>0</v>
      </c>
      <c r="H36" s="199">
        <v>0</v>
      </c>
      <c r="I36" s="199">
        <v>0.4</v>
      </c>
      <c r="J36" s="199">
        <v>9.9999999999999994E-12</v>
      </c>
      <c r="K36" s="199">
        <v>1E-10</v>
      </c>
    </row>
    <row r="37" spans="1:11" ht="15.95" customHeight="1" x14ac:dyDescent="0.25">
      <c r="A37" s="296"/>
      <c r="B37" s="196" t="s">
        <v>10</v>
      </c>
      <c r="C37" s="199">
        <v>0.4</v>
      </c>
      <c r="D37" s="199">
        <v>0.3</v>
      </c>
      <c r="E37" s="199">
        <v>0.30000000000000004</v>
      </c>
      <c r="F37" s="199">
        <v>2.2000000000000002</v>
      </c>
      <c r="G37" s="199">
        <v>2.7719999999999998</v>
      </c>
      <c r="H37" s="199">
        <v>2.8</v>
      </c>
      <c r="I37" s="199">
        <v>0.1</v>
      </c>
      <c r="J37" s="199">
        <v>0.2</v>
      </c>
      <c r="K37" s="199">
        <v>0.1</v>
      </c>
    </row>
    <row r="38" spans="1:11" ht="15.95" customHeight="1" x14ac:dyDescent="0.25">
      <c r="A38" s="296"/>
      <c r="B38" s="196" t="s">
        <v>11</v>
      </c>
      <c r="C38" s="199">
        <v>0.5</v>
      </c>
      <c r="D38" s="199">
        <v>0.5</v>
      </c>
      <c r="E38" s="199">
        <v>0</v>
      </c>
      <c r="F38" s="199">
        <v>1.946</v>
      </c>
      <c r="G38" s="199">
        <v>2.8</v>
      </c>
      <c r="H38" s="199">
        <v>0</v>
      </c>
      <c r="I38" s="199">
        <v>0.25</v>
      </c>
      <c r="J38" s="199">
        <v>0.2</v>
      </c>
      <c r="K38" s="199">
        <v>1E-10</v>
      </c>
    </row>
    <row r="39" spans="1:11" ht="15.95" customHeight="1" x14ac:dyDescent="0.25">
      <c r="A39" s="296" t="s">
        <v>130</v>
      </c>
      <c r="B39" s="196" t="s">
        <v>65</v>
      </c>
      <c r="C39" s="197" t="s">
        <v>52</v>
      </c>
      <c r="D39" s="197" t="s">
        <v>53</v>
      </c>
      <c r="E39" s="197" t="s">
        <v>54</v>
      </c>
      <c r="F39" s="198" t="s">
        <v>124</v>
      </c>
      <c r="G39" s="198" t="s">
        <v>125</v>
      </c>
      <c r="H39" s="198" t="s">
        <v>126</v>
      </c>
      <c r="I39" s="198" t="s">
        <v>127</v>
      </c>
      <c r="J39" s="198" t="s">
        <v>128</v>
      </c>
      <c r="K39" s="198" t="s">
        <v>129</v>
      </c>
    </row>
    <row r="40" spans="1:11" ht="15.95" customHeight="1" x14ac:dyDescent="0.25">
      <c r="A40" s="296"/>
      <c r="B40" s="196" t="s">
        <v>29</v>
      </c>
      <c r="C40" s="199">
        <v>1</v>
      </c>
      <c r="D40" s="199">
        <v>0</v>
      </c>
      <c r="E40" s="199">
        <v>0</v>
      </c>
      <c r="F40" s="199">
        <v>1.2</v>
      </c>
      <c r="G40" s="199">
        <v>0</v>
      </c>
      <c r="H40" s="199">
        <v>0</v>
      </c>
      <c r="I40" s="199">
        <v>0.35</v>
      </c>
      <c r="J40" s="199">
        <v>9.9999999999999994E-12</v>
      </c>
      <c r="K40" s="199">
        <v>1E-10</v>
      </c>
    </row>
    <row r="41" spans="1:11" ht="15.95" customHeight="1" x14ac:dyDescent="0.25">
      <c r="A41" s="296"/>
      <c r="B41" s="196" t="s">
        <v>31</v>
      </c>
      <c r="C41" s="199">
        <v>1</v>
      </c>
      <c r="D41" s="199">
        <v>0</v>
      </c>
      <c r="E41" s="199">
        <v>0</v>
      </c>
      <c r="F41" s="199">
        <v>1.8</v>
      </c>
      <c r="G41" s="199">
        <v>0</v>
      </c>
      <c r="H41" s="199">
        <v>0</v>
      </c>
      <c r="I41" s="199">
        <v>0.36</v>
      </c>
      <c r="J41" s="199">
        <v>9.9999999999999994E-12</v>
      </c>
      <c r="K41" s="199">
        <v>1E-10</v>
      </c>
    </row>
    <row r="42" spans="1:11" ht="15.95" customHeight="1" x14ac:dyDescent="0.25">
      <c r="A42" s="296"/>
      <c r="B42" s="196" t="s">
        <v>10</v>
      </c>
      <c r="C42" s="199">
        <v>0.4</v>
      </c>
      <c r="D42" s="199">
        <v>0.3</v>
      </c>
      <c r="E42" s="199">
        <v>0.30000000000000004</v>
      </c>
      <c r="F42" s="199">
        <v>2.3460000000000001</v>
      </c>
      <c r="G42" s="199">
        <v>2.7719999999999998</v>
      </c>
      <c r="H42" s="199">
        <v>3.218</v>
      </c>
      <c r="I42" s="199">
        <v>0.1</v>
      </c>
      <c r="J42" s="199">
        <v>0.3</v>
      </c>
      <c r="K42" s="199">
        <v>0.12</v>
      </c>
    </row>
    <row r="43" spans="1:11" ht="15.95" customHeight="1" x14ac:dyDescent="0.25">
      <c r="A43" s="296"/>
      <c r="B43" s="196" t="s">
        <v>11</v>
      </c>
      <c r="C43" s="199">
        <v>0.5</v>
      </c>
      <c r="D43" s="199">
        <v>0.5</v>
      </c>
      <c r="E43" s="199">
        <v>0</v>
      </c>
      <c r="F43" s="199">
        <v>2.1</v>
      </c>
      <c r="G43" s="199">
        <v>3.05</v>
      </c>
      <c r="H43" s="199">
        <v>0</v>
      </c>
      <c r="I43" s="199">
        <v>0.27</v>
      </c>
      <c r="J43" s="199">
        <v>0.27</v>
      </c>
      <c r="K43" s="199">
        <v>1E-10</v>
      </c>
    </row>
    <row r="44" spans="1:11" ht="15.95" customHeight="1" x14ac:dyDescent="0.25">
      <c r="A44" s="296" t="s">
        <v>131</v>
      </c>
      <c r="B44" s="196" t="s">
        <v>65</v>
      </c>
      <c r="C44" s="197" t="s">
        <v>52</v>
      </c>
      <c r="D44" s="197" t="s">
        <v>53</v>
      </c>
      <c r="E44" s="197" t="s">
        <v>54</v>
      </c>
      <c r="F44" s="198" t="s">
        <v>124</v>
      </c>
      <c r="G44" s="198" t="s">
        <v>125</v>
      </c>
      <c r="H44" s="198" t="s">
        <v>126</v>
      </c>
      <c r="I44" s="198" t="s">
        <v>127</v>
      </c>
      <c r="J44" s="198" t="s">
        <v>128</v>
      </c>
      <c r="K44" s="198" t="s">
        <v>129</v>
      </c>
    </row>
    <row r="45" spans="1:11" ht="15.95" customHeight="1" x14ac:dyDescent="0.25">
      <c r="A45" s="296"/>
      <c r="B45" s="196" t="s">
        <v>29</v>
      </c>
      <c r="C45" s="199">
        <v>1</v>
      </c>
      <c r="D45" s="199">
        <v>0</v>
      </c>
      <c r="E45" s="199">
        <v>0</v>
      </c>
      <c r="F45" s="199">
        <v>1.2</v>
      </c>
      <c r="G45" s="199">
        <v>0</v>
      </c>
      <c r="H45" s="199">
        <v>0</v>
      </c>
      <c r="I45" s="199">
        <v>0.35</v>
      </c>
      <c r="J45" s="199">
        <v>9.9999999999999994E-12</v>
      </c>
      <c r="K45" s="199">
        <v>1E-10</v>
      </c>
    </row>
    <row r="46" spans="1:11" ht="15.95" customHeight="1" x14ac:dyDescent="0.25">
      <c r="A46" s="296"/>
      <c r="B46" s="196" t="s">
        <v>31</v>
      </c>
      <c r="C46" s="199">
        <v>1</v>
      </c>
      <c r="D46" s="199">
        <v>0</v>
      </c>
      <c r="E46" s="199">
        <v>0</v>
      </c>
      <c r="F46" s="199">
        <v>2.12</v>
      </c>
      <c r="G46" s="199">
        <v>0</v>
      </c>
      <c r="H46" s="199">
        <v>0</v>
      </c>
      <c r="I46" s="199">
        <v>0.32</v>
      </c>
      <c r="J46" s="199">
        <v>9.9999999999999994E-12</v>
      </c>
      <c r="K46" s="199">
        <v>1E-10</v>
      </c>
    </row>
    <row r="47" spans="1:11" ht="15.95" customHeight="1" x14ac:dyDescent="0.25">
      <c r="A47" s="296"/>
      <c r="B47" s="196" t="s">
        <v>10</v>
      </c>
      <c r="C47" s="199">
        <v>0.4</v>
      </c>
      <c r="D47" s="199">
        <v>0.2</v>
      </c>
      <c r="E47" s="199">
        <v>0.39999999999999991</v>
      </c>
      <c r="F47" s="199">
        <v>2.7</v>
      </c>
      <c r="G47" s="199">
        <v>3</v>
      </c>
      <c r="H47" s="199">
        <v>3.4</v>
      </c>
      <c r="I47" s="199">
        <v>0.1</v>
      </c>
      <c r="J47" s="199">
        <v>0.3</v>
      </c>
      <c r="K47" s="199">
        <v>0.12</v>
      </c>
    </row>
    <row r="48" spans="1:11" ht="15.95" customHeight="1" x14ac:dyDescent="0.25">
      <c r="A48" s="296"/>
      <c r="B48" s="196" t="s">
        <v>11</v>
      </c>
      <c r="C48" s="199">
        <v>0.5</v>
      </c>
      <c r="D48" s="199">
        <v>0.5</v>
      </c>
      <c r="E48" s="199">
        <v>0</v>
      </c>
      <c r="F48" s="199">
        <v>2.2999999999999998</v>
      </c>
      <c r="G48" s="199">
        <v>3.3</v>
      </c>
      <c r="H48" s="199">
        <v>0</v>
      </c>
      <c r="I48" s="199">
        <v>0.28000000000000003</v>
      </c>
      <c r="J48" s="199">
        <v>0.28000000000000003</v>
      </c>
      <c r="K48" s="199">
        <v>1E-10</v>
      </c>
    </row>
    <row r="49" spans="1:11" ht="15.95" customHeight="1" x14ac:dyDescent="0.25">
      <c r="A49" s="296" t="s">
        <v>62</v>
      </c>
      <c r="B49" s="196" t="s">
        <v>65</v>
      </c>
      <c r="C49" s="197" t="s">
        <v>52</v>
      </c>
      <c r="D49" s="197" t="s">
        <v>53</v>
      </c>
      <c r="E49" s="197" t="s">
        <v>54</v>
      </c>
      <c r="F49" s="198" t="s">
        <v>124</v>
      </c>
      <c r="G49" s="198" t="s">
        <v>125</v>
      </c>
      <c r="H49" s="198" t="s">
        <v>126</v>
      </c>
      <c r="I49" s="198" t="s">
        <v>127</v>
      </c>
      <c r="J49" s="198" t="s">
        <v>128</v>
      </c>
      <c r="K49" s="198" t="s">
        <v>129</v>
      </c>
    </row>
    <row r="50" spans="1:11" ht="15.95" customHeight="1" x14ac:dyDescent="0.25">
      <c r="A50" s="296"/>
      <c r="B50" s="196" t="s">
        <v>29</v>
      </c>
      <c r="C50" s="199" t="s">
        <v>206</v>
      </c>
      <c r="D50" s="199" t="s">
        <v>221</v>
      </c>
      <c r="E50" s="199" t="s">
        <v>222</v>
      </c>
      <c r="F50" s="199" t="s">
        <v>223</v>
      </c>
      <c r="G50" s="199" t="s">
        <v>224</v>
      </c>
      <c r="H50" s="199" t="s">
        <v>225</v>
      </c>
      <c r="I50" s="199" t="s">
        <v>226</v>
      </c>
      <c r="J50" s="199" t="s">
        <v>227</v>
      </c>
      <c r="K50" s="199" t="s">
        <v>228</v>
      </c>
    </row>
    <row r="51" spans="1:11" ht="15.95" customHeight="1" x14ac:dyDescent="0.25">
      <c r="A51" s="296"/>
      <c r="B51" s="196" t="s">
        <v>31</v>
      </c>
      <c r="C51" s="199" t="s">
        <v>192</v>
      </c>
      <c r="D51" s="199" t="s">
        <v>208</v>
      </c>
      <c r="E51" s="199" t="s">
        <v>207</v>
      </c>
      <c r="F51" s="199" t="s">
        <v>229</v>
      </c>
      <c r="G51" s="199" t="s">
        <v>230</v>
      </c>
      <c r="H51" s="199" t="s">
        <v>231</v>
      </c>
      <c r="I51" s="199" t="s">
        <v>232</v>
      </c>
      <c r="J51" s="199" t="s">
        <v>233</v>
      </c>
      <c r="K51" s="199" t="s">
        <v>234</v>
      </c>
    </row>
    <row r="52" spans="1:11" ht="15.95" customHeight="1" x14ac:dyDescent="0.25">
      <c r="A52" s="296"/>
      <c r="B52" s="196" t="s">
        <v>10</v>
      </c>
      <c r="C52" s="199" t="s">
        <v>235</v>
      </c>
      <c r="D52" s="199" t="s">
        <v>209</v>
      </c>
      <c r="E52" s="199" t="s">
        <v>236</v>
      </c>
      <c r="F52" s="199" t="s">
        <v>237</v>
      </c>
      <c r="G52" s="199" t="s">
        <v>238</v>
      </c>
      <c r="H52" s="199" t="s">
        <v>210</v>
      </c>
      <c r="I52" s="199" t="s">
        <v>239</v>
      </c>
      <c r="J52" s="199" t="s">
        <v>240</v>
      </c>
      <c r="K52" s="199" t="s">
        <v>211</v>
      </c>
    </row>
    <row r="53" spans="1:11" ht="15.95" customHeight="1" x14ac:dyDescent="0.25">
      <c r="A53" s="296"/>
      <c r="B53" s="196" t="s">
        <v>11</v>
      </c>
      <c r="C53" s="199" t="s">
        <v>212</v>
      </c>
      <c r="D53" s="199" t="s">
        <v>213</v>
      </c>
      <c r="E53" s="199" t="s">
        <v>220</v>
      </c>
      <c r="F53" s="199" t="s">
        <v>214</v>
      </c>
      <c r="G53" s="199" t="s">
        <v>215</v>
      </c>
      <c r="H53" s="199" t="s">
        <v>216</v>
      </c>
      <c r="I53" s="199" t="s">
        <v>217</v>
      </c>
      <c r="J53" s="199" t="s">
        <v>218</v>
      </c>
      <c r="K53" s="199" t="s">
        <v>219</v>
      </c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1" r:id="rId3" name="Legal">
          <controlPr defaultSize="0" autoLine="0" r:id="rId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3" name="Legal"/>
      </mc:Fallback>
    </mc:AlternateContent>
    <mc:AlternateContent xmlns:mc="http://schemas.openxmlformats.org/markup-compatibility/2006">
      <mc:Choice Requires="x14">
        <control shapeId="91144" r:id="rId5" name="Sencillo">
          <controlPr defaultSize="0" autoLine="0" r:id="rId6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5" name="Sencillo"/>
      </mc:Fallback>
    </mc:AlternateContent>
    <mc:AlternateContent xmlns:mc="http://schemas.openxmlformats.org/markup-compatibility/2006">
      <mc:Choice Requires="x14">
        <control shapeId="91145" r:id="rId7" name="Sencillodual">
          <controlPr defaultSize="0" autoLine="0" r:id="rId8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7" name="Sencillodual"/>
      </mc:Fallback>
    </mc:AlternateContent>
    <mc:AlternateContent xmlns:mc="http://schemas.openxmlformats.org/markup-compatibility/2006">
      <mc:Choice Requires="x14">
        <control shapeId="91146" r:id="rId9" name="Tandem">
          <controlPr defaultSize="0" autoLine="0" r:id="rId10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9" name="Tandem"/>
      </mc:Fallback>
    </mc:AlternateContent>
    <mc:AlternateContent xmlns:mc="http://schemas.openxmlformats.org/markup-compatibility/2006">
      <mc:Choice Requires="x14">
        <control shapeId="91147" r:id="rId11" name="Tridem">
          <controlPr defaultSize="0" autoLine="0" r:id="rId12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11" name="Tridem"/>
      </mc:Fallback>
    </mc:AlternateContent>
    <mc:AlternateContent xmlns:mc="http://schemas.openxmlformats.org/markup-compatibility/2006">
      <mc:Choice Requires="x14">
        <control shapeId="91154" r:id="rId13" name="ComboBox2">
          <controlPr defaultSize="0" autoLine="0" r:id="rId1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13" name="ComboBox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A1:AW30"/>
  <sheetViews>
    <sheetView showGridLines="0" zoomScaleNormal="100" workbookViewId="0">
      <selection activeCell="S23" sqref="S23"/>
    </sheetView>
  </sheetViews>
  <sheetFormatPr baseColWidth="10" defaultRowHeight="15" x14ac:dyDescent="0.25"/>
  <cols>
    <col min="1" max="1" width="7.85546875" customWidth="1"/>
    <col min="2" max="2" width="4" customWidth="1"/>
    <col min="4" max="4" width="15.28515625" customWidth="1"/>
    <col min="6" max="6" width="17.85546875" customWidth="1"/>
    <col min="8" max="8" width="4.7109375" customWidth="1"/>
    <col min="9" max="26" width="4.140625" customWidth="1"/>
    <col min="27" max="27" width="2.5703125" customWidth="1"/>
    <col min="28" max="28" width="6.42578125" customWidth="1"/>
    <col min="29" max="29" width="4.140625" customWidth="1"/>
    <col min="30" max="30" width="3.42578125" customWidth="1"/>
    <col min="31" max="45" width="4.140625" customWidth="1"/>
    <col min="47" max="47" width="13.42578125" customWidth="1"/>
  </cols>
  <sheetData>
    <row r="1" spans="1:49" x14ac:dyDescent="0.25">
      <c r="A1" s="91"/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</row>
    <row r="2" spans="1:49" x14ac:dyDescent="0.25">
      <c r="L2" s="22"/>
      <c r="P2" s="91"/>
    </row>
    <row r="3" spans="1:49" x14ac:dyDescent="0.25">
      <c r="L3" s="22"/>
      <c r="P3" s="91"/>
      <c r="AU3" s="187"/>
      <c r="AV3" s="187"/>
      <c r="AW3" s="187"/>
    </row>
    <row r="4" spans="1:49" x14ac:dyDescent="0.25">
      <c r="AU4" s="187"/>
      <c r="AV4" s="187"/>
      <c r="AW4" s="187"/>
    </row>
    <row r="5" spans="1:49" x14ac:dyDescent="0.25">
      <c r="AU5" s="91" t="s">
        <v>29</v>
      </c>
      <c r="AV5" s="191" t="s">
        <v>169</v>
      </c>
      <c r="AW5" s="187"/>
    </row>
    <row r="6" spans="1:49" ht="18.75" x14ac:dyDescent="0.25">
      <c r="C6" s="307" t="s">
        <v>71</v>
      </c>
      <c r="D6" s="307"/>
      <c r="E6" s="307"/>
      <c r="F6" s="307"/>
      <c r="G6" s="91"/>
      <c r="H6" s="304" t="s">
        <v>166</v>
      </c>
      <c r="I6" s="304"/>
      <c r="J6" s="304"/>
      <c r="K6" s="304"/>
      <c r="L6" s="91"/>
      <c r="M6" s="91"/>
      <c r="N6" s="91"/>
      <c r="O6" s="91"/>
      <c r="P6" s="91"/>
      <c r="Q6" s="91"/>
      <c r="R6" s="91"/>
      <c r="S6" s="91"/>
      <c r="T6" s="91"/>
      <c r="U6" s="91"/>
      <c r="V6" s="91"/>
      <c r="W6" s="91"/>
      <c r="X6" s="91"/>
      <c r="Y6" s="91"/>
      <c r="Z6" s="91"/>
      <c r="AA6" s="91"/>
      <c r="AB6" s="91"/>
      <c r="AU6" s="91" t="s">
        <v>115</v>
      </c>
      <c r="AV6" s="191" t="s">
        <v>168</v>
      </c>
      <c r="AW6" s="187"/>
    </row>
    <row r="7" spans="1:49" ht="18" x14ac:dyDescent="0.25">
      <c r="C7" s="308" t="s">
        <v>26</v>
      </c>
      <c r="D7" s="308"/>
      <c r="E7" s="308"/>
      <c r="F7" s="201">
        <v>10.09</v>
      </c>
      <c r="G7" s="91"/>
      <c r="H7" s="305" t="s">
        <v>24</v>
      </c>
      <c r="I7" s="305"/>
      <c r="J7" s="305">
        <v>122</v>
      </c>
      <c r="K7" s="305"/>
      <c r="L7" s="93"/>
      <c r="M7" s="91"/>
      <c r="N7" s="91"/>
      <c r="O7" s="91"/>
      <c r="P7" s="91"/>
      <c r="Q7" s="91"/>
      <c r="R7" s="91"/>
      <c r="S7" s="91"/>
      <c r="T7" s="91"/>
      <c r="U7" s="91"/>
      <c r="V7" s="91"/>
      <c r="W7" s="91"/>
      <c r="X7" s="91"/>
      <c r="Y7" s="91"/>
      <c r="Z7" s="91"/>
      <c r="AA7" s="91"/>
      <c r="AB7" s="91"/>
      <c r="AU7" s="91" t="s">
        <v>10</v>
      </c>
      <c r="AV7" s="192" t="s">
        <v>197</v>
      </c>
      <c r="AW7" s="187"/>
    </row>
    <row r="8" spans="1:49" ht="20.25" customHeight="1" x14ac:dyDescent="0.25">
      <c r="C8" s="308" t="s">
        <v>25</v>
      </c>
      <c r="D8" s="308"/>
      <c r="E8" s="308"/>
      <c r="F8" s="201" t="s">
        <v>11</v>
      </c>
      <c r="G8" s="91"/>
      <c r="H8" s="305" t="s">
        <v>23</v>
      </c>
      <c r="I8" s="305"/>
      <c r="J8" s="305">
        <v>36</v>
      </c>
      <c r="K8" s="305"/>
      <c r="L8" s="202"/>
      <c r="M8" s="91"/>
      <c r="N8" s="91"/>
      <c r="O8" s="91"/>
      <c r="P8" s="91"/>
      <c r="Q8" s="91"/>
      <c r="R8" s="91"/>
      <c r="S8" s="91"/>
      <c r="T8" s="91"/>
      <c r="U8" s="91"/>
      <c r="V8" s="91"/>
      <c r="W8" s="91"/>
      <c r="X8" s="91"/>
      <c r="Y8" s="91"/>
      <c r="Z8" s="91"/>
      <c r="AA8" s="91"/>
      <c r="AB8" s="91"/>
      <c r="AU8" s="91" t="s">
        <v>11</v>
      </c>
      <c r="AV8" s="192" t="s">
        <v>198</v>
      </c>
      <c r="AW8" s="187"/>
    </row>
    <row r="9" spans="1:49" ht="15.75" x14ac:dyDescent="0.25">
      <c r="C9" s="308"/>
      <c r="D9" s="308"/>
      <c r="E9" s="308"/>
      <c r="F9" s="201"/>
      <c r="G9" s="91"/>
      <c r="H9" s="304" t="s">
        <v>167</v>
      </c>
      <c r="I9" s="304"/>
      <c r="J9" s="304"/>
      <c r="K9" s="304"/>
      <c r="L9" s="203"/>
      <c r="M9" s="91"/>
      <c r="N9" s="91"/>
      <c r="O9" s="91"/>
      <c r="P9" s="91"/>
      <c r="Q9" s="91"/>
      <c r="R9" s="91"/>
      <c r="S9" s="91"/>
      <c r="T9" s="91"/>
      <c r="U9" s="91"/>
      <c r="V9" s="91"/>
      <c r="W9" s="91"/>
      <c r="X9" s="91"/>
      <c r="Y9" s="91"/>
      <c r="Z9" s="91"/>
      <c r="AA9" s="91"/>
      <c r="AB9" s="91"/>
      <c r="AU9" s="91"/>
      <c r="AV9" s="191" t="s">
        <v>174</v>
      </c>
      <c r="AW9" s="187"/>
    </row>
    <row r="10" spans="1:49" ht="18" x14ac:dyDescent="0.35">
      <c r="C10" s="308" t="s">
        <v>90</v>
      </c>
      <c r="D10" s="308"/>
      <c r="E10" s="308"/>
      <c r="F10" s="201">
        <v>3</v>
      </c>
      <c r="G10" s="91"/>
      <c r="H10" s="306" t="s">
        <v>21</v>
      </c>
      <c r="I10" s="306"/>
      <c r="J10" s="302">
        <v>0</v>
      </c>
      <c r="K10" s="302"/>
      <c r="L10" s="91"/>
      <c r="M10" s="91"/>
      <c r="N10" s="91"/>
      <c r="O10" s="91"/>
      <c r="P10" s="91"/>
      <c r="Q10" s="91"/>
      <c r="R10" s="91"/>
      <c r="S10" s="91"/>
      <c r="T10" s="91"/>
      <c r="U10" s="91"/>
      <c r="V10" s="91"/>
      <c r="W10" s="91"/>
      <c r="X10" s="91"/>
      <c r="Y10" s="91"/>
      <c r="Z10" s="91"/>
      <c r="AA10" s="91"/>
      <c r="AB10" s="91"/>
      <c r="AU10" s="91"/>
      <c r="AV10" s="193" t="s">
        <v>199</v>
      </c>
      <c r="AW10" s="187"/>
    </row>
    <row r="11" spans="1:49" ht="18" x14ac:dyDescent="0.35">
      <c r="C11" s="308"/>
      <c r="D11" s="308"/>
      <c r="E11" s="308"/>
      <c r="F11" s="201"/>
      <c r="G11" s="91"/>
      <c r="H11" s="306" t="s">
        <v>22</v>
      </c>
      <c r="I11" s="306"/>
      <c r="J11" s="302">
        <v>0</v>
      </c>
      <c r="K11" s="302"/>
      <c r="L11" s="91"/>
      <c r="M11" s="91"/>
      <c r="N11" s="91"/>
      <c r="O11" s="91"/>
      <c r="P11" s="91"/>
      <c r="Q11" s="91"/>
      <c r="R11" s="91"/>
      <c r="S11" s="91"/>
      <c r="T11" s="91"/>
      <c r="U11" s="91"/>
      <c r="V11" s="91"/>
      <c r="W11" s="91"/>
      <c r="X11" s="91"/>
      <c r="Y11" s="91"/>
      <c r="Z11" s="91"/>
      <c r="AA11" s="91"/>
      <c r="AB11" s="91"/>
      <c r="AU11" s="91"/>
      <c r="AV11" s="193" t="s">
        <v>200</v>
      </c>
    </row>
    <row r="12" spans="1:49" ht="15.75" customHeight="1" x14ac:dyDescent="0.25">
      <c r="C12" s="307" t="s">
        <v>1</v>
      </c>
      <c r="D12" s="307"/>
      <c r="E12" s="307"/>
      <c r="F12" s="307"/>
      <c r="G12" s="220"/>
      <c r="H12" s="91"/>
      <c r="I12" s="91"/>
      <c r="J12" s="91"/>
      <c r="K12" s="91"/>
      <c r="L12" s="91"/>
      <c r="M12" s="91"/>
      <c r="N12" s="91"/>
      <c r="O12" s="91"/>
      <c r="P12" s="91"/>
      <c r="Q12" s="91"/>
      <c r="R12" s="91"/>
      <c r="S12" s="91"/>
      <c r="T12" s="91"/>
      <c r="U12" s="91"/>
      <c r="V12" s="91"/>
      <c r="W12" s="91"/>
      <c r="X12" s="91"/>
      <c r="Y12" s="91"/>
      <c r="Z12" s="91"/>
      <c r="AA12" s="91"/>
      <c r="AB12" s="91"/>
    </row>
    <row r="13" spans="1:49" ht="30" x14ac:dyDescent="0.25">
      <c r="C13" s="202" t="s">
        <v>148</v>
      </c>
      <c r="D13" s="202" t="s">
        <v>149</v>
      </c>
      <c r="E13" s="202" t="s">
        <v>76</v>
      </c>
      <c r="F13" s="202" t="s">
        <v>177</v>
      </c>
      <c r="G13" s="91"/>
      <c r="H13" s="202"/>
      <c r="I13" s="91"/>
      <c r="J13" s="91"/>
      <c r="K13" s="91"/>
      <c r="L13" s="203"/>
      <c r="M13" s="91"/>
      <c r="N13" s="91"/>
      <c r="O13" s="91"/>
      <c r="P13" s="91"/>
      <c r="Q13" s="91"/>
      <c r="R13" s="91"/>
      <c r="S13" s="91"/>
      <c r="T13" s="91"/>
      <c r="U13" s="91"/>
      <c r="V13" s="91"/>
      <c r="W13" s="91"/>
      <c r="X13" s="91"/>
      <c r="Y13" s="91"/>
      <c r="Z13" s="91"/>
      <c r="AA13" s="91"/>
      <c r="AB13" s="91"/>
    </row>
    <row r="14" spans="1:49" x14ac:dyDescent="0.25">
      <c r="C14" s="200">
        <v>1</v>
      </c>
      <c r="D14" s="201" t="s">
        <v>170</v>
      </c>
      <c r="E14" s="201">
        <v>15</v>
      </c>
      <c r="F14" s="201">
        <v>3000</v>
      </c>
      <c r="G14" s="91"/>
      <c r="H14" s="204"/>
      <c r="I14" s="91"/>
      <c r="J14" s="91"/>
      <c r="K14" s="91"/>
      <c r="L14" s="91"/>
      <c r="M14" s="91"/>
      <c r="N14" s="91"/>
      <c r="O14" s="91"/>
      <c r="P14" s="91"/>
      <c r="Q14" s="91"/>
      <c r="R14" s="206" t="s">
        <v>174</v>
      </c>
      <c r="S14" s="91"/>
      <c r="T14" s="91"/>
      <c r="U14" s="91"/>
      <c r="V14" s="91"/>
      <c r="W14" s="91"/>
      <c r="X14" s="91"/>
      <c r="Y14" s="91" t="s">
        <v>165</v>
      </c>
      <c r="Z14" s="91"/>
      <c r="AA14" s="91"/>
      <c r="AB14" s="205"/>
    </row>
    <row r="15" spans="1:49" ht="15" customHeight="1" x14ac:dyDescent="0.25">
      <c r="C15" s="200">
        <v>2</v>
      </c>
      <c r="D15" s="201" t="s">
        <v>171</v>
      </c>
      <c r="E15" s="201">
        <v>30</v>
      </c>
      <c r="F15" s="201">
        <v>300</v>
      </c>
      <c r="G15" s="91"/>
      <c r="H15" s="204"/>
      <c r="I15" s="91"/>
      <c r="J15" s="91"/>
      <c r="K15" s="91"/>
      <c r="L15" s="91"/>
      <c r="M15" s="91"/>
      <c r="N15" s="91"/>
      <c r="O15" s="91"/>
      <c r="P15" s="91"/>
      <c r="Q15" s="91"/>
      <c r="R15" s="206"/>
      <c r="S15" s="91"/>
      <c r="T15" s="91"/>
      <c r="U15" s="303" t="s">
        <v>170</v>
      </c>
      <c r="V15" s="303"/>
      <c r="W15" s="303"/>
      <c r="X15" s="303"/>
      <c r="Y15" s="301">
        <v>0.65265899793671189</v>
      </c>
      <c r="Z15" s="301"/>
      <c r="AA15" s="301"/>
      <c r="AB15" s="91"/>
    </row>
    <row r="16" spans="1:49" ht="15" customHeight="1" x14ac:dyDescent="0.25">
      <c r="C16" s="200">
        <v>3</v>
      </c>
      <c r="D16" s="201" t="s">
        <v>172</v>
      </c>
      <c r="E16" s="201"/>
      <c r="F16" s="201">
        <v>50</v>
      </c>
      <c r="G16" s="91"/>
      <c r="H16" s="91"/>
      <c r="I16" s="207" t="s">
        <v>194</v>
      </c>
      <c r="J16" s="208"/>
      <c r="K16" s="208"/>
      <c r="L16" s="208"/>
      <c r="M16" s="208"/>
      <c r="N16" s="208"/>
      <c r="O16" s="91"/>
      <c r="P16" s="91"/>
      <c r="Q16" s="91"/>
      <c r="R16" s="209" t="s">
        <v>169</v>
      </c>
      <c r="S16" s="91"/>
      <c r="T16" s="91"/>
      <c r="U16" s="303"/>
      <c r="V16" s="303"/>
      <c r="W16" s="303"/>
      <c r="X16" s="303"/>
      <c r="Y16" s="91"/>
      <c r="Z16" s="91"/>
      <c r="AA16" s="91"/>
      <c r="AB16" s="210"/>
    </row>
    <row r="17" spans="3:28" ht="15" customHeight="1" x14ac:dyDescent="0.25">
      <c r="C17" s="200">
        <v>4</v>
      </c>
      <c r="D17" s="201" t="s">
        <v>173</v>
      </c>
      <c r="E17" s="201"/>
      <c r="F17" s="201"/>
      <c r="G17" s="91"/>
      <c r="H17" s="91"/>
      <c r="I17" s="211"/>
      <c r="J17" s="212"/>
      <c r="K17" s="212"/>
      <c r="L17" s="212"/>
      <c r="M17" s="299">
        <v>-2.0165641921332549E-4</v>
      </c>
      <c r="N17" s="299"/>
      <c r="O17" s="299"/>
      <c r="P17" s="91"/>
      <c r="Q17" s="91"/>
      <c r="R17" s="206"/>
      <c r="S17" s="91"/>
      <c r="T17" s="91"/>
      <c r="U17" s="303" t="s">
        <v>171</v>
      </c>
      <c r="V17" s="303"/>
      <c r="W17" s="303"/>
      <c r="X17" s="303"/>
      <c r="Y17" s="213" t="s">
        <v>201</v>
      </c>
      <c r="Z17" s="91"/>
      <c r="AA17" s="91"/>
      <c r="AB17" s="214">
        <v>166.77187976205579</v>
      </c>
    </row>
    <row r="18" spans="3:28" ht="15" customHeight="1" x14ac:dyDescent="0.25">
      <c r="C18" s="200">
        <v>5</v>
      </c>
      <c r="D18" s="201"/>
      <c r="E18" s="201"/>
      <c r="F18" s="201"/>
      <c r="G18" s="91"/>
      <c r="H18" s="202"/>
      <c r="I18" s="207" t="s">
        <v>195</v>
      </c>
      <c r="J18" s="91"/>
      <c r="K18" s="91"/>
      <c r="L18" s="91"/>
      <c r="M18" s="91"/>
      <c r="N18" s="91"/>
      <c r="O18" s="91"/>
      <c r="P18" s="91"/>
      <c r="Q18" s="91"/>
      <c r="R18" s="209" t="s">
        <v>168</v>
      </c>
      <c r="S18" s="91"/>
      <c r="T18" s="91"/>
      <c r="U18" s="303"/>
      <c r="V18" s="303"/>
      <c r="W18" s="303"/>
      <c r="X18" s="303"/>
      <c r="Y18" s="211"/>
      <c r="Z18" s="91"/>
      <c r="AA18" s="91"/>
      <c r="AB18" s="214"/>
    </row>
    <row r="19" spans="3:28" ht="15" customHeight="1" x14ac:dyDescent="0.25">
      <c r="C19" s="200">
        <v>6</v>
      </c>
      <c r="D19" s="201"/>
      <c r="E19" s="201"/>
      <c r="F19" s="201"/>
      <c r="G19" s="91"/>
      <c r="H19" s="215"/>
      <c r="I19" s="216"/>
      <c r="J19" s="208"/>
      <c r="K19" s="208"/>
      <c r="L19" s="91"/>
      <c r="M19" s="299">
        <v>5.709578786840323E-4</v>
      </c>
      <c r="N19" s="299"/>
      <c r="O19" s="299"/>
      <c r="P19" s="91"/>
      <c r="Q19" s="91"/>
      <c r="R19" s="206"/>
      <c r="S19" s="91"/>
      <c r="T19" s="91"/>
      <c r="U19" s="303" t="s">
        <v>172</v>
      </c>
      <c r="V19" s="303"/>
      <c r="W19" s="303"/>
      <c r="X19" s="303"/>
      <c r="Y19" s="211" t="s">
        <v>202</v>
      </c>
      <c r="Z19" s="91"/>
      <c r="AA19" s="91"/>
      <c r="AB19" s="214">
        <v>26.507523391181628</v>
      </c>
    </row>
    <row r="20" spans="3:28" ht="15" customHeight="1" x14ac:dyDescent="0.25">
      <c r="C20" s="200">
        <v>7</v>
      </c>
      <c r="D20" s="201"/>
      <c r="E20" s="201"/>
      <c r="F20" s="201"/>
      <c r="G20" s="91"/>
      <c r="H20" s="217"/>
      <c r="I20" s="211"/>
      <c r="J20" s="208"/>
      <c r="K20" s="208"/>
      <c r="L20" s="208"/>
      <c r="M20" s="208"/>
      <c r="N20" s="208"/>
      <c r="O20" s="91"/>
      <c r="P20" s="91"/>
      <c r="Q20" s="91"/>
      <c r="R20" s="209"/>
      <c r="S20" s="91"/>
      <c r="T20" s="91"/>
      <c r="U20" s="303"/>
      <c r="V20" s="303"/>
      <c r="W20" s="303"/>
      <c r="X20" s="303"/>
      <c r="Y20" s="211"/>
      <c r="Z20" s="91"/>
      <c r="AA20" s="91"/>
      <c r="AB20" s="210"/>
    </row>
    <row r="21" spans="3:28" ht="15" customHeight="1" x14ac:dyDescent="0.25">
      <c r="C21" s="200">
        <v>8</v>
      </c>
      <c r="D21" s="201"/>
      <c r="E21" s="201"/>
      <c r="F21" s="201"/>
      <c r="G21" s="91"/>
      <c r="H21" s="91"/>
      <c r="I21" s="211"/>
      <c r="J21" s="203"/>
      <c r="K21" s="203"/>
      <c r="L21" s="203"/>
      <c r="M21" s="299"/>
      <c r="N21" s="299"/>
      <c r="O21" s="299"/>
      <c r="P21" s="91"/>
      <c r="Q21" s="91"/>
      <c r="R21" s="206"/>
      <c r="S21" s="91"/>
      <c r="T21" s="91"/>
      <c r="U21" s="303"/>
      <c r="V21" s="303"/>
      <c r="W21" s="303"/>
      <c r="X21" s="303"/>
      <c r="Y21" s="211"/>
      <c r="Z21" s="91"/>
      <c r="AA21" s="91"/>
      <c r="AB21" s="214"/>
    </row>
    <row r="22" spans="3:28" ht="15" customHeight="1" x14ac:dyDescent="0.25">
      <c r="C22" s="200">
        <v>9</v>
      </c>
      <c r="D22" s="201"/>
      <c r="E22" s="201"/>
      <c r="F22" s="201"/>
      <c r="G22" s="91"/>
      <c r="H22" s="91"/>
      <c r="I22" s="211"/>
      <c r="J22" s="91"/>
      <c r="K22" s="91"/>
      <c r="L22" s="91"/>
      <c r="M22" s="91"/>
      <c r="N22" s="91"/>
      <c r="O22" s="91"/>
      <c r="P22" s="91"/>
      <c r="Q22" s="91"/>
      <c r="R22" s="206"/>
      <c r="S22" s="91"/>
      <c r="T22" s="91"/>
      <c r="U22" s="303"/>
      <c r="V22" s="303"/>
      <c r="W22" s="303"/>
      <c r="X22" s="303"/>
      <c r="Y22" s="211"/>
      <c r="Z22" s="91"/>
      <c r="AA22" s="91"/>
      <c r="AB22" s="210"/>
    </row>
    <row r="23" spans="3:28" ht="15" customHeight="1" x14ac:dyDescent="0.25">
      <c r="C23" s="200">
        <v>10</v>
      </c>
      <c r="D23" s="201"/>
      <c r="E23" s="201"/>
      <c r="F23" s="201"/>
      <c r="G23" s="91"/>
      <c r="H23" s="91"/>
      <c r="I23" s="211"/>
      <c r="J23" s="91"/>
      <c r="K23" s="91"/>
      <c r="L23" s="91"/>
      <c r="M23" s="299"/>
      <c r="N23" s="299"/>
      <c r="O23" s="299"/>
      <c r="P23" s="91"/>
      <c r="Q23" s="91"/>
      <c r="R23" s="206"/>
      <c r="S23" s="91"/>
      <c r="T23" s="91"/>
      <c r="U23" s="302"/>
      <c r="V23" s="302"/>
      <c r="W23" s="302"/>
      <c r="X23" s="302"/>
      <c r="Y23" s="211"/>
      <c r="Z23" s="91"/>
      <c r="AA23" s="91"/>
      <c r="AB23" s="210"/>
    </row>
    <row r="24" spans="3:28" ht="15" customHeight="1" x14ac:dyDescent="0.25">
      <c r="C24" s="91"/>
      <c r="D24" s="91"/>
      <c r="E24" s="91"/>
      <c r="F24" s="91"/>
      <c r="G24" s="91"/>
      <c r="H24" s="91"/>
      <c r="I24" s="211"/>
      <c r="J24" s="91"/>
      <c r="K24" s="91"/>
      <c r="L24" s="91"/>
      <c r="M24" s="91"/>
      <c r="N24" s="91"/>
      <c r="O24" s="91"/>
      <c r="P24" s="91"/>
      <c r="Q24" s="91"/>
      <c r="R24" s="206"/>
      <c r="S24" s="91"/>
      <c r="T24" s="91"/>
      <c r="U24" s="302"/>
      <c r="V24" s="302"/>
      <c r="W24" s="302"/>
      <c r="X24" s="302"/>
      <c r="Y24" s="211"/>
      <c r="Z24" s="91"/>
      <c r="AA24" s="91"/>
      <c r="AB24" s="210"/>
    </row>
    <row r="25" spans="3:28" ht="15" customHeight="1" x14ac:dyDescent="0.25">
      <c r="C25" s="91"/>
      <c r="D25" s="91"/>
      <c r="E25" s="218"/>
      <c r="F25" s="218"/>
      <c r="G25" s="218"/>
      <c r="H25" s="91"/>
      <c r="I25" s="211"/>
      <c r="J25" s="91"/>
      <c r="K25" s="91"/>
      <c r="L25" s="91"/>
      <c r="M25" s="300"/>
      <c r="N25" s="300"/>
      <c r="O25" s="300"/>
      <c r="P25" s="91"/>
      <c r="Q25" s="91"/>
      <c r="R25" s="206"/>
      <c r="S25" s="91"/>
      <c r="T25" s="91"/>
      <c r="U25" s="302"/>
      <c r="V25" s="302"/>
      <c r="W25" s="302"/>
      <c r="X25" s="302"/>
      <c r="Y25" s="211"/>
      <c r="Z25" s="91"/>
      <c r="AA25" s="91"/>
      <c r="AB25" s="210"/>
    </row>
    <row r="26" spans="3:28" ht="15" customHeight="1" x14ac:dyDescent="0.25">
      <c r="C26" s="91"/>
      <c r="D26" s="91"/>
      <c r="E26" s="91"/>
      <c r="F26" s="91"/>
      <c r="G26" s="91"/>
      <c r="H26" s="91"/>
      <c r="I26" s="211"/>
      <c r="J26" s="91"/>
      <c r="K26" s="91"/>
      <c r="L26" s="91"/>
      <c r="M26" s="91"/>
      <c r="N26" s="91"/>
      <c r="O26" s="91"/>
      <c r="P26" s="91"/>
      <c r="Q26" s="91"/>
      <c r="R26" s="206"/>
      <c r="S26" s="91"/>
      <c r="T26" s="91"/>
      <c r="U26" s="208"/>
      <c r="V26" s="208"/>
      <c r="W26" s="208"/>
      <c r="X26" s="208"/>
      <c r="Y26" s="211"/>
      <c r="Z26" s="91"/>
      <c r="AA26" s="91"/>
      <c r="AB26" s="210"/>
    </row>
    <row r="27" spans="3:28" ht="15" customHeight="1" x14ac:dyDescent="0.25">
      <c r="C27" s="91"/>
      <c r="D27" s="91"/>
      <c r="E27" s="91"/>
      <c r="F27" s="219"/>
      <c r="G27" s="91"/>
      <c r="H27" s="91"/>
      <c r="I27" s="211"/>
      <c r="J27" s="91"/>
      <c r="K27" s="91"/>
      <c r="L27" s="91"/>
      <c r="M27" s="91"/>
      <c r="N27" s="91"/>
      <c r="O27" s="91"/>
      <c r="P27" s="91"/>
      <c r="Q27" s="91"/>
      <c r="R27" s="206"/>
      <c r="S27" s="91"/>
      <c r="T27" s="91"/>
      <c r="U27" s="208"/>
      <c r="V27" s="208"/>
      <c r="W27" s="208"/>
      <c r="X27" s="208"/>
      <c r="Y27" s="211"/>
      <c r="Z27" s="91"/>
      <c r="AA27" s="91"/>
      <c r="AB27" s="210"/>
    </row>
    <row r="28" spans="3:28" ht="17.25" x14ac:dyDescent="0.25">
      <c r="C28" s="91"/>
      <c r="D28" s="91"/>
      <c r="E28" s="91"/>
      <c r="F28" s="219"/>
      <c r="G28" s="91"/>
      <c r="H28" s="91"/>
      <c r="I28" s="211"/>
      <c r="J28" s="91"/>
      <c r="K28" s="91"/>
      <c r="L28" s="91"/>
      <c r="M28" s="91"/>
      <c r="N28" s="91"/>
      <c r="O28" s="91"/>
      <c r="P28" s="91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</row>
    <row r="29" spans="3:28" ht="17.25" x14ac:dyDescent="0.25">
      <c r="F29" s="98"/>
    </row>
    <row r="30" spans="3:28" ht="15.75" x14ac:dyDescent="0.25">
      <c r="G30" s="144"/>
      <c r="H30" s="144"/>
      <c r="I30" s="144"/>
      <c r="J30" s="144"/>
    </row>
  </sheetData>
  <mergeCells count="29">
    <mergeCell ref="C12:F12"/>
    <mergeCell ref="C6:F6"/>
    <mergeCell ref="C7:E7"/>
    <mergeCell ref="C8:E8"/>
    <mergeCell ref="C9:E9"/>
    <mergeCell ref="C10:E10"/>
    <mergeCell ref="C11:E11"/>
    <mergeCell ref="H11:I11"/>
    <mergeCell ref="J11:K11"/>
    <mergeCell ref="U15:X16"/>
    <mergeCell ref="H7:I7"/>
    <mergeCell ref="J7:K7"/>
    <mergeCell ref="H6:K6"/>
    <mergeCell ref="H8:I8"/>
    <mergeCell ref="J8:K8"/>
    <mergeCell ref="H9:K9"/>
    <mergeCell ref="H10:I10"/>
    <mergeCell ref="J10:K10"/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zoomScaleNormal="100" workbookViewId="0">
      <selection activeCell="L15" sqref="L15"/>
    </sheetView>
  </sheetViews>
  <sheetFormatPr baseColWidth="10" defaultRowHeight="15" x14ac:dyDescent="0.25"/>
  <cols>
    <col min="1" max="1" width="7.85546875" style="257" customWidth="1"/>
    <col min="2" max="2" width="5.85546875" style="257" customWidth="1"/>
    <col min="3" max="3" width="11.42578125" style="257"/>
    <col min="4" max="4" width="14.85546875" style="257" customWidth="1"/>
    <col min="5" max="5" width="11.42578125" style="257"/>
    <col min="6" max="6" width="19.7109375" style="257" customWidth="1"/>
    <col min="7" max="7" width="11.42578125" style="257"/>
    <col min="8" max="11" width="14.28515625" style="257" customWidth="1"/>
    <col min="12" max="12" width="14.42578125" style="257" customWidth="1"/>
    <col min="13" max="16384" width="11.42578125" style="257"/>
  </cols>
  <sheetData>
    <row r="1" spans="1:31" x14ac:dyDescent="0.25">
      <c r="A1" s="255"/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6"/>
    </row>
    <row r="2" spans="1:31" x14ac:dyDescent="0.25">
      <c r="A2" s="256"/>
      <c r="B2" s="256"/>
      <c r="C2" s="256"/>
      <c r="D2" s="256"/>
      <c r="E2" s="256"/>
      <c r="F2" s="256"/>
      <c r="G2" s="256"/>
      <c r="H2" s="256"/>
      <c r="I2" s="256"/>
      <c r="J2" s="256"/>
      <c r="K2" s="256"/>
      <c r="L2" s="259"/>
      <c r="M2" s="255"/>
      <c r="N2" s="256"/>
      <c r="O2" s="256"/>
    </row>
    <row r="3" spans="1:31" x14ac:dyDescent="0.25">
      <c r="A3" s="256"/>
      <c r="B3" s="256"/>
      <c r="C3" s="256"/>
      <c r="D3" s="256"/>
      <c r="E3" s="256"/>
      <c r="F3" s="256"/>
      <c r="G3" s="256"/>
      <c r="H3" s="256"/>
      <c r="I3" s="256"/>
      <c r="J3" s="256"/>
      <c r="K3" s="256"/>
      <c r="L3" s="259"/>
      <c r="M3" s="255"/>
      <c r="N3" s="256"/>
      <c r="O3" s="256"/>
    </row>
    <row r="4" spans="1:31" x14ac:dyDescent="0.25">
      <c r="A4" s="256"/>
      <c r="B4" s="256"/>
      <c r="C4" s="256"/>
      <c r="D4" s="256"/>
      <c r="E4" s="256"/>
      <c r="F4" s="256"/>
      <c r="G4" s="256"/>
      <c r="H4" s="256"/>
      <c r="I4" s="256"/>
      <c r="J4" s="256"/>
      <c r="K4" s="256"/>
      <c r="L4" s="256"/>
      <c r="M4" s="256"/>
      <c r="N4" s="256"/>
      <c r="O4" s="256"/>
      <c r="Z4" s="309"/>
      <c r="AA4" s="309"/>
      <c r="AB4" s="309"/>
      <c r="AC4" s="309"/>
      <c r="AD4" s="309"/>
      <c r="AE4" s="309"/>
    </row>
    <row r="5" spans="1:31" x14ac:dyDescent="0.25">
      <c r="A5" s="256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256"/>
      <c r="B6"/>
      <c r="C6"/>
      <c r="D6"/>
      <c r="E6"/>
      <c r="F6"/>
      <c r="G6"/>
      <c r="H6"/>
      <c r="I6" s="310" t="s">
        <v>42</v>
      </c>
      <c r="J6" s="311"/>
      <c r="K6" s="311"/>
      <c r="L6" s="312"/>
      <c r="M6"/>
      <c r="N6"/>
      <c r="O6"/>
    </row>
    <row r="7" spans="1:31" ht="18" customHeight="1" x14ac:dyDescent="0.25">
      <c r="A7" s="256"/>
      <c r="B7"/>
      <c r="C7" s="318" t="s">
        <v>90</v>
      </c>
      <c r="D7" s="318"/>
      <c r="E7" s="318"/>
      <c r="F7" s="242">
        <v>3</v>
      </c>
      <c r="G7"/>
      <c r="H7"/>
      <c r="I7" s="314" t="s">
        <v>44</v>
      </c>
      <c r="J7" s="314"/>
      <c r="K7" s="313" t="s">
        <v>43</v>
      </c>
      <c r="L7" s="313"/>
      <c r="M7"/>
      <c r="N7"/>
      <c r="O7"/>
    </row>
    <row r="8" spans="1:31" ht="18" customHeight="1" x14ac:dyDescent="0.25">
      <c r="A8" s="256"/>
      <c r="B8"/>
      <c r="C8"/>
      <c r="D8"/>
      <c r="E8"/>
      <c r="F8" s="239"/>
      <c r="G8"/>
      <c r="H8"/>
      <c r="I8" s="314" t="s">
        <v>45</v>
      </c>
      <c r="J8" s="314"/>
      <c r="K8" s="313" t="s">
        <v>43</v>
      </c>
      <c r="L8" s="313"/>
      <c r="M8"/>
      <c r="N8"/>
      <c r="O8"/>
    </row>
    <row r="9" spans="1:31" x14ac:dyDescent="0.25">
      <c r="A9" s="256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256"/>
      <c r="B10"/>
      <c r="C10" s="240"/>
      <c r="D10" s="240"/>
      <c r="E10" s="240"/>
      <c r="F10" s="201"/>
      <c r="G10"/>
      <c r="H10"/>
      <c r="I10"/>
      <c r="J10"/>
      <c r="K10"/>
      <c r="L10"/>
      <c r="M10"/>
      <c r="N10"/>
      <c r="O10"/>
    </row>
    <row r="11" spans="1:31" ht="18.75" x14ac:dyDescent="0.25">
      <c r="A11" s="256"/>
      <c r="B11"/>
      <c r="C11" s="315" t="s">
        <v>1</v>
      </c>
      <c r="D11" s="316"/>
      <c r="E11" s="316"/>
      <c r="F11" s="317"/>
      <c r="G11"/>
      <c r="H11"/>
      <c r="I11"/>
      <c r="J11"/>
      <c r="K11"/>
      <c r="L11"/>
      <c r="M11"/>
      <c r="N11"/>
      <c r="O11"/>
    </row>
    <row r="12" spans="1:31" ht="30" x14ac:dyDescent="0.25">
      <c r="A12" s="256"/>
      <c r="B12"/>
      <c r="C12" s="241" t="s">
        <v>148</v>
      </c>
      <c r="D12" s="241" t="s">
        <v>149</v>
      </c>
      <c r="E12" s="241" t="s">
        <v>76</v>
      </c>
      <c r="F12" s="241" t="s">
        <v>177</v>
      </c>
      <c r="G12"/>
      <c r="H12"/>
      <c r="I12"/>
      <c r="J12"/>
      <c r="K12"/>
      <c r="L12"/>
      <c r="M12" s="91"/>
      <c r="N12"/>
      <c r="O12"/>
    </row>
    <row r="13" spans="1:31" x14ac:dyDescent="0.25">
      <c r="A13" s="256"/>
      <c r="B13"/>
      <c r="C13" s="119">
        <v>1</v>
      </c>
      <c r="D13" s="242" t="s">
        <v>241</v>
      </c>
      <c r="E13" s="242">
        <v>10</v>
      </c>
      <c r="F13" s="242">
        <v>3500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256"/>
      <c r="B14"/>
      <c r="C14" s="119">
        <v>2</v>
      </c>
      <c r="D14" s="242" t="s">
        <v>196</v>
      </c>
      <c r="E14" s="242">
        <v>40</v>
      </c>
      <c r="F14" s="242">
        <v>400</v>
      </c>
      <c r="G14"/>
      <c r="H14"/>
      <c r="I14"/>
      <c r="J14"/>
      <c r="K14"/>
      <c r="L14" s="143"/>
      <c r="M14" s="143"/>
      <c r="N14" s="143"/>
      <c r="O14" s="143"/>
    </row>
    <row r="15" spans="1:31" ht="15.75" customHeight="1" x14ac:dyDescent="0.25">
      <c r="A15" s="256"/>
      <c r="B15"/>
      <c r="C15" s="119">
        <v>3</v>
      </c>
      <c r="D15" s="242" t="s">
        <v>205</v>
      </c>
      <c r="E15" s="242"/>
      <c r="F15" s="242">
        <v>100</v>
      </c>
      <c r="G15"/>
      <c r="H15"/>
      <c r="I15" s="318" t="s">
        <v>150</v>
      </c>
      <c r="J15" s="318"/>
      <c r="K15" s="318"/>
      <c r="L15" s="272">
        <v>17.931085383945408</v>
      </c>
      <c r="M15" s="143"/>
      <c r="N15" s="143"/>
      <c r="O15" s="143"/>
    </row>
    <row r="16" spans="1:31" ht="15.75" customHeight="1" x14ac:dyDescent="0.25">
      <c r="A16" s="256"/>
      <c r="B16"/>
      <c r="C16" s="119">
        <v>4</v>
      </c>
      <c r="D16" s="242"/>
      <c r="E16" s="242"/>
      <c r="F16" s="242"/>
      <c r="G16"/>
      <c r="H16"/>
      <c r="I16" s="318" t="s">
        <v>151</v>
      </c>
      <c r="J16" s="318"/>
      <c r="K16" s="318"/>
      <c r="L16" s="272" t="s">
        <v>261</v>
      </c>
      <c r="M16" s="143"/>
      <c r="N16" s="143"/>
      <c r="O16" s="143"/>
    </row>
    <row r="17" spans="1:26" ht="17.25" x14ac:dyDescent="0.3">
      <c r="A17" s="256"/>
      <c r="B17"/>
      <c r="C17" s="119">
        <v>5</v>
      </c>
      <c r="D17" s="242"/>
      <c r="E17" s="242"/>
      <c r="F17" s="242"/>
      <c r="G17"/>
      <c r="H17"/>
      <c r="I17"/>
      <c r="J17"/>
      <c r="K17"/>
      <c r="L17"/>
      <c r="M17"/>
      <c r="N17"/>
      <c r="O17"/>
      <c r="P17" s="277"/>
      <c r="Q17" s="278"/>
      <c r="R17" s="277"/>
    </row>
    <row r="18" spans="1:26" ht="17.25" x14ac:dyDescent="0.3">
      <c r="A18" s="256"/>
      <c r="B18"/>
      <c r="C18" s="119">
        <v>6</v>
      </c>
      <c r="D18" s="242"/>
      <c r="E18" s="242"/>
      <c r="F18" s="242"/>
      <c r="G18"/>
      <c r="H18"/>
      <c r="I18"/>
      <c r="J18"/>
      <c r="K18"/>
      <c r="L18"/>
      <c r="M18"/>
      <c r="N18"/>
      <c r="O18"/>
      <c r="P18" s="277"/>
      <c r="Q18" s="278"/>
      <c r="R18" s="277"/>
    </row>
    <row r="19" spans="1:26" ht="17.25" x14ac:dyDescent="0.3">
      <c r="A19" s="256"/>
      <c r="B19"/>
      <c r="C19" s="119">
        <v>7</v>
      </c>
      <c r="D19" s="242"/>
      <c r="E19" s="242"/>
      <c r="F19" s="242"/>
      <c r="G19"/>
      <c r="H19"/>
      <c r="I19"/>
      <c r="J19"/>
      <c r="K19"/>
      <c r="L19"/>
      <c r="M19"/>
      <c r="N19"/>
      <c r="O19"/>
      <c r="P19" s="277"/>
      <c r="Q19" s="278"/>
      <c r="R19" s="277"/>
    </row>
    <row r="20" spans="1:26" x14ac:dyDescent="0.25">
      <c r="A20" s="256"/>
      <c r="B20"/>
      <c r="C20" s="119">
        <v>8</v>
      </c>
      <c r="D20" s="242"/>
      <c r="E20" s="242"/>
      <c r="F20" s="242"/>
      <c r="G20"/>
      <c r="H20"/>
      <c r="I20"/>
      <c r="J20"/>
      <c r="K20"/>
      <c r="L20"/>
      <c r="M20"/>
      <c r="N20"/>
      <c r="O20"/>
    </row>
    <row r="21" spans="1:26" x14ac:dyDescent="0.25">
      <c r="A21" s="256"/>
      <c r="B21"/>
      <c r="C21" s="119">
        <v>9</v>
      </c>
      <c r="D21" s="242"/>
      <c r="E21" s="242"/>
      <c r="F21" s="242"/>
      <c r="G21"/>
      <c r="H21" s="177"/>
      <c r="I21"/>
      <c r="J21"/>
      <c r="K21"/>
      <c r="L21"/>
      <c r="M21"/>
      <c r="N21"/>
      <c r="O21"/>
    </row>
    <row r="22" spans="1:26" ht="15.75" customHeight="1" x14ac:dyDescent="0.25">
      <c r="A22" s="256"/>
      <c r="B22"/>
      <c r="C22" s="119">
        <v>10</v>
      </c>
      <c r="D22" s="242"/>
      <c r="E22" s="242"/>
      <c r="F22" s="242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256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79"/>
    </row>
    <row r="24" spans="1:26" ht="18.75" x14ac:dyDescent="0.25">
      <c r="A24" s="256"/>
      <c r="E24" s="280"/>
      <c r="F24" s="280"/>
      <c r="Z24" s="281"/>
    </row>
    <row r="25" spans="1:26" ht="18.75" x14ac:dyDescent="0.25">
      <c r="A25" s="256"/>
      <c r="G25" s="280"/>
      <c r="Z25" s="281"/>
    </row>
    <row r="26" spans="1:26" ht="17.25" x14ac:dyDescent="0.25">
      <c r="A26" s="256"/>
      <c r="F26" s="282"/>
      <c r="Z26" s="281">
        <v>1.66E-10</v>
      </c>
    </row>
    <row r="27" spans="1:26" ht="17.25" x14ac:dyDescent="0.25">
      <c r="A27" s="256"/>
      <c r="F27" s="282"/>
      <c r="Z27" s="281">
        <v>4.32</v>
      </c>
    </row>
    <row r="28" spans="1:26" ht="17.25" x14ac:dyDescent="0.25">
      <c r="A28" s="256"/>
      <c r="F28" s="282"/>
      <c r="Z28" s="281">
        <v>6.1799999999999998E-8</v>
      </c>
    </row>
    <row r="29" spans="1:26" x14ac:dyDescent="0.25">
      <c r="Z29" s="281">
        <v>3.95</v>
      </c>
    </row>
    <row r="30" spans="1:26" x14ac:dyDescent="0.25">
      <c r="Z30" s="281">
        <v>1.1358E-3</v>
      </c>
    </row>
    <row r="31" spans="1:26" x14ac:dyDescent="0.25">
      <c r="Z31" s="283">
        <v>3.2909999999999999</v>
      </c>
    </row>
    <row r="32" spans="1:26" x14ac:dyDescent="0.25">
      <c r="Z32" s="281">
        <v>0.85399999999999998</v>
      </c>
    </row>
  </sheetData>
  <sheetProtection password="8FE7" sheet="1" objects="1" scenarios="1"/>
  <mergeCells count="11">
    <mergeCell ref="C11:F11"/>
    <mergeCell ref="I15:K15"/>
    <mergeCell ref="I16:K16"/>
    <mergeCell ref="C7:E7"/>
    <mergeCell ref="Z4:AB4"/>
    <mergeCell ref="AC4:AE4"/>
    <mergeCell ref="I6:L6"/>
    <mergeCell ref="K7:L7"/>
    <mergeCell ref="K8:L8"/>
    <mergeCell ref="I7:J7"/>
    <mergeCell ref="I8:J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6" r:id="rId3" name="ComboBoxFatiga">
          <controlPr defaultSize="0" autoLine="0" r:id="rId4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3" name="ComboBoxFatiga"/>
      </mc:Fallback>
    </mc:AlternateContent>
    <mc:AlternateContent xmlns:mc="http://schemas.openxmlformats.org/markup-compatibility/2006">
      <mc:Choice Requires="x14">
        <control shapeId="108558" r:id="rId5" name="ComboBoxDeformacion">
          <controlPr defaultSize="0" autoLine="0" r:id="rId6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5" name="ComboBoxDeformacion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B29"/>
  <sheetViews>
    <sheetView showGridLines="0" zoomScale="85" zoomScaleNormal="85" workbookViewId="0">
      <selection activeCell="I15" sqref="I15"/>
    </sheetView>
  </sheetViews>
  <sheetFormatPr baseColWidth="10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28" x14ac:dyDescent="0.25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1">
        <v>16</v>
      </c>
    </row>
    <row r="2" spans="1:28" x14ac:dyDescent="0.25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90"/>
      <c r="N2" s="89"/>
      <c r="O2" s="89"/>
      <c r="P2" s="92"/>
    </row>
    <row r="3" spans="1:28" x14ac:dyDescent="0.25">
      <c r="A3" s="89"/>
      <c r="B3" s="89"/>
      <c r="C3" s="89"/>
      <c r="D3" s="89"/>
      <c r="E3" s="89"/>
      <c r="F3" s="89"/>
      <c r="G3" s="89"/>
      <c r="H3" s="89"/>
      <c r="I3" s="89"/>
      <c r="J3" s="89"/>
      <c r="K3" s="89"/>
      <c r="L3" s="89"/>
      <c r="M3" s="90"/>
      <c r="N3" s="89"/>
      <c r="O3" s="89"/>
      <c r="P3" s="92"/>
    </row>
    <row r="4" spans="1:28" x14ac:dyDescent="0.25">
      <c r="A4" s="89"/>
      <c r="B4" s="89"/>
      <c r="C4" s="89"/>
      <c r="D4" s="89"/>
      <c r="E4" s="89"/>
      <c r="F4" s="89"/>
      <c r="G4" s="89"/>
      <c r="H4" s="89"/>
      <c r="I4" s="89"/>
      <c r="J4" s="89"/>
      <c r="K4" s="89"/>
      <c r="L4" s="89"/>
      <c r="M4" s="89"/>
      <c r="N4" s="89"/>
      <c r="O4" s="89"/>
      <c r="P4" s="89"/>
    </row>
    <row r="5" spans="1:28" x14ac:dyDescent="0.25">
      <c r="A5" s="89"/>
      <c r="AB5" t="s">
        <v>29</v>
      </c>
    </row>
    <row r="6" spans="1:28" ht="18.75" x14ac:dyDescent="0.25">
      <c r="A6" s="89"/>
      <c r="C6" s="319" t="s">
        <v>71</v>
      </c>
      <c r="D6" s="320"/>
      <c r="E6" s="320"/>
      <c r="F6" s="321"/>
      <c r="G6" s="94"/>
      <c r="AB6" t="s">
        <v>115</v>
      </c>
    </row>
    <row r="7" spans="1:28" ht="15.75" x14ac:dyDescent="0.25">
      <c r="A7" s="89"/>
      <c r="C7" s="323" t="s">
        <v>26</v>
      </c>
      <c r="D7" s="323"/>
      <c r="E7" s="323"/>
      <c r="F7" s="142">
        <v>50</v>
      </c>
      <c r="M7" s="93"/>
      <c r="AB7" t="s">
        <v>10</v>
      </c>
    </row>
    <row r="8" spans="1:28" x14ac:dyDescent="0.25">
      <c r="A8" s="89"/>
      <c r="C8" s="323" t="s">
        <v>25</v>
      </c>
      <c r="D8" s="323"/>
      <c r="E8" s="323"/>
      <c r="F8" s="142" t="s">
        <v>264</v>
      </c>
      <c r="AB8" t="s">
        <v>11</v>
      </c>
    </row>
    <row r="9" spans="1:28" x14ac:dyDescent="0.25">
      <c r="A9" s="89"/>
      <c r="C9" s="324" t="s">
        <v>72</v>
      </c>
      <c r="D9" s="324"/>
      <c r="E9" s="324"/>
      <c r="F9" s="120">
        <v>90</v>
      </c>
    </row>
    <row r="10" spans="1:28" x14ac:dyDescent="0.25">
      <c r="A10" s="89"/>
      <c r="C10" s="323" t="s">
        <v>90</v>
      </c>
      <c r="D10" s="323"/>
      <c r="E10" s="323"/>
      <c r="F10" s="142">
        <v>3</v>
      </c>
    </row>
    <row r="11" spans="1:28" x14ac:dyDescent="0.25">
      <c r="A11" s="89"/>
      <c r="C11" s="324" t="s">
        <v>114</v>
      </c>
      <c r="D11" s="324"/>
      <c r="E11" s="324"/>
      <c r="F11" s="120">
        <v>0.35</v>
      </c>
    </row>
    <row r="12" spans="1:28" ht="18.75" x14ac:dyDescent="0.25">
      <c r="A12" s="89"/>
      <c r="C12" s="319" t="s">
        <v>1</v>
      </c>
      <c r="D12" s="320"/>
      <c r="E12" s="320"/>
      <c r="F12" s="321"/>
      <c r="G12" s="94"/>
      <c r="H12" s="161"/>
    </row>
    <row r="13" spans="1:28" ht="30" x14ac:dyDescent="0.25">
      <c r="A13" s="89"/>
      <c r="C13" s="118" t="s">
        <v>148</v>
      </c>
      <c r="D13" s="118" t="s">
        <v>149</v>
      </c>
      <c r="E13" s="118" t="s">
        <v>76</v>
      </c>
      <c r="F13" s="118" t="s">
        <v>164</v>
      </c>
      <c r="G13" s="146"/>
      <c r="I13" s="139"/>
      <c r="J13" s="139"/>
      <c r="K13" s="139"/>
      <c r="L13" s="139"/>
      <c r="M13" s="139"/>
      <c r="N13" s="139"/>
    </row>
    <row r="14" spans="1:28" x14ac:dyDescent="0.25">
      <c r="A14" s="89"/>
      <c r="C14" s="119">
        <v>1</v>
      </c>
      <c r="D14" s="120" t="s">
        <v>241</v>
      </c>
      <c r="E14" s="120">
        <v>10</v>
      </c>
      <c r="F14" s="120">
        <v>3500000</v>
      </c>
      <c r="G14" s="147"/>
      <c r="I14" s="140"/>
      <c r="J14" s="141"/>
      <c r="K14" s="140"/>
      <c r="L14" s="145"/>
      <c r="M14" s="145"/>
      <c r="N14" s="116"/>
    </row>
    <row r="15" spans="1:28" x14ac:dyDescent="0.25">
      <c r="A15" s="89"/>
      <c r="C15" s="119">
        <v>2</v>
      </c>
      <c r="D15" s="120" t="s">
        <v>196</v>
      </c>
      <c r="E15" s="120">
        <v>40</v>
      </c>
      <c r="F15" s="120">
        <v>400000</v>
      </c>
      <c r="G15" s="147"/>
      <c r="I15" s="140"/>
      <c r="J15" s="141"/>
      <c r="K15" s="140"/>
      <c r="L15" s="145"/>
      <c r="M15" s="145"/>
      <c r="N15" s="176"/>
    </row>
    <row r="16" spans="1:28" x14ac:dyDescent="0.25">
      <c r="A16" s="89"/>
      <c r="C16" s="119">
        <v>3</v>
      </c>
      <c r="D16" s="120" t="s">
        <v>205</v>
      </c>
      <c r="E16" s="120"/>
      <c r="F16" s="120">
        <v>100000</v>
      </c>
      <c r="G16" s="147"/>
    </row>
    <row r="17" spans="1:21" ht="17.25" x14ac:dyDescent="0.3">
      <c r="A17" s="89"/>
      <c r="C17" s="119">
        <v>4</v>
      </c>
      <c r="D17" s="120"/>
      <c r="E17" s="120"/>
      <c r="F17" s="120">
        <v>0</v>
      </c>
      <c r="G17" s="147"/>
      <c r="S17" s="164"/>
      <c r="T17" s="165"/>
      <c r="U17" s="164"/>
    </row>
    <row r="18" spans="1:21" ht="17.25" x14ac:dyDescent="0.3">
      <c r="A18" s="89"/>
      <c r="C18" s="119">
        <v>5</v>
      </c>
      <c r="D18" s="120"/>
      <c r="E18" s="120"/>
      <c r="F18" s="120">
        <v>0</v>
      </c>
      <c r="G18" s="148"/>
      <c r="S18" s="164"/>
      <c r="T18" s="165"/>
      <c r="U18" s="164"/>
    </row>
    <row r="19" spans="1:21" ht="17.25" x14ac:dyDescent="0.3">
      <c r="A19" s="89"/>
      <c r="C19" s="119">
        <v>6</v>
      </c>
      <c r="D19" s="120"/>
      <c r="E19" s="120"/>
      <c r="F19" s="120">
        <v>0</v>
      </c>
      <c r="G19" s="148"/>
      <c r="S19" s="164"/>
      <c r="T19" s="165"/>
      <c r="U19" s="164"/>
    </row>
    <row r="20" spans="1:21" x14ac:dyDescent="0.25">
      <c r="A20" s="89"/>
      <c r="C20" s="119">
        <v>7</v>
      </c>
      <c r="D20" s="120"/>
      <c r="E20" s="120"/>
      <c r="F20" s="120">
        <v>0</v>
      </c>
      <c r="G20" s="148"/>
    </row>
    <row r="21" spans="1:21" x14ac:dyDescent="0.25">
      <c r="A21" s="89"/>
      <c r="C21" s="119">
        <v>8</v>
      </c>
      <c r="D21" s="120"/>
      <c r="E21" s="120"/>
      <c r="F21" s="120">
        <v>0</v>
      </c>
      <c r="G21" s="148"/>
      <c r="I21" s="177"/>
      <c r="J21" s="177"/>
      <c r="K21" s="177"/>
      <c r="L21" s="178"/>
    </row>
    <row r="22" spans="1:21" ht="15.75" customHeight="1" x14ac:dyDescent="0.25">
      <c r="A22" s="89"/>
      <c r="C22" s="119">
        <v>9</v>
      </c>
      <c r="D22" s="120"/>
      <c r="E22" s="120"/>
      <c r="F22" s="120">
        <v>0</v>
      </c>
      <c r="G22" s="148"/>
      <c r="I22" s="322"/>
      <c r="J22" s="322"/>
      <c r="K22" s="322"/>
      <c r="L22" s="145"/>
    </row>
    <row r="23" spans="1:21" ht="15.75" customHeight="1" x14ac:dyDescent="0.25">
      <c r="A23" s="89"/>
      <c r="C23" s="119">
        <v>10</v>
      </c>
      <c r="D23" s="120"/>
      <c r="E23" s="120"/>
      <c r="F23" s="120">
        <v>0</v>
      </c>
      <c r="G23" s="148"/>
      <c r="I23" s="322"/>
      <c r="J23" s="322"/>
      <c r="K23" s="322"/>
      <c r="L23" s="145"/>
    </row>
    <row r="24" spans="1:21" x14ac:dyDescent="0.25">
      <c r="A24" s="89"/>
    </row>
    <row r="25" spans="1:21" ht="18.75" x14ac:dyDescent="0.25">
      <c r="A25" s="89"/>
      <c r="E25" s="94"/>
      <c r="F25" s="94"/>
      <c r="G25" s="94"/>
      <c r="H25" s="94"/>
    </row>
    <row r="27" spans="1:21" ht="17.25" x14ac:dyDescent="0.25">
      <c r="F27" s="98"/>
    </row>
    <row r="28" spans="1:21" ht="17.25" x14ac:dyDescent="0.25">
      <c r="F28" s="98"/>
    </row>
    <row r="29" spans="1:21" ht="17.25" x14ac:dyDescent="0.25">
      <c r="F29" s="98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U26"/>
  <sheetViews>
    <sheetView workbookViewId="0">
      <selection activeCell="B3" sqref="B3"/>
    </sheetView>
  </sheetViews>
  <sheetFormatPr baseColWidth="10" defaultRowHeight="15" x14ac:dyDescent="0.25"/>
  <cols>
    <col min="1" max="1" width="26.5703125" customWidth="1"/>
    <col min="2" max="4" width="13.5703125" customWidth="1"/>
  </cols>
  <sheetData>
    <row r="1" spans="1:21" ht="15" customHeight="1" x14ac:dyDescent="0.25"/>
    <row r="2" spans="1:21" ht="15" customHeight="1" x14ac:dyDescent="0.25">
      <c r="A2" s="136" t="s">
        <v>161</v>
      </c>
      <c r="B2" s="137">
        <v>90</v>
      </c>
      <c r="D2" s="162"/>
    </row>
    <row r="3" spans="1:21" ht="15" customHeight="1" x14ac:dyDescent="0.25">
      <c r="A3" s="136" t="s">
        <v>175</v>
      </c>
      <c r="B3" s="152">
        <v>0.35</v>
      </c>
      <c r="D3" s="163" t="s">
        <v>204</v>
      </c>
      <c r="P3" s="325" t="s">
        <v>152</v>
      </c>
      <c r="Q3" s="325"/>
      <c r="R3" s="325"/>
      <c r="S3" s="325" t="s">
        <v>153</v>
      </c>
      <c r="T3" s="325"/>
      <c r="U3" s="325"/>
    </row>
    <row r="4" spans="1:21" ht="15" customHeight="1" x14ac:dyDescent="0.25">
      <c r="P4" t="s">
        <v>154</v>
      </c>
      <c r="S4" t="s">
        <v>154</v>
      </c>
    </row>
    <row r="5" spans="1:21" ht="15" customHeight="1" x14ac:dyDescent="0.25">
      <c r="A5" s="143"/>
      <c r="B5" s="143"/>
      <c r="C5" s="143"/>
      <c r="D5" s="143"/>
      <c r="P5" t="s">
        <v>155</v>
      </c>
      <c r="S5" t="s">
        <v>156</v>
      </c>
    </row>
    <row r="6" spans="1:21" ht="15" customHeight="1" x14ac:dyDescent="0.25">
      <c r="A6" s="143"/>
      <c r="B6" s="143"/>
      <c r="C6" s="143"/>
      <c r="D6" s="143"/>
      <c r="P6" t="s">
        <v>157</v>
      </c>
      <c r="S6" t="s">
        <v>158</v>
      </c>
    </row>
    <row r="7" spans="1:21" ht="15" customHeight="1" x14ac:dyDescent="0.25">
      <c r="A7" s="143"/>
      <c r="B7" s="143"/>
      <c r="C7" s="143"/>
      <c r="D7" s="143"/>
      <c r="P7" t="s">
        <v>43</v>
      </c>
      <c r="S7" t="s">
        <v>159</v>
      </c>
    </row>
    <row r="8" spans="1:21" ht="15" customHeight="1" x14ac:dyDescent="0.25">
      <c r="A8" s="143"/>
      <c r="B8" s="143"/>
      <c r="C8" s="143"/>
      <c r="D8" s="143"/>
      <c r="P8" t="s">
        <v>160</v>
      </c>
      <c r="S8" t="s">
        <v>43</v>
      </c>
    </row>
    <row r="9" spans="1:21" ht="15" customHeight="1" x14ac:dyDescent="0.25">
      <c r="A9" s="143"/>
      <c r="B9" s="143"/>
      <c r="C9" s="143"/>
      <c r="D9" s="143"/>
      <c r="P9" t="s">
        <v>62</v>
      </c>
      <c r="S9" t="s">
        <v>160</v>
      </c>
    </row>
    <row r="10" spans="1:21" ht="15" customHeight="1" x14ac:dyDescent="0.25">
      <c r="A10" s="143"/>
      <c r="B10" s="143"/>
      <c r="C10" s="143"/>
      <c r="D10" s="143"/>
      <c r="S10" t="s">
        <v>62</v>
      </c>
    </row>
    <row r="11" spans="1:21" ht="15" customHeight="1" x14ac:dyDescent="0.25">
      <c r="A11" s="143"/>
      <c r="B11" s="143"/>
      <c r="C11" s="143"/>
      <c r="D11" s="143"/>
    </row>
    <row r="12" spans="1:21" ht="15" customHeight="1" x14ac:dyDescent="0.25">
      <c r="A12" s="153"/>
      <c r="B12" s="153"/>
      <c r="C12" s="153"/>
      <c r="D12" s="153"/>
      <c r="E12" s="154"/>
    </row>
    <row r="13" spans="1:21" ht="15" customHeight="1" x14ac:dyDescent="0.25">
      <c r="A13" s="153"/>
      <c r="B13" s="153"/>
      <c r="C13" s="153"/>
      <c r="D13" s="153"/>
      <c r="E13" s="154"/>
    </row>
    <row r="14" spans="1:21" ht="15" customHeight="1" x14ac:dyDescent="0.25">
      <c r="A14" s="153"/>
      <c r="B14" s="153"/>
      <c r="C14" s="153"/>
      <c r="D14" s="153"/>
      <c r="E14" s="154"/>
    </row>
    <row r="15" spans="1:21" ht="15" customHeight="1" x14ac:dyDescent="0.25">
      <c r="A15" s="153"/>
      <c r="B15" s="153"/>
      <c r="C15" s="153"/>
      <c r="D15" s="153"/>
      <c r="E15" s="154"/>
    </row>
    <row r="16" spans="1:21" ht="15" customHeight="1" x14ac:dyDescent="0.25">
      <c r="A16" s="157"/>
      <c r="B16" s="157"/>
      <c r="C16" s="157"/>
      <c r="D16" s="157"/>
      <c r="E16" s="154"/>
    </row>
    <row r="17" spans="1:6" ht="15" customHeight="1" x14ac:dyDescent="0.25">
      <c r="A17" s="158" t="s">
        <v>21</v>
      </c>
      <c r="B17" s="159">
        <v>0</v>
      </c>
      <c r="C17" s="158" t="s">
        <v>23</v>
      </c>
      <c r="D17" s="159">
        <v>36</v>
      </c>
      <c r="E17" s="154"/>
    </row>
    <row r="18" spans="1:6" ht="15" customHeight="1" x14ac:dyDescent="0.25">
      <c r="A18" s="158" t="s">
        <v>22</v>
      </c>
      <c r="B18" s="159">
        <v>18</v>
      </c>
      <c r="C18" s="158" t="s">
        <v>24</v>
      </c>
      <c r="D18" s="159">
        <v>122</v>
      </c>
      <c r="E18" s="154"/>
    </row>
    <row r="19" spans="1:6" ht="15" customHeight="1" x14ac:dyDescent="0.25">
      <c r="A19" s="160"/>
      <c r="B19" s="160"/>
      <c r="C19" s="160"/>
      <c r="D19" s="160"/>
      <c r="E19" s="154"/>
    </row>
    <row r="20" spans="1:6" ht="15" customHeight="1" x14ac:dyDescent="0.25">
      <c r="A20" s="160"/>
      <c r="B20" s="160"/>
      <c r="C20" s="160"/>
      <c r="D20" s="160"/>
      <c r="E20" s="154"/>
    </row>
    <row r="21" spans="1:6" ht="15" customHeight="1" x14ac:dyDescent="0.25">
      <c r="A21" s="153"/>
      <c r="B21" s="153"/>
      <c r="C21" s="153"/>
      <c r="D21" s="153"/>
      <c r="E21" s="153"/>
      <c r="F21" s="143"/>
    </row>
    <row r="22" spans="1:6" ht="15" customHeight="1" x14ac:dyDescent="0.25">
      <c r="A22" s="155"/>
      <c r="B22" s="155"/>
      <c r="C22" s="156"/>
      <c r="D22" s="156"/>
      <c r="E22" s="156"/>
      <c r="F22" s="151"/>
    </row>
    <row r="23" spans="1:6" x14ac:dyDescent="0.25">
      <c r="A23" s="150"/>
      <c r="B23" s="150"/>
      <c r="C23" s="151"/>
      <c r="D23" s="151"/>
      <c r="E23" s="151"/>
      <c r="F23" s="151"/>
    </row>
    <row r="24" spans="1:6" ht="15.75" x14ac:dyDescent="0.25">
      <c r="A24" s="143"/>
      <c r="B24" s="143"/>
      <c r="C24" s="143"/>
      <c r="D24" s="143"/>
      <c r="E24" s="143"/>
      <c r="F24" s="143"/>
    </row>
    <row r="25" spans="1:6" ht="15.75" x14ac:dyDescent="0.25">
      <c r="A25" s="123"/>
      <c r="B25" s="123"/>
      <c r="C25" s="144"/>
      <c r="D25" s="149"/>
      <c r="E25" s="144"/>
      <c r="F25" s="62"/>
    </row>
    <row r="26" spans="1:6" ht="15.75" x14ac:dyDescent="0.25">
      <c r="A26" s="123"/>
      <c r="B26" s="123"/>
      <c r="C26" s="144"/>
      <c r="D26" s="145"/>
      <c r="E26" s="144"/>
      <c r="F26" s="62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zoomScaleNormal="100" workbookViewId="0">
      <selection activeCell="J9" sqref="J9"/>
    </sheetView>
  </sheetViews>
  <sheetFormatPr baseColWidth="10" defaultRowHeight="15" x14ac:dyDescent="0.25"/>
  <cols>
    <col min="1" max="1" width="7.85546875" style="257" customWidth="1"/>
    <col min="2" max="2" width="5.7109375" style="257" customWidth="1"/>
    <col min="3" max="3" width="11.140625" style="257" customWidth="1"/>
    <col min="4" max="4" width="14" style="257" customWidth="1"/>
    <col min="5" max="5" width="11.140625" style="257" customWidth="1"/>
    <col min="6" max="6" width="18" style="257" customWidth="1"/>
    <col min="7" max="7" width="12.85546875" style="257" customWidth="1"/>
    <col min="8" max="8" width="16.5703125" style="257" customWidth="1"/>
    <col min="9" max="10" width="11.42578125" style="257"/>
    <col min="11" max="11" width="9.42578125" style="257" customWidth="1"/>
    <col min="12" max="12" width="9.28515625" style="257" customWidth="1"/>
    <col min="13" max="81" width="9.140625" style="257" customWidth="1"/>
    <col min="82" max="16384" width="11.42578125" style="257"/>
  </cols>
  <sheetData>
    <row r="1" spans="1:81" x14ac:dyDescent="0.25">
      <c r="A1" s="255"/>
      <c r="B1" s="255"/>
      <c r="C1" s="255"/>
      <c r="D1" s="255"/>
      <c r="E1" s="255"/>
      <c r="F1" s="255"/>
      <c r="G1" s="255"/>
      <c r="H1" s="255"/>
      <c r="I1" s="255"/>
      <c r="J1" s="255"/>
      <c r="K1" s="255"/>
      <c r="L1" s="255"/>
      <c r="M1" s="255"/>
      <c r="N1" s="255"/>
      <c r="O1" s="255"/>
      <c r="P1" s="256"/>
      <c r="Q1" s="256"/>
      <c r="R1" s="256"/>
      <c r="S1" s="256"/>
      <c r="T1" s="256"/>
      <c r="U1" s="256"/>
      <c r="V1" s="256"/>
      <c r="W1" s="256"/>
      <c r="X1" s="256"/>
      <c r="Y1" s="256"/>
      <c r="Z1" s="256"/>
      <c r="AA1" s="256"/>
      <c r="AB1" s="256"/>
      <c r="AC1" s="256"/>
      <c r="AD1" s="256"/>
      <c r="AE1" s="256"/>
      <c r="AF1" s="256"/>
      <c r="AG1" s="256"/>
      <c r="AH1" s="256"/>
      <c r="AI1" s="256"/>
      <c r="AJ1" s="256"/>
      <c r="AK1" s="256"/>
      <c r="AL1" s="256"/>
      <c r="AM1" s="256"/>
      <c r="AN1" s="256"/>
      <c r="AO1" s="256"/>
      <c r="AP1" s="256"/>
      <c r="AQ1" s="256"/>
      <c r="AR1" s="256"/>
      <c r="AS1" s="256"/>
      <c r="AT1" s="256"/>
      <c r="AU1" s="256"/>
      <c r="AV1" s="256"/>
      <c r="AW1" s="256"/>
      <c r="AX1" s="256"/>
      <c r="AY1" s="256"/>
      <c r="AZ1" s="256"/>
      <c r="BA1" s="256"/>
      <c r="BB1" s="256"/>
      <c r="BC1" s="256"/>
      <c r="BD1" s="256"/>
      <c r="BE1" s="256"/>
      <c r="BF1" s="256"/>
      <c r="BG1" s="256"/>
      <c r="BH1" s="256"/>
      <c r="BI1" s="256"/>
      <c r="BJ1" s="256"/>
      <c r="BK1" s="256"/>
      <c r="BL1" s="256"/>
      <c r="BM1" s="256"/>
      <c r="BN1" s="256"/>
      <c r="BO1" s="256"/>
      <c r="BP1" s="256"/>
      <c r="BQ1" s="256"/>
      <c r="BR1" s="256"/>
      <c r="BS1" s="256"/>
      <c r="BT1" s="256"/>
      <c r="BU1" s="256"/>
      <c r="BV1" s="256"/>
      <c r="BW1" s="256"/>
      <c r="BX1" s="256"/>
      <c r="BY1" s="256"/>
      <c r="BZ1" s="256"/>
      <c r="CA1" s="256"/>
      <c r="CB1" s="256"/>
      <c r="CC1" s="256"/>
    </row>
    <row r="2" spans="1:81" x14ac:dyDescent="0.25">
      <c r="A2" s="256"/>
      <c r="B2" s="256"/>
      <c r="C2" s="256"/>
      <c r="D2" s="256"/>
      <c r="E2" s="256"/>
      <c r="F2" s="256"/>
      <c r="G2" s="256"/>
      <c r="H2" s="256"/>
      <c r="I2" s="256"/>
      <c r="J2" s="258"/>
      <c r="K2" s="258"/>
      <c r="L2" s="258"/>
      <c r="M2" s="259"/>
      <c r="N2" s="258"/>
      <c r="O2" s="258"/>
      <c r="P2" s="256"/>
      <c r="Q2" s="256"/>
      <c r="R2" s="256"/>
      <c r="S2" s="256"/>
      <c r="T2" s="256"/>
      <c r="U2" s="256"/>
      <c r="V2" s="256"/>
      <c r="W2" s="256"/>
      <c r="X2" s="256"/>
      <c r="Y2" s="256"/>
      <c r="Z2" s="256"/>
      <c r="AA2" s="256"/>
      <c r="AB2" s="256"/>
      <c r="AC2" s="256"/>
      <c r="AD2" s="256"/>
      <c r="AE2" s="256"/>
      <c r="AF2" s="256"/>
      <c r="AG2" s="256"/>
      <c r="AH2" s="256"/>
      <c r="AI2" s="256"/>
      <c r="AJ2" s="256"/>
      <c r="AK2" s="256"/>
      <c r="AL2" s="256"/>
      <c r="AM2" s="256"/>
      <c r="AN2" s="256"/>
      <c r="AO2" s="256"/>
      <c r="AP2" s="256"/>
      <c r="AQ2" s="256"/>
      <c r="AR2" s="256"/>
      <c r="AS2" s="256"/>
      <c r="AT2" s="256"/>
      <c r="AU2" s="256"/>
      <c r="AV2" s="256"/>
      <c r="AW2" s="256"/>
      <c r="AX2" s="256"/>
      <c r="AY2" s="256"/>
      <c r="AZ2" s="256"/>
      <c r="BA2" s="256"/>
      <c r="BB2" s="256"/>
      <c r="BC2" s="256"/>
      <c r="BD2" s="256"/>
      <c r="BE2" s="256"/>
      <c r="BF2" s="256"/>
      <c r="BG2" s="256"/>
      <c r="BH2" s="256"/>
      <c r="BI2" s="256"/>
      <c r="BJ2" s="256"/>
      <c r="BK2" s="256"/>
      <c r="BL2" s="256"/>
      <c r="BM2" s="256"/>
      <c r="BN2" s="256"/>
      <c r="BO2" s="256"/>
      <c r="BP2" s="256"/>
      <c r="BQ2" s="256"/>
      <c r="BR2" s="256"/>
      <c r="BS2" s="256"/>
      <c r="BT2" s="256"/>
      <c r="BU2" s="256"/>
      <c r="BV2" s="256"/>
      <c r="BW2" s="256"/>
      <c r="BX2" s="256"/>
      <c r="BY2" s="256"/>
      <c r="BZ2" s="256"/>
      <c r="CA2" s="256"/>
      <c r="CB2" s="256"/>
      <c r="CC2" s="256"/>
    </row>
    <row r="3" spans="1:81" ht="15.75" x14ac:dyDescent="0.25">
      <c r="A3" s="256"/>
      <c r="B3" s="256"/>
      <c r="C3" s="256"/>
      <c r="D3" s="256"/>
      <c r="E3" s="256"/>
      <c r="F3" s="256"/>
      <c r="G3" s="256"/>
      <c r="H3" s="256"/>
      <c r="I3" s="256"/>
      <c r="J3" s="256"/>
      <c r="K3" s="256"/>
      <c r="L3" s="260"/>
      <c r="M3" s="261"/>
      <c r="N3" s="262"/>
      <c r="O3" s="263"/>
      <c r="P3" s="264"/>
      <c r="Q3" s="264"/>
      <c r="R3" s="264"/>
      <c r="S3" s="264"/>
      <c r="T3" s="264"/>
      <c r="U3" s="264"/>
      <c r="V3" s="264"/>
      <c r="W3" s="264"/>
      <c r="X3" s="264"/>
      <c r="Y3" s="264"/>
      <c r="Z3" s="264"/>
      <c r="AA3" s="264"/>
      <c r="AB3" s="264"/>
      <c r="AC3" s="264"/>
      <c r="AD3" s="264"/>
      <c r="AE3" s="264"/>
      <c r="AF3" s="264"/>
      <c r="AG3" s="264"/>
      <c r="AH3" s="264"/>
      <c r="AI3" s="264"/>
      <c r="AJ3" s="264"/>
      <c r="AK3" s="265"/>
      <c r="AL3" s="263"/>
      <c r="AM3" s="263"/>
      <c r="AN3" s="264"/>
      <c r="AO3" s="264"/>
      <c r="AP3" s="264"/>
      <c r="AQ3" s="264"/>
      <c r="AR3" s="264"/>
      <c r="AS3" s="264"/>
      <c r="AT3" s="264"/>
      <c r="AU3" s="264"/>
      <c r="AV3" s="264"/>
      <c r="AW3" s="264"/>
      <c r="AX3" s="264"/>
      <c r="AY3" s="264"/>
      <c r="AZ3" s="264"/>
      <c r="BA3" s="264"/>
      <c r="BB3" s="264"/>
      <c r="BC3" s="264"/>
      <c r="BD3" s="264"/>
      <c r="BE3" s="264"/>
      <c r="BF3" s="264"/>
      <c r="BG3" s="264"/>
      <c r="BH3" s="264"/>
      <c r="BI3" s="264"/>
      <c r="BJ3" s="264"/>
      <c r="BK3" s="264"/>
      <c r="BL3" s="264"/>
      <c r="BM3" s="264"/>
      <c r="BN3" s="264"/>
      <c r="BO3" s="264"/>
      <c r="BP3" s="264"/>
      <c r="BQ3" s="264"/>
      <c r="BR3" s="264"/>
      <c r="BS3" s="264"/>
      <c r="BT3" s="264"/>
      <c r="BU3" s="264"/>
      <c r="BV3" s="264"/>
      <c r="BW3" s="264"/>
      <c r="BX3" s="264"/>
      <c r="BY3" s="264"/>
      <c r="BZ3" s="266"/>
      <c r="CA3" s="256"/>
      <c r="CB3" s="256"/>
      <c r="CC3" s="256"/>
    </row>
    <row r="4" spans="1:81" x14ac:dyDescent="0.25">
      <c r="A4" s="256"/>
      <c r="B4" s="256"/>
      <c r="C4" s="256"/>
      <c r="D4" s="256"/>
      <c r="E4" s="256"/>
      <c r="F4" s="256"/>
      <c r="G4" s="256"/>
      <c r="H4" s="256"/>
      <c r="I4" s="256"/>
      <c r="J4" s="256"/>
      <c r="K4" s="256"/>
      <c r="L4" s="256"/>
      <c r="M4" s="267"/>
      <c r="N4" s="256"/>
      <c r="O4" s="256"/>
      <c r="P4" s="256"/>
      <c r="Q4" s="256"/>
      <c r="R4" s="256"/>
      <c r="S4" s="256"/>
      <c r="T4" s="256"/>
      <c r="U4" s="256"/>
      <c r="V4" s="256"/>
      <c r="W4" s="256"/>
      <c r="X4" s="256"/>
      <c r="Y4" s="256"/>
      <c r="Z4" s="256"/>
      <c r="AA4" s="256"/>
      <c r="AB4" s="256"/>
      <c r="AC4" s="256"/>
      <c r="AD4" s="256"/>
      <c r="AE4" s="256"/>
      <c r="AF4" s="256"/>
      <c r="AG4" s="256"/>
      <c r="AH4" s="256"/>
      <c r="AI4" s="256"/>
      <c r="AJ4" s="256"/>
      <c r="AK4" s="256"/>
      <c r="AL4" s="256"/>
      <c r="AM4" s="256"/>
      <c r="AN4" s="256"/>
      <c r="AO4" s="256"/>
      <c r="AP4" s="256"/>
      <c r="AQ4" s="256"/>
      <c r="AR4" s="256"/>
      <c r="AS4" s="256"/>
      <c r="AT4" s="256"/>
      <c r="AU4" s="256"/>
      <c r="AV4" s="256"/>
      <c r="AW4" s="256"/>
      <c r="AX4" s="256"/>
      <c r="AY4" s="256"/>
      <c r="AZ4" s="256"/>
      <c r="BA4" s="256"/>
      <c r="BB4" s="256"/>
      <c r="BC4" s="256"/>
      <c r="BD4" s="256"/>
      <c r="BE4" s="256"/>
      <c r="BF4" s="256"/>
      <c r="BG4" s="256"/>
      <c r="BH4" s="256"/>
      <c r="BI4" s="256"/>
      <c r="BJ4" s="256"/>
      <c r="BK4" s="256"/>
      <c r="BL4" s="256"/>
      <c r="BM4" s="256"/>
      <c r="BN4" s="256"/>
      <c r="BO4" s="256"/>
      <c r="BP4" s="256"/>
      <c r="BQ4" s="256"/>
      <c r="BR4" s="256"/>
      <c r="BS4" s="256"/>
      <c r="BT4" s="256"/>
      <c r="BU4" s="256"/>
      <c r="BV4" s="256"/>
      <c r="BW4" s="256"/>
      <c r="BX4" s="256"/>
      <c r="BY4" s="256"/>
      <c r="BZ4" s="256"/>
      <c r="CA4" s="256"/>
      <c r="CB4" s="256"/>
      <c r="CC4" s="256"/>
    </row>
    <row r="5" spans="1:81" ht="15.75" customHeight="1" x14ac:dyDescent="0.25">
      <c r="A5" s="256"/>
      <c r="B5"/>
      <c r="C5"/>
      <c r="D5"/>
      <c r="E5"/>
      <c r="F5"/>
      <c r="G5"/>
      <c r="H5"/>
      <c r="I5"/>
      <c r="J5"/>
      <c r="K5"/>
      <c r="L5"/>
      <c r="M5" s="243"/>
      <c r="N5" s="244"/>
      <c r="O5" s="243"/>
      <c r="P5" s="11"/>
      <c r="Q5" s="11"/>
      <c r="R5" s="245"/>
      <c r="S5" s="245"/>
      <c r="T5" s="268"/>
    </row>
    <row r="6" spans="1:81" ht="15" customHeight="1" x14ac:dyDescent="0.25">
      <c r="A6" s="256"/>
      <c r="B6"/>
      <c r="C6"/>
      <c r="D6"/>
      <c r="E6"/>
      <c r="F6"/>
      <c r="G6"/>
      <c r="H6"/>
      <c r="I6" s="332" t="s">
        <v>263</v>
      </c>
      <c r="J6" s="332"/>
      <c r="K6" s="332"/>
      <c r="L6" s="332"/>
      <c r="M6" s="244"/>
      <c r="N6" s="244"/>
      <c r="O6" s="243"/>
      <c r="P6" s="139"/>
      <c r="Q6" s="246"/>
      <c r="R6" s="127"/>
      <c r="S6" s="127"/>
      <c r="T6" s="269"/>
      <c r="U6" s="269"/>
      <c r="V6" s="269"/>
      <c r="Z6" s="270"/>
    </row>
    <row r="7" spans="1:81" ht="19.5" customHeight="1" x14ac:dyDescent="0.25">
      <c r="A7" s="256"/>
      <c r="B7"/>
      <c r="C7" s="326" t="s">
        <v>90</v>
      </c>
      <c r="D7" s="326"/>
      <c r="E7" s="326"/>
      <c r="F7" s="247">
        <f>'Análisis Espectral'!F7</f>
        <v>3</v>
      </c>
      <c r="G7"/>
      <c r="H7"/>
      <c r="I7" s="314" t="s">
        <v>262</v>
      </c>
      <c r="J7" s="314"/>
      <c r="K7" s="313" t="s">
        <v>43</v>
      </c>
      <c r="L7" s="313"/>
      <c r="M7" s="248"/>
      <c r="N7" s="248"/>
      <c r="O7" s="243"/>
      <c r="P7" s="139"/>
      <c r="Q7" s="246"/>
      <c r="R7" s="127"/>
      <c r="S7" s="127"/>
      <c r="T7" s="271"/>
      <c r="U7" s="269"/>
      <c r="V7" s="269"/>
      <c r="Z7" s="270"/>
    </row>
    <row r="8" spans="1:81" ht="27.75" customHeight="1" x14ac:dyDescent="0.25">
      <c r="A8" s="256"/>
      <c r="B8"/>
      <c r="C8"/>
      <c r="D8"/>
      <c r="E8"/>
      <c r="F8" s="239"/>
      <c r="G8"/>
      <c r="H8"/>
      <c r="I8"/>
      <c r="J8"/>
      <c r="K8" s="249"/>
      <c r="L8" s="249"/>
      <c r="M8" s="139"/>
      <c r="N8" s="139"/>
      <c r="O8" s="243"/>
      <c r="P8" s="11"/>
      <c r="Q8" s="11"/>
      <c r="R8" s="127"/>
      <c r="S8" s="127"/>
      <c r="T8" s="269"/>
      <c r="U8" s="269"/>
      <c r="V8" s="269"/>
      <c r="Z8" s="270"/>
    </row>
    <row r="9" spans="1:81" ht="15" customHeight="1" x14ac:dyDescent="0.25">
      <c r="A9" s="256"/>
      <c r="B9"/>
      <c r="C9"/>
      <c r="D9"/>
      <c r="E9"/>
      <c r="F9"/>
      <c r="G9"/>
      <c r="H9"/>
      <c r="I9"/>
      <c r="J9"/>
      <c r="K9"/>
      <c r="L9"/>
      <c r="M9" s="244"/>
      <c r="N9" s="244"/>
      <c r="O9" s="243"/>
      <c r="P9" s="139"/>
      <c r="Q9" s="11"/>
      <c r="R9" s="127"/>
      <c r="S9" s="127"/>
      <c r="T9" s="269"/>
      <c r="U9" s="269"/>
      <c r="V9" s="269"/>
      <c r="Z9" s="270"/>
    </row>
    <row r="10" spans="1:81" ht="15" customHeight="1" x14ac:dyDescent="0.25">
      <c r="A10" s="256"/>
      <c r="B10"/>
      <c r="C10" s="240"/>
      <c r="D10" s="240"/>
      <c r="E10" s="240"/>
      <c r="F10" s="201"/>
      <c r="G10"/>
      <c r="H10"/>
      <c r="I10"/>
      <c r="J10"/>
      <c r="K10"/>
      <c r="L10"/>
      <c r="M10" s="244"/>
      <c r="N10" s="244"/>
      <c r="O10" s="11"/>
      <c r="P10" s="250"/>
      <c r="Q10" s="11"/>
      <c r="R10" s="127"/>
      <c r="S10" s="127"/>
      <c r="T10" s="269"/>
      <c r="U10" s="269"/>
      <c r="V10" s="269"/>
    </row>
    <row r="11" spans="1:81" ht="15" customHeight="1" x14ac:dyDescent="0.25">
      <c r="A11" s="256"/>
      <c r="B11"/>
      <c r="C11" s="327" t="s">
        <v>1</v>
      </c>
      <c r="D11" s="328"/>
      <c r="E11" s="328"/>
      <c r="F11" s="329"/>
      <c r="G11" s="330" t="s">
        <v>252</v>
      </c>
      <c r="H11"/>
      <c r="I11"/>
      <c r="J11"/>
      <c r="K11"/>
      <c r="L11"/>
      <c r="M11" s="244"/>
      <c r="N11" s="244"/>
      <c r="O11" s="11"/>
      <c r="P11" s="11"/>
      <c r="Q11" s="11"/>
      <c r="R11" s="127"/>
      <c r="S11" s="127"/>
      <c r="T11" s="269"/>
      <c r="U11" s="269"/>
      <c r="V11" s="269"/>
    </row>
    <row r="12" spans="1:81" ht="15" customHeight="1" x14ac:dyDescent="0.25">
      <c r="A12" s="256"/>
      <c r="B12"/>
      <c r="C12" s="251" t="s">
        <v>148</v>
      </c>
      <c r="D12" s="251" t="s">
        <v>149</v>
      </c>
      <c r="E12" s="251" t="s">
        <v>76</v>
      </c>
      <c r="F12" s="251" t="s">
        <v>177</v>
      </c>
      <c r="G12" s="331"/>
      <c r="H12"/>
      <c r="I12"/>
      <c r="J12"/>
      <c r="K12"/>
      <c r="L12"/>
      <c r="M12" s="244"/>
      <c r="N12" s="244"/>
      <c r="O12" s="243"/>
      <c r="P12" s="11"/>
      <c r="Q12" s="11"/>
      <c r="R12" s="127"/>
      <c r="S12" s="127"/>
      <c r="T12" s="269"/>
      <c r="U12" s="269"/>
      <c r="V12" s="269"/>
    </row>
    <row r="13" spans="1:81" ht="15" customHeight="1" x14ac:dyDescent="0.25">
      <c r="A13" s="256"/>
      <c r="B13"/>
      <c r="C13" s="252">
        <v>1</v>
      </c>
      <c r="D13" s="247" t="str">
        <f>IF('Análisis Espectral'!D13&lt;&gt;"",'Análisis Espectral'!D13,"")</f>
        <v>carpeta</v>
      </c>
      <c r="E13" s="247">
        <f>IF('Análisis Espectral'!E13&lt;&gt;"",'Análisis Espectral'!E13,"")</f>
        <v>10</v>
      </c>
      <c r="F13" s="247">
        <f>IF('Análisis Espectral'!F13&lt;&gt;"",'Análisis Espectral'!F13,"")</f>
        <v>3500</v>
      </c>
      <c r="G13" s="242">
        <v>20</v>
      </c>
      <c r="H13"/>
      <c r="I13"/>
      <c r="J13"/>
      <c r="K13"/>
      <c r="L13"/>
      <c r="M13" s="244"/>
      <c r="N13" s="244"/>
      <c r="O13" s="243"/>
      <c r="P13" s="139"/>
      <c r="Q13" s="11"/>
      <c r="R13" s="127"/>
      <c r="S13" s="127"/>
      <c r="T13" s="269"/>
      <c r="U13" s="269"/>
      <c r="V13" s="269"/>
    </row>
    <row r="14" spans="1:81" ht="15.75" x14ac:dyDescent="0.25">
      <c r="A14" s="256"/>
      <c r="B14"/>
      <c r="C14" s="252">
        <v>2</v>
      </c>
      <c r="D14" s="247" t="str">
        <f>IF('Análisis Espectral'!D14&lt;&gt;"",'Análisis Espectral'!D14,"")</f>
        <v>base</v>
      </c>
      <c r="E14" s="247">
        <f>IF('Análisis Espectral'!E14&lt;&gt;"",'Análisis Espectral'!E14,"")</f>
        <v>40</v>
      </c>
      <c r="F14" s="247">
        <f>IF('Análisis Espectral'!F14&lt;&gt;"",'Análisis Espectral'!F14,"")</f>
        <v>400</v>
      </c>
      <c r="G14" s="242">
        <v>20</v>
      </c>
      <c r="H14"/>
      <c r="I14"/>
      <c r="J14"/>
      <c r="K14"/>
      <c r="L14" s="143"/>
      <c r="M14" s="244"/>
      <c r="N14" s="244"/>
      <c r="O14" s="11"/>
      <c r="P14" s="139"/>
      <c r="Q14" s="11"/>
      <c r="R14" s="127"/>
      <c r="S14" s="127"/>
      <c r="T14" s="269"/>
    </row>
    <row r="15" spans="1:81" ht="15" customHeight="1" x14ac:dyDescent="0.25">
      <c r="A15" s="256"/>
      <c r="B15"/>
      <c r="C15" s="252">
        <v>3</v>
      </c>
      <c r="D15" s="247" t="str">
        <f>IF('Análisis Espectral'!D15&lt;&gt;"",'Análisis Espectral'!D15,"")</f>
        <v>Subbase</v>
      </c>
      <c r="E15" s="247" t="str">
        <f>IF('Análisis Espectral'!E15&lt;&gt;"",'Análisis Espectral'!E15,"")</f>
        <v/>
      </c>
      <c r="F15" s="247">
        <f>IF('Análisis Espectral'!F15&lt;&gt;"",'Análisis Espectral'!F15,"")</f>
        <v>100</v>
      </c>
      <c r="G15" s="242">
        <v>20</v>
      </c>
      <c r="H15"/>
      <c r="I15" s="326" t="s">
        <v>150</v>
      </c>
      <c r="J15" s="326"/>
      <c r="K15" s="326"/>
      <c r="L15" s="272">
        <v>6.0808881921956015</v>
      </c>
      <c r="M15" s="11"/>
      <c r="N15" s="11"/>
      <c r="O15" s="11"/>
      <c r="P15" s="11"/>
      <c r="Q15" s="253"/>
      <c r="R15" s="127"/>
      <c r="S15" s="127"/>
      <c r="T15" s="269"/>
    </row>
    <row r="16" spans="1:81" ht="15" customHeight="1" x14ac:dyDescent="0.25">
      <c r="A16" s="256"/>
      <c r="B16"/>
      <c r="C16" s="252">
        <v>4</v>
      </c>
      <c r="D16" s="247" t="str">
        <f>IF('Análisis Espectral'!D16&lt;&gt;"",'Análisis Espectral'!D16,"")</f>
        <v/>
      </c>
      <c r="E16" s="247" t="str">
        <f>IF('Análisis Espectral'!E16&lt;&gt;"",'Análisis Espectral'!E16,"")</f>
        <v/>
      </c>
      <c r="F16" s="247" t="str">
        <f>IF('Análisis Espectral'!F16&lt;&gt;"",'Análisis Espectral'!F16,"")</f>
        <v/>
      </c>
      <c r="G16" s="242"/>
      <c r="H16"/>
      <c r="I16" s="326" t="s">
        <v>151</v>
      </c>
      <c r="J16" s="326"/>
      <c r="K16" s="326"/>
      <c r="L16" s="272">
        <v>13.476780088874467</v>
      </c>
      <c r="M16"/>
      <c r="N16"/>
      <c r="O16"/>
      <c r="P16"/>
      <c r="Q16" s="127"/>
      <c r="R16" s="127"/>
      <c r="S16" s="127"/>
      <c r="T16" s="269"/>
    </row>
    <row r="17" spans="1:20" x14ac:dyDescent="0.25">
      <c r="A17" s="256"/>
      <c r="B17"/>
      <c r="C17" s="252">
        <v>5</v>
      </c>
      <c r="D17" s="247" t="str">
        <f>IF('Análisis Espectral'!D17&lt;&gt;"",'Análisis Espectral'!D17,"")</f>
        <v/>
      </c>
      <c r="E17" s="247" t="str">
        <f>IF('Análisis Espectral'!E17&lt;&gt;"",'Análisis Espectral'!E17,"")</f>
        <v/>
      </c>
      <c r="F17" s="247" t="str">
        <f>IF('Análisis Espectral'!F17&lt;&gt;"",'Análisis Espectral'!F17,"")</f>
        <v/>
      </c>
      <c r="G17" s="242"/>
      <c r="H17"/>
      <c r="I17"/>
      <c r="J17" s="254"/>
      <c r="K17"/>
      <c r="L17"/>
      <c r="M17"/>
      <c r="N17"/>
      <c r="O17"/>
      <c r="P17"/>
      <c r="Q17" s="127"/>
      <c r="R17" s="127"/>
      <c r="S17" s="127"/>
      <c r="T17" s="269"/>
    </row>
    <row r="18" spans="1:20" x14ac:dyDescent="0.25">
      <c r="A18" s="256"/>
      <c r="B18"/>
      <c r="C18" s="252">
        <v>6</v>
      </c>
      <c r="D18" s="247" t="str">
        <f>IF('Análisis Espectral'!D18&lt;&gt;"",'Análisis Espectral'!D18,"")</f>
        <v/>
      </c>
      <c r="E18" s="247" t="str">
        <f>IF('Análisis Espectral'!E18&lt;&gt;"",'Análisis Espectral'!E18,"")</f>
        <v/>
      </c>
      <c r="F18" s="247" t="str">
        <f>IF('Análisis Espectral'!F18&lt;&gt;"",'Análisis Espectral'!F18,"")</f>
        <v/>
      </c>
      <c r="G18" s="242"/>
      <c r="H18"/>
      <c r="I18"/>
      <c r="J18" s="254"/>
      <c r="K18"/>
      <c r="L18"/>
      <c r="M18"/>
      <c r="N18"/>
      <c r="O18"/>
      <c r="P18"/>
      <c r="Q18" s="127"/>
      <c r="R18" s="127"/>
      <c r="S18" s="127"/>
      <c r="T18" s="269"/>
    </row>
    <row r="19" spans="1:20" x14ac:dyDescent="0.25">
      <c r="A19" s="256"/>
      <c r="B19"/>
      <c r="C19"/>
      <c r="D19"/>
      <c r="E19"/>
      <c r="F19"/>
      <c r="G19"/>
      <c r="H19"/>
      <c r="I19"/>
      <c r="J19" s="254"/>
      <c r="K19"/>
      <c r="L19"/>
      <c r="M19"/>
      <c r="N19"/>
      <c r="O19"/>
      <c r="P19"/>
      <c r="Q19" s="127"/>
      <c r="R19" s="127"/>
      <c r="S19" s="127"/>
      <c r="T19" s="269"/>
    </row>
    <row r="20" spans="1:20" x14ac:dyDescent="0.25">
      <c r="A20" s="256"/>
      <c r="B20"/>
      <c r="C20"/>
      <c r="D20"/>
      <c r="E20"/>
      <c r="F20"/>
      <c r="G20"/>
      <c r="H20"/>
      <c r="I20"/>
      <c r="J20" s="254"/>
      <c r="K20"/>
      <c r="L20"/>
      <c r="M20"/>
      <c r="N20"/>
      <c r="O20"/>
      <c r="P20"/>
      <c r="Q20" s="127"/>
      <c r="R20" s="127"/>
      <c r="S20" s="127"/>
      <c r="T20" s="269"/>
    </row>
    <row r="21" spans="1:20" x14ac:dyDescent="0.25">
      <c r="A21" s="256"/>
      <c r="B21"/>
      <c r="C21"/>
      <c r="D21"/>
      <c r="E21"/>
      <c r="F21"/>
      <c r="G21"/>
      <c r="H21"/>
      <c r="I21"/>
      <c r="J21" s="254"/>
      <c r="K21"/>
      <c r="L21"/>
      <c r="M21"/>
      <c r="N21"/>
      <c r="O21"/>
      <c r="P21"/>
      <c r="Q21" s="127"/>
      <c r="R21" s="127"/>
      <c r="S21" s="127"/>
      <c r="T21" s="269"/>
    </row>
    <row r="22" spans="1:20" x14ac:dyDescent="0.25">
      <c r="A22" s="256"/>
      <c r="B22"/>
      <c r="C22"/>
      <c r="D22"/>
      <c r="E22"/>
      <c r="F22"/>
      <c r="G22"/>
      <c r="H22"/>
      <c r="I22"/>
      <c r="J22" s="254"/>
      <c r="K22"/>
      <c r="L22"/>
      <c r="M22"/>
      <c r="N22"/>
      <c r="O22"/>
      <c r="P22"/>
      <c r="Q22" s="127"/>
      <c r="R22" s="127"/>
      <c r="S22" s="127"/>
      <c r="T22" s="269"/>
    </row>
    <row r="23" spans="1:20" x14ac:dyDescent="0.25">
      <c r="A23" s="256"/>
      <c r="B23"/>
      <c r="C23"/>
      <c r="D23"/>
      <c r="E23"/>
      <c r="F23"/>
      <c r="G23"/>
      <c r="H23"/>
      <c r="I23"/>
      <c r="J23" s="254"/>
      <c r="K23"/>
      <c r="L23"/>
      <c r="M23"/>
      <c r="N23"/>
      <c r="O23"/>
      <c r="P23"/>
      <c r="Q23" s="127"/>
      <c r="R23" s="127"/>
      <c r="S23" s="127"/>
      <c r="T23" s="269"/>
    </row>
    <row r="24" spans="1:20" x14ac:dyDescent="0.25">
      <c r="A24" s="256"/>
      <c r="B24"/>
      <c r="C24"/>
      <c r="D24"/>
      <c r="E24"/>
      <c r="F24"/>
      <c r="G24"/>
      <c r="H24"/>
      <c r="I24"/>
      <c r="J24" s="254"/>
      <c r="K24"/>
      <c r="L24"/>
      <c r="M24"/>
      <c r="N24"/>
      <c r="O24"/>
      <c r="P24"/>
      <c r="Q24" s="127"/>
      <c r="R24" s="127"/>
      <c r="S24" s="127"/>
      <c r="T24" s="269"/>
    </row>
    <row r="25" spans="1:20" x14ac:dyDescent="0.25">
      <c r="A25" s="256"/>
      <c r="J25" s="273"/>
      <c r="Q25" s="269"/>
      <c r="R25" s="269"/>
      <c r="S25" s="269"/>
      <c r="T25" s="269"/>
    </row>
    <row r="26" spans="1:20" x14ac:dyDescent="0.25">
      <c r="A26" s="256"/>
      <c r="J26" s="273"/>
      <c r="Q26" s="269"/>
      <c r="R26" s="269"/>
      <c r="S26" s="269"/>
      <c r="T26" s="269"/>
    </row>
    <row r="27" spans="1:20" x14ac:dyDescent="0.25">
      <c r="A27" s="256"/>
      <c r="J27" s="273"/>
      <c r="Q27" s="269"/>
      <c r="R27" s="269"/>
      <c r="S27" s="269"/>
      <c r="T27" s="269"/>
    </row>
    <row r="28" spans="1:20" x14ac:dyDescent="0.25">
      <c r="A28" s="256"/>
      <c r="J28" s="273"/>
      <c r="Q28" s="269"/>
      <c r="R28" s="269"/>
      <c r="S28" s="269"/>
      <c r="T28" s="269"/>
    </row>
    <row r="29" spans="1:20" x14ac:dyDescent="0.25">
      <c r="A29" s="256"/>
      <c r="J29" s="273"/>
      <c r="Q29" s="269"/>
      <c r="R29" s="269"/>
      <c r="S29" s="269"/>
      <c r="T29" s="269"/>
    </row>
    <row r="30" spans="1:20" x14ac:dyDescent="0.25">
      <c r="A30" s="256"/>
      <c r="J30" s="273"/>
      <c r="Q30" s="269"/>
      <c r="R30" s="269"/>
      <c r="S30" s="269"/>
      <c r="T30" s="269"/>
    </row>
    <row r="31" spans="1:20" x14ac:dyDescent="0.25">
      <c r="A31" s="256"/>
      <c r="J31" s="273"/>
      <c r="Q31" s="269"/>
      <c r="R31" s="269"/>
      <c r="S31" s="269"/>
      <c r="T31" s="269"/>
    </row>
    <row r="32" spans="1:20" x14ac:dyDescent="0.25">
      <c r="A32" s="256"/>
      <c r="J32" s="273"/>
      <c r="Q32" s="269"/>
      <c r="R32" s="269"/>
      <c r="S32" s="269"/>
      <c r="T32" s="269"/>
    </row>
    <row r="33" spans="1:20" x14ac:dyDescent="0.25">
      <c r="A33" s="256"/>
      <c r="J33" s="273"/>
      <c r="Q33" s="269"/>
      <c r="R33" s="269"/>
      <c r="S33" s="269"/>
      <c r="T33" s="269"/>
    </row>
    <row r="34" spans="1:20" x14ac:dyDescent="0.25">
      <c r="A34" s="256"/>
      <c r="J34" s="273"/>
      <c r="Q34" s="269"/>
      <c r="R34" s="269"/>
      <c r="S34" s="269"/>
      <c r="T34" s="269"/>
    </row>
    <row r="35" spans="1:20" x14ac:dyDescent="0.25">
      <c r="A35" s="256"/>
      <c r="J35" s="273"/>
      <c r="Q35" s="269"/>
      <c r="R35" s="269"/>
      <c r="S35" s="269"/>
      <c r="T35" s="269"/>
    </row>
    <row r="36" spans="1:20" x14ac:dyDescent="0.25">
      <c r="A36" s="256"/>
      <c r="J36" s="273"/>
      <c r="Q36" s="269"/>
      <c r="R36" s="269"/>
      <c r="S36" s="269"/>
      <c r="T36" s="269"/>
    </row>
    <row r="37" spans="1:20" x14ac:dyDescent="0.25">
      <c r="A37" s="256"/>
      <c r="J37" s="273"/>
      <c r="Q37" s="269"/>
      <c r="R37" s="269"/>
      <c r="S37" s="269"/>
      <c r="T37" s="269"/>
    </row>
    <row r="38" spans="1:20" x14ac:dyDescent="0.25">
      <c r="A38" s="256"/>
      <c r="J38" s="273"/>
      <c r="Q38" s="269"/>
      <c r="R38" s="269"/>
      <c r="S38" s="269"/>
      <c r="T38" s="269"/>
    </row>
    <row r="39" spans="1:20" x14ac:dyDescent="0.25">
      <c r="A39" s="256"/>
      <c r="J39" s="273"/>
      <c r="Q39" s="269"/>
      <c r="R39" s="269"/>
      <c r="S39" s="269"/>
      <c r="T39" s="269"/>
    </row>
    <row r="40" spans="1:20" x14ac:dyDescent="0.25">
      <c r="J40" s="273"/>
      <c r="Q40" s="269"/>
      <c r="R40" s="269"/>
      <c r="S40" s="269"/>
      <c r="T40" s="269"/>
    </row>
    <row r="41" spans="1:20" x14ac:dyDescent="0.25">
      <c r="J41" s="273"/>
      <c r="Q41" s="269"/>
      <c r="R41" s="269"/>
      <c r="S41" s="269"/>
      <c r="T41" s="269"/>
    </row>
    <row r="42" spans="1:20" x14ac:dyDescent="0.25">
      <c r="J42" s="273"/>
      <c r="Q42" s="269"/>
      <c r="R42" s="269"/>
      <c r="S42" s="269"/>
      <c r="T42" s="269"/>
    </row>
    <row r="43" spans="1:20" x14ac:dyDescent="0.25">
      <c r="J43" s="273"/>
      <c r="Q43" s="269"/>
      <c r="R43" s="269"/>
      <c r="S43" s="269"/>
      <c r="T43" s="269"/>
    </row>
    <row r="44" spans="1:20" x14ac:dyDescent="0.25">
      <c r="J44" s="273"/>
      <c r="Q44" s="269"/>
      <c r="R44" s="269"/>
      <c r="S44" s="269"/>
      <c r="T44" s="269"/>
    </row>
    <row r="45" spans="1:20" x14ac:dyDescent="0.25">
      <c r="J45" s="273"/>
      <c r="Q45" s="269"/>
      <c r="R45" s="269"/>
      <c r="S45" s="269"/>
      <c r="T45" s="269"/>
    </row>
    <row r="46" spans="1:20" x14ac:dyDescent="0.25">
      <c r="J46" s="273"/>
      <c r="Q46" s="269"/>
      <c r="R46" s="269"/>
      <c r="S46" s="269"/>
      <c r="T46" s="269"/>
    </row>
    <row r="47" spans="1:20" x14ac:dyDescent="0.25">
      <c r="J47" s="273"/>
      <c r="Q47" s="269"/>
      <c r="R47" s="269"/>
      <c r="S47" s="269"/>
      <c r="T47" s="269"/>
    </row>
    <row r="48" spans="1:20" x14ac:dyDescent="0.25">
      <c r="J48" s="273"/>
      <c r="Q48" s="269"/>
      <c r="R48" s="269"/>
      <c r="S48" s="269"/>
      <c r="T48" s="269"/>
    </row>
    <row r="49" spans="10:20" x14ac:dyDescent="0.25">
      <c r="J49" s="273"/>
      <c r="Q49" s="269"/>
      <c r="R49" s="269"/>
      <c r="S49" s="269"/>
      <c r="T49" s="269"/>
    </row>
    <row r="50" spans="10:20" x14ac:dyDescent="0.25">
      <c r="J50" s="273"/>
      <c r="Q50" s="269"/>
      <c r="R50" s="269"/>
      <c r="S50" s="269"/>
      <c r="T50" s="269"/>
    </row>
    <row r="51" spans="10:20" x14ac:dyDescent="0.25">
      <c r="J51" s="273"/>
      <c r="Q51" s="269"/>
      <c r="R51" s="269"/>
      <c r="S51" s="269"/>
      <c r="T51" s="269"/>
    </row>
    <row r="52" spans="10:20" x14ac:dyDescent="0.25">
      <c r="J52" s="273"/>
      <c r="Q52" s="269"/>
      <c r="R52" s="269"/>
      <c r="S52" s="269"/>
      <c r="T52" s="269"/>
    </row>
    <row r="53" spans="10:20" x14ac:dyDescent="0.25">
      <c r="J53" s="273"/>
      <c r="Q53" s="269"/>
      <c r="R53" s="269"/>
      <c r="S53" s="269"/>
      <c r="T53" s="269"/>
    </row>
    <row r="54" spans="10:20" x14ac:dyDescent="0.25">
      <c r="J54" s="273"/>
      <c r="Q54" s="269"/>
      <c r="R54" s="269"/>
      <c r="S54" s="269"/>
      <c r="T54" s="269"/>
    </row>
    <row r="55" spans="10:20" x14ac:dyDescent="0.25">
      <c r="J55" s="273"/>
      <c r="Q55" s="269"/>
      <c r="R55" s="269"/>
      <c r="S55" s="269"/>
      <c r="T55" s="269"/>
    </row>
    <row r="56" spans="10:20" x14ac:dyDescent="0.25">
      <c r="J56" s="273"/>
      <c r="Q56" s="269"/>
      <c r="R56" s="269"/>
      <c r="S56" s="269"/>
      <c r="T56" s="269"/>
    </row>
    <row r="57" spans="10:20" x14ac:dyDescent="0.25">
      <c r="J57" s="273"/>
      <c r="Q57" s="269"/>
      <c r="R57" s="269"/>
      <c r="S57" s="269"/>
      <c r="T57" s="269"/>
    </row>
    <row r="58" spans="10:20" x14ac:dyDescent="0.25">
      <c r="J58" s="273"/>
      <c r="Q58" s="269"/>
      <c r="R58" s="269"/>
      <c r="S58" s="269"/>
      <c r="T58" s="269"/>
    </row>
    <row r="59" spans="10:20" x14ac:dyDescent="0.25">
      <c r="J59" s="273"/>
      <c r="Q59" s="269"/>
      <c r="R59" s="269"/>
      <c r="S59" s="269"/>
      <c r="T59" s="269"/>
    </row>
    <row r="60" spans="10:20" x14ac:dyDescent="0.25">
      <c r="J60" s="273"/>
      <c r="Q60" s="269"/>
      <c r="R60" s="269"/>
      <c r="S60" s="269"/>
      <c r="T60" s="269"/>
    </row>
    <row r="61" spans="10:20" x14ac:dyDescent="0.25">
      <c r="J61" s="273"/>
      <c r="Q61" s="269"/>
      <c r="R61" s="269"/>
      <c r="S61" s="269"/>
      <c r="T61" s="269"/>
    </row>
    <row r="62" spans="10:20" x14ac:dyDescent="0.25">
      <c r="J62" s="273"/>
      <c r="Q62" s="269"/>
      <c r="R62" s="269"/>
      <c r="S62" s="269"/>
      <c r="T62" s="269"/>
    </row>
    <row r="63" spans="10:20" x14ac:dyDescent="0.25">
      <c r="J63" s="273"/>
      <c r="Q63" s="269"/>
      <c r="R63" s="269"/>
      <c r="S63" s="269"/>
      <c r="T63" s="269"/>
    </row>
    <row r="64" spans="10:20" x14ac:dyDescent="0.25">
      <c r="J64" s="273"/>
      <c r="Q64" s="269"/>
      <c r="R64" s="269"/>
      <c r="S64" s="269"/>
      <c r="T64" s="269"/>
    </row>
    <row r="65" spans="10:20" x14ac:dyDescent="0.25">
      <c r="J65" s="273"/>
      <c r="Q65" s="269"/>
      <c r="R65" s="269"/>
      <c r="S65" s="269"/>
      <c r="T65" s="269"/>
    </row>
    <row r="66" spans="10:20" x14ac:dyDescent="0.25">
      <c r="J66" s="273"/>
      <c r="Q66" s="269"/>
      <c r="R66" s="269"/>
      <c r="S66" s="269"/>
      <c r="T66" s="269"/>
    </row>
    <row r="67" spans="10:20" x14ac:dyDescent="0.25">
      <c r="J67" s="273"/>
      <c r="Q67" s="269"/>
      <c r="R67" s="269"/>
      <c r="S67" s="269"/>
      <c r="T67" s="269"/>
    </row>
    <row r="68" spans="10:20" x14ac:dyDescent="0.25">
      <c r="J68" s="273"/>
      <c r="Q68" s="269"/>
      <c r="R68" s="269"/>
      <c r="S68" s="269"/>
      <c r="T68" s="269"/>
    </row>
    <row r="69" spans="10:20" x14ac:dyDescent="0.25">
      <c r="J69" s="273"/>
      <c r="Q69" s="269"/>
      <c r="R69" s="269"/>
      <c r="S69" s="269"/>
      <c r="T69" s="269"/>
    </row>
    <row r="71" spans="10:20" x14ac:dyDescent="0.25">
      <c r="Q71" s="269"/>
      <c r="R71" s="269"/>
      <c r="S71" s="269"/>
      <c r="T71" s="269"/>
    </row>
    <row r="74" spans="10:20" x14ac:dyDescent="0.25">
      <c r="Q74" s="274"/>
      <c r="R74" s="274"/>
      <c r="S74" s="274"/>
      <c r="T74" s="274"/>
    </row>
    <row r="75" spans="10:20" x14ac:dyDescent="0.25">
      <c r="Q75" s="270"/>
      <c r="R75" s="270"/>
      <c r="S75" s="270"/>
      <c r="T75" s="270"/>
    </row>
    <row r="77" spans="10:20" x14ac:dyDescent="0.25">
      <c r="Q77" s="274"/>
      <c r="R77" s="274"/>
    </row>
    <row r="78" spans="10:20" x14ac:dyDescent="0.25">
      <c r="Q78" s="270"/>
      <c r="R78" s="270"/>
    </row>
    <row r="81" spans="17:18" x14ac:dyDescent="0.25">
      <c r="Q81" s="275"/>
      <c r="R81" s="276"/>
    </row>
    <row r="83" spans="17:18" x14ac:dyDescent="0.25">
      <c r="Q83" s="274"/>
      <c r="R83" s="269"/>
    </row>
    <row r="84" spans="17:18" x14ac:dyDescent="0.25">
      <c r="Q84" s="274"/>
      <c r="R84" s="269"/>
    </row>
  </sheetData>
  <sheetProtection password="8FE7" sheet="1" objects="1" scenarios="1"/>
  <mergeCells count="8">
    <mergeCell ref="I6:L6"/>
    <mergeCell ref="I7:J7"/>
    <mergeCell ref="K7:L7"/>
    <mergeCell ref="I15:K15"/>
    <mergeCell ref="I16:K16"/>
    <mergeCell ref="C7:E7"/>
    <mergeCell ref="C11:F11"/>
    <mergeCell ref="G11:G12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8"/>
  <sheetViews>
    <sheetView topLeftCell="AY1" zoomScale="85" zoomScaleNormal="85" workbookViewId="0">
      <selection activeCell="BO18" sqref="BO18"/>
    </sheetView>
  </sheetViews>
  <sheetFormatPr baseColWidth="10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ht="15" customHeight="1" x14ac:dyDescent="0.25">
      <c r="A1" s="62">
        <v>1</v>
      </c>
      <c r="B1" s="150">
        <f>A1+1</f>
        <v>2</v>
      </c>
      <c r="C1" s="150">
        <f>B1+1</f>
        <v>3</v>
      </c>
      <c r="D1" s="150">
        <f>C1+1</f>
        <v>4</v>
      </c>
      <c r="E1" s="150">
        <f>D1+1</f>
        <v>5</v>
      </c>
      <c r="F1" s="150">
        <f>E1+1</f>
        <v>6</v>
      </c>
      <c r="G1" s="150">
        <f>F1+1</f>
        <v>7</v>
      </c>
      <c r="H1" s="150">
        <f>G1+1</f>
        <v>8</v>
      </c>
      <c r="I1" s="150">
        <f>H1+1</f>
        <v>9</v>
      </c>
      <c r="J1" s="150">
        <f>I1+1</f>
        <v>10</v>
      </c>
      <c r="K1" s="150">
        <f t="shared" ref="K1:BV1" si="0">J1+1</f>
        <v>11</v>
      </c>
      <c r="L1" s="150">
        <f t="shared" si="0"/>
        <v>12</v>
      </c>
      <c r="M1" s="150">
        <f t="shared" si="0"/>
        <v>13</v>
      </c>
      <c r="N1" s="150">
        <f t="shared" si="0"/>
        <v>14</v>
      </c>
      <c r="O1" s="150">
        <f t="shared" si="0"/>
        <v>15</v>
      </c>
      <c r="P1" s="150">
        <f t="shared" si="0"/>
        <v>16</v>
      </c>
      <c r="Q1" s="150">
        <f t="shared" si="0"/>
        <v>17</v>
      </c>
      <c r="R1" s="150">
        <f t="shared" si="0"/>
        <v>18</v>
      </c>
      <c r="S1" s="150">
        <f t="shared" si="0"/>
        <v>19</v>
      </c>
      <c r="T1" s="150">
        <f t="shared" si="0"/>
        <v>20</v>
      </c>
      <c r="U1" s="150">
        <f t="shared" si="0"/>
        <v>21</v>
      </c>
      <c r="V1" s="150">
        <f t="shared" si="0"/>
        <v>22</v>
      </c>
      <c r="W1" s="150">
        <f t="shared" si="0"/>
        <v>23</v>
      </c>
      <c r="X1" s="150">
        <f t="shared" si="0"/>
        <v>24</v>
      </c>
      <c r="Y1" s="150">
        <f t="shared" si="0"/>
        <v>25</v>
      </c>
      <c r="Z1" s="150">
        <f t="shared" si="0"/>
        <v>26</v>
      </c>
      <c r="AA1" s="150">
        <f t="shared" si="0"/>
        <v>27</v>
      </c>
      <c r="AB1" s="150">
        <f t="shared" si="0"/>
        <v>28</v>
      </c>
      <c r="AC1" s="150">
        <f t="shared" si="0"/>
        <v>29</v>
      </c>
      <c r="AD1" s="150">
        <f t="shared" si="0"/>
        <v>30</v>
      </c>
      <c r="AE1" s="150">
        <f t="shared" si="0"/>
        <v>31</v>
      </c>
      <c r="AF1" s="150">
        <f t="shared" si="0"/>
        <v>32</v>
      </c>
      <c r="AG1" s="150">
        <f t="shared" si="0"/>
        <v>33</v>
      </c>
      <c r="AH1" s="150">
        <f t="shared" si="0"/>
        <v>34</v>
      </c>
      <c r="AI1" s="150">
        <f t="shared" si="0"/>
        <v>35</v>
      </c>
      <c r="AJ1" s="150">
        <f t="shared" si="0"/>
        <v>36</v>
      </c>
      <c r="AK1" s="150">
        <f t="shared" si="0"/>
        <v>37</v>
      </c>
      <c r="AL1" s="150">
        <f t="shared" si="0"/>
        <v>38</v>
      </c>
      <c r="AM1" s="150">
        <f t="shared" si="0"/>
        <v>39</v>
      </c>
      <c r="AN1" s="150">
        <f t="shared" si="0"/>
        <v>40</v>
      </c>
      <c r="AO1" s="150">
        <f t="shared" si="0"/>
        <v>41</v>
      </c>
      <c r="AP1" s="150">
        <f t="shared" si="0"/>
        <v>42</v>
      </c>
      <c r="AQ1" s="150">
        <f t="shared" si="0"/>
        <v>43</v>
      </c>
      <c r="AR1" s="150">
        <f t="shared" si="0"/>
        <v>44</v>
      </c>
      <c r="AS1" s="150">
        <f t="shared" si="0"/>
        <v>45</v>
      </c>
      <c r="AT1" s="150">
        <f t="shared" si="0"/>
        <v>46</v>
      </c>
      <c r="AU1" s="150">
        <f t="shared" si="0"/>
        <v>47</v>
      </c>
      <c r="AV1" s="150">
        <f t="shared" si="0"/>
        <v>48</v>
      </c>
      <c r="AW1" s="150">
        <f t="shared" si="0"/>
        <v>49</v>
      </c>
      <c r="AX1" s="150">
        <f t="shared" si="0"/>
        <v>50</v>
      </c>
      <c r="AY1" s="150">
        <f t="shared" si="0"/>
        <v>51</v>
      </c>
      <c r="AZ1" s="150">
        <f t="shared" si="0"/>
        <v>52</v>
      </c>
      <c r="BA1" s="150">
        <f t="shared" si="0"/>
        <v>53</v>
      </c>
      <c r="BB1" s="150">
        <f t="shared" si="0"/>
        <v>54</v>
      </c>
      <c r="BC1" s="150">
        <f t="shared" si="0"/>
        <v>55</v>
      </c>
      <c r="BD1" s="150">
        <f t="shared" si="0"/>
        <v>56</v>
      </c>
      <c r="BE1" s="150">
        <f t="shared" si="0"/>
        <v>57</v>
      </c>
      <c r="BF1" s="150">
        <f t="shared" si="0"/>
        <v>58</v>
      </c>
      <c r="BG1" s="150">
        <f t="shared" si="0"/>
        <v>59</v>
      </c>
      <c r="BH1" s="150">
        <f t="shared" si="0"/>
        <v>60</v>
      </c>
      <c r="BI1" s="150">
        <f t="shared" si="0"/>
        <v>61</v>
      </c>
      <c r="BJ1" s="150">
        <f t="shared" si="0"/>
        <v>62</v>
      </c>
      <c r="BK1" s="150">
        <f t="shared" si="0"/>
        <v>63</v>
      </c>
      <c r="BL1" s="150">
        <f t="shared" si="0"/>
        <v>64</v>
      </c>
      <c r="BM1" s="150">
        <f t="shared" si="0"/>
        <v>65</v>
      </c>
      <c r="BN1" s="150">
        <f t="shared" si="0"/>
        <v>66</v>
      </c>
      <c r="BO1" s="150">
        <f t="shared" si="0"/>
        <v>67</v>
      </c>
      <c r="BP1" s="150">
        <f t="shared" si="0"/>
        <v>68</v>
      </c>
      <c r="BQ1" s="150">
        <f t="shared" si="0"/>
        <v>69</v>
      </c>
      <c r="BR1" s="150">
        <f t="shared" si="0"/>
        <v>70</v>
      </c>
      <c r="BS1" s="150">
        <f t="shared" si="0"/>
        <v>71</v>
      </c>
      <c r="BT1" s="150">
        <f t="shared" si="0"/>
        <v>72</v>
      </c>
      <c r="BU1" s="150">
        <f t="shared" si="0"/>
        <v>73</v>
      </c>
      <c r="BV1" s="150">
        <f t="shared" si="0"/>
        <v>74</v>
      </c>
      <c r="CA1" s="140">
        <v>14.507569019635927</v>
      </c>
      <c r="CB1">
        <v>85</v>
      </c>
    </row>
    <row r="2" spans="1:97" ht="15" customHeight="1" x14ac:dyDescent="0.25">
      <c r="B2" s="100"/>
      <c r="C2" s="130"/>
      <c r="D2" s="130"/>
      <c r="E2" s="130"/>
      <c r="F2" s="101"/>
      <c r="G2" s="342" t="s">
        <v>64</v>
      </c>
      <c r="H2" s="342"/>
      <c r="I2" s="342"/>
      <c r="J2" s="342"/>
      <c r="K2" s="339"/>
      <c r="L2" s="340" t="s">
        <v>49</v>
      </c>
      <c r="M2" s="343"/>
      <c r="N2" s="343"/>
      <c r="O2" s="343"/>
      <c r="P2" s="341"/>
      <c r="Q2" s="344" t="s">
        <v>50</v>
      </c>
      <c r="R2" s="345"/>
      <c r="S2" s="345"/>
      <c r="T2" s="345"/>
      <c r="U2" s="346"/>
      <c r="V2" s="340" t="s">
        <v>51</v>
      </c>
      <c r="W2" s="343"/>
      <c r="X2" s="343"/>
      <c r="Y2" s="343"/>
      <c r="Z2" s="341"/>
      <c r="AB2" s="340" t="s">
        <v>0</v>
      </c>
      <c r="AC2" s="341"/>
      <c r="AD2" s="344" t="s">
        <v>31</v>
      </c>
      <c r="AE2" s="346"/>
      <c r="AF2" s="340" t="s">
        <v>10</v>
      </c>
      <c r="AG2" s="341"/>
      <c r="AH2" s="344" t="s">
        <v>11</v>
      </c>
      <c r="AI2" s="346"/>
      <c r="AK2" s="284"/>
      <c r="AL2" s="285"/>
      <c r="AM2" s="285"/>
      <c r="AN2" s="286"/>
      <c r="AP2" s="340" t="s">
        <v>0</v>
      </c>
      <c r="AQ2" s="341"/>
      <c r="AR2" s="338" t="s">
        <v>31</v>
      </c>
      <c r="AS2" s="339"/>
      <c r="AT2" s="340" t="s">
        <v>10</v>
      </c>
      <c r="AU2" s="341"/>
      <c r="AV2" s="338" t="s">
        <v>11</v>
      </c>
      <c r="AW2" s="339"/>
      <c r="AY2" s="350"/>
      <c r="AZ2" s="351"/>
      <c r="BB2" s="333" t="s">
        <v>60</v>
      </c>
      <c r="BC2" s="334"/>
      <c r="BD2" s="334"/>
      <c r="BE2" s="334"/>
      <c r="BF2" s="335"/>
      <c r="BG2" s="336" t="s">
        <v>61</v>
      </c>
      <c r="BH2" s="337"/>
      <c r="BI2" s="337"/>
      <c r="BJ2" s="337"/>
      <c r="BK2" s="337"/>
      <c r="BM2" s="333" t="s">
        <v>60</v>
      </c>
      <c r="BN2" s="334"/>
      <c r="BO2" s="334"/>
      <c r="BP2" s="334"/>
      <c r="BQ2" s="335"/>
      <c r="BR2" s="336" t="s">
        <v>61</v>
      </c>
      <c r="BS2" s="337"/>
      <c r="BT2" s="337"/>
      <c r="BU2" s="337"/>
      <c r="BV2" s="337"/>
      <c r="CA2" s="140">
        <v>25.730715138811671</v>
      </c>
      <c r="CB2">
        <v>3</v>
      </c>
    </row>
    <row r="3" spans="1:97" ht="42" customHeight="1" x14ac:dyDescent="0.25">
      <c r="A3" s="122" t="s">
        <v>162</v>
      </c>
      <c r="B3" s="129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24" t="s">
        <v>132</v>
      </c>
      <c r="H3" s="124" t="s">
        <v>120</v>
      </c>
      <c r="I3" s="125" t="s">
        <v>121</v>
      </c>
      <c r="J3" s="125" t="s">
        <v>133</v>
      </c>
      <c r="K3" s="125" t="s">
        <v>123</v>
      </c>
      <c r="L3" s="122" t="s">
        <v>119</v>
      </c>
      <c r="M3" s="122" t="s">
        <v>120</v>
      </c>
      <c r="N3" s="122" t="s">
        <v>121</v>
      </c>
      <c r="O3" s="122" t="s">
        <v>122</v>
      </c>
      <c r="P3" s="122" t="s">
        <v>123</v>
      </c>
      <c r="Q3" s="124" t="s">
        <v>119</v>
      </c>
      <c r="R3" s="124" t="s">
        <v>120</v>
      </c>
      <c r="S3" s="124" t="s">
        <v>121</v>
      </c>
      <c r="T3" s="124" t="s">
        <v>122</v>
      </c>
      <c r="U3" s="124" t="s">
        <v>123</v>
      </c>
      <c r="V3" s="122" t="s">
        <v>119</v>
      </c>
      <c r="W3" s="122" t="s">
        <v>120</v>
      </c>
      <c r="X3" s="122" t="s">
        <v>121</v>
      </c>
      <c r="Y3" s="122" t="s">
        <v>122</v>
      </c>
      <c r="Z3" s="122" t="s">
        <v>123</v>
      </c>
      <c r="AB3" s="122" t="s">
        <v>142</v>
      </c>
      <c r="AC3" s="122" t="s">
        <v>143</v>
      </c>
      <c r="AD3" s="124" t="s">
        <v>142</v>
      </c>
      <c r="AE3" s="124" t="s">
        <v>143</v>
      </c>
      <c r="AF3" s="122" t="s">
        <v>142</v>
      </c>
      <c r="AG3" s="122" t="s">
        <v>143</v>
      </c>
      <c r="AH3" s="124" t="s">
        <v>142</v>
      </c>
      <c r="AI3" s="124" t="s">
        <v>143</v>
      </c>
      <c r="AK3" s="126" t="s">
        <v>63</v>
      </c>
      <c r="AL3" s="126" t="s">
        <v>46</v>
      </c>
      <c r="AM3" s="126" t="s">
        <v>47</v>
      </c>
      <c r="AN3" s="126" t="s">
        <v>48</v>
      </c>
      <c r="AP3" s="122" t="s">
        <v>140</v>
      </c>
      <c r="AQ3" s="122" t="s">
        <v>141</v>
      </c>
      <c r="AR3" s="125" t="s">
        <v>140</v>
      </c>
      <c r="AS3" s="125" t="s">
        <v>141</v>
      </c>
      <c r="AT3" s="122" t="s">
        <v>140</v>
      </c>
      <c r="AU3" s="122" t="s">
        <v>141</v>
      </c>
      <c r="AV3" s="125" t="s">
        <v>140</v>
      </c>
      <c r="AW3" s="125" t="s">
        <v>141</v>
      </c>
      <c r="AY3" s="122" t="s">
        <v>144</v>
      </c>
      <c r="AZ3" s="122" t="s">
        <v>145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70</v>
      </c>
      <c r="BG3" s="133" t="s">
        <v>0</v>
      </c>
      <c r="BH3" s="133" t="s">
        <v>31</v>
      </c>
      <c r="BI3" s="133" t="s">
        <v>10</v>
      </c>
      <c r="BJ3" s="133" t="s">
        <v>11</v>
      </c>
      <c r="BK3" s="133" t="s">
        <v>70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70</v>
      </c>
      <c r="BR3" s="133" t="s">
        <v>0</v>
      </c>
      <c r="BS3" s="133" t="s">
        <v>31</v>
      </c>
      <c r="BT3" s="133" t="s">
        <v>10</v>
      </c>
      <c r="BU3" s="133" t="s">
        <v>11</v>
      </c>
      <c r="BV3" s="133" t="s">
        <v>70</v>
      </c>
      <c r="CA3" s="140">
        <v>14.507569019635927</v>
      </c>
      <c r="CD3" s="133" t="s">
        <v>242</v>
      </c>
      <c r="CE3" s="133" t="s">
        <v>243</v>
      </c>
      <c r="CF3" s="133" t="s">
        <v>244</v>
      </c>
      <c r="CG3" s="133" t="s">
        <v>245</v>
      </c>
      <c r="CH3" s="133" t="s">
        <v>246</v>
      </c>
      <c r="CI3" s="133" t="s">
        <v>247</v>
      </c>
      <c r="CJ3" s="133" t="s">
        <v>248</v>
      </c>
      <c r="CK3" s="133" t="s">
        <v>250</v>
      </c>
      <c r="CL3" s="133" t="s">
        <v>249</v>
      </c>
      <c r="CM3" s="133" t="s">
        <v>251</v>
      </c>
    </row>
    <row r="4" spans="1:97" x14ac:dyDescent="0.25">
      <c r="A4">
        <v>1</v>
      </c>
      <c r="B4" s="127">
        <v>0.5</v>
      </c>
      <c r="C4" s="20">
        <v>1.0110045112736447E-4</v>
      </c>
      <c r="D4" s="20">
        <v>1.0230462885613235E-2</v>
      </c>
      <c r="E4" s="20">
        <v>3.6237480807441398E-44</v>
      </c>
      <c r="F4" s="20">
        <v>3.1753350949166831E-19</v>
      </c>
      <c r="G4" s="19">
        <v>26.580998417691195</v>
      </c>
      <c r="H4" s="19">
        <v>1.9708803563496182</v>
      </c>
      <c r="I4" s="19">
        <v>2.0392027297166647E-5</v>
      </c>
      <c r="J4" s="19">
        <v>-2.5133740045653662E-5</v>
      </c>
      <c r="K4">
        <v>3.2995068878907574E-2</v>
      </c>
      <c r="L4" s="19">
        <v>6.6795865188776675</v>
      </c>
      <c r="M4" s="19">
        <v>1.7297897673065721</v>
      </c>
      <c r="N4" s="19">
        <v>1.7605295293972405E-5</v>
      </c>
      <c r="O4" s="19">
        <v>-1.0238111231968087E-5</v>
      </c>
      <c r="P4" s="19">
        <v>1.8789379042058529E-2</v>
      </c>
      <c r="Q4" s="19">
        <v>3.3414693611361961</v>
      </c>
      <c r="R4" s="19">
        <v>0.90600262832240064</v>
      </c>
      <c r="S4" s="19">
        <v>8.8956709844828333E-6</v>
      </c>
      <c r="T4" s="19">
        <v>-5.0736686778081956E-6</v>
      </c>
      <c r="U4" s="19">
        <v>1.1011727835558887E-2</v>
      </c>
      <c r="V4" s="19">
        <v>2.2276845031799644</v>
      </c>
      <c r="W4" s="19">
        <v>0.60560452367184892</v>
      </c>
      <c r="X4" s="19">
        <v>5.8960174460977204E-6</v>
      </c>
      <c r="Y4" s="19">
        <v>-3.3885631397628233E-6</v>
      </c>
      <c r="Z4">
        <v>8.1679724248237707E-3</v>
      </c>
      <c r="AB4">
        <v>208266721270.02136</v>
      </c>
      <c r="AC4">
        <v>12330972643.697861</v>
      </c>
      <c r="AD4">
        <v>372132315458.05719</v>
      </c>
      <c r="AE4">
        <v>596978050673.55347</v>
      </c>
      <c r="AF4">
        <v>5517375776772.0449</v>
      </c>
      <c r="AG4">
        <v>12391292290719.75</v>
      </c>
      <c r="AH4">
        <v>28007953287459.289</v>
      </c>
      <c r="AI4">
        <v>70866465443911.656</v>
      </c>
      <c r="AK4">
        <v>0.10845204439135511</v>
      </c>
      <c r="AL4">
        <v>4.3897513913835722</v>
      </c>
      <c r="AM4">
        <v>3.3319299200542098E-41</v>
      </c>
      <c r="AN4">
        <v>2.9196273508004065E-17</v>
      </c>
      <c r="AP4" s="134">
        <v>5.2073631221545558E-13</v>
      </c>
      <c r="AQ4" s="134">
        <v>8.7950924493197219E-12</v>
      </c>
      <c r="AR4" s="134">
        <v>1.1796211210467526E-11</v>
      </c>
      <c r="AS4" s="134">
        <v>7.3532877572814274E-12</v>
      </c>
      <c r="AT4" s="134">
        <v>6.0389758734243109E-54</v>
      </c>
      <c r="AU4" s="134">
        <v>2.6889285168017565E-54</v>
      </c>
      <c r="AV4" s="134">
        <v>1.0424279563861188E-30</v>
      </c>
      <c r="AW4" s="134">
        <v>4.1198997756014657E-31</v>
      </c>
      <c r="AY4" s="134">
        <v>1.2316947522682982E-11</v>
      </c>
      <c r="AZ4" s="134">
        <v>1.6148380206601149E-11</v>
      </c>
      <c r="BB4">
        <v>5.2073631221545558E-13</v>
      </c>
      <c r="BC4">
        <v>1.1796211210467526E-11</v>
      </c>
      <c r="BD4">
        <v>6.0389758734243109E-54</v>
      </c>
      <c r="BE4">
        <v>1.0424279563861188E-30</v>
      </c>
      <c r="BF4">
        <v>1.2316947522682982E-11</v>
      </c>
      <c r="BG4">
        <v>8.7950924493197219E-12</v>
      </c>
      <c r="BH4">
        <v>7.3532877572814274E-12</v>
      </c>
      <c r="BI4">
        <v>2.6889285168017565E-54</v>
      </c>
      <c r="BJ4">
        <v>4.1198997756014657E-31</v>
      </c>
      <c r="BK4">
        <v>1.6148380206601149E-11</v>
      </c>
      <c r="BM4" s="175" t="str">
        <f>IF((1/BB103)&gt;BM8,"&gt;20",1/BB103)</f>
        <v>&gt;20</v>
      </c>
      <c r="BN4" s="175">
        <f>1/BC103</f>
        <v>105.18040196862404</v>
      </c>
      <c r="BO4" s="175">
        <f t="shared" ref="BO4:BV4" si="1">1/BD103</f>
        <v>81.766581739377258</v>
      </c>
      <c r="BP4" s="175">
        <f t="shared" si="1"/>
        <v>5876.625053777163</v>
      </c>
      <c r="BQ4" s="175">
        <f>1/BF103</f>
        <v>38.300060308713128</v>
      </c>
      <c r="BR4" s="175">
        <f t="shared" si="1"/>
        <v>29.476289151976808</v>
      </c>
      <c r="BS4" s="175">
        <f t="shared" si="1"/>
        <v>112.4110891858886</v>
      </c>
      <c r="BT4" s="175">
        <f t="shared" si="1"/>
        <v>78.36257103237368</v>
      </c>
      <c r="BU4" s="175">
        <f t="shared" si="1"/>
        <v>5365.2221491295713</v>
      </c>
      <c r="BV4" s="175">
        <f>1/BK103</f>
        <v>17.931085383945408</v>
      </c>
      <c r="CA4" s="140" t="s">
        <v>261</v>
      </c>
      <c r="CC4" s="133">
        <v>1</v>
      </c>
      <c r="CD4">
        <v>4200</v>
      </c>
      <c r="CE4">
        <v>480</v>
      </c>
      <c r="CF4">
        <v>120</v>
      </c>
      <c r="CJ4" s="127">
        <v>31.890228298563471</v>
      </c>
      <c r="CK4" s="127">
        <v>1016.9866609344984</v>
      </c>
      <c r="CL4" s="127">
        <v>52.871030920317459</v>
      </c>
      <c r="CM4" s="127">
        <v>2795.3459105771649</v>
      </c>
      <c r="CP4" s="127"/>
      <c r="CQ4" s="127"/>
      <c r="CR4" s="127"/>
      <c r="CS4" s="127"/>
    </row>
    <row r="5" spans="1:97" x14ac:dyDescent="0.25">
      <c r="A5">
        <v>2</v>
      </c>
      <c r="B5" s="127">
        <v>1</v>
      </c>
      <c r="C5" s="20">
        <v>0.31934053328052636</v>
      </c>
      <c r="D5" s="20">
        <v>0.86532236371898352</v>
      </c>
      <c r="E5" s="20">
        <v>2.6485240668866928E-25</v>
      </c>
      <c r="F5" s="20">
        <v>4.6516849591301319E-10</v>
      </c>
      <c r="G5" s="19">
        <v>51.317034999430639</v>
      </c>
      <c r="H5" s="19">
        <v>3.9313497928228851</v>
      </c>
      <c r="I5" s="19">
        <v>4.0663225537286547E-5</v>
      </c>
      <c r="J5" s="19">
        <v>-4.7987156045384561E-5</v>
      </c>
      <c r="K5">
        <v>5.9445769368950303E-2</v>
      </c>
      <c r="L5" s="19">
        <v>13.359173037755335</v>
      </c>
      <c r="M5" s="19">
        <v>3.4595795346131442</v>
      </c>
      <c r="N5" s="19">
        <v>3.5210590587944811E-5</v>
      </c>
      <c r="O5" s="19">
        <v>-2.0476222463936173E-5</v>
      </c>
      <c r="P5" s="19">
        <v>3.2995068878907574E-2</v>
      </c>
      <c r="Q5" s="19">
        <v>6.6829387222723922</v>
      </c>
      <c r="R5" s="19">
        <v>1.8120052566448013</v>
      </c>
      <c r="S5" s="19">
        <v>1.7791341968965667E-5</v>
      </c>
      <c r="T5" s="19">
        <v>-1.0147337355616391E-5</v>
      </c>
      <c r="U5" s="19">
        <v>1.8789379042058529E-2</v>
      </c>
      <c r="V5" s="19">
        <v>4.4553690063599287</v>
      </c>
      <c r="W5" s="19">
        <v>1.2112090473436978</v>
      </c>
      <c r="X5" s="19">
        <v>1.1792034892195441E-5</v>
      </c>
      <c r="Y5" s="19">
        <v>-6.7771262795256466E-6</v>
      </c>
      <c r="Z5">
        <v>1.3696327422179981E-2</v>
      </c>
      <c r="AB5">
        <v>13634564324.567841</v>
      </c>
      <c r="AC5">
        <v>754480526.7112546</v>
      </c>
      <c r="AD5">
        <v>24078470826.350063</v>
      </c>
      <c r="AE5">
        <v>29888820873.547161</v>
      </c>
      <c r="AF5">
        <v>356996600834.01068</v>
      </c>
      <c r="AG5">
        <v>620393187406.5061</v>
      </c>
      <c r="AH5">
        <v>1812228226693.3997</v>
      </c>
      <c r="AI5">
        <v>3548061924897.7173</v>
      </c>
      <c r="AK5">
        <v>342.56161377231126</v>
      </c>
      <c r="AL5">
        <v>371.29796497013899</v>
      </c>
      <c r="AM5">
        <v>2.4352400845235547E-22</v>
      </c>
      <c r="AN5">
        <v>4.2770876861862542E-8</v>
      </c>
      <c r="AP5" s="134">
        <v>2.5124500176001705E-8</v>
      </c>
      <c r="AQ5" s="134">
        <v>4.540363888058468E-7</v>
      </c>
      <c r="AR5" s="134">
        <v>1.5420329955663643E-8</v>
      </c>
      <c r="AS5" s="134">
        <v>1.242263676245432E-8</v>
      </c>
      <c r="AT5" s="134">
        <v>6.8214657473891335E-34</v>
      </c>
      <c r="AU5" s="134">
        <v>3.9253172567929716E-34</v>
      </c>
      <c r="AV5" s="134">
        <v>2.3601264030581009E-20</v>
      </c>
      <c r="AW5" s="134">
        <v>1.2054715438230558E-20</v>
      </c>
      <c r="AY5" s="134">
        <v>4.0544830131688949E-8</v>
      </c>
      <c r="AZ5" s="134">
        <v>4.6645902556831318E-7</v>
      </c>
      <c r="BB5">
        <v>2.512502091231392E-8</v>
      </c>
      <c r="BC5">
        <v>1.5432126166874109E-8</v>
      </c>
      <c r="BD5">
        <v>6.8214657473891335E-34</v>
      </c>
      <c r="BE5">
        <v>2.3601264031623437E-20</v>
      </c>
      <c r="BF5">
        <v>4.055714707921163E-8</v>
      </c>
      <c r="BG5">
        <v>4.5404518389829614E-7</v>
      </c>
      <c r="BH5">
        <v>1.2429990050211602E-8</v>
      </c>
      <c r="BI5">
        <v>3.9253172567929716E-34</v>
      </c>
      <c r="BJ5">
        <v>1.2054715438642547E-20</v>
      </c>
      <c r="BK5">
        <v>4.6647517394851982E-7</v>
      </c>
      <c r="CA5" s="22">
        <v>3500</v>
      </c>
      <c r="CC5" s="133">
        <v>2</v>
      </c>
      <c r="CD5">
        <v>4200</v>
      </c>
      <c r="CE5">
        <v>480</v>
      </c>
      <c r="CF5">
        <v>80</v>
      </c>
      <c r="CJ5" s="127">
        <v>31.890228298563471</v>
      </c>
      <c r="CK5" s="127">
        <v>1016.9866609344984</v>
      </c>
      <c r="CL5" s="127">
        <v>26.01329011570683</v>
      </c>
      <c r="CM5" s="221">
        <v>676.69126264393071</v>
      </c>
      <c r="CP5" s="127"/>
      <c r="CQ5" s="127"/>
      <c r="CR5" s="127"/>
      <c r="CS5" s="221"/>
    </row>
    <row r="6" spans="1:97" x14ac:dyDescent="0.25">
      <c r="A6">
        <v>3</v>
      </c>
      <c r="B6" s="127">
        <v>1.5</v>
      </c>
      <c r="C6" s="20">
        <v>5.7771608833961974</v>
      </c>
      <c r="D6" s="20">
        <v>4.7605152483056923</v>
      </c>
      <c r="E6" s="20">
        <v>1.0950807514640619E-16</v>
      </c>
      <c r="F6" s="20">
        <v>5.0397948011464576E-6</v>
      </c>
      <c r="G6" s="19">
        <v>74.382541315335814</v>
      </c>
      <c r="H6" s="19">
        <v>5.8814851391360277</v>
      </c>
      <c r="I6" s="19">
        <v>6.0814527871635913E-5</v>
      </c>
      <c r="J6" s="19">
        <v>-6.8797558785315205E-5</v>
      </c>
      <c r="K6">
        <v>8.4710317395116155E-2</v>
      </c>
      <c r="L6" s="19">
        <v>20.038759556633</v>
      </c>
      <c r="M6" s="19">
        <v>5.189369301919716</v>
      </c>
      <c r="N6" s="19">
        <v>5.2815885881917216E-5</v>
      </c>
      <c r="O6" s="19">
        <v>-3.071433369590426E-5</v>
      </c>
      <c r="P6" s="19">
        <v>4.6428228780325001E-2</v>
      </c>
      <c r="Q6" s="19">
        <v>10.024408083408586</v>
      </c>
      <c r="R6" s="19">
        <v>2.7180078849672022</v>
      </c>
      <c r="S6" s="19">
        <v>2.6687012953448505E-5</v>
      </c>
      <c r="T6" s="19">
        <v>-1.5221006033424588E-5</v>
      </c>
      <c r="U6" s="19">
        <v>2.6031992520947581E-2</v>
      </c>
      <c r="V6" s="19">
        <v>6.6830535095398931</v>
      </c>
      <c r="W6" s="19">
        <v>1.8168135710155477</v>
      </c>
      <c r="X6" s="19">
        <v>1.7688052338293175E-5</v>
      </c>
      <c r="Y6" s="19">
        <v>-1.0165689419288468E-5</v>
      </c>
      <c r="Z6">
        <v>1.8789379042058529E-2</v>
      </c>
      <c r="AB6">
        <v>2780734237.5811648</v>
      </c>
      <c r="AC6">
        <v>159144856.56142327</v>
      </c>
      <c r="AD6">
        <v>4853649700.447916</v>
      </c>
      <c r="AE6">
        <v>5185546620.8719101</v>
      </c>
      <c r="AF6">
        <v>71962063421.515701</v>
      </c>
      <c r="AG6">
        <v>107634818053.82986</v>
      </c>
      <c r="AH6">
        <v>365302308982.50867</v>
      </c>
      <c r="AI6">
        <v>615569299409.23889</v>
      </c>
      <c r="AK6">
        <v>6197.2513633274993</v>
      </c>
      <c r="AL6">
        <v>2042.6718388607876</v>
      </c>
      <c r="AM6">
        <v>1.0068945852133533E-13</v>
      </c>
      <c r="AN6">
        <v>4.6339432859872641E-4</v>
      </c>
      <c r="AP6" s="134">
        <v>2.2286384939533842E-6</v>
      </c>
      <c r="AQ6" s="134">
        <v>3.8940946614480246E-5</v>
      </c>
      <c r="AR6" s="134">
        <v>4.2085275306791938E-7</v>
      </c>
      <c r="AS6" s="134">
        <v>3.9391639651623225E-7</v>
      </c>
      <c r="AT6" s="134">
        <v>1.3992019368809611E-24</v>
      </c>
      <c r="AU6" s="134">
        <v>9.3547292913134253E-25</v>
      </c>
      <c r="AV6" s="134">
        <v>1.2685228568344872E-15</v>
      </c>
      <c r="AW6" s="134">
        <v>7.5278986304782483E-16</v>
      </c>
      <c r="AY6" s="134">
        <v>2.6494912482898265E-6</v>
      </c>
      <c r="AZ6" s="134">
        <v>3.9334863011749269E-5</v>
      </c>
      <c r="BB6">
        <v>2.2537635148656981E-6</v>
      </c>
      <c r="BC6">
        <v>4.3628487923479351E-7</v>
      </c>
      <c r="BD6">
        <v>1.3992019375631077E-24</v>
      </c>
      <c r="BE6">
        <v>1.2685464580985187E-15</v>
      </c>
      <c r="BF6">
        <v>2.6900483953690383E-6</v>
      </c>
      <c r="BG6">
        <v>3.9394991798378541E-5</v>
      </c>
      <c r="BH6">
        <v>4.0634638656644386E-7</v>
      </c>
      <c r="BI6">
        <v>9.3547292952387426E-25</v>
      </c>
      <c r="BJ6">
        <v>7.5280191776326347E-16</v>
      </c>
      <c r="BK6">
        <v>3.9801338185697789E-5</v>
      </c>
      <c r="BM6" s="194">
        <v>20</v>
      </c>
      <c r="BN6" s="194">
        <f>$BM$6</f>
        <v>20</v>
      </c>
      <c r="BO6" s="194">
        <f t="shared" ref="BO6:BV6" si="2">$BM$6</f>
        <v>20</v>
      </c>
      <c r="BP6" s="194">
        <f t="shared" si="2"/>
        <v>20</v>
      </c>
      <c r="BQ6" s="194">
        <f t="shared" si="2"/>
        <v>20</v>
      </c>
      <c r="BR6" s="194">
        <f t="shared" si="2"/>
        <v>20</v>
      </c>
      <c r="BS6" s="194">
        <f t="shared" si="2"/>
        <v>20</v>
      </c>
      <c r="BT6" s="194">
        <f t="shared" si="2"/>
        <v>20</v>
      </c>
      <c r="BU6" s="194">
        <f t="shared" si="2"/>
        <v>20</v>
      </c>
      <c r="BV6" s="194">
        <f t="shared" si="2"/>
        <v>20</v>
      </c>
      <c r="CA6" s="22">
        <v>400</v>
      </c>
      <c r="CC6" s="133">
        <v>3</v>
      </c>
      <c r="CD6">
        <v>4200</v>
      </c>
      <c r="CE6">
        <v>320</v>
      </c>
      <c r="CF6">
        <v>120</v>
      </c>
      <c r="CJ6" s="127">
        <v>9.6295726059877307</v>
      </c>
      <c r="CK6" s="127">
        <v>92.728668573989339</v>
      </c>
      <c r="CL6" s="127">
        <v>29.941739638174983</v>
      </c>
      <c r="CM6" s="127">
        <v>896.50777256025901</v>
      </c>
      <c r="CP6" s="127"/>
      <c r="CQ6" s="127"/>
      <c r="CR6" s="127"/>
      <c r="CS6" s="127"/>
    </row>
    <row r="7" spans="1:97" x14ac:dyDescent="0.25">
      <c r="A7">
        <v>4</v>
      </c>
      <c r="B7" s="127">
        <v>2</v>
      </c>
      <c r="C7" s="20">
        <v>19.972095289182327</v>
      </c>
      <c r="D7" s="20">
        <v>10.710955146851209</v>
      </c>
      <c r="E7" s="20">
        <v>1.1759734859855953E-11</v>
      </c>
      <c r="F7" s="20">
        <v>9.3579365247105253E-4</v>
      </c>
      <c r="G7" s="19">
        <v>95.931303744471151</v>
      </c>
      <c r="H7" s="19">
        <v>7.8213624975621219</v>
      </c>
      <c r="I7" s="19">
        <v>8.0846858398054018E-5</v>
      </c>
      <c r="J7" s="19">
        <v>-8.7772742991983529E-5</v>
      </c>
      <c r="K7">
        <v>0.1092759253487606</v>
      </c>
      <c r="L7" s="19">
        <v>26.71834607551067</v>
      </c>
      <c r="M7" s="19">
        <v>6.9191590692262883</v>
      </c>
      <c r="N7" s="19">
        <v>7.0421181175889621E-5</v>
      </c>
      <c r="O7" s="19">
        <v>-4.0952444927872347E-5</v>
      </c>
      <c r="P7" s="19">
        <v>5.9445769368950303E-2</v>
      </c>
      <c r="Q7" s="19">
        <v>13.365877444544784</v>
      </c>
      <c r="R7" s="19">
        <v>3.6240105132896026</v>
      </c>
      <c r="S7" s="19">
        <v>3.5582683937931333E-5</v>
      </c>
      <c r="T7" s="19">
        <v>-2.0294674711232783E-5</v>
      </c>
      <c r="U7" s="19">
        <v>3.2995068878907574E-2</v>
      </c>
      <c r="V7" s="19">
        <v>8.9107380127198574</v>
      </c>
      <c r="W7" s="19">
        <v>2.4224180946873957</v>
      </c>
      <c r="X7" s="19">
        <v>2.3584069784390882E-5</v>
      </c>
      <c r="Y7" s="19">
        <v>-1.3554252559051293E-5</v>
      </c>
      <c r="Z7">
        <v>2.3656222188772537E-2</v>
      </c>
      <c r="AB7">
        <v>903065058.16128385</v>
      </c>
      <c r="AC7">
        <v>55564103.353601232</v>
      </c>
      <c r="AD7">
        <v>1557974766.6411326</v>
      </c>
      <c r="AE7">
        <v>1496439629.9044099</v>
      </c>
      <c r="AF7">
        <v>23099128673.378292</v>
      </c>
      <c r="AG7">
        <v>31061143418.322823</v>
      </c>
      <c r="AH7">
        <v>117258519818.18355</v>
      </c>
      <c r="AI7">
        <v>177640345741.13834</v>
      </c>
      <c r="AK7">
        <v>21424.380808766829</v>
      </c>
      <c r="AL7">
        <v>4595.9240343912115</v>
      </c>
      <c r="AM7">
        <v>1.0812730785472363E-8</v>
      </c>
      <c r="AN7">
        <v>8.6043477642210375E-2</v>
      </c>
      <c r="AP7" s="134">
        <v>2.3724072385647015E-5</v>
      </c>
      <c r="AQ7" s="134">
        <v>3.8557952915077982E-4</v>
      </c>
      <c r="AR7" s="134">
        <v>2.9499348338610462E-6</v>
      </c>
      <c r="AS7" s="134">
        <v>3.0712391883692574E-6</v>
      </c>
      <c r="AT7" s="134">
        <v>4.6810124045648605E-19</v>
      </c>
      <c r="AU7" s="134">
        <v>3.4811116383738739E-19</v>
      </c>
      <c r="AV7" s="134">
        <v>7.3379297108326128E-13</v>
      </c>
      <c r="AW7" s="134">
        <v>4.8436900571897642E-13</v>
      </c>
      <c r="AY7" s="134">
        <v>2.6674007953301499E-5</v>
      </c>
      <c r="AZ7" s="134">
        <v>3.886507688235184E-4</v>
      </c>
      <c r="BB7">
        <v>2.5977835900512713E-5</v>
      </c>
      <c r="BC7">
        <v>3.3862197130958398E-6</v>
      </c>
      <c r="BD7">
        <v>4.6810263965842364E-19</v>
      </c>
      <c r="BE7">
        <v>7.3506151754135975E-13</v>
      </c>
      <c r="BF7">
        <v>2.9364056348670537E-5</v>
      </c>
      <c r="BG7">
        <v>4.2497452094915838E-4</v>
      </c>
      <c r="BH7">
        <v>3.4775855749357011E-6</v>
      </c>
      <c r="BI7">
        <v>3.4811209931031692E-19</v>
      </c>
      <c r="BJ7">
        <v>4.8512180763673971E-13</v>
      </c>
      <c r="BK7">
        <v>4.2845210700921622E-4</v>
      </c>
      <c r="CA7" s="22">
        <v>100</v>
      </c>
      <c r="CC7" s="133">
        <v>4</v>
      </c>
      <c r="CD7">
        <v>4200</v>
      </c>
      <c r="CE7">
        <v>320</v>
      </c>
      <c r="CF7">
        <v>80</v>
      </c>
      <c r="CJ7" s="127">
        <v>9.6295726059877307</v>
      </c>
      <c r="CK7" s="127">
        <v>92.728668573989339</v>
      </c>
      <c r="CL7" s="127">
        <v>14.622222476086664</v>
      </c>
      <c r="CM7" s="127">
        <v>213.809390140174</v>
      </c>
      <c r="CP7" s="127"/>
      <c r="CQ7" s="127"/>
      <c r="CR7" s="127"/>
      <c r="CS7" s="127"/>
    </row>
    <row r="8" spans="1:97" x14ac:dyDescent="0.25">
      <c r="A8">
        <v>5</v>
      </c>
      <c r="B8" s="127">
        <v>2.5</v>
      </c>
      <c r="C8" s="20">
        <v>32.826251977169122</v>
      </c>
      <c r="D8" s="20">
        <v>15.995120928826331</v>
      </c>
      <c r="E8" s="20">
        <v>2.2589422048739467E-8</v>
      </c>
      <c r="F8" s="20">
        <v>2.462851738949844E-2</v>
      </c>
      <c r="G8" s="19">
        <v>116.09937336138088</v>
      </c>
      <c r="H8" s="19">
        <v>9.7510572513317033</v>
      </c>
      <c r="I8" s="19">
        <v>1.007611322671085E-4</v>
      </c>
      <c r="J8" s="19">
        <v>-1.0509527575862208E-4</v>
      </c>
      <c r="K8">
        <v>0.13332580931480353</v>
      </c>
      <c r="L8" s="19">
        <v>34.575184815249983</v>
      </c>
      <c r="M8" s="19">
        <v>8.6489488365328597</v>
      </c>
      <c r="N8" s="19">
        <v>8.802647646986202E-5</v>
      </c>
      <c r="O8" s="19">
        <v>-4.9955928184237537E-5</v>
      </c>
      <c r="P8" s="19">
        <v>7.2183635359869061E-2</v>
      </c>
      <c r="Q8" s="19">
        <v>16.707346805680974</v>
      </c>
      <c r="R8" s="19">
        <v>4.5300131416120024</v>
      </c>
      <c r="S8" s="19">
        <v>4.4478354922414162E-5</v>
      </c>
      <c r="T8" s="19">
        <v>-2.5368343389040982E-5</v>
      </c>
      <c r="U8" s="19">
        <v>3.977708656646485E-2</v>
      </c>
      <c r="V8" s="19">
        <v>11.138422515899819</v>
      </c>
      <c r="W8" s="19">
        <v>3.0280226183592465</v>
      </c>
      <c r="X8" s="19">
        <v>2.9480087230488626E-5</v>
      </c>
      <c r="Y8" s="19">
        <v>-1.6942815698814112E-5</v>
      </c>
      <c r="Z8">
        <v>2.8377676134295014E-2</v>
      </c>
      <c r="AB8">
        <v>378426003.03237784</v>
      </c>
      <c r="AC8">
        <v>25519296.01892456</v>
      </c>
      <c r="AD8">
        <v>645306245.03226781</v>
      </c>
      <c r="AE8">
        <v>634179365.59413862</v>
      </c>
      <c r="AF8">
        <v>9567556745.3965187</v>
      </c>
      <c r="AG8">
        <v>11845848736.09197</v>
      </c>
      <c r="AH8">
        <v>48567959341.887711</v>
      </c>
      <c r="AI8">
        <v>67747044490.168091</v>
      </c>
      <c r="AK8">
        <v>35213.236903808065</v>
      </c>
      <c r="AL8">
        <v>6863.2871393731739</v>
      </c>
      <c r="AM8">
        <v>2.0770310055734142E-5</v>
      </c>
      <c r="AN8">
        <v>2.2645198327305929</v>
      </c>
      <c r="AP8" s="134">
        <v>9.3051842689560765E-5</v>
      </c>
      <c r="AQ8" s="134">
        <v>1.3798670965568442E-3</v>
      </c>
      <c r="AR8" s="134">
        <v>1.0635705437857622E-5</v>
      </c>
      <c r="AS8" s="134">
        <v>1.0822312285331486E-5</v>
      </c>
      <c r="AT8" s="134">
        <v>2.170910568753918E-15</v>
      </c>
      <c r="AU8" s="134">
        <v>1.7533830220582755E-15</v>
      </c>
      <c r="AV8" s="134">
        <v>4.6625797406677224E-11</v>
      </c>
      <c r="AW8" s="134">
        <v>3.3426105150007474E-11</v>
      </c>
      <c r="AY8" s="134">
        <v>1.036875947553867E-4</v>
      </c>
      <c r="AZ8" s="134">
        <v>1.3906894422700343E-3</v>
      </c>
      <c r="BB8">
        <v>1.1902967859007347E-4</v>
      </c>
      <c r="BC8">
        <v>1.4021925150953462E-5</v>
      </c>
      <c r="BD8">
        <v>2.1713786713935765E-15</v>
      </c>
      <c r="BE8">
        <v>4.7360858924218582E-11</v>
      </c>
      <c r="BF8">
        <v>1.3305165110405722E-4</v>
      </c>
      <c r="BG8">
        <v>1.8048416175060027E-3</v>
      </c>
      <c r="BH8">
        <v>1.4299897860267187E-5</v>
      </c>
      <c r="BI8">
        <v>1.7537311341575859E-15</v>
      </c>
      <c r="BJ8">
        <v>3.3911226957644217E-11</v>
      </c>
      <c r="BK8">
        <v>1.8191415492792506E-3</v>
      </c>
      <c r="BM8" s="194">
        <f>IF((1/BB103)&gt;BM6,BM6,1/BB103)</f>
        <v>20</v>
      </c>
      <c r="BN8" s="194">
        <f t="shared" ref="BN8:BV8" si="3">IF((1/BC103)&gt;BN6,BN6,1/BC103)</f>
        <v>20</v>
      </c>
      <c r="BO8" s="194">
        <f t="shared" si="3"/>
        <v>20</v>
      </c>
      <c r="BP8" s="194">
        <f t="shared" si="3"/>
        <v>20</v>
      </c>
      <c r="BQ8" s="194">
        <f t="shared" si="3"/>
        <v>20</v>
      </c>
      <c r="BR8" s="194">
        <f t="shared" si="3"/>
        <v>20</v>
      </c>
      <c r="BS8" s="194">
        <f t="shared" si="3"/>
        <v>20</v>
      </c>
      <c r="BT8" s="194">
        <f t="shared" si="3"/>
        <v>20</v>
      </c>
      <c r="BU8" s="194">
        <f t="shared" si="3"/>
        <v>20</v>
      </c>
      <c r="BV8" s="194">
        <f t="shared" si="3"/>
        <v>17.931085383945408</v>
      </c>
      <c r="CA8" s="22"/>
      <c r="CC8" s="133">
        <v>5</v>
      </c>
      <c r="CD8">
        <v>2800</v>
      </c>
      <c r="CE8">
        <v>480</v>
      </c>
      <c r="CF8">
        <v>120</v>
      </c>
      <c r="CJ8" s="127">
        <v>19.373926644212286</v>
      </c>
      <c r="CK8" s="127">
        <v>375.34903361531872</v>
      </c>
      <c r="CL8" s="127">
        <v>39.651209996392595</v>
      </c>
      <c r="CM8" s="127">
        <v>1572.2184541780241</v>
      </c>
      <c r="CP8" s="127"/>
      <c r="CQ8" s="127"/>
      <c r="CR8" s="127"/>
      <c r="CS8" s="127"/>
    </row>
    <row r="9" spans="1:97" x14ac:dyDescent="0.25">
      <c r="A9">
        <v>6</v>
      </c>
      <c r="B9" s="127">
        <v>3</v>
      </c>
      <c r="C9" s="20">
        <v>36.433346807019589</v>
      </c>
      <c r="D9" s="20">
        <v>19.145891541151848</v>
      </c>
      <c r="E9" s="20">
        <v>4.3192740320749625E-6</v>
      </c>
      <c r="F9" s="20">
        <v>0.21462148420327809</v>
      </c>
      <c r="G9" s="19">
        <v>135.00750323402607</v>
      </c>
      <c r="H9" s="19">
        <v>11.670644072919353</v>
      </c>
      <c r="I9" s="19">
        <v>1.2055825578678659E-4</v>
      </c>
      <c r="J9" s="19">
        <v>-1.2092607407191902E-4</v>
      </c>
      <c r="K9">
        <v>0.15695305114217187</v>
      </c>
      <c r="L9" s="19">
        <v>41.085413569752269</v>
      </c>
      <c r="M9" s="19">
        <v>10.378738603839432</v>
      </c>
      <c r="N9" s="19">
        <v>1.0563177176383443E-4</v>
      </c>
      <c r="O9" s="19">
        <v>-5.9146921614286466E-5</v>
      </c>
      <c r="P9" s="19">
        <v>8.4710317395116155E-2</v>
      </c>
      <c r="Q9" s="19">
        <v>20.048816166817172</v>
      </c>
      <c r="R9" s="19">
        <v>5.4360157699344045</v>
      </c>
      <c r="S9" s="19">
        <v>5.337402590689701E-5</v>
      </c>
      <c r="T9" s="19">
        <v>-3.0442012066849176E-5</v>
      </c>
      <c r="U9" s="19">
        <v>4.6428228780325001E-2</v>
      </c>
      <c r="V9" s="19">
        <v>13.366107019079786</v>
      </c>
      <c r="W9" s="19">
        <v>3.6336271420310955</v>
      </c>
      <c r="X9" s="19">
        <v>3.537610467658635E-5</v>
      </c>
      <c r="Y9" s="19">
        <v>-2.0331378838576936E-5</v>
      </c>
      <c r="Z9">
        <v>3.2995068878907574E-2</v>
      </c>
      <c r="AB9">
        <v>186320438.93150559</v>
      </c>
      <c r="AC9">
        <v>13919444.025372887</v>
      </c>
      <c r="AD9">
        <v>314050830.46793348</v>
      </c>
      <c r="AE9">
        <v>305746304.83976007</v>
      </c>
      <c r="AF9">
        <v>4656237506.721489</v>
      </c>
      <c r="AG9">
        <v>5388938157.6726694</v>
      </c>
      <c r="AH9">
        <v>23636541692.991005</v>
      </c>
      <c r="AI9">
        <v>30819626457.855526</v>
      </c>
      <c r="AK9">
        <v>39082.624272989509</v>
      </c>
      <c r="AL9">
        <v>8215.2396203148364</v>
      </c>
      <c r="AM9">
        <v>3.971445602650293E-3</v>
      </c>
      <c r="AN9">
        <v>19.733815065767406</v>
      </c>
      <c r="AP9" s="134">
        <v>2.0976026300236934E-4</v>
      </c>
      <c r="AQ9" s="134">
        <v>2.8077719341195115E-3</v>
      </c>
      <c r="AR9" s="134">
        <v>2.6158948881218332E-5</v>
      </c>
      <c r="AS9" s="134">
        <v>2.6869464946176201E-5</v>
      </c>
      <c r="AT9" s="134">
        <v>8.5293020317742217E-13</v>
      </c>
      <c r="AU9" s="134">
        <v>7.369625492910552E-13</v>
      </c>
      <c r="AV9" s="134">
        <v>8.3488588652624746E-10</v>
      </c>
      <c r="AW9" s="134">
        <v>6.4030026751792475E-10</v>
      </c>
      <c r="AY9" s="134">
        <v>2.359200476224044E-4</v>
      </c>
      <c r="AZ9" s="134">
        <v>2.834642040102918E-3</v>
      </c>
      <c r="BB9">
        <v>3.2878994159244281E-4</v>
      </c>
      <c r="BC9">
        <v>4.0180874032171791E-5</v>
      </c>
      <c r="BD9">
        <v>8.5510158184881572E-13</v>
      </c>
      <c r="BE9">
        <v>8.8224674545046602E-10</v>
      </c>
      <c r="BF9">
        <v>3.6897169872646162E-4</v>
      </c>
      <c r="BG9">
        <v>4.6126135516255141E-3</v>
      </c>
      <c r="BH9">
        <v>4.1169362806443388E-5</v>
      </c>
      <c r="BI9">
        <v>7.3871628042521276E-13</v>
      </c>
      <c r="BJ9">
        <v>6.7421149447556897E-10</v>
      </c>
      <c r="BK9">
        <v>4.6537835893821688E-3</v>
      </c>
      <c r="CA9" s="22"/>
      <c r="CC9" s="133">
        <v>6</v>
      </c>
      <c r="CD9">
        <v>2800</v>
      </c>
      <c r="CE9">
        <v>480</v>
      </c>
      <c r="CF9">
        <v>80</v>
      </c>
      <c r="CJ9" s="127">
        <v>19.373926644212286</v>
      </c>
      <c r="CK9" s="127">
        <v>375.34903361531872</v>
      </c>
      <c r="CL9" s="127">
        <v>19.451140607883548</v>
      </c>
      <c r="CM9" s="127">
        <v>378.34687094765638</v>
      </c>
      <c r="CP9" s="127"/>
      <c r="CQ9" s="127"/>
      <c r="CR9" s="127"/>
      <c r="CS9" s="127"/>
    </row>
    <row r="10" spans="1:97" x14ac:dyDescent="0.25">
      <c r="A10">
        <v>7</v>
      </c>
      <c r="B10" s="127">
        <v>3.5</v>
      </c>
      <c r="C10" s="20">
        <v>32.198756240991251</v>
      </c>
      <c r="D10" s="20">
        <v>20.093085940899698</v>
      </c>
      <c r="E10" s="20">
        <v>1.9178942093744388E-4</v>
      </c>
      <c r="F10" s="20">
        <v>0.93784915714764172</v>
      </c>
      <c r="G10" s="19">
        <v>152.76319953232559</v>
      </c>
      <c r="H10" s="19">
        <v>13.580196932215665</v>
      </c>
      <c r="I10" s="19">
        <v>1.4023912652572364E-4</v>
      </c>
      <c r="J10" s="19">
        <v>-1.3540740334212883E-4</v>
      </c>
      <c r="K10">
        <v>0.18021376973965436</v>
      </c>
      <c r="L10" s="19">
        <v>50.566926069839766</v>
      </c>
      <c r="M10" s="19">
        <v>12.108528371146004</v>
      </c>
      <c r="N10" s="19">
        <v>1.2323706705780684E-4</v>
      </c>
      <c r="O10" s="19">
        <v>-6.9810394666507399E-5</v>
      </c>
      <c r="P10" s="19">
        <v>9.706583703666502E-2</v>
      </c>
      <c r="Q10" s="19">
        <v>23.390285527953367</v>
      </c>
      <c r="R10" s="19">
        <v>6.3420183982568048</v>
      </c>
      <c r="S10" s="19">
        <v>6.2269696891379845E-5</v>
      </c>
      <c r="T10" s="19">
        <v>-3.5515680744657375E-5</v>
      </c>
      <c r="U10" s="19">
        <v>5.2978083286374412E-2</v>
      </c>
      <c r="V10" s="19">
        <v>15.593791522259746</v>
      </c>
      <c r="W10" s="19">
        <v>4.2392316657029436</v>
      </c>
      <c r="X10" s="19">
        <v>4.1272122122684057E-5</v>
      </c>
      <c r="Y10" s="19">
        <v>-2.3719941978339759E-5</v>
      </c>
      <c r="Z10">
        <v>3.7532861784335833E-2</v>
      </c>
      <c r="AB10">
        <v>102530988.06203623</v>
      </c>
      <c r="AC10">
        <v>8539115.2948710509</v>
      </c>
      <c r="AD10">
        <v>170828421.19669408</v>
      </c>
      <c r="AE10">
        <v>149407804.9112469</v>
      </c>
      <c r="AF10">
        <v>2532767389.2945824</v>
      </c>
      <c r="AG10">
        <v>2768809450.0234981</v>
      </c>
      <c r="AH10">
        <v>12857132375.50499</v>
      </c>
      <c r="AI10">
        <v>15834969800.350767</v>
      </c>
      <c r="AK10">
        <v>34540.112356128091</v>
      </c>
      <c r="AL10">
        <v>8621.667753693926</v>
      </c>
      <c r="AM10">
        <v>0.17634473912991089</v>
      </c>
      <c r="AN10">
        <v>86.232475259598061</v>
      </c>
      <c r="AP10" s="134">
        <v>3.3687486104424982E-4</v>
      </c>
      <c r="AQ10" s="134">
        <v>4.044928679774862E-3</v>
      </c>
      <c r="AR10" s="134">
        <v>5.0469750251726705E-5</v>
      </c>
      <c r="AS10" s="134">
        <v>5.7705604863249796E-5</v>
      </c>
      <c r="AT10" s="134">
        <v>6.9625319670206989E-11</v>
      </c>
      <c r="AU10" s="134">
        <v>6.3689734636095781E-11</v>
      </c>
      <c r="AV10" s="134">
        <v>6.7069757657536066E-9</v>
      </c>
      <c r="AW10" s="134">
        <v>5.4456987507287754E-9</v>
      </c>
      <c r="AY10" s="134">
        <v>3.8735138789706194E-4</v>
      </c>
      <c r="AZ10" s="134">
        <v>4.102639794026597E-3</v>
      </c>
      <c r="BB10">
        <v>6.6566480263669263E-4</v>
      </c>
      <c r="BC10">
        <v>9.0650624283898496E-5</v>
      </c>
      <c r="BD10">
        <v>7.0480421252055803E-11</v>
      </c>
      <c r="BE10">
        <v>7.5892225112040728E-9</v>
      </c>
      <c r="BF10">
        <v>7.5632308662352361E-4</v>
      </c>
      <c r="BG10">
        <v>8.6575422314003753E-3</v>
      </c>
      <c r="BH10">
        <v>9.8874967669693184E-5</v>
      </c>
      <c r="BI10">
        <v>6.4428450916520992E-11</v>
      </c>
      <c r="BJ10">
        <v>6.1199102452043442E-9</v>
      </c>
      <c r="BK10">
        <v>8.7564233834087641E-3</v>
      </c>
      <c r="CA10" s="22"/>
      <c r="CC10" s="133">
        <v>7</v>
      </c>
      <c r="CD10">
        <v>2800</v>
      </c>
      <c r="CE10">
        <v>320</v>
      </c>
      <c r="CF10">
        <v>120</v>
      </c>
      <c r="CJ10" s="127">
        <v>5.532779840733272</v>
      </c>
      <c r="CK10" s="127">
        <v>30.611652766024491</v>
      </c>
      <c r="CL10" s="127">
        <v>21.973457681569556</v>
      </c>
      <c r="CM10" s="127">
        <v>482.83284248372814</v>
      </c>
      <c r="CP10" s="127"/>
      <c r="CQ10" s="127"/>
      <c r="CR10" s="127"/>
      <c r="CS10" s="127"/>
    </row>
    <row r="11" spans="1:97" x14ac:dyDescent="0.25">
      <c r="A11">
        <v>8</v>
      </c>
      <c r="B11" s="127">
        <v>4</v>
      </c>
      <c r="C11" s="20">
        <v>24.732148373171594</v>
      </c>
      <c r="D11" s="20">
        <v>19.401982224594843</v>
      </c>
      <c r="E11" s="20">
        <v>3.1722395453638373E-3</v>
      </c>
      <c r="F11" s="20">
        <v>2.5852286884627191</v>
      </c>
      <c r="G11" s="19">
        <v>169.46245537122874</v>
      </c>
      <c r="H11" s="19">
        <v>15.479789104592131</v>
      </c>
      <c r="I11" s="19">
        <v>1.5980463341508377E-4</v>
      </c>
      <c r="J11" s="19">
        <v>-1.4866540186086896E-4</v>
      </c>
      <c r="K11">
        <v>0.20314594744052758</v>
      </c>
      <c r="L11" s="19">
        <v>59.081784386877615</v>
      </c>
      <c r="M11" s="19">
        <v>13.838318138452577</v>
      </c>
      <c r="N11" s="19">
        <v>1.4084236235177924E-4</v>
      </c>
      <c r="O11" s="19">
        <v>-7.977359097978667E-5</v>
      </c>
      <c r="P11" s="19">
        <v>0.1092759253487606</v>
      </c>
      <c r="Q11" s="19">
        <v>26.731754889089569</v>
      </c>
      <c r="R11" s="19">
        <v>7.2480210265792051</v>
      </c>
      <c r="S11" s="19">
        <v>7.1165367875862667E-5</v>
      </c>
      <c r="T11" s="19">
        <v>-4.0589349422465565E-5</v>
      </c>
      <c r="U11" s="19">
        <v>5.9445769368950303E-2</v>
      </c>
      <c r="V11" s="19">
        <v>17.821476025439715</v>
      </c>
      <c r="W11" s="19">
        <v>4.8448361893747913</v>
      </c>
      <c r="X11" s="19">
        <v>4.7168139568781763E-5</v>
      </c>
      <c r="Y11" s="19">
        <v>-2.7108505118102587E-5</v>
      </c>
      <c r="Z11">
        <v>4.2006924857768663E-2</v>
      </c>
      <c r="AB11">
        <v>61208322.137477919</v>
      </c>
      <c r="AC11">
        <v>5703760.4902726039</v>
      </c>
      <c r="AD11">
        <v>100807289.25834501</v>
      </c>
      <c r="AE11">
        <v>83960805.056923747</v>
      </c>
      <c r="AF11">
        <v>1494607355.4279473</v>
      </c>
      <c r="AG11">
        <v>1555134147.2443469</v>
      </c>
      <c r="AH11">
        <v>7587102036.832778</v>
      </c>
      <c r="AI11">
        <v>8893895626.1144867</v>
      </c>
      <c r="AK11">
        <v>26530.564634986004</v>
      </c>
      <c r="AL11">
        <v>8325.1246222481459</v>
      </c>
      <c r="AM11">
        <v>2.9167810839120034</v>
      </c>
      <c r="AN11">
        <v>237.7041843235026</v>
      </c>
      <c r="AP11" s="134">
        <v>4.3344701681899742E-4</v>
      </c>
      <c r="AQ11" s="134">
        <v>4.651416320904809E-3</v>
      </c>
      <c r="AR11" s="134">
        <v>8.2584550021108487E-5</v>
      </c>
      <c r="AS11" s="134">
        <v>9.9154892769356821E-5</v>
      </c>
      <c r="AT11" s="134">
        <v>1.9515366850826507E-9</v>
      </c>
      <c r="AU11" s="134">
        <v>1.875581659035946E-9</v>
      </c>
      <c r="AV11" s="134">
        <v>3.1330036576486033E-8</v>
      </c>
      <c r="AW11" s="134">
        <v>2.6726666729205752E-8</v>
      </c>
      <c r="AY11" s="134">
        <v>5.1606484841336744E-4</v>
      </c>
      <c r="AZ11" s="134">
        <v>4.7505998159225538E-3</v>
      </c>
      <c r="BB11">
        <v>1.09911181945569E-3</v>
      </c>
      <c r="BC11">
        <v>1.73235174305007E-4</v>
      </c>
      <c r="BD11">
        <v>2.0220171063347066E-9</v>
      </c>
      <c r="BE11">
        <v>3.8919259087690104E-8</v>
      </c>
      <c r="BF11">
        <v>1.2723879350368908E-3</v>
      </c>
      <c r="BG11">
        <v>1.3308958552305183E-2</v>
      </c>
      <c r="BH11">
        <v>1.9802986043904999E-4</v>
      </c>
      <c r="BI11">
        <v>1.940010109952467E-9</v>
      </c>
      <c r="BJ11">
        <v>3.2846576974410093E-8</v>
      </c>
      <c r="BK11">
        <v>1.3507023199331317E-2</v>
      </c>
      <c r="CC11" s="133">
        <v>8</v>
      </c>
      <c r="CD11">
        <v>2800</v>
      </c>
      <c r="CE11">
        <v>320</v>
      </c>
      <c r="CF11">
        <v>80</v>
      </c>
      <c r="CJ11" s="127">
        <v>5.532779840733272</v>
      </c>
      <c r="CK11" s="127">
        <v>30.611652766024491</v>
      </c>
      <c r="CL11" s="127">
        <v>10.657548198947261</v>
      </c>
      <c r="CM11" s="127">
        <v>113.583333612884</v>
      </c>
      <c r="CP11" s="127"/>
      <c r="CQ11" s="127"/>
      <c r="CR11" s="127"/>
      <c r="CS11" s="127"/>
    </row>
    <row r="12" spans="1:97" x14ac:dyDescent="0.25">
      <c r="A12">
        <v>9</v>
      </c>
      <c r="B12" s="127">
        <v>4.5</v>
      </c>
      <c r="C12" s="20">
        <v>17.367074133946065</v>
      </c>
      <c r="D12" s="20">
        <v>17.730767805417603</v>
      </c>
      <c r="E12" s="20">
        <v>2.6150125731252305E-2</v>
      </c>
      <c r="F12" s="20">
        <v>5.1612874234912116</v>
      </c>
      <c r="G12" s="19">
        <v>185.1912226954679</v>
      </c>
      <c r="H12" s="19">
        <v>17.369493178852643</v>
      </c>
      <c r="I12" s="19">
        <v>1.7925565684896651E-4</v>
      </c>
      <c r="J12" s="19">
        <v>-1.608122151414743E-4</v>
      </c>
      <c r="K12">
        <v>0.22577752117402439</v>
      </c>
      <c r="L12" s="19">
        <v>66.721676792846452</v>
      </c>
      <c r="M12" s="19">
        <v>15.568107905759145</v>
      </c>
      <c r="N12" s="19">
        <v>1.5844765764575161E-4</v>
      </c>
      <c r="O12" s="19">
        <v>-8.9271814290724374E-5</v>
      </c>
      <c r="P12" s="19">
        <v>0.12135829802250524</v>
      </c>
      <c r="Q12" s="19">
        <v>30.073224250225753</v>
      </c>
      <c r="R12" s="19">
        <v>8.1540236549016036</v>
      </c>
      <c r="S12" s="19">
        <v>8.0061038860345488E-5</v>
      </c>
      <c r="T12" s="19">
        <v>-4.5663018100273755E-5</v>
      </c>
      <c r="U12" s="19">
        <v>6.584445264433246E-2</v>
      </c>
      <c r="V12" s="19">
        <v>20.049160528619677</v>
      </c>
      <c r="W12" s="19">
        <v>5.4504407130466435</v>
      </c>
      <c r="X12" s="19">
        <v>5.3064157014879518E-5</v>
      </c>
      <c r="Y12" s="19">
        <v>-3.049706825786541E-5</v>
      </c>
      <c r="Z12">
        <v>4.6428228780325001E-2</v>
      </c>
      <c r="AB12">
        <v>38883973.588749789</v>
      </c>
      <c r="AC12">
        <v>4062654.2177011902</v>
      </c>
      <c r="AD12">
        <v>63305212.786104739</v>
      </c>
      <c r="AE12">
        <v>51644258.702379547</v>
      </c>
      <c r="AF12">
        <v>938587252.59999907</v>
      </c>
      <c r="AG12">
        <v>934951237.18110085</v>
      </c>
      <c r="AH12">
        <v>4764567249.1071939</v>
      </c>
      <c r="AI12">
        <v>5347036288.6249352</v>
      </c>
      <c r="AK12">
        <v>18629.933634518427</v>
      </c>
      <c r="AL12">
        <v>7608.0294229487808</v>
      </c>
      <c r="AM12">
        <v>24.044272503414952</v>
      </c>
      <c r="AN12">
        <v>474.56521836359121</v>
      </c>
      <c r="AP12" s="134">
        <v>4.7911599343099503E-4</v>
      </c>
      <c r="AQ12" s="134">
        <v>4.5856557403647262E-3</v>
      </c>
      <c r="AR12" s="134">
        <v>1.2018014138353414E-4</v>
      </c>
      <c r="AS12" s="134">
        <v>1.4731607373421812E-4</v>
      </c>
      <c r="AT12" s="134">
        <v>2.5617514447175198E-8</v>
      </c>
      <c r="AU12" s="134">
        <v>2.5717140688437376E-8</v>
      </c>
      <c r="AV12" s="134">
        <v>9.9603005593533681E-8</v>
      </c>
      <c r="AW12" s="134">
        <v>8.8752945135824446E-8</v>
      </c>
      <c r="AY12" s="134">
        <v>5.9942135533456987E-4</v>
      </c>
      <c r="AZ12" s="134">
        <v>4.7330862841847687E-3</v>
      </c>
      <c r="BB12">
        <v>1.578227812886685E-3</v>
      </c>
      <c r="BC12">
        <v>2.9341531568854117E-4</v>
      </c>
      <c r="BD12">
        <v>2.7639531553509906E-8</v>
      </c>
      <c r="BE12">
        <v>1.3852226468122379E-7</v>
      </c>
      <c r="BF12">
        <v>1.8718092903714607E-3</v>
      </c>
      <c r="BG12">
        <v>1.7894614292669909E-2</v>
      </c>
      <c r="BH12">
        <v>3.4534593417326809E-4</v>
      </c>
      <c r="BI12">
        <v>2.7657150798389843E-8</v>
      </c>
      <c r="BJ12">
        <v>1.2159952211023455E-7</v>
      </c>
      <c r="BK12">
        <v>1.8240109483516086E-2</v>
      </c>
      <c r="CC12" s="133">
        <v>9</v>
      </c>
      <c r="CJ12" s="127"/>
      <c r="CK12" s="127"/>
      <c r="CL12" s="127"/>
      <c r="CM12" s="127"/>
    </row>
    <row r="13" spans="1:97" x14ac:dyDescent="0.25">
      <c r="A13">
        <v>10</v>
      </c>
      <c r="B13" s="127">
        <v>5</v>
      </c>
      <c r="C13" s="20">
        <v>11.500303185486164</v>
      </c>
      <c r="D13" s="20">
        <v>15.606798399314259</v>
      </c>
      <c r="E13" s="20">
        <v>0.13916471050075616</v>
      </c>
      <c r="F13" s="20">
        <v>8.1530141067954318</v>
      </c>
      <c r="G13" s="19">
        <v>200.02666683467422</v>
      </c>
      <c r="H13" s="19">
        <v>19.249381065081103</v>
      </c>
      <c r="I13" s="19">
        <v>1.9859306878350827E-4</v>
      </c>
      <c r="J13" s="19">
        <v>-1.7194780769321701E-4</v>
      </c>
      <c r="K13">
        <v>0.24813033318794925</v>
      </c>
      <c r="L13" s="19">
        <v>73.972840699937564</v>
      </c>
      <c r="M13" s="19">
        <v>17.297897673065719</v>
      </c>
      <c r="N13" s="19">
        <v>1.7605295293972404E-4</v>
      </c>
      <c r="O13" s="19">
        <v>-9.8374671584723736E-5</v>
      </c>
      <c r="P13" s="19">
        <v>0.13332580931480353</v>
      </c>
      <c r="Q13" s="19">
        <v>33.414693611361947</v>
      </c>
      <c r="R13" s="19">
        <v>9.0600262832240048</v>
      </c>
      <c r="S13" s="19">
        <v>8.8956709844828323E-5</v>
      </c>
      <c r="T13" s="19">
        <v>-5.0736686778081965E-5</v>
      </c>
      <c r="U13" s="19">
        <v>7.2183635359869061E-2</v>
      </c>
      <c r="V13" s="19">
        <v>22.276845031799638</v>
      </c>
      <c r="W13" s="19">
        <v>6.0560452367184929</v>
      </c>
      <c r="X13" s="19">
        <v>5.8960174460977252E-5</v>
      </c>
      <c r="Y13" s="19">
        <v>-3.3885631397628224E-5</v>
      </c>
      <c r="Z13">
        <v>5.0804719817859993E-2</v>
      </c>
      <c r="AB13">
        <v>25943605.513326682</v>
      </c>
      <c r="AC13">
        <v>3042247.8317033318</v>
      </c>
      <c r="AD13">
        <v>41753932.538605988</v>
      </c>
      <c r="AE13">
        <v>33950975.047076523</v>
      </c>
      <c r="AF13">
        <v>619059744.08568633</v>
      </c>
      <c r="AG13">
        <v>593084537.31039834</v>
      </c>
      <c r="AH13">
        <v>3142544045.5756555</v>
      </c>
      <c r="AI13">
        <v>3391882289.7998514</v>
      </c>
      <c r="AK13">
        <v>12336.556144691671</v>
      </c>
      <c r="AL13">
        <v>6696.6632648436662</v>
      </c>
      <c r="AM13">
        <v>127.95786362663853</v>
      </c>
      <c r="AN13">
        <v>749.64569930803077</v>
      </c>
      <c r="AP13" s="134">
        <v>4.7551432812045508E-4</v>
      </c>
      <c r="AQ13" s="134">
        <v>4.0550792792527117E-3</v>
      </c>
      <c r="AR13" s="134">
        <v>1.603840131382088E-4</v>
      </c>
      <c r="AS13" s="134">
        <v>1.9724509400858306E-4</v>
      </c>
      <c r="AT13" s="134">
        <v>2.0669711582623504E-7</v>
      </c>
      <c r="AU13" s="134">
        <v>2.157497887348733E-7</v>
      </c>
      <c r="AV13" s="134">
        <v>2.3854739613385742E-7</v>
      </c>
      <c r="AW13" s="134">
        <v>2.2101170832560523E-7</v>
      </c>
      <c r="AY13" s="134">
        <v>6.36343585770624E-4</v>
      </c>
      <c r="AZ13" s="134">
        <v>4.2527611347583554E-3</v>
      </c>
      <c r="BB13">
        <v>2.0537421410071399E-3</v>
      </c>
      <c r="BC13">
        <v>4.5379932882674996E-4</v>
      </c>
      <c r="BD13">
        <v>2.3433664737974494E-7</v>
      </c>
      <c r="BE13">
        <v>3.7706966081508118E-7</v>
      </c>
      <c r="BF13">
        <v>2.5081528761420847E-3</v>
      </c>
      <c r="BG13">
        <v>2.194969357192262E-2</v>
      </c>
      <c r="BH13">
        <v>5.425910281818512E-4</v>
      </c>
      <c r="BI13">
        <v>2.4340693953326314E-7</v>
      </c>
      <c r="BJ13">
        <v>3.4261123043583978E-7</v>
      </c>
      <c r="BK13">
        <v>2.249287061827444E-2</v>
      </c>
      <c r="CC13" s="133">
        <v>10</v>
      </c>
      <c r="CJ13" s="127"/>
      <c r="CK13" s="127"/>
      <c r="CL13" s="127"/>
      <c r="CM13" s="127"/>
    </row>
    <row r="14" spans="1:97" x14ac:dyDescent="0.25">
      <c r="A14">
        <v>11</v>
      </c>
      <c r="B14" s="127">
        <v>5.5</v>
      </c>
      <c r="C14" s="20">
        <v>7.3259697526529637</v>
      </c>
      <c r="D14" s="20">
        <v>13.383614336839198</v>
      </c>
      <c r="E14" s="20">
        <v>0.70104083165052467</v>
      </c>
      <c r="F14" s="20">
        <v>10.813536964682509</v>
      </c>
      <c r="G14" s="19">
        <v>214.03823993214613</v>
      </c>
      <c r="H14" s="19">
        <v>21.119524002380452</v>
      </c>
      <c r="I14" s="19">
        <v>2.1781773283458759E-4</v>
      </c>
      <c r="J14" s="19">
        <v>-1.8216150687048137E-4</v>
      </c>
      <c r="K14">
        <v>0.27022224828631136</v>
      </c>
      <c r="L14" s="19">
        <v>80.561767735254591</v>
      </c>
      <c r="M14" s="19">
        <v>19.02768744037229</v>
      </c>
      <c r="N14" s="19">
        <v>1.9365824823369644E-4</v>
      </c>
      <c r="O14" s="19">
        <v>-1.0686390751728499E-4</v>
      </c>
      <c r="P14" s="19">
        <v>0.14518818663504848</v>
      </c>
      <c r="Q14" s="19">
        <v>36.756162972498153</v>
      </c>
      <c r="R14" s="19">
        <v>9.966028911546406</v>
      </c>
      <c r="S14" s="19">
        <v>9.7852380829311172E-5</v>
      </c>
      <c r="T14" s="19">
        <v>-5.5810355455890168E-5</v>
      </c>
      <c r="U14" s="19">
        <v>7.8470429895957719E-2</v>
      </c>
      <c r="V14" s="19">
        <v>24.504529534979596</v>
      </c>
      <c r="W14" s="19">
        <v>6.6616497603903397</v>
      </c>
      <c r="X14" s="19">
        <v>6.4856191907074952E-5</v>
      </c>
      <c r="Y14" s="19">
        <v>-3.7274194537391048E-5</v>
      </c>
      <c r="Z14">
        <v>5.5142363839476398E-2</v>
      </c>
      <c r="AB14">
        <v>18010269.16056503</v>
      </c>
      <c r="AC14">
        <v>2371021.7182019502</v>
      </c>
      <c r="AD14">
        <v>28654727.239273321</v>
      </c>
      <c r="AE14">
        <v>23744222.369103964</v>
      </c>
      <c r="AF14">
        <v>424845925.47511733</v>
      </c>
      <c r="AG14">
        <v>392916440.93812889</v>
      </c>
      <c r="AH14">
        <v>2156652966.2831955</v>
      </c>
      <c r="AI14">
        <v>2247110206.9749799</v>
      </c>
      <c r="AK14">
        <v>7858.6830025469126</v>
      </c>
      <c r="AL14">
        <v>5742.7254576623545</v>
      </c>
      <c r="AM14">
        <v>644.58645306171695</v>
      </c>
      <c r="AN14">
        <v>994.27296134887661</v>
      </c>
      <c r="AP14" s="134">
        <v>4.3634456167674312E-4</v>
      </c>
      <c r="AQ14" s="134">
        <v>3.314471116910096E-3</v>
      </c>
      <c r="AR14" s="134">
        <v>2.004111017951532E-4</v>
      </c>
      <c r="AS14" s="134">
        <v>2.4185780306432784E-4</v>
      </c>
      <c r="AT14" s="134">
        <v>1.5172240438480315E-6</v>
      </c>
      <c r="AU14" s="134">
        <v>1.6405178961783827E-6</v>
      </c>
      <c r="AV14" s="134">
        <v>4.6102594014577128E-7</v>
      </c>
      <c r="AW14" s="134">
        <v>4.4246737799627076E-7</v>
      </c>
      <c r="AY14" s="134">
        <v>6.3873391345589008E-4</v>
      </c>
      <c r="AZ14" s="134">
        <v>3.5584119052485988E-3</v>
      </c>
      <c r="BB14">
        <v>2.4900867026838832E-3</v>
      </c>
      <c r="BC14">
        <v>6.5421043062190317E-4</v>
      </c>
      <c r="BD14">
        <v>1.7515606912277764E-6</v>
      </c>
      <c r="BE14">
        <v>8.3809560096085246E-7</v>
      </c>
      <c r="BF14">
        <v>3.1468867895979749E-3</v>
      </c>
      <c r="BG14">
        <v>2.5264164688832715E-2</v>
      </c>
      <c r="BH14">
        <v>7.8444883124617908E-4</v>
      </c>
      <c r="BI14">
        <v>1.8839248357116458E-6</v>
      </c>
      <c r="BJ14">
        <v>7.8507860843211049E-7</v>
      </c>
      <c r="BK14">
        <v>2.6051282523523039E-2</v>
      </c>
      <c r="CC14" s="133">
        <v>11</v>
      </c>
      <c r="CJ14" s="127"/>
      <c r="CK14" s="127"/>
      <c r="CL14" s="127"/>
      <c r="CM14" s="127"/>
    </row>
    <row r="15" spans="1:97" x14ac:dyDescent="0.25">
      <c r="A15">
        <v>12</v>
      </c>
      <c r="B15" s="127">
        <v>6</v>
      </c>
      <c r="C15" s="20">
        <v>4.5493809445334197</v>
      </c>
      <c r="D15" s="20">
        <v>11.268467517219708</v>
      </c>
      <c r="E15" s="20">
        <v>3.3165624014858528</v>
      </c>
      <c r="F15" s="20">
        <v>12.551316727867659</v>
      </c>
      <c r="G15" s="19">
        <v>227.28860276426471</v>
      </c>
      <c r="H15" s="19">
        <v>22.979992566510241</v>
      </c>
      <c r="I15" s="19">
        <v>2.3693050437423983E-4</v>
      </c>
      <c r="J15" s="19">
        <v>-1.915333232182424E-4</v>
      </c>
      <c r="K15">
        <v>0.29206837413711156</v>
      </c>
      <c r="L15" s="19">
        <v>85.818134777997358</v>
      </c>
      <c r="M15" s="19">
        <v>20.757477207678864</v>
      </c>
      <c r="N15" s="19">
        <v>2.1126354352766886E-4</v>
      </c>
      <c r="O15" s="19">
        <v>-1.144386484084738E-4</v>
      </c>
      <c r="P15" s="19">
        <v>0.15695305114217187</v>
      </c>
      <c r="Q15" s="19">
        <v>40.097632333634344</v>
      </c>
      <c r="R15" s="19">
        <v>10.872031539868809</v>
      </c>
      <c r="S15" s="19">
        <v>1.0674805181379402E-4</v>
      </c>
      <c r="T15" s="19">
        <v>-6.0884024133698351E-5</v>
      </c>
      <c r="U15" s="19">
        <v>8.4710317395116155E-2</v>
      </c>
      <c r="V15" s="19">
        <v>26.732214038159572</v>
      </c>
      <c r="W15" s="19">
        <v>7.267254284062191</v>
      </c>
      <c r="X15" s="19">
        <v>7.0752209353172699E-5</v>
      </c>
      <c r="Y15" s="19">
        <v>-4.0662757677153871E-5</v>
      </c>
      <c r="Z15">
        <v>5.9445769368950303E-2</v>
      </c>
      <c r="AB15">
        <v>12919199.604369301</v>
      </c>
      <c r="AC15">
        <v>1909028.98311782</v>
      </c>
      <c r="AD15">
        <v>20320363.067919157</v>
      </c>
      <c r="AE15">
        <v>17663385.123525497</v>
      </c>
      <c r="AF15">
        <v>301277460.4864617</v>
      </c>
      <c r="AG15">
        <v>269807251.89405549</v>
      </c>
      <c r="AH15">
        <v>1529380158.4792423</v>
      </c>
      <c r="AI15">
        <v>1543042149.6220121</v>
      </c>
      <c r="AK15">
        <v>4880.1925080251158</v>
      </c>
      <c r="AL15">
        <v>4835.1449504829252</v>
      </c>
      <c r="AM15">
        <v>3049.4817109274095</v>
      </c>
      <c r="AN15">
        <v>1154.0567062010382</v>
      </c>
      <c r="AP15" s="134">
        <v>3.7774727982177968E-4</v>
      </c>
      <c r="AQ15" s="134">
        <v>2.5563742358980851E-3</v>
      </c>
      <c r="AR15" s="134">
        <v>2.3794579527550012E-4</v>
      </c>
      <c r="AS15" s="134">
        <v>2.737382962931095E-4</v>
      </c>
      <c r="AT15" s="134">
        <v>1.0121838208552086E-5</v>
      </c>
      <c r="AU15" s="134">
        <v>1.1302445317981451E-5</v>
      </c>
      <c r="AV15" s="134">
        <v>7.5459113275576193E-7</v>
      </c>
      <c r="AW15" s="134">
        <v>7.4791003374971907E-7</v>
      </c>
      <c r="AY15" s="134">
        <v>6.2656950443858769E-4</v>
      </c>
      <c r="AZ15" s="134">
        <v>2.8421628875429259E-3</v>
      </c>
      <c r="BB15">
        <v>2.867833982505663E-3</v>
      </c>
      <c r="BC15">
        <v>8.9215622589740328E-4</v>
      </c>
      <c r="BD15">
        <v>1.1873398899779862E-5</v>
      </c>
      <c r="BE15">
        <v>1.5926867337166145E-6</v>
      </c>
      <c r="BF15">
        <v>3.7734562940365626E-3</v>
      </c>
      <c r="BG15">
        <v>2.7820538924730801E-2</v>
      </c>
      <c r="BH15">
        <v>1.0581871275392885E-3</v>
      </c>
      <c r="BI15">
        <v>1.3186370153693096E-5</v>
      </c>
      <c r="BJ15">
        <v>1.5329886421818297E-6</v>
      </c>
      <c r="BK15">
        <v>2.8893445411065966E-2</v>
      </c>
      <c r="CC15" s="133">
        <v>12</v>
      </c>
      <c r="CJ15" s="127"/>
      <c r="CK15" s="127"/>
      <c r="CL15" s="127"/>
      <c r="CM15" s="127"/>
    </row>
    <row r="16" spans="1:97" x14ac:dyDescent="0.25">
      <c r="A16">
        <v>13</v>
      </c>
      <c r="B16" s="127">
        <v>6.5</v>
      </c>
      <c r="C16" s="20">
        <v>2.7791264220493628</v>
      </c>
      <c r="D16" s="20">
        <v>9.3653787083903257</v>
      </c>
      <c r="E16" s="20">
        <v>10.091504899312715</v>
      </c>
      <c r="F16" s="20">
        <v>13.135149264546408</v>
      </c>
      <c r="G16" s="19">
        <v>239.83441913203004</v>
      </c>
      <c r="H16" s="19">
        <v>24.83085667741932</v>
      </c>
      <c r="I16" s="19">
        <v>2.5593223062573184E-4</v>
      </c>
      <c r="J16" s="19">
        <v>-2.0013508360052071E-4</v>
      </c>
      <c r="K16">
        <v>0.31368180798202056</v>
      </c>
      <c r="L16" s="19">
        <v>91.189688134543417</v>
      </c>
      <c r="M16" s="19">
        <v>22.487266974985435</v>
      </c>
      <c r="N16" s="19">
        <v>2.2886883882164126E-4</v>
      </c>
      <c r="O16" s="19">
        <v>-1.2190353785332525E-4</v>
      </c>
      <c r="P16" s="19">
        <v>0.16862655074477703</v>
      </c>
      <c r="Q16" s="19">
        <v>43.439101694770535</v>
      </c>
      <c r="R16" s="19">
        <v>11.778034168191207</v>
      </c>
      <c r="S16" s="19">
        <v>1.1564372279827683E-4</v>
      </c>
      <c r="T16" s="19">
        <v>-6.5957692811506548E-5</v>
      </c>
      <c r="U16" s="19">
        <v>9.0907624638759885E-2</v>
      </c>
      <c r="V16" s="19">
        <v>28.95989854133953</v>
      </c>
      <c r="W16" s="19">
        <v>7.8728588077340378</v>
      </c>
      <c r="X16" s="19">
        <v>7.6648226799270393E-5</v>
      </c>
      <c r="Y16" s="19">
        <v>-4.4051320816916682E-5</v>
      </c>
      <c r="Z16">
        <v>6.3718580098783562E-2</v>
      </c>
      <c r="AB16">
        <v>9525653.8708490636</v>
      </c>
      <c r="AC16">
        <v>1579034.9677573401</v>
      </c>
      <c r="AD16">
        <v>14812253.756981144</v>
      </c>
      <c r="AE16">
        <v>13443663.38831801</v>
      </c>
      <c r="AF16">
        <v>219612129.02882019</v>
      </c>
      <c r="AG16">
        <v>190933142.02997187</v>
      </c>
      <c r="AH16">
        <v>1114820976.5036633</v>
      </c>
      <c r="AI16">
        <v>1091956883.4558234</v>
      </c>
      <c r="AK16">
        <v>2981.2126329049197</v>
      </c>
      <c r="AL16">
        <v>4018.5556289739866</v>
      </c>
      <c r="AM16">
        <v>9278.8423375967486</v>
      </c>
      <c r="AN16">
        <v>1207.7383930599549</v>
      </c>
      <c r="AP16" s="134">
        <v>3.1296671843475149E-4</v>
      </c>
      <c r="AQ16" s="134">
        <v>1.8879965889159846E-3</v>
      </c>
      <c r="AR16" s="134">
        <v>2.712994048647058E-4</v>
      </c>
      <c r="AS16" s="134">
        <v>2.9891819758488938E-4</v>
      </c>
      <c r="AT16" s="134">
        <v>4.2251046782480151E-5</v>
      </c>
      <c r="AU16" s="134">
        <v>4.8597337470831522E-5</v>
      </c>
      <c r="AV16" s="134">
        <v>1.0833473880691607E-6</v>
      </c>
      <c r="AW16" s="134">
        <v>1.1060312099848726E-6</v>
      </c>
      <c r="AY16" s="134">
        <v>6.2760051747000659E-4</v>
      </c>
      <c r="AZ16" s="134">
        <v>2.2366181551816905E-3</v>
      </c>
      <c r="BB16">
        <v>3.1808007009404143E-3</v>
      </c>
      <c r="BC16">
        <v>1.1634556307621091E-3</v>
      </c>
      <c r="BD16">
        <v>5.4124445682260017E-5</v>
      </c>
      <c r="BE16">
        <v>2.6760341217857754E-6</v>
      </c>
      <c r="BF16">
        <v>4.4010568115065698E-3</v>
      </c>
      <c r="BG16">
        <v>2.9708535513646786E-2</v>
      </c>
      <c r="BH16">
        <v>1.357105325124178E-3</v>
      </c>
      <c r="BI16">
        <v>6.1783707624524611E-5</v>
      </c>
      <c r="BJ16">
        <v>2.6390198521667021E-6</v>
      </c>
      <c r="BK16">
        <v>3.1130063566247656E-2</v>
      </c>
      <c r="CC16" s="133">
        <v>13</v>
      </c>
      <c r="CJ16" s="127"/>
      <c r="CK16" s="127"/>
      <c r="CL16" s="127"/>
      <c r="CM16" s="127"/>
    </row>
    <row r="17" spans="1:91" x14ac:dyDescent="0.25">
      <c r="A17">
        <v>14</v>
      </c>
      <c r="B17" s="127">
        <v>7</v>
      </c>
      <c r="C17" s="20">
        <v>1.6806773415264196</v>
      </c>
      <c r="D17" s="20">
        <v>7.7129406692098588</v>
      </c>
      <c r="E17" s="20">
        <v>17.949351244108627</v>
      </c>
      <c r="F17" s="20">
        <v>12.673014304797942</v>
      </c>
      <c r="G17" s="19">
        <v>251.72704272613004</v>
      </c>
      <c r="H17" s="19">
        <v>26.672185606679264</v>
      </c>
      <c r="I17" s="19">
        <v>2.7482375075737309E-4</v>
      </c>
      <c r="J17" s="19">
        <v>-2.0803140688940508E-4</v>
      </c>
      <c r="K17">
        <v>0.33507411745700938</v>
      </c>
      <c r="L17" s="19">
        <v>99.893177282712728</v>
      </c>
      <c r="M17" s="19">
        <v>24.217056742292009</v>
      </c>
      <c r="N17" s="19">
        <v>2.4647413411561369E-4</v>
      </c>
      <c r="O17" s="19">
        <v>-1.3095082537829258E-4</v>
      </c>
      <c r="P17" s="19">
        <v>0.18021376973965436</v>
      </c>
      <c r="Q17" s="19">
        <v>46.780571055906734</v>
      </c>
      <c r="R17" s="19">
        <v>12.68403679651361</v>
      </c>
      <c r="S17" s="19">
        <v>1.2453939378275969E-4</v>
      </c>
      <c r="T17" s="19">
        <v>-7.1031361489314751E-5</v>
      </c>
      <c r="U17" s="19">
        <v>9.706583703666502E-2</v>
      </c>
      <c r="V17" s="19">
        <v>31.187583044519492</v>
      </c>
      <c r="W17" s="19">
        <v>8.4784633314058873</v>
      </c>
      <c r="X17" s="19">
        <v>8.2544244245368113E-5</v>
      </c>
      <c r="Y17" s="19">
        <v>-4.7439883956679519E-5</v>
      </c>
      <c r="Z17">
        <v>6.7963733175998145E-2</v>
      </c>
      <c r="AB17">
        <v>7189921.3247615639</v>
      </c>
      <c r="AC17">
        <v>1335953.1042213035</v>
      </c>
      <c r="AD17">
        <v>11053292.028758639</v>
      </c>
      <c r="AE17">
        <v>9867349.0373413917</v>
      </c>
      <c r="AF17">
        <v>163880327.39912376</v>
      </c>
      <c r="AG17">
        <v>138625615.44995698</v>
      </c>
      <c r="AH17">
        <v>831908635.59660494</v>
      </c>
      <c r="AI17">
        <v>792807332.47514677</v>
      </c>
      <c r="AK17">
        <v>1802.8890239188345</v>
      </c>
      <c r="AL17">
        <v>3309.5171169562782</v>
      </c>
      <c r="AM17">
        <v>16503.901243467946</v>
      </c>
      <c r="AN17">
        <v>1165.2464409380302</v>
      </c>
      <c r="AP17" s="134">
        <v>2.5075226034947231E-4</v>
      </c>
      <c r="AQ17" s="134">
        <v>1.3495152024589196E-3</v>
      </c>
      <c r="AR17" s="134">
        <v>2.9941460954306838E-4</v>
      </c>
      <c r="AS17" s="134">
        <v>3.3540083607379697E-4</v>
      </c>
      <c r="AT17" s="134">
        <v>1.0070703119400889E-4</v>
      </c>
      <c r="AU17" s="134">
        <v>1.19053763547948E-4</v>
      </c>
      <c r="AV17" s="134">
        <v>1.4006904016597584E-6</v>
      </c>
      <c r="AW17" s="134">
        <v>1.4697725326279809E-6</v>
      </c>
      <c r="AY17" s="134">
        <v>6.5227459148820932E-4</v>
      </c>
      <c r="AZ17" s="134">
        <v>1.8054395746132925E-3</v>
      </c>
      <c r="BB17">
        <v>3.4315529612898867E-3</v>
      </c>
      <c r="BC17">
        <v>1.4628702403051775E-3</v>
      </c>
      <c r="BD17">
        <v>1.5483147687626891E-4</v>
      </c>
      <c r="BE17">
        <v>4.0767245234455338E-6</v>
      </c>
      <c r="BF17">
        <v>5.0533314029947776E-3</v>
      </c>
      <c r="BG17">
        <v>3.1058050716105706E-2</v>
      </c>
      <c r="BH17">
        <v>1.692506161197975E-3</v>
      </c>
      <c r="BI17">
        <v>1.8083747117247261E-4</v>
      </c>
      <c r="BJ17">
        <v>4.1087923847946828E-6</v>
      </c>
      <c r="BK17">
        <v>3.2935503140860946E-2</v>
      </c>
      <c r="CC17" s="133">
        <v>14</v>
      </c>
      <c r="CJ17" s="127"/>
      <c r="CK17" s="127"/>
      <c r="CL17" s="127"/>
      <c r="CM17" s="127"/>
    </row>
    <row r="18" spans="1:91" x14ac:dyDescent="0.25">
      <c r="A18">
        <v>15</v>
      </c>
      <c r="B18" s="127">
        <v>7.5</v>
      </c>
      <c r="C18" s="20">
        <v>1.0107306444274524</v>
      </c>
      <c r="D18" s="20">
        <v>6.3118702042644177</v>
      </c>
      <c r="E18" s="20">
        <v>20.114248592711633</v>
      </c>
      <c r="F18" s="20">
        <v>11.475317970407644</v>
      </c>
      <c r="G18" s="19">
        <v>263.01311291628815</v>
      </c>
      <c r="H18" s="19">
        <v>28.504047984817646</v>
      </c>
      <c r="I18" s="19">
        <v>2.9360589597504801E-4</v>
      </c>
      <c r="J18" s="19">
        <v>-2.1528054675772206E-4</v>
      </c>
      <c r="K18">
        <v>0.35625566431168049</v>
      </c>
      <c r="L18" s="19">
        <v>108.53848649557989</v>
      </c>
      <c r="M18" s="19">
        <v>25.946846509598579</v>
      </c>
      <c r="N18" s="19">
        <v>2.6407942940958609E-4</v>
      </c>
      <c r="O18" s="19">
        <v>-1.3985101246357938E-4</v>
      </c>
      <c r="P18" s="19">
        <v>0.19171900337861814</v>
      </c>
      <c r="Q18" s="19">
        <v>50.122040417042925</v>
      </c>
      <c r="R18" s="19">
        <v>13.590039424836007</v>
      </c>
      <c r="S18" s="19">
        <v>1.3343506476724248E-4</v>
      </c>
      <c r="T18" s="19">
        <v>-7.6105030167122954E-5</v>
      </c>
      <c r="U18" s="19">
        <v>0.10318781146421499</v>
      </c>
      <c r="V18" s="19">
        <v>33.41526754769945</v>
      </c>
      <c r="W18" s="19">
        <v>9.0840678550777376</v>
      </c>
      <c r="X18" s="19">
        <v>8.8440261691465847E-5</v>
      </c>
      <c r="Y18" s="19">
        <v>-5.0828447096442343E-5</v>
      </c>
      <c r="Z18">
        <v>7.2183635359869061E-2</v>
      </c>
      <c r="AB18">
        <v>5537549.5290614283</v>
      </c>
      <c r="AC18">
        <v>1152198.7638188107</v>
      </c>
      <c r="AD18">
        <v>8416604.3441907167</v>
      </c>
      <c r="AE18">
        <v>7427328.4899104098</v>
      </c>
      <c r="AF18">
        <v>124787789.18770413</v>
      </c>
      <c r="AG18">
        <v>102896916.92264886</v>
      </c>
      <c r="AH18">
        <v>633462485.03293276</v>
      </c>
      <c r="AI18">
        <v>588472988.63615155</v>
      </c>
      <c r="AK18">
        <v>1084.22666263929</v>
      </c>
      <c r="AL18">
        <v>2708.3369854521879</v>
      </c>
      <c r="AM18">
        <v>18494.460766075579</v>
      </c>
      <c r="AN18">
        <v>1055.1217809789196</v>
      </c>
      <c r="AP18" s="134">
        <v>1.9579538872730552E-4</v>
      </c>
      <c r="AQ18" s="134">
        <v>9.4100661855057359E-4</v>
      </c>
      <c r="AR18" s="134">
        <v>3.2178499483839085E-4</v>
      </c>
      <c r="AS18" s="134">
        <v>3.6464483685234937E-4</v>
      </c>
      <c r="AT18" s="134">
        <v>1.4820729565339489E-4</v>
      </c>
      <c r="AU18" s="134">
        <v>1.7973775424173788E-4</v>
      </c>
      <c r="AV18" s="134">
        <v>1.6656420954811009E-6</v>
      </c>
      <c r="AW18" s="134">
        <v>1.7929825180664213E-6</v>
      </c>
      <c r="AY18" s="134">
        <v>6.6745332131457242E-4</v>
      </c>
      <c r="AZ18" s="134">
        <v>1.4871821921627272E-3</v>
      </c>
      <c r="BB18">
        <v>3.6273483500171922E-3</v>
      </c>
      <c r="BC18">
        <v>1.7846552351435683E-3</v>
      </c>
      <c r="BD18">
        <v>3.0303877252966377E-4</v>
      </c>
      <c r="BE18">
        <v>5.7423666189266347E-6</v>
      </c>
      <c r="BF18">
        <v>5.7207847243093508E-3</v>
      </c>
      <c r="BG18">
        <v>3.1999057334656279E-2</v>
      </c>
      <c r="BH18">
        <v>2.0571509980503245E-3</v>
      </c>
      <c r="BI18">
        <v>3.6057522541421049E-4</v>
      </c>
      <c r="BJ18">
        <v>5.9017749028611045E-6</v>
      </c>
      <c r="BK18">
        <v>3.4422685333023673E-2</v>
      </c>
      <c r="CC18" s="133">
        <v>15</v>
      </c>
      <c r="CJ18" s="127"/>
      <c r="CK18" s="127"/>
      <c r="CL18" s="127"/>
      <c r="CM18" s="127"/>
    </row>
    <row r="19" spans="1:91" x14ac:dyDescent="0.25">
      <c r="A19">
        <v>16</v>
      </c>
      <c r="B19" s="127">
        <v>8</v>
      </c>
      <c r="C19" s="20">
        <v>0.60641325785716615</v>
      </c>
      <c r="D19" s="20">
        <v>5.1431789233970866</v>
      </c>
      <c r="E19" s="20">
        <v>16.109804337707189</v>
      </c>
      <c r="F19" s="20">
        <v>9.915675219229442</v>
      </c>
      <c r="G19" s="19">
        <v>273.73507312028397</v>
      </c>
      <c r="H19" s="19">
        <v>30.326511808553857</v>
      </c>
      <c r="I19" s="19">
        <v>3.1227948961350078E-4</v>
      </c>
      <c r="J19" s="19">
        <v>-2.2193512188872712E-4</v>
      </c>
      <c r="K19">
        <v>0.37723583114517756</v>
      </c>
      <c r="L19" s="19">
        <v>117.03473507848075</v>
      </c>
      <c r="M19" s="19">
        <v>27.676636276905153</v>
      </c>
      <c r="N19" s="19">
        <v>2.8168472470355848E-4</v>
      </c>
      <c r="O19" s="19">
        <v>-1.4853386925518322E-4</v>
      </c>
      <c r="P19" s="19">
        <v>0.20314594744052758</v>
      </c>
      <c r="Q19" s="19">
        <v>53.463509778179137</v>
      </c>
      <c r="R19" s="19">
        <v>14.49604205315841</v>
      </c>
      <c r="S19" s="19">
        <v>1.4233073575172533E-4</v>
      </c>
      <c r="T19" s="19">
        <v>-8.117869884493113E-5</v>
      </c>
      <c r="U19" s="19">
        <v>0.1092759253487606</v>
      </c>
      <c r="V19" s="19">
        <v>35.64295205087943</v>
      </c>
      <c r="W19" s="19">
        <v>9.6896723787495826</v>
      </c>
      <c r="X19" s="19">
        <v>9.4336279137563527E-5</v>
      </c>
      <c r="Y19" s="19">
        <v>-5.4217010236205173E-5</v>
      </c>
      <c r="Z19">
        <v>7.6380286824020038E-2</v>
      </c>
      <c r="AB19">
        <v>4340520.4288365636</v>
      </c>
      <c r="AC19">
        <v>1010209.8814400772</v>
      </c>
      <c r="AD19">
        <v>6522640.6647935146</v>
      </c>
      <c r="AE19">
        <v>5725612.4974980447</v>
      </c>
      <c r="AF19">
        <v>96707160.624367252</v>
      </c>
      <c r="AG19">
        <v>77860695.060529381</v>
      </c>
      <c r="AH19">
        <v>490916288.27115279</v>
      </c>
      <c r="AI19">
        <v>445289492.5316503</v>
      </c>
      <c r="AK19">
        <v>650.50904152524424</v>
      </c>
      <c r="AL19">
        <v>2206.8675765264456</v>
      </c>
      <c r="AM19">
        <v>14812.491895960691</v>
      </c>
      <c r="AN19">
        <v>911.71721113974945</v>
      </c>
      <c r="AP19" s="134">
        <v>1.4986890447595639E-4</v>
      </c>
      <c r="AQ19" s="134">
        <v>6.4393454615384359E-4</v>
      </c>
      <c r="AR19" s="134">
        <v>3.3833959126986613E-4</v>
      </c>
      <c r="AS19" s="134">
        <v>3.8543781603990734E-4</v>
      </c>
      <c r="AT19" s="134">
        <v>1.5316851203496501E-4</v>
      </c>
      <c r="AU19" s="134">
        <v>1.9024350969953929E-4</v>
      </c>
      <c r="AV19" s="134">
        <v>1.857174497816156E-6</v>
      </c>
      <c r="AW19" s="134">
        <v>2.0474707497728489E-6</v>
      </c>
      <c r="AY19" s="134">
        <v>6.4323418227860368E-4</v>
      </c>
      <c r="AZ19" s="134">
        <v>1.2216633426430628E-3</v>
      </c>
      <c r="BB19">
        <v>3.7772172544931486E-3</v>
      </c>
      <c r="BC19">
        <v>2.1229948264134342E-3</v>
      </c>
      <c r="BD19">
        <v>4.5620728456462878E-4</v>
      </c>
      <c r="BE19">
        <v>7.5995411167427906E-6</v>
      </c>
      <c r="BF19">
        <v>6.3640189065879548E-3</v>
      </c>
      <c r="BG19">
        <v>3.2642991880810122E-2</v>
      </c>
      <c r="BH19">
        <v>2.4425888140902317E-3</v>
      </c>
      <c r="BI19">
        <v>5.5081873511374983E-4</v>
      </c>
      <c r="BJ19">
        <v>7.9492456526339543E-6</v>
      </c>
      <c r="BK19">
        <v>3.5644348675666737E-2</v>
      </c>
      <c r="CC19" s="133">
        <v>16</v>
      </c>
      <c r="CJ19" s="127"/>
      <c r="CK19" s="127"/>
      <c r="CL19" s="127"/>
      <c r="CM19" s="127"/>
    </row>
    <row r="20" spans="1:91" x14ac:dyDescent="0.25">
      <c r="A20">
        <v>17</v>
      </c>
      <c r="B20" s="127">
        <v>8.5</v>
      </c>
      <c r="C20" s="20">
        <v>0.3638364884260587</v>
      </c>
      <c r="D20" s="20">
        <v>4.179335828286149</v>
      </c>
      <c r="E20" s="20">
        <v>10.888808907374575</v>
      </c>
      <c r="F20" s="20">
        <v>8.3397785672248848</v>
      </c>
      <c r="G20" s="19">
        <v>283.93162313315645</v>
      </c>
      <c r="H20" s="19">
        <v>32.139644447938387</v>
      </c>
      <c r="I20" s="19">
        <v>3.3084534722640059E-4</v>
      </c>
      <c r="J20" s="19">
        <v>-2.2804275048272354E-4</v>
      </c>
      <c r="K20">
        <v>0.3980231859195193</v>
      </c>
      <c r="L20" s="19">
        <v>125.19513680785842</v>
      </c>
      <c r="M20" s="19">
        <v>29.406426044211717</v>
      </c>
      <c r="N20" s="19">
        <v>2.9929001999753077E-4</v>
      </c>
      <c r="O20" s="19">
        <v>-1.5687089555956846E-4</v>
      </c>
      <c r="P20" s="19">
        <v>0.21449783250069054</v>
      </c>
      <c r="Q20" s="19">
        <v>63.002004809443399</v>
      </c>
      <c r="R20" s="19">
        <v>15.402044681480808</v>
      </c>
      <c r="S20" s="19">
        <v>1.5122640673620816E-4</v>
      </c>
      <c r="T20" s="19">
        <v>-8.2712967436598988E-5</v>
      </c>
      <c r="U20" s="19">
        <v>0.11533218376099592</v>
      </c>
      <c r="V20" s="19">
        <v>37.870636554059374</v>
      </c>
      <c r="W20" s="19">
        <v>10.295276902421433</v>
      </c>
      <c r="X20" s="19">
        <v>1.0023229658366127E-4</v>
      </c>
      <c r="Y20" s="19">
        <v>-5.7605573375967977E-5</v>
      </c>
      <c r="Z20">
        <v>8.0555370409267468E-2</v>
      </c>
      <c r="AB20">
        <v>3455171.4381822646</v>
      </c>
      <c r="AC20">
        <v>898416.66558911081</v>
      </c>
      <c r="AD20">
        <v>5133625.05332663</v>
      </c>
      <c r="AE20">
        <v>4522358.8857847815</v>
      </c>
      <c r="AF20">
        <v>76113084.88861084</v>
      </c>
      <c r="AG20">
        <v>71810859.935582355</v>
      </c>
      <c r="AH20">
        <v>386374213.46200776</v>
      </c>
      <c r="AI20">
        <v>342690000.34527439</v>
      </c>
      <c r="AK20">
        <v>390.29312484736789</v>
      </c>
      <c r="AL20">
        <v>1793.2957161770325</v>
      </c>
      <c r="AM20">
        <v>10011.939953834719</v>
      </c>
      <c r="AN20">
        <v>766.81814286210601</v>
      </c>
      <c r="AP20" s="134">
        <v>1.1295911992508762E-4</v>
      </c>
      <c r="AQ20" s="134">
        <v>4.3442329132601791E-4</v>
      </c>
      <c r="AR20" s="134">
        <v>3.4932346977989024E-4</v>
      </c>
      <c r="AS20" s="134">
        <v>3.9653989465850083E-4</v>
      </c>
      <c r="AT20" s="134">
        <v>1.3154032540511117E-4</v>
      </c>
      <c r="AU20" s="134">
        <v>1.3942097285585899E-4</v>
      </c>
      <c r="AV20" s="134">
        <v>1.9846514496690326E-6</v>
      </c>
      <c r="AW20" s="134">
        <v>2.2376437657635322E-6</v>
      </c>
      <c r="AY20" s="134">
        <v>5.9580756655975805E-4</v>
      </c>
      <c r="AZ20" s="134">
        <v>9.7262180260614117E-4</v>
      </c>
      <c r="BB20">
        <v>3.8901763744182364E-3</v>
      </c>
      <c r="BC20">
        <v>2.4723182961933245E-3</v>
      </c>
      <c r="BD20">
        <v>5.8774760996973998E-4</v>
      </c>
      <c r="BE20">
        <v>9.5841925664118232E-6</v>
      </c>
      <c r="BF20">
        <v>6.9598264731477125E-3</v>
      </c>
      <c r="BG20">
        <v>3.3077415172136138E-2</v>
      </c>
      <c r="BH20">
        <v>2.8391287087487327E-3</v>
      </c>
      <c r="BI20">
        <v>6.9023970796960876E-4</v>
      </c>
      <c r="BJ20">
        <v>1.0186889418397486E-5</v>
      </c>
      <c r="BK20">
        <v>3.6616970478272871E-2</v>
      </c>
      <c r="CC20" s="133">
        <v>17</v>
      </c>
      <c r="CJ20" s="127"/>
      <c r="CK20" s="127"/>
      <c r="CL20" s="127"/>
      <c r="CM20" s="127"/>
    </row>
    <row r="21" spans="1:91" x14ac:dyDescent="0.25">
      <c r="A21">
        <v>18</v>
      </c>
      <c r="B21" s="127">
        <v>9</v>
      </c>
      <c r="C21" s="20">
        <v>0.21867287610841205</v>
      </c>
      <c r="D21" s="20">
        <v>3.3906906315406062</v>
      </c>
      <c r="E21" s="20">
        <v>7.4420856341065003</v>
      </c>
      <c r="F21" s="20">
        <v>7.0193662523897649</v>
      </c>
      <c r="G21" s="19">
        <v>293.63811493762205</v>
      </c>
      <c r="H21" s="19">
        <v>33.943512653396937</v>
      </c>
      <c r="I21" s="19">
        <v>3.4930427667517999E-4</v>
      </c>
      <c r="J21" s="19">
        <v>-2.3364660314115798E-4</v>
      </c>
      <c r="K21">
        <v>0.41862560515055519</v>
      </c>
      <c r="L21" s="19">
        <v>132.23893178401298</v>
      </c>
      <c r="M21" s="19">
        <v>31.136215811518291</v>
      </c>
      <c r="N21" s="19">
        <v>3.1689531529150323E-4</v>
      </c>
      <c r="O21" s="19">
        <v>-1.6440146834389687E-4</v>
      </c>
      <c r="P21" s="19">
        <v>0.22577752117402439</v>
      </c>
      <c r="Q21" s="19">
        <v>66.777298841550973</v>
      </c>
      <c r="R21" s="19">
        <v>16.308047309803207</v>
      </c>
      <c r="S21" s="19">
        <v>1.6012207772069098E-4</v>
      </c>
      <c r="T21" s="19">
        <v>-8.7540997792624964E-5</v>
      </c>
      <c r="U21" s="19">
        <v>0.12135829802250524</v>
      </c>
      <c r="V21" s="19">
        <v>40.098321057239353</v>
      </c>
      <c r="W21" s="19">
        <v>10.900881426093287</v>
      </c>
      <c r="X21" s="19">
        <v>1.0612831402975904E-4</v>
      </c>
      <c r="Y21" s="19">
        <v>-6.0994136515730821E-5</v>
      </c>
      <c r="Z21">
        <v>8.4710317395116155E-2</v>
      </c>
      <c r="AB21">
        <v>2788258.6525013382</v>
      </c>
      <c r="AC21">
        <v>808967.68086623761</v>
      </c>
      <c r="AD21">
        <v>4096104.1433605566</v>
      </c>
      <c r="AE21">
        <v>3693137.6776975044</v>
      </c>
      <c r="AF21">
        <v>60730403.786339112</v>
      </c>
      <c r="AG21">
        <v>56202345.561434165</v>
      </c>
      <c r="AH21">
        <v>308286834.39275503</v>
      </c>
      <c r="AI21">
        <v>267709356.57475269</v>
      </c>
      <c r="AK21">
        <v>234.57383426527372</v>
      </c>
      <c r="AL21">
        <v>1454.8988725122017</v>
      </c>
      <c r="AM21">
        <v>6842.7791445130124</v>
      </c>
      <c r="AN21">
        <v>645.41010895419356</v>
      </c>
      <c r="AP21" s="134">
        <v>8.4129151380858539E-5</v>
      </c>
      <c r="AQ21" s="134">
        <v>2.8996687978201244E-4</v>
      </c>
      <c r="AR21" s="134">
        <v>3.551908890965264E-4</v>
      </c>
      <c r="AS21" s="134">
        <v>3.9394655696108841E-4</v>
      </c>
      <c r="AT21" s="134">
        <v>1.1267468546046863E-4</v>
      </c>
      <c r="AU21" s="134">
        <v>1.2175255456257152E-4</v>
      </c>
      <c r="AV21" s="134">
        <v>2.0935376959106405E-6</v>
      </c>
      <c r="AW21" s="134">
        <v>2.4108612310454498E-6</v>
      </c>
      <c r="AY21" s="134">
        <v>5.5408826363376423E-4</v>
      </c>
      <c r="AZ21" s="134">
        <v>8.0807685253671789E-4</v>
      </c>
      <c r="BB21">
        <v>3.9743055257990953E-3</v>
      </c>
      <c r="BC21">
        <v>2.8275091852898509E-3</v>
      </c>
      <c r="BD21">
        <v>7.0042229543020864E-4</v>
      </c>
      <c r="BE21">
        <v>1.1677730262322464E-5</v>
      </c>
      <c r="BF21">
        <v>7.5139147367814779E-3</v>
      </c>
      <c r="BG21">
        <v>3.3367382051918151E-2</v>
      </c>
      <c r="BH21">
        <v>3.2330752657098211E-3</v>
      </c>
      <c r="BI21">
        <v>8.1199226253218034E-4</v>
      </c>
      <c r="BJ21">
        <v>1.2597750649442935E-5</v>
      </c>
      <c r="BK21">
        <v>3.7425047330809598E-2</v>
      </c>
      <c r="CC21" s="133">
        <v>18</v>
      </c>
      <c r="CJ21" s="127"/>
      <c r="CK21" s="127"/>
      <c r="CL21" s="127"/>
      <c r="CM21" s="127"/>
    </row>
    <row r="22" spans="1:91" x14ac:dyDescent="0.25">
      <c r="A22">
        <v>19</v>
      </c>
      <c r="B22" s="127">
        <v>9.5</v>
      </c>
      <c r="C22" s="20">
        <v>0.13182007004262689</v>
      </c>
      <c r="D22" s="20">
        <v>2.7488893852824234</v>
      </c>
      <c r="E22" s="20">
        <v>5.6161160671101404</v>
      </c>
      <c r="F22" s="20">
        <v>6.1298012073299368</v>
      </c>
      <c r="G22" s="19">
        <v>302.88689999042873</v>
      </c>
      <c r="H22" s="19">
        <v>35.738182562682333</v>
      </c>
      <c r="I22" s="19">
        <v>3.6765707821671242E-4</v>
      </c>
      <c r="J22" s="19">
        <v>-2.3878588591679444E-4</v>
      </c>
      <c r="K22">
        <v>0.43905036878272102</v>
      </c>
      <c r="L22" s="19">
        <v>139.19677022560467</v>
      </c>
      <c r="M22" s="19">
        <v>32.866005578824861</v>
      </c>
      <c r="N22" s="19">
        <v>3.3450061058547563E-4</v>
      </c>
      <c r="O22" s="19">
        <v>-1.718550624604422E-4</v>
      </c>
      <c r="P22" s="19">
        <v>0.23698757994710878</v>
      </c>
      <c r="Q22" s="19">
        <v>70.454075092850971</v>
      </c>
      <c r="R22" s="19">
        <v>17.214049938125608</v>
      </c>
      <c r="S22" s="19">
        <v>1.690177487051738E-4</v>
      </c>
      <c r="T22" s="19">
        <v>-9.2258584491172011E-5</v>
      </c>
      <c r="U22" s="19">
        <v>0.12735574450047321</v>
      </c>
      <c r="V22" s="19">
        <v>42.326005560419311</v>
      </c>
      <c r="W22" s="19">
        <v>11.506485949765137</v>
      </c>
      <c r="X22" s="19">
        <v>1.1202433147585677E-4</v>
      </c>
      <c r="Y22" s="19">
        <v>-6.4382699655493624E-5</v>
      </c>
      <c r="Z22">
        <v>8.8846356900289788E-2</v>
      </c>
      <c r="AB22">
        <v>2277660.0038740779</v>
      </c>
      <c r="AC22">
        <v>736394.78927205992</v>
      </c>
      <c r="AD22">
        <v>3308420.1819166322</v>
      </c>
      <c r="AE22">
        <v>3049346.8231885866</v>
      </c>
      <c r="AF22">
        <v>49051900.662327617</v>
      </c>
      <c r="AG22">
        <v>44800077.795023859</v>
      </c>
      <c r="AH22">
        <v>249003040.21259379</v>
      </c>
      <c r="AI22">
        <v>211945995.86712447</v>
      </c>
      <c r="AK22">
        <v>141.40546286904774</v>
      </c>
      <c r="AL22">
        <v>1179.5107551558001</v>
      </c>
      <c r="AM22">
        <v>5163.8537617821448</v>
      </c>
      <c r="AN22">
        <v>563.61721597636381</v>
      </c>
      <c r="AP22" s="134">
        <v>6.2083657186994909E-5</v>
      </c>
      <c r="AQ22" s="134">
        <v>1.9202398622188743E-4</v>
      </c>
      <c r="AR22" s="134">
        <v>3.5651782128607576E-4</v>
      </c>
      <c r="AS22" s="134">
        <v>3.8680767506873173E-4</v>
      </c>
      <c r="AT22" s="134">
        <v>1.0527326550157596E-4</v>
      </c>
      <c r="AU22" s="134">
        <v>1.1526439274075807E-4</v>
      </c>
      <c r="AV22" s="134">
        <v>2.2634953191541707E-6</v>
      </c>
      <c r="AW22" s="134">
        <v>2.6592491812381911E-6</v>
      </c>
      <c r="AY22" s="134">
        <v>5.2613823929380081E-4</v>
      </c>
      <c r="AZ22" s="134">
        <v>6.9675530321261546E-4</v>
      </c>
      <c r="BB22">
        <v>4.0363891829860903E-3</v>
      </c>
      <c r="BC22">
        <v>3.1840270065759267E-3</v>
      </c>
      <c r="BD22">
        <v>8.0569556093178457E-4</v>
      </c>
      <c r="BE22">
        <v>1.3941225581476634E-5</v>
      </c>
      <c r="BF22">
        <v>8.0400529760752786E-3</v>
      </c>
      <c r="BG22">
        <v>3.355940603814004E-2</v>
      </c>
      <c r="BH22">
        <v>3.6198829407785528E-3</v>
      </c>
      <c r="BI22">
        <v>9.2725665527293845E-4</v>
      </c>
      <c r="BJ22">
        <v>1.5256999830681126E-5</v>
      </c>
      <c r="BK22">
        <v>3.8121802634022213E-2</v>
      </c>
      <c r="CC22" s="133">
        <v>19</v>
      </c>
      <c r="CJ22" s="127"/>
      <c r="CK22" s="127"/>
      <c r="CL22" s="127"/>
      <c r="CM22" s="127"/>
    </row>
    <row r="23" spans="1:91" x14ac:dyDescent="0.25">
      <c r="A23">
        <v>20</v>
      </c>
      <c r="B23" s="127">
        <v>10</v>
      </c>
      <c r="C23" s="20">
        <v>7.9774834435544395E-2</v>
      </c>
      <c r="D23" s="20">
        <v>2.2284748747851846</v>
      </c>
      <c r="E23" s="20">
        <v>4.5017709266379509</v>
      </c>
      <c r="F23" s="20">
        <v>5.7381890974029472</v>
      </c>
      <c r="G23" s="19">
        <v>311.70763472145023</v>
      </c>
      <c r="H23" s="19">
        <v>37.523719707732944</v>
      </c>
      <c r="I23" s="19">
        <v>3.8590454458977693E-4</v>
      </c>
      <c r="J23" s="19">
        <v>-2.4349626343447031E-4</v>
      </c>
      <c r="K23">
        <v>0.45930423509440294</v>
      </c>
      <c r="L23" s="19">
        <v>146.03297922132776</v>
      </c>
      <c r="M23" s="19">
        <v>34.595795346131439</v>
      </c>
      <c r="N23" s="19">
        <v>3.5210590587944808E-4</v>
      </c>
      <c r="O23" s="19">
        <v>-1.7919019672663769E-4</v>
      </c>
      <c r="P23" s="19">
        <v>0.24813033318794925</v>
      </c>
      <c r="Q23" s="19">
        <v>74.024966762886351</v>
      </c>
      <c r="R23" s="19">
        <v>18.12005256644801</v>
      </c>
      <c r="S23" s="19">
        <v>1.7791341968965665E-4</v>
      </c>
      <c r="T23" s="19">
        <v>-9.6852815635513082E-5</v>
      </c>
      <c r="U23" s="19">
        <v>0.13332580931480353</v>
      </c>
      <c r="V23" s="19">
        <v>44.553690063599277</v>
      </c>
      <c r="W23" s="19">
        <v>12.112090473436986</v>
      </c>
      <c r="X23" s="19">
        <v>1.179203489219545E-4</v>
      </c>
      <c r="Y23" s="19">
        <v>-6.7771262795256448E-5</v>
      </c>
      <c r="Z23">
        <v>9.2964553612900916E-2</v>
      </c>
      <c r="AB23">
        <v>1881017.7664137115</v>
      </c>
      <c r="AC23">
        <v>676801.55379911629</v>
      </c>
      <c r="AD23">
        <v>2701648.8618536214</v>
      </c>
      <c r="AE23">
        <v>2545602.2383662625</v>
      </c>
      <c r="AF23">
        <v>40055677.425883174</v>
      </c>
      <c r="AG23">
        <v>36316431.270721741</v>
      </c>
      <c r="AH23">
        <v>203335351.37569094</v>
      </c>
      <c r="AI23">
        <v>169820920.66802335</v>
      </c>
      <c r="AK23">
        <v>85.575719880986085</v>
      </c>
      <c r="AL23">
        <v>956.2080222204155</v>
      </c>
      <c r="AM23">
        <v>4139.2461367278529</v>
      </c>
      <c r="AN23">
        <v>527.60963274907317</v>
      </c>
      <c r="AP23" s="134">
        <v>4.5494370871436279E-5</v>
      </c>
      <c r="AQ23" s="134">
        <v>1.2644137620639403E-4</v>
      </c>
      <c r="AR23" s="134">
        <v>3.5393497494132307E-4</v>
      </c>
      <c r="AS23" s="134">
        <v>3.7563135662313784E-4</v>
      </c>
      <c r="AT23" s="134">
        <v>1.0333731452643353E-4</v>
      </c>
      <c r="AU23" s="134">
        <v>1.1397722716397267E-4</v>
      </c>
      <c r="AV23" s="134">
        <v>2.5947757199103044E-6</v>
      </c>
      <c r="AW23" s="134">
        <v>3.1068588644651017E-6</v>
      </c>
      <c r="AY23" s="134">
        <v>5.0536143605910318E-4</v>
      </c>
      <c r="AZ23" s="134">
        <v>6.1915681885796965E-4</v>
      </c>
      <c r="BB23">
        <v>4.0818835538575264E-3</v>
      </c>
      <c r="BC23">
        <v>3.5379619815172499E-3</v>
      </c>
      <c r="BD23">
        <v>9.0903287545821812E-4</v>
      </c>
      <c r="BE23">
        <v>1.6536001301386938E-5</v>
      </c>
      <c r="BF23">
        <v>8.5454144121343816E-3</v>
      </c>
      <c r="BG23">
        <v>3.3685847414346437E-2</v>
      </c>
      <c r="BH23">
        <v>3.9955142974016904E-3</v>
      </c>
      <c r="BI23">
        <v>1.0412338824369112E-3</v>
      </c>
      <c r="BJ23">
        <v>1.8363858695146229E-5</v>
      </c>
      <c r="BK23">
        <v>3.8740959452880183E-2</v>
      </c>
      <c r="CC23" s="133">
        <v>20</v>
      </c>
      <c r="CJ23" s="127"/>
      <c r="CK23" s="127"/>
      <c r="CL23" s="127"/>
      <c r="CM23" s="127"/>
    </row>
    <row r="24" spans="1:91" x14ac:dyDescent="0.25">
      <c r="A24">
        <v>21</v>
      </c>
      <c r="B24" s="127">
        <v>10.5</v>
      </c>
      <c r="C24" s="20">
        <v>4.8499637236258782E-2</v>
      </c>
      <c r="D24" s="20">
        <v>1.8074444170183728</v>
      </c>
      <c r="E24" s="20">
        <v>3.6294453077649758</v>
      </c>
      <c r="F24" s="20">
        <v>5.8035421179720457</v>
      </c>
      <c r="G24" s="19">
        <v>320.12754994160099</v>
      </c>
      <c r="H24" s="19">
        <v>39.300189021441547</v>
      </c>
      <c r="I24" s="19">
        <v>4.040474611004099E-4</v>
      </c>
      <c r="J24" s="19">
        <v>-2.4781023043213382E-4</v>
      </c>
      <c r="K24">
        <v>0.47939350114242379</v>
      </c>
      <c r="L24" s="19">
        <v>152.72439755456753</v>
      </c>
      <c r="M24" s="19">
        <v>36.325585113438009</v>
      </c>
      <c r="N24" s="19">
        <v>3.6971120117342048E-4</v>
      </c>
      <c r="O24" s="19">
        <v>-1.8637953317549597E-4</v>
      </c>
      <c r="P24" s="19">
        <v>0.25920790441316843</v>
      </c>
      <c r="Q24" s="19">
        <v>77.486616924214005</v>
      </c>
      <c r="R24" s="19">
        <v>19.026055194770414</v>
      </c>
      <c r="S24" s="19">
        <v>1.8680909067413952E-4</v>
      </c>
      <c r="T24" s="19">
        <v>-1.0131670974205956E-4</v>
      </c>
      <c r="U24" s="19">
        <v>0.13926962283310559</v>
      </c>
      <c r="V24" s="19">
        <v>50.642187884264381</v>
      </c>
      <c r="W24" s="19">
        <v>12.717694997108833</v>
      </c>
      <c r="X24" s="19">
        <v>1.238163663680522E-4</v>
      </c>
      <c r="Y24" s="19">
        <v>-6.7575865725081361E-5</v>
      </c>
      <c r="Z24">
        <v>9.706583703666502E-2</v>
      </c>
      <c r="AB24">
        <v>1568846.9061482605</v>
      </c>
      <c r="AC24">
        <v>627354.48597350577</v>
      </c>
      <c r="AD24">
        <v>2228082.0045115836</v>
      </c>
      <c r="AE24">
        <v>2147770.0366081051</v>
      </c>
      <c r="AF24">
        <v>33034394.406791203</v>
      </c>
      <c r="AG24">
        <v>29892747.424507048</v>
      </c>
      <c r="AH24">
        <v>167693086.86931935</v>
      </c>
      <c r="AI24">
        <v>171952421.98314029</v>
      </c>
      <c r="AK24">
        <v>52.026323837912962</v>
      </c>
      <c r="AL24">
        <v>775.54962401677074</v>
      </c>
      <c r="AM24">
        <v>3337.1683529554743</v>
      </c>
      <c r="AN24">
        <v>533.6186510292672</v>
      </c>
      <c r="AP24" s="134">
        <v>3.3162141974480416E-5</v>
      </c>
      <c r="AQ24" s="134">
        <v>8.2929707208804625E-5</v>
      </c>
      <c r="AR24" s="134">
        <v>3.4807947932184767E-4</v>
      </c>
      <c r="AS24" s="134">
        <v>3.610952805923152E-4</v>
      </c>
      <c r="AT24" s="134">
        <v>1.0102102408359634E-4</v>
      </c>
      <c r="AU24" s="134">
        <v>1.1163806074979763E-4</v>
      </c>
      <c r="AV24" s="134">
        <v>3.1821147847621652E-6</v>
      </c>
      <c r="AW24" s="134">
        <v>3.103292439123584E-6</v>
      </c>
      <c r="AY24" s="134">
        <v>4.8544476016468659E-4</v>
      </c>
      <c r="AZ24" s="134">
        <v>5.5876634099004104E-4</v>
      </c>
      <c r="BB24">
        <v>4.1150456958320069E-3</v>
      </c>
      <c r="BC24">
        <v>3.8860414608390976E-3</v>
      </c>
      <c r="BD24">
        <v>1.0100538995418144E-3</v>
      </c>
      <c r="BE24">
        <v>1.9718116086149103E-5</v>
      </c>
      <c r="BF24">
        <v>9.0308591722990678E-3</v>
      </c>
      <c r="BG24">
        <v>3.3768777121555245E-2</v>
      </c>
      <c r="BH24">
        <v>4.356609577994006E-3</v>
      </c>
      <c r="BI24">
        <v>1.1528719431867088E-3</v>
      </c>
      <c r="BJ24">
        <v>2.1467151134269812E-5</v>
      </c>
      <c r="BK24">
        <v>3.9299725793870227E-2</v>
      </c>
      <c r="CC24" s="133">
        <v>21</v>
      </c>
      <c r="CJ24" s="127"/>
      <c r="CK24" s="127"/>
      <c r="CL24" s="127"/>
      <c r="CM24" s="127"/>
    </row>
    <row r="25" spans="1:91" x14ac:dyDescent="0.25">
      <c r="A25">
        <v>22</v>
      </c>
      <c r="B25" s="127">
        <v>11</v>
      </c>
      <c r="C25" s="20">
        <v>2.9635187369113847E-2</v>
      </c>
      <c r="D25" s="20">
        <v>1.4672443402791193</v>
      </c>
      <c r="E25" s="20">
        <v>2.952743704558987</v>
      </c>
      <c r="F25" s="20">
        <v>6.1956102208059454</v>
      </c>
      <c r="G25" s="19">
        <v>328.17168899140518</v>
      </c>
      <c r="H25" s="19">
        <v>41.067654844334683</v>
      </c>
      <c r="I25" s="19">
        <v>4.2208660570608805E-4</v>
      </c>
      <c r="J25" s="19">
        <v>-2.5175743878402964E-4</v>
      </c>
      <c r="K25">
        <v>0.49932405247561185</v>
      </c>
      <c r="L25" s="19">
        <v>159.25663210959695</v>
      </c>
      <c r="M25" s="19">
        <v>38.05537488074458</v>
      </c>
      <c r="N25" s="19">
        <v>3.8731649646739287E-4</v>
      </c>
      <c r="O25" s="19">
        <v>-1.9340567997990364E-4</v>
      </c>
      <c r="P25" s="19">
        <v>0.27022224828631136</v>
      </c>
      <c r="Q25" s="19">
        <v>80.610886652891026</v>
      </c>
      <c r="R25" s="19">
        <v>19.932057823092812</v>
      </c>
      <c r="S25" s="19">
        <v>1.9570476165862234E-4</v>
      </c>
      <c r="T25" s="19">
        <v>-1.0552313207762799E-4</v>
      </c>
      <c r="U25" s="19">
        <v>0.14518818663504848</v>
      </c>
      <c r="V25" s="19">
        <v>53.705386332847759</v>
      </c>
      <c r="W25" s="19">
        <v>13.323299520780679</v>
      </c>
      <c r="X25" s="19">
        <v>1.297123838141499E-4</v>
      </c>
      <c r="Y25" s="19">
        <v>-7.1094181337433792E-5</v>
      </c>
      <c r="Z25">
        <v>0.10115102446149868</v>
      </c>
      <c r="AB25">
        <v>1320238.1281136139</v>
      </c>
      <c r="AC25">
        <v>585955.31979330757</v>
      </c>
      <c r="AD25">
        <v>1854077.1258163585</v>
      </c>
      <c r="AE25">
        <v>1830463.3539207161</v>
      </c>
      <c r="AF25">
        <v>27489255.2925823</v>
      </c>
      <c r="AG25">
        <v>25075300.12463982</v>
      </c>
      <c r="AH25">
        <v>139544198.0557158</v>
      </c>
      <c r="AI25">
        <v>138097227.37990698</v>
      </c>
      <c r="AK25">
        <v>31.790131698347498</v>
      </c>
      <c r="AL25">
        <v>629.57443433937635</v>
      </c>
      <c r="AM25">
        <v>2714.9611055334417</v>
      </c>
      <c r="AN25">
        <v>569.6681614649624</v>
      </c>
      <c r="AP25" s="134">
        <v>2.4079089235038193E-5</v>
      </c>
      <c r="AQ25" s="134">
        <v>5.4253508116559614E-5</v>
      </c>
      <c r="AR25" s="134">
        <v>3.3956216037246668E-4</v>
      </c>
      <c r="AS25" s="134">
        <v>3.4394265965001421E-4</v>
      </c>
      <c r="AT25" s="134">
        <v>9.8764447295378232E-5</v>
      </c>
      <c r="AU25" s="134">
        <v>1.0827232743131281E-4</v>
      </c>
      <c r="AV25" s="134">
        <v>4.082349315859847E-6</v>
      </c>
      <c r="AW25" s="134">
        <v>4.1251238151059979E-6</v>
      </c>
      <c r="AY25" s="134">
        <v>4.6648804621874295E-4</v>
      </c>
      <c r="AZ25" s="134">
        <v>5.1059361901299261E-4</v>
      </c>
      <c r="BB25">
        <v>4.1391247850670453E-3</v>
      </c>
      <c r="BC25">
        <v>4.2256036212115645E-3</v>
      </c>
      <c r="BD25">
        <v>1.1088183468371926E-3</v>
      </c>
      <c r="BE25">
        <v>2.380046540200895E-5</v>
      </c>
      <c r="BF25">
        <v>9.4973472185178112E-3</v>
      </c>
      <c r="BG25">
        <v>3.3823030629671805E-2</v>
      </c>
      <c r="BH25">
        <v>4.7005522376440201E-3</v>
      </c>
      <c r="BI25">
        <v>1.2611442706180215E-3</v>
      </c>
      <c r="BJ25">
        <v>2.5592274949375809E-5</v>
      </c>
      <c r="BK25">
        <v>3.9810319412883217E-2</v>
      </c>
      <c r="CC25" s="133">
        <v>22</v>
      </c>
      <c r="CJ25" s="127"/>
      <c r="CK25" s="127"/>
      <c r="CL25" s="127"/>
      <c r="CM25" s="127"/>
    </row>
    <row r="26" spans="1:91" x14ac:dyDescent="0.25">
      <c r="A26">
        <v>23</v>
      </c>
      <c r="B26" s="127">
        <v>11.5</v>
      </c>
      <c r="C26" s="20">
        <v>1.8206222364111842E-2</v>
      </c>
      <c r="D26" s="20">
        <v>1.1924875224863591</v>
      </c>
      <c r="E26" s="20">
        <v>2.6464421890542544</v>
      </c>
      <c r="F26" s="20">
        <v>6.7326123030640259</v>
      </c>
      <c r="G26" s="19">
        <v>335.8631187417871</v>
      </c>
      <c r="H26" s="19">
        <v>42.82618093116411</v>
      </c>
      <c r="I26" s="19">
        <v>4.4002274909881085E-4</v>
      </c>
      <c r="J26" s="19">
        <v>-2.553649859973595E-4</v>
      </c>
      <c r="K26">
        <v>0.51910140470401056</v>
      </c>
      <c r="L26" s="19">
        <v>165.85148498360672</v>
      </c>
      <c r="M26" s="19">
        <v>39.785164648051158</v>
      </c>
      <c r="N26" s="19">
        <v>4.0492179176136533E-4</v>
      </c>
      <c r="O26" s="19">
        <v>-2.0034570861526889E-4</v>
      </c>
      <c r="P26" s="19">
        <v>0.28117517576837026</v>
      </c>
      <c r="Q26" s="19">
        <v>83.283010448942278</v>
      </c>
      <c r="R26" s="19">
        <v>20.838060451415213</v>
      </c>
      <c r="S26" s="19">
        <v>2.0460043264310519E-4</v>
      </c>
      <c r="T26" s="19">
        <v>-1.094363017129818E-4</v>
      </c>
      <c r="U26" s="19">
        <v>0.15108239483798977</v>
      </c>
      <c r="V26" s="19">
        <v>56.531098066458775</v>
      </c>
      <c r="W26" s="19">
        <v>13.928904044452532</v>
      </c>
      <c r="X26" s="19">
        <v>1.3560840126024764E-4</v>
      </c>
      <c r="Y26" s="19">
        <v>-7.4485311792551171E-5</v>
      </c>
      <c r="Z26">
        <v>0.10522083921942754</v>
      </c>
      <c r="AB26">
        <v>1120112.6746614217</v>
      </c>
      <c r="AC26">
        <v>551024.68994477403</v>
      </c>
      <c r="AD26">
        <v>1555508.6586421612</v>
      </c>
      <c r="AE26">
        <v>1571876.0489734495</v>
      </c>
      <c r="AF26">
        <v>23062565.214707188</v>
      </c>
      <c r="AG26">
        <v>21425492.076397754</v>
      </c>
      <c r="AH26">
        <v>117072912.07930152</v>
      </c>
      <c r="AI26">
        <v>112917933.88392818</v>
      </c>
      <c r="AK26">
        <v>19.530101142121499</v>
      </c>
      <c r="AL26">
        <v>511.68005002036273</v>
      </c>
      <c r="AM26">
        <v>2433.325859007532</v>
      </c>
      <c r="AN26">
        <v>619.04392559478254</v>
      </c>
      <c r="AP26" s="134">
        <v>1.7435836218909758E-5</v>
      </c>
      <c r="AQ26" s="134">
        <v>3.5443241470865648E-5</v>
      </c>
      <c r="AR26" s="134">
        <v>3.289470921152055E-4</v>
      </c>
      <c r="AS26" s="134">
        <v>3.2552188218309416E-4</v>
      </c>
      <c r="AT26" s="134">
        <v>1.0550976599323738E-4</v>
      </c>
      <c r="AU26" s="134">
        <v>1.1357152733439784E-4</v>
      </c>
      <c r="AV26" s="134">
        <v>5.2876785466433225E-6</v>
      </c>
      <c r="AW26" s="134">
        <v>5.4822463031524902E-6</v>
      </c>
      <c r="AY26" s="134">
        <v>4.5718037287399596E-4</v>
      </c>
      <c r="AZ26" s="134">
        <v>4.8001889729151011E-4</v>
      </c>
      <c r="BB26">
        <v>4.1565606212859551E-3</v>
      </c>
      <c r="BC26">
        <v>4.5545507133267701E-3</v>
      </c>
      <c r="BD26">
        <v>1.2143281128304299E-3</v>
      </c>
      <c r="BE26">
        <v>2.908814394865227E-5</v>
      </c>
      <c r="BF26">
        <v>9.9545275913918065E-3</v>
      </c>
      <c r="BG26">
        <v>3.3858473871142672E-2</v>
      </c>
      <c r="BH26">
        <v>5.0260741198271145E-3</v>
      </c>
      <c r="BI26">
        <v>1.3747157979524193E-3</v>
      </c>
      <c r="BJ26">
        <v>3.1074521252528297E-5</v>
      </c>
      <c r="BK26">
        <v>4.0290338310174728E-2</v>
      </c>
      <c r="CC26" s="133">
        <v>23</v>
      </c>
      <c r="CJ26" s="127"/>
      <c r="CK26" s="127"/>
      <c r="CL26" s="127"/>
      <c r="CM26" s="127"/>
    </row>
    <row r="27" spans="1:91" x14ac:dyDescent="0.25">
      <c r="A27">
        <v>24</v>
      </c>
      <c r="B27" s="127">
        <v>12</v>
      </c>
      <c r="C27" s="20">
        <v>1.1247970563587192E-2</v>
      </c>
      <c r="D27" s="20">
        <v>0.97055857021151148</v>
      </c>
      <c r="E27" s="20">
        <v>2.9867785661526822</v>
      </c>
      <c r="F27" s="20">
        <v>7.2282245960984275</v>
      </c>
      <c r="G27" s="19">
        <v>343.22311695632317</v>
      </c>
      <c r="H27" s="19">
        <v>44.575830457411868</v>
      </c>
      <c r="I27" s="19">
        <v>4.5785665478707626E-4</v>
      </c>
      <c r="J27" s="19">
        <v>-2.5865767028082078E-4</v>
      </c>
      <c r="K27">
        <v>0.53873073875775934</v>
      </c>
      <c r="L27" s="19">
        <v>174.42299192268885</v>
      </c>
      <c r="M27" s="19">
        <v>41.514954415357728</v>
      </c>
      <c r="N27" s="19">
        <v>4.2252708705533773E-4</v>
      </c>
      <c r="O27" s="19">
        <v>-2.0793024269589688E-4</v>
      </c>
      <c r="P27" s="19">
        <v>0.29206837413711156</v>
      </c>
      <c r="Q27" s="19">
        <v>85.864632886818001</v>
      </c>
      <c r="R27" s="19">
        <v>21.744063079737618</v>
      </c>
      <c r="S27" s="19">
        <v>2.1349610362758804E-4</v>
      </c>
      <c r="T27" s="19">
        <v>-1.132602536880279E-4</v>
      </c>
      <c r="U27" s="19">
        <v>0.15695305114217187</v>
      </c>
      <c r="V27" s="19">
        <v>59.141538951671947</v>
      </c>
      <c r="W27" s="19">
        <v>14.534508568124382</v>
      </c>
      <c r="X27" s="19">
        <v>1.415044187063454E-4</v>
      </c>
      <c r="Y27" s="19">
        <v>-7.7796142781477571E-5</v>
      </c>
      <c r="Z27">
        <v>0.1092759253487606</v>
      </c>
      <c r="AB27">
        <v>957429.55157043901</v>
      </c>
      <c r="AC27">
        <v>521356.1801204572</v>
      </c>
      <c r="AD27">
        <v>1314809.9452461537</v>
      </c>
      <c r="AE27">
        <v>1338763.288933706</v>
      </c>
      <c r="AF27">
        <v>19493874.199102521</v>
      </c>
      <c r="AG27">
        <v>18471116.956325907</v>
      </c>
      <c r="AH27">
        <v>98957102.080782905</v>
      </c>
      <c r="AI27">
        <v>93577028.111806676</v>
      </c>
      <c r="AK27">
        <v>12.065874971596813</v>
      </c>
      <c r="AL27">
        <v>416.45337866350604</v>
      </c>
      <c r="AM27">
        <v>2746.2551610643795</v>
      </c>
      <c r="AN27">
        <v>664.61402017952776</v>
      </c>
      <c r="AP27" s="134">
        <v>1.2602363225373157E-5</v>
      </c>
      <c r="AQ27" s="134">
        <v>2.3143247230346521E-5</v>
      </c>
      <c r="AR27" s="134">
        <v>3.1674036249059497E-4</v>
      </c>
      <c r="AS27" s="134">
        <v>3.1107319875435302E-4</v>
      </c>
      <c r="AT27" s="134">
        <v>1.4087785388452E-4</v>
      </c>
      <c r="AU27" s="134">
        <v>1.486783483401557E-4</v>
      </c>
      <c r="AV27" s="134">
        <v>6.7161831359711297E-6</v>
      </c>
      <c r="AW27" s="134">
        <v>7.1023202338232082E-6</v>
      </c>
      <c r="AY27" s="134">
        <v>4.7693676273645919E-4</v>
      </c>
      <c r="AZ27" s="134">
        <v>4.8999711455867845E-4</v>
      </c>
      <c r="BB27">
        <v>4.1691629845113281E-3</v>
      </c>
      <c r="BC27">
        <v>4.8712910758173652E-3</v>
      </c>
      <c r="BD27">
        <v>1.3552059667149498E-3</v>
      </c>
      <c r="BE27">
        <v>3.5804327084623402E-5</v>
      </c>
      <c r="BF27">
        <v>1.0431464354128266E-2</v>
      </c>
      <c r="BG27">
        <v>3.3881617118373016E-2</v>
      </c>
      <c r="BH27">
        <v>5.3371473185814672E-3</v>
      </c>
      <c r="BI27">
        <v>1.523394146292575E-3</v>
      </c>
      <c r="BJ27">
        <v>3.8176841486351508E-5</v>
      </c>
      <c r="BK27">
        <v>4.0780335424733409E-2</v>
      </c>
      <c r="CC27" s="133">
        <v>24</v>
      </c>
      <c r="CJ27" s="127"/>
      <c r="CK27" s="127"/>
      <c r="CL27" s="127"/>
      <c r="CM27" s="127"/>
    </row>
    <row r="28" spans="1:91" x14ac:dyDescent="0.25">
      <c r="A28">
        <v>25</v>
      </c>
      <c r="B28" s="127">
        <v>12.5</v>
      </c>
      <c r="C28" s="20">
        <v>6.9893017855030349E-3</v>
      </c>
      <c r="D28" s="20">
        <v>0.79119671059977792</v>
      </c>
      <c r="E28" s="20">
        <v>4.2048553116447582</v>
      </c>
      <c r="F28" s="20">
        <v>7.5333978820482956</v>
      </c>
      <c r="G28" s="19">
        <v>350.27133901880256</v>
      </c>
      <c r="H28" s="19">
        <v>46.31666602571017</v>
      </c>
      <c r="I28" s="19">
        <v>4.7558907917676243E-4</v>
      </c>
      <c r="J28" s="19">
        <v>-2.6165821653613126E-4</v>
      </c>
      <c r="K28">
        <v>0.55821693116348259</v>
      </c>
      <c r="L28" s="19">
        <v>182.92340796250963</v>
      </c>
      <c r="M28" s="19">
        <v>43.244744182664299</v>
      </c>
      <c r="N28" s="19">
        <v>4.4013238234931012E-4</v>
      </c>
      <c r="O28" s="19">
        <v>-2.1538356188180132E-4</v>
      </c>
      <c r="P28" s="19">
        <v>0.3029034231112398</v>
      </c>
      <c r="Q28" s="19">
        <v>88.361139143490249</v>
      </c>
      <c r="R28" s="19">
        <v>22.650065708060016</v>
      </c>
      <c r="S28" s="19">
        <v>2.2239177461207086E-4</v>
      </c>
      <c r="T28" s="19">
        <v>-1.1693897230328362E-4</v>
      </c>
      <c r="U28" s="19">
        <v>0.16280088258608583</v>
      </c>
      <c r="V28" s="19">
        <v>61.723764923276043</v>
      </c>
      <c r="W28" s="19">
        <v>15.140113091796225</v>
      </c>
      <c r="X28" s="19">
        <v>1.4740043615244305E-4</v>
      </c>
      <c r="Y28" s="19">
        <v>-8.1082499841264116E-5</v>
      </c>
      <c r="Z28">
        <v>0.11331685948735407</v>
      </c>
      <c r="AB28">
        <v>823991.20244436327</v>
      </c>
      <c r="AC28">
        <v>496015.87894671614</v>
      </c>
      <c r="AD28">
        <v>1119010.987704935</v>
      </c>
      <c r="AE28">
        <v>1149819.9811437421</v>
      </c>
      <c r="AF28">
        <v>16590884.105040409</v>
      </c>
      <c r="AG28">
        <v>16088813.949363975</v>
      </c>
      <c r="AH28">
        <v>84220601.570749402</v>
      </c>
      <c r="AI28">
        <v>78260548.415124267</v>
      </c>
      <c r="AK28">
        <v>7.4975339778754622</v>
      </c>
      <c r="AL28">
        <v>339.49166328511564</v>
      </c>
      <c r="AM28">
        <v>3866.2409500306699</v>
      </c>
      <c r="AN28">
        <v>692.67380743849253</v>
      </c>
      <c r="AP28" s="134">
        <v>9.0990461495633549E-6</v>
      </c>
      <c r="AQ28" s="134">
        <v>1.5115512015051588E-5</v>
      </c>
      <c r="AR28" s="134">
        <v>3.03385460031456E-4</v>
      </c>
      <c r="AS28" s="134">
        <v>2.9525636086739291E-4</v>
      </c>
      <c r="AT28" s="134">
        <v>2.3303405204645381E-4</v>
      </c>
      <c r="AU28" s="134">
        <v>2.4030615073297623E-4</v>
      </c>
      <c r="AV28" s="134">
        <v>8.2245174520228614E-6</v>
      </c>
      <c r="AW28" s="134">
        <v>8.8508683042224838E-6</v>
      </c>
      <c r="AY28" s="134">
        <v>5.5374307567949608E-4</v>
      </c>
      <c r="AZ28" s="134">
        <v>5.5952889191964318E-4</v>
      </c>
      <c r="BB28">
        <v>4.1782620306608917E-3</v>
      </c>
      <c r="BC28">
        <v>5.1746765358488215E-3</v>
      </c>
      <c r="BD28">
        <v>1.5882400187614035E-3</v>
      </c>
      <c r="BE28">
        <v>4.4028844536646263E-5</v>
      </c>
      <c r="BF28">
        <v>1.0985207429807763E-2</v>
      </c>
      <c r="BG28">
        <v>3.3896732630388067E-2</v>
      </c>
      <c r="BH28">
        <v>5.6324036794488603E-3</v>
      </c>
      <c r="BI28">
        <v>1.7637002970255513E-3</v>
      </c>
      <c r="BJ28">
        <v>4.7027709790573995E-5</v>
      </c>
      <c r="BK28">
        <v>4.1339864316653048E-2</v>
      </c>
      <c r="CC28" s="133">
        <v>25</v>
      </c>
      <c r="CJ28" s="127"/>
      <c r="CK28" s="127"/>
      <c r="CL28" s="127"/>
      <c r="CM28" s="127"/>
    </row>
    <row r="29" spans="1:91" x14ac:dyDescent="0.25">
      <c r="A29">
        <v>26</v>
      </c>
      <c r="B29" s="127">
        <v>13</v>
      </c>
      <c r="C29" s="20">
        <v>4.3685187415609264E-3</v>
      </c>
      <c r="D29" s="20">
        <v>0.64610218776533646</v>
      </c>
      <c r="E29" s="20">
        <v>6.2737774520790017</v>
      </c>
      <c r="F29" s="20">
        <v>7.5615594205091954</v>
      </c>
      <c r="G29" s="19">
        <v>357.02596660455748</v>
      </c>
      <c r="H29" s="19">
        <v>48.048749672177195</v>
      </c>
      <c r="I29" s="19">
        <v>4.9322077165095542E-4</v>
      </c>
      <c r="J29" s="19">
        <v>-2.6438747699628117E-4</v>
      </c>
      <c r="K29">
        <v>0.57756458031861335</v>
      </c>
      <c r="L29" s="19">
        <v>191.32580981694252</v>
      </c>
      <c r="M29" s="19">
        <v>44.974533949970869</v>
      </c>
      <c r="N29" s="19">
        <v>4.5773767764328252E-4</v>
      </c>
      <c r="O29" s="19">
        <v>-2.2269362879660007E-4</v>
      </c>
      <c r="P29" s="19">
        <v>0.31368180798202056</v>
      </c>
      <c r="Q29" s="19">
        <v>91.243052210907564</v>
      </c>
      <c r="R29" s="19">
        <v>23.556068336382413</v>
      </c>
      <c r="S29" s="19">
        <v>2.3128744559655366E-4</v>
      </c>
      <c r="T29" s="19">
        <v>-1.2066265778614361E-4</v>
      </c>
      <c r="U29" s="19">
        <v>0.16862655074477703</v>
      </c>
      <c r="V29" s="19">
        <v>64.270709095586682</v>
      </c>
      <c r="W29" s="19">
        <v>15.745717615468076</v>
      </c>
      <c r="X29" s="19">
        <v>1.5329645359854079E-4</v>
      </c>
      <c r="Y29" s="19">
        <v>-8.4333464641942699E-5</v>
      </c>
      <c r="Z29">
        <v>0.11734416060360894</v>
      </c>
      <c r="AB29">
        <v>713633.30421556276</v>
      </c>
      <c r="AC29">
        <v>474271.99872938055</v>
      </c>
      <c r="AD29">
        <v>958412.92235251481</v>
      </c>
      <c r="AE29">
        <v>995429.31381892995</v>
      </c>
      <c r="AF29">
        <v>14209795.877104016</v>
      </c>
      <c r="AG29">
        <v>14051193.538973287</v>
      </c>
      <c r="AH29">
        <v>72133440.833552182</v>
      </c>
      <c r="AI29">
        <v>66037152.102495432</v>
      </c>
      <c r="AK29">
        <v>4.686178777653323</v>
      </c>
      <c r="AL29">
        <v>277.23359240248556</v>
      </c>
      <c r="AM29">
        <v>5768.5540878026159</v>
      </c>
      <c r="AN29">
        <v>695.26317818121152</v>
      </c>
      <c r="AP29" s="134">
        <v>6.5666480949966962E-6</v>
      </c>
      <c r="AQ29" s="134">
        <v>9.8807831586263542E-6</v>
      </c>
      <c r="AR29" s="134">
        <v>2.8926320371598245E-4</v>
      </c>
      <c r="AS29" s="134">
        <v>2.7850655848067054E-4</v>
      </c>
      <c r="AT29" s="134">
        <v>4.0595615431023762E-4</v>
      </c>
      <c r="AU29" s="134">
        <v>4.105383696981033E-4</v>
      </c>
      <c r="AV29" s="134">
        <v>9.6385694366851336E-6</v>
      </c>
      <c r="AW29" s="134">
        <v>1.0528364050316741E-5</v>
      </c>
      <c r="AY29" s="134">
        <v>7.114245755579019E-4</v>
      </c>
      <c r="AZ29" s="134">
        <v>7.09454075387717E-4</v>
      </c>
      <c r="BB29">
        <v>4.1848286787558881E-3</v>
      </c>
      <c r="BC29">
        <v>5.4639397395648036E-3</v>
      </c>
      <c r="BD29">
        <v>1.9941961730716414E-3</v>
      </c>
      <c r="BE29">
        <v>5.3667413973331397E-5</v>
      </c>
      <c r="BF29">
        <v>1.1696632005365665E-2</v>
      </c>
      <c r="BG29">
        <v>3.3906613413546692E-2</v>
      </c>
      <c r="BH29">
        <v>5.9109102379295304E-3</v>
      </c>
      <c r="BI29">
        <v>2.1742386667236548E-3</v>
      </c>
      <c r="BJ29">
        <v>5.7556073840890734E-5</v>
      </c>
      <c r="BK29">
        <v>4.204931839204077E-2</v>
      </c>
      <c r="CC29" s="133">
        <v>26</v>
      </c>
      <c r="CJ29" s="127"/>
      <c r="CK29" s="127"/>
      <c r="CL29" s="127"/>
      <c r="CM29" s="127"/>
    </row>
    <row r="30" spans="1:91" x14ac:dyDescent="0.25">
      <c r="A30">
        <v>27</v>
      </c>
      <c r="B30" s="127">
        <v>13.5</v>
      </c>
      <c r="C30" s="20">
        <v>2.746563737673938E-3</v>
      </c>
      <c r="D30" s="20">
        <v>0.52858645474948052</v>
      </c>
      <c r="E30" s="20">
        <v>8.7691853760975125</v>
      </c>
      <c r="F30" s="20">
        <v>7.293427684636268</v>
      </c>
      <c r="G30" s="19">
        <v>363.5038405148473</v>
      </c>
      <c r="H30" s="19">
        <v>49.772142872670351</v>
      </c>
      <c r="I30" s="19">
        <v>5.1075247464871525E-4</v>
      </c>
      <c r="J30" s="19">
        <v>-2.6686460970591614E-4</v>
      </c>
      <c r="K30">
        <v>0.59677802950099301</v>
      </c>
      <c r="L30" s="19">
        <v>199.61048642729378</v>
      </c>
      <c r="M30" s="19">
        <v>46.70432371727744</v>
      </c>
      <c r="N30" s="19">
        <v>4.7534297293725492E-4</v>
      </c>
      <c r="O30" s="19">
        <v>-2.2985268351891544E-4</v>
      </c>
      <c r="P30" s="19">
        <v>0.32440493042005569</v>
      </c>
      <c r="Q30" s="19">
        <v>95.599287513550706</v>
      </c>
      <c r="R30" s="19">
        <v>24.462070964704811</v>
      </c>
      <c r="S30" s="19">
        <v>2.4018311658103648E-4</v>
      </c>
      <c r="T30" s="19">
        <v>-1.2512835718891748E-4</v>
      </c>
      <c r="U30" s="19">
        <v>0.17443066092015885</v>
      </c>
      <c r="V30" s="19">
        <v>66.777298841550973</v>
      </c>
      <c r="W30" s="19">
        <v>16.351322139139924</v>
      </c>
      <c r="X30" s="19">
        <v>1.5919247104463852E-4</v>
      </c>
      <c r="Y30" s="19">
        <v>-8.7540997792624964E-5</v>
      </c>
      <c r="Z30">
        <v>0.12135829802250524</v>
      </c>
      <c r="AB30">
        <v>621665.95036538632</v>
      </c>
      <c r="AC30">
        <v>455544.74276668928</v>
      </c>
      <c r="AD30">
        <v>825677.62678138027</v>
      </c>
      <c r="AE30">
        <v>868252.23315323959</v>
      </c>
      <c r="AF30">
        <v>12241811.711027481</v>
      </c>
      <c r="AG30">
        <v>12009675.67681656</v>
      </c>
      <c r="AH30">
        <v>62143327.63046366</v>
      </c>
      <c r="AI30">
        <v>56202345.561434165</v>
      </c>
      <c r="AK30">
        <v>2.9462821291138304</v>
      </c>
      <c r="AL30">
        <v>226.8092021980836</v>
      </c>
      <c r="AM30">
        <v>8063.0083764324827</v>
      </c>
      <c r="AN30">
        <v>670.60925264984235</v>
      </c>
      <c r="AP30" s="134">
        <v>4.7393332824198318E-6</v>
      </c>
      <c r="AQ30" s="134">
        <v>6.4676020871626898E-6</v>
      </c>
      <c r="AR30" s="134">
        <v>2.7469462032321393E-4</v>
      </c>
      <c r="AS30" s="134">
        <v>2.6122501450342203E-4</v>
      </c>
      <c r="AT30" s="134">
        <v>6.5864502467141261E-4</v>
      </c>
      <c r="AU30" s="134">
        <v>6.7137602991205569E-4</v>
      </c>
      <c r="AV30" s="134">
        <v>1.0791331559160004E-5</v>
      </c>
      <c r="AW30" s="134">
        <v>1.1932050983829612E-5</v>
      </c>
      <c r="AY30" s="134">
        <v>9.4887030983620637E-4</v>
      </c>
      <c r="AZ30" s="134">
        <v>9.5100069748647008E-4</v>
      </c>
      <c r="BB30">
        <v>4.1895680120383081E-3</v>
      </c>
      <c r="BC30">
        <v>5.7386343598880172E-3</v>
      </c>
      <c r="BD30">
        <v>2.6528411977430541E-3</v>
      </c>
      <c r="BE30">
        <v>6.4458745532491399E-5</v>
      </c>
      <c r="BF30">
        <v>1.2645502315201871E-2</v>
      </c>
      <c r="BG30">
        <v>3.3913081015633853E-2</v>
      </c>
      <c r="BH30">
        <v>6.1721352524329526E-3</v>
      </c>
      <c r="BI30">
        <v>2.8456146966357107E-3</v>
      </c>
      <c r="BJ30">
        <v>6.948812482472034E-5</v>
      </c>
      <c r="BK30">
        <v>4.3000319089527235E-2</v>
      </c>
      <c r="CC30" s="133">
        <v>27</v>
      </c>
      <c r="CJ30" s="127"/>
      <c r="CK30" s="127"/>
      <c r="CL30" s="127"/>
      <c r="CM30" s="127"/>
    </row>
    <row r="31" spans="1:91" x14ac:dyDescent="0.25">
      <c r="A31">
        <v>28</v>
      </c>
      <c r="B31" s="127">
        <v>14</v>
      </c>
      <c r="C31" s="20">
        <v>1.7369936243790973E-3</v>
      </c>
      <c r="D31" s="20">
        <v>0.4332723437499667</v>
      </c>
      <c r="E31" s="20">
        <v>10.969943483875491</v>
      </c>
      <c r="F31" s="20">
        <v>6.7651322128130857</v>
      </c>
      <c r="G31" s="19">
        <v>369.72057958943361</v>
      </c>
      <c r="H31" s="19">
        <v>51.48690654895848</v>
      </c>
      <c r="I31" s="19">
        <v>5.2818492374280546E-4</v>
      </c>
      <c r="J31" s="19">
        <v>-2.6910723759302635E-4</v>
      </c>
      <c r="K31">
        <v>0.61586138717797401</v>
      </c>
      <c r="L31" s="19">
        <v>207.76325148796553</v>
      </c>
      <c r="M31" s="19">
        <v>48.434113484584017</v>
      </c>
      <c r="N31" s="19">
        <v>4.9294826823122737E-4</v>
      </c>
      <c r="O31" s="19">
        <v>-2.3685617059295786E-4</v>
      </c>
      <c r="P31" s="19">
        <v>0.33507411745700938</v>
      </c>
      <c r="Q31" s="19">
        <v>99.955395140891952</v>
      </c>
      <c r="R31" s="19">
        <v>25.368073593027219</v>
      </c>
      <c r="S31" s="19">
        <v>2.4907878756551938E-4</v>
      </c>
      <c r="T31" s="19">
        <v>-1.2958086355470221E-4</v>
      </c>
      <c r="U31" s="19">
        <v>0.18021376973965436</v>
      </c>
      <c r="V31" s="19">
        <v>69.239982252124165</v>
      </c>
      <c r="W31" s="19">
        <v>16.956926662811775</v>
      </c>
      <c r="X31" s="19">
        <v>1.6508848849073623E-4</v>
      </c>
      <c r="Y31" s="19">
        <v>-9.0699268424778654E-5</v>
      </c>
      <c r="Z31">
        <v>0.1253596980943506</v>
      </c>
      <c r="AB31">
        <v>544482.3072820591</v>
      </c>
      <c r="AC31">
        <v>439370.05471225677</v>
      </c>
      <c r="AD31">
        <v>715192.84564683225</v>
      </c>
      <c r="AE31">
        <v>762665.61933133448</v>
      </c>
      <c r="AF31">
        <v>10603722.166497115</v>
      </c>
      <c r="AG31">
        <v>10325985.961751169</v>
      </c>
      <c r="AH31">
        <v>53827864.392118968</v>
      </c>
      <c r="AI31">
        <v>48223612.492773294</v>
      </c>
      <c r="AK31">
        <v>1.8633003864774491</v>
      </c>
      <c r="AL31">
        <v>185.91122367484456</v>
      </c>
      <c r="AM31">
        <v>10086.540813765032</v>
      </c>
      <c r="AN31">
        <v>622.03403577562335</v>
      </c>
      <c r="AP31" s="134">
        <v>3.4221504749688779E-6</v>
      </c>
      <c r="AQ31" s="134">
        <v>4.2408451975584078E-6</v>
      </c>
      <c r="AR31" s="134">
        <v>2.5994558643368891E-4</v>
      </c>
      <c r="AS31" s="134">
        <v>2.4376505110829808E-4</v>
      </c>
      <c r="AT31" s="134">
        <v>9.5122643307591194E-4</v>
      </c>
      <c r="AU31" s="134">
        <v>9.7681140097681009E-4</v>
      </c>
      <c r="AV31" s="134">
        <v>1.1555985785434512E-5</v>
      </c>
      <c r="AW31" s="134">
        <v>1.2898951439377137E-5</v>
      </c>
      <c r="AY31" s="134">
        <v>1.2261501557700042E-3</v>
      </c>
      <c r="AZ31" s="134">
        <v>1.2377162487220436E-3</v>
      </c>
      <c r="BB31">
        <v>4.1929901625132769E-3</v>
      </c>
      <c r="BC31">
        <v>5.9985799463217063E-3</v>
      </c>
      <c r="BD31">
        <v>3.6040676308189659E-3</v>
      </c>
      <c r="BE31">
        <v>7.6014731317925916E-5</v>
      </c>
      <c r="BF31">
        <v>1.3871652470971874E-2</v>
      </c>
      <c r="BG31">
        <v>3.3917321860831413E-2</v>
      </c>
      <c r="BH31">
        <v>6.4159003035412507E-3</v>
      </c>
      <c r="BI31">
        <v>3.8224260976125208E-3</v>
      </c>
      <c r="BJ31">
        <v>8.2387076264097477E-5</v>
      </c>
      <c r="BK31">
        <v>4.4238035338249278E-2</v>
      </c>
      <c r="CC31" s="133">
        <v>28</v>
      </c>
      <c r="CJ31" s="127"/>
      <c r="CK31" s="127"/>
      <c r="CL31" s="127"/>
      <c r="CM31" s="127"/>
    </row>
    <row r="32" spans="1:91" x14ac:dyDescent="0.25">
      <c r="A32">
        <v>29</v>
      </c>
      <c r="B32" s="127">
        <v>14.5</v>
      </c>
      <c r="C32" s="20">
        <v>1.1049569374177457E-3</v>
      </c>
      <c r="D32" s="20">
        <v>0.35584304165053393</v>
      </c>
      <c r="E32" s="20">
        <v>12.181108218103253</v>
      </c>
      <c r="F32" s="20">
        <v>6.0473725192963688</v>
      </c>
      <c r="G32" s="19">
        <v>375.69068735417261</v>
      </c>
      <c r="H32" s="19">
        <v>53.193101074812638</v>
      </c>
      <c r="I32" s="19">
        <v>5.4551884771639593E-4</v>
      </c>
      <c r="J32" s="19">
        <v>-2.7113159050312343E-4</v>
      </c>
      <c r="K32">
        <v>0.63481854505379176</v>
      </c>
      <c r="L32" s="19">
        <v>215.77416661708781</v>
      </c>
      <c r="M32" s="19">
        <v>50.163903251890588</v>
      </c>
      <c r="N32" s="19">
        <v>5.1055356352519977E-4</v>
      </c>
      <c r="O32" s="19">
        <v>-2.4370193562991076E-4</v>
      </c>
      <c r="P32" s="19">
        <v>0.34569062902054526</v>
      </c>
      <c r="Q32" s="19">
        <v>104.29543638776413</v>
      </c>
      <c r="R32" s="19">
        <v>26.274076221349617</v>
      </c>
      <c r="S32" s="19">
        <v>2.5797445855000218E-4</v>
      </c>
      <c r="T32" s="19">
        <v>-1.3400585825010497E-4</v>
      </c>
      <c r="U32" s="19">
        <v>0.1859763914822038</v>
      </c>
      <c r="V32" s="19">
        <v>71.656370646115178</v>
      </c>
      <c r="W32" s="19">
        <v>17.562531186483628</v>
      </c>
      <c r="X32" s="19">
        <v>1.7098450593683401E-4</v>
      </c>
      <c r="Y32" s="19">
        <v>-9.3804146518260373E-5</v>
      </c>
      <c r="Z32">
        <v>0.12934874977353189</v>
      </c>
      <c r="AB32">
        <v>479280.67997452751</v>
      </c>
      <c r="AC32">
        <v>425373.04118893063</v>
      </c>
      <c r="AD32">
        <v>622623.19181935897</v>
      </c>
      <c r="AE32">
        <v>674337.48265754327</v>
      </c>
      <c r="AF32">
        <v>9231249.1388236079</v>
      </c>
      <c r="AG32">
        <v>8931683.7792432737</v>
      </c>
      <c r="AH32">
        <v>46860755.026610516</v>
      </c>
      <c r="AI32">
        <v>41697391.855069242</v>
      </c>
      <c r="AK32">
        <v>1.1853046894558308</v>
      </c>
      <c r="AL32">
        <v>152.68737149677472</v>
      </c>
      <c r="AM32">
        <v>11200.171211399982</v>
      </c>
      <c r="AN32">
        <v>556.0381402290933</v>
      </c>
      <c r="AP32" s="134">
        <v>2.4730909026394022E-6</v>
      </c>
      <c r="AQ32" s="134">
        <v>2.7865063713085062E-6</v>
      </c>
      <c r="AR32" s="134">
        <v>2.4523238694435548E-4</v>
      </c>
      <c r="AS32" s="134">
        <v>2.2642575182835526E-4</v>
      </c>
      <c r="AT32" s="134">
        <v>1.213288802302576E-3</v>
      </c>
      <c r="AU32" s="134">
        <v>1.2539820585037442E-3</v>
      </c>
      <c r="AV32" s="134">
        <v>1.1865752908021638E-5</v>
      </c>
      <c r="AW32" s="134">
        <v>1.3335082015723113E-5</v>
      </c>
      <c r="AY32" s="134">
        <v>1.4728600330575926E-3</v>
      </c>
      <c r="AZ32" s="134">
        <v>1.4965293987191312E-3</v>
      </c>
      <c r="BB32">
        <v>4.1954632534159167E-3</v>
      </c>
      <c r="BC32">
        <v>6.2438123332660619E-3</v>
      </c>
      <c r="BD32">
        <v>4.8173564331215422E-3</v>
      </c>
      <c r="BE32">
        <v>8.7880484225947553E-5</v>
      </c>
      <c r="BF32">
        <v>1.5344512504029469E-2</v>
      </c>
      <c r="BG32">
        <v>3.3920108367202724E-2</v>
      </c>
      <c r="BH32">
        <v>6.6423260553696061E-3</v>
      </c>
      <c r="BI32">
        <v>5.076408156116265E-3</v>
      </c>
      <c r="BJ32">
        <v>9.5722158279820595E-5</v>
      </c>
      <c r="BK32">
        <v>4.5734564736968415E-2</v>
      </c>
      <c r="CC32" s="133">
        <v>29</v>
      </c>
      <c r="CJ32" s="127"/>
      <c r="CK32" s="127"/>
      <c r="CL32" s="127"/>
      <c r="CM32" s="127"/>
    </row>
    <row r="33" spans="1:91" x14ac:dyDescent="0.25">
      <c r="A33">
        <v>30</v>
      </c>
      <c r="B33" s="127">
        <v>15</v>
      </c>
      <c r="C33" s="20">
        <v>7.0697991766523974E-4</v>
      </c>
      <c r="D33" s="20">
        <v>0.29283524223680374</v>
      </c>
      <c r="E33" s="20">
        <v>12.061529535115145</v>
      </c>
      <c r="F33" s="20">
        <v>5.2234866364913293</v>
      </c>
      <c r="G33" s="19">
        <v>381.42764784047881</v>
      </c>
      <c r="H33" s="19">
        <v>54.890786282019732</v>
      </c>
      <c r="I33" s="19">
        <v>5.627549686387836E-4</v>
      </c>
      <c r="J33" s="19">
        <v>-2.7295263224603501E-4</v>
      </c>
      <c r="K33">
        <v>0.65365319420161971</v>
      </c>
      <c r="L33" s="19">
        <v>223.63656816229317</v>
      </c>
      <c r="M33" s="19">
        <v>51.893693019197158</v>
      </c>
      <c r="N33" s="19">
        <v>5.2815885881917217E-4</v>
      </c>
      <c r="O33" s="19">
        <v>-2.5038961993566861E-4</v>
      </c>
      <c r="P33" s="19">
        <v>0.35625566431168049</v>
      </c>
      <c r="Q33" s="19">
        <v>108.60691637940489</v>
      </c>
      <c r="R33" s="19">
        <v>27.180078849672014</v>
      </c>
      <c r="S33" s="19">
        <v>2.6687012953448497E-4</v>
      </c>
      <c r="T33" s="19">
        <v>-1.3839222869114804E-4</v>
      </c>
      <c r="U33" s="19">
        <v>0.19171900337861814</v>
      </c>
      <c r="V33" s="19">
        <v>74.024966762886351</v>
      </c>
      <c r="W33" s="19">
        <v>18.168135710155475</v>
      </c>
      <c r="X33" s="19">
        <v>1.7688052338293169E-4</v>
      </c>
      <c r="Y33" s="19">
        <v>-9.6852815635513082E-5</v>
      </c>
      <c r="Z33">
        <v>0.13332580931480353</v>
      </c>
      <c r="AB33">
        <v>423864.5438357598</v>
      </c>
      <c r="AC33">
        <v>413248.23652264563</v>
      </c>
      <c r="AD33">
        <v>544588.45346197556</v>
      </c>
      <c r="AE33">
        <v>599909.28198279475</v>
      </c>
      <c r="AF33">
        <v>8074276.3168588979</v>
      </c>
      <c r="AG33">
        <v>7771512.1377900662</v>
      </c>
      <c r="AH33">
        <v>40987593.207749292</v>
      </c>
      <c r="AI33">
        <v>36316431.270721741</v>
      </c>
      <c r="AK33">
        <v>0.75838847957102995</v>
      </c>
      <c r="AL33">
        <v>125.65158844013546</v>
      </c>
      <c r="AM33">
        <v>11090.222124771715</v>
      </c>
      <c r="AN33">
        <v>480.28425330148235</v>
      </c>
      <c r="AP33" s="134">
        <v>1.7892236814808752E-6</v>
      </c>
      <c r="AQ33" s="134">
        <v>1.8351886651776938E-6</v>
      </c>
      <c r="AR33" s="134">
        <v>2.3072760291071567E-4</v>
      </c>
      <c r="AS33" s="134">
        <v>2.0945098236326191E-4</v>
      </c>
      <c r="AT33" s="134">
        <v>1.3735252163237953E-3</v>
      </c>
      <c r="AU33" s="134">
        <v>1.4270352961097438E-3</v>
      </c>
      <c r="AV33" s="134">
        <v>1.1717795940520795E-5</v>
      </c>
      <c r="AW33" s="134">
        <v>1.3224984848351189E-5</v>
      </c>
      <c r="AY33" s="134">
        <v>1.6177598388565125E-3</v>
      </c>
      <c r="AZ33" s="134">
        <v>1.6515464519865346E-3</v>
      </c>
      <c r="BB33">
        <v>4.1972524770973975E-3</v>
      </c>
      <c r="BC33">
        <v>6.4745399361767772E-3</v>
      </c>
      <c r="BD33">
        <v>6.1908816494453374E-3</v>
      </c>
      <c r="BE33">
        <v>9.9598280166468344E-5</v>
      </c>
      <c r="BF33">
        <v>1.696227234288598E-2</v>
      </c>
      <c r="BG33">
        <v>3.3921943555867903E-2</v>
      </c>
      <c r="BH33">
        <v>6.8517770377328679E-3</v>
      </c>
      <c r="BI33">
        <v>6.5034434522260086E-3</v>
      </c>
      <c r="BJ33">
        <v>1.0894714312817179E-4</v>
      </c>
      <c r="BK33">
        <v>4.7386111188954957E-2</v>
      </c>
      <c r="CC33" s="133">
        <v>30</v>
      </c>
      <c r="CJ33" s="127"/>
      <c r="CK33" s="127"/>
      <c r="CL33" s="127"/>
      <c r="CM33" s="127"/>
    </row>
    <row r="34" spans="1:91" x14ac:dyDescent="0.25">
      <c r="A34">
        <v>31</v>
      </c>
      <c r="B34" s="127">
        <v>15.5</v>
      </c>
      <c r="C34" s="20">
        <v>4.5493799292717623E-4</v>
      </c>
      <c r="D34" s="20">
        <v>0.24147056915994058</v>
      </c>
      <c r="E34" s="20">
        <v>10.738564313742675</v>
      </c>
      <c r="F34" s="20">
        <v>4.3719004119118967</v>
      </c>
      <c r="G34" s="19">
        <v>386.94401182567498</v>
      </c>
      <c r="H34" s="19">
        <v>56.580021466317014</v>
      </c>
      <c r="I34" s="19">
        <v>5.7989400194008976E-4</v>
      </c>
      <c r="J34" s="19">
        <v>-2.7458417443202929E-4</v>
      </c>
      <c r="K34">
        <v>0.67236883955762261</v>
      </c>
      <c r="L34" s="19">
        <v>230.95353627925604</v>
      </c>
      <c r="M34" s="19">
        <v>53.623482786503736</v>
      </c>
      <c r="N34" s="19">
        <v>5.4576415411314457E-4</v>
      </c>
      <c r="O34" s="19">
        <v>-2.5640087674964164E-4</v>
      </c>
      <c r="P34" s="19">
        <v>0.36677036724779566</v>
      </c>
      <c r="Q34" s="19">
        <v>112.88008086670362</v>
      </c>
      <c r="R34" s="19">
        <v>28.086081477994423</v>
      </c>
      <c r="S34" s="19">
        <v>2.7576580051896787E-4</v>
      </c>
      <c r="T34" s="19">
        <v>-1.427314058210897E-4</v>
      </c>
      <c r="U34" s="19">
        <v>0.19744205007918655</v>
      </c>
      <c r="V34" s="19">
        <v>76.344956791850962</v>
      </c>
      <c r="W34" s="19">
        <v>18.773740233827329</v>
      </c>
      <c r="X34" s="19">
        <v>1.8277654082902946E-4</v>
      </c>
      <c r="Y34" s="19">
        <v>-9.9843475557788528E-5</v>
      </c>
      <c r="Z34">
        <v>0.13729120424979641</v>
      </c>
      <c r="AB34">
        <v>376496.92987348995</v>
      </c>
      <c r="AC34">
        <v>402744.77442793595</v>
      </c>
      <c r="AD34">
        <v>478430.31973218825</v>
      </c>
      <c r="AE34">
        <v>541471.77405503043</v>
      </c>
      <c r="AF34">
        <v>7093390.5691971416</v>
      </c>
      <c r="AG34">
        <v>6801170.4736508876</v>
      </c>
      <c r="AH34">
        <v>36008305.352007501</v>
      </c>
      <c r="AI34">
        <v>31845423.254335403</v>
      </c>
      <c r="AK34">
        <v>0.48801914189379642</v>
      </c>
      <c r="AL34">
        <v>103.6117112978993</v>
      </c>
      <c r="AM34">
        <v>9873.7944631179053</v>
      </c>
      <c r="AN34">
        <v>401.98340131180572</v>
      </c>
      <c r="AP34" s="134">
        <v>1.2962101498617267E-6</v>
      </c>
      <c r="AQ34" s="134">
        <v>1.2117330202160545E-6</v>
      </c>
      <c r="AR34" s="134">
        <v>2.1656593870534419E-4</v>
      </c>
      <c r="AS34" s="134">
        <v>1.9135200810554E-4</v>
      </c>
      <c r="AT34" s="134">
        <v>1.3919710703643746E-3</v>
      </c>
      <c r="AU34" s="134">
        <v>1.4517787050583404E-3</v>
      </c>
      <c r="AV34" s="134">
        <v>1.1163630095393943E-5</v>
      </c>
      <c r="AW34" s="134">
        <v>1.2622956777849706E-5</v>
      </c>
      <c r="AY34" s="134">
        <v>1.6209968493149745E-3</v>
      </c>
      <c r="AZ34" s="134">
        <v>1.6569654029619462E-3</v>
      </c>
      <c r="BB34">
        <v>4.198548687247259E-3</v>
      </c>
      <c r="BC34">
        <v>6.6911058748821218E-3</v>
      </c>
      <c r="BD34">
        <v>7.582852719809712E-3</v>
      </c>
      <c r="BE34">
        <v>1.1076191026186228E-4</v>
      </c>
      <c r="BF34">
        <v>1.8583269192200956E-2</v>
      </c>
      <c r="BG34">
        <v>3.3923155288888118E-2</v>
      </c>
      <c r="BH34">
        <v>7.0431290458384081E-3</v>
      </c>
      <c r="BI34">
        <v>7.9552221572843484E-3</v>
      </c>
      <c r="BJ34">
        <v>1.2157009990602149E-4</v>
      </c>
      <c r="BK34">
        <v>4.9043076591916902E-2</v>
      </c>
      <c r="CC34" s="133">
        <v>31</v>
      </c>
      <c r="CJ34" s="127"/>
      <c r="CK34" s="127"/>
      <c r="CL34" s="127"/>
      <c r="CM34" s="127"/>
    </row>
    <row r="35" spans="1:91" x14ac:dyDescent="0.25">
      <c r="A35">
        <v>32</v>
      </c>
      <c r="B35" s="127">
        <v>16</v>
      </c>
      <c r="C35" s="20">
        <v>2.9440430919613192E-4</v>
      </c>
      <c r="D35" s="20">
        <v>0.1995192449710754</v>
      </c>
      <c r="E35" s="20">
        <v>8.6732886194945049</v>
      </c>
      <c r="F35" s="20">
        <v>3.5553064107499073</v>
      </c>
      <c r="G35" s="19">
        <v>392.25147458243822</v>
      </c>
      <c r="H35" s="19">
        <v>58.260865393250064</v>
      </c>
      <c r="I35" s="19">
        <v>5.969366564850065E-4</v>
      </c>
      <c r="J35" s="19">
        <v>-2.7603897864050364E-4</v>
      </c>
      <c r="K35">
        <v>0.69096881300191404</v>
      </c>
      <c r="L35" s="19">
        <v>238.22683923456538</v>
      </c>
      <c r="M35" s="19">
        <v>55.353272553810307</v>
      </c>
      <c r="N35" s="19">
        <v>5.6336944940711697E-4</v>
      </c>
      <c r="O35" s="19">
        <v>-2.6233837356984545E-4</v>
      </c>
      <c r="P35" s="19">
        <v>0.37723583114517756</v>
      </c>
      <c r="Q35" s="19">
        <v>117.10736549891226</v>
      </c>
      <c r="R35" s="19">
        <v>28.99208410631682</v>
      </c>
      <c r="S35" s="19">
        <v>2.8466147150345067E-4</v>
      </c>
      <c r="T35" s="19">
        <v>-1.4701684613829645E-4</v>
      </c>
      <c r="U35" s="19">
        <v>0.20314594744052758</v>
      </c>
      <c r="V35" s="19">
        <v>78.616050358181397</v>
      </c>
      <c r="W35" s="19">
        <v>19.379344757499165</v>
      </c>
      <c r="X35" s="19">
        <v>1.8867255827512705E-4</v>
      </c>
      <c r="Y35" s="19">
        <v>-1.0277511261026222E-4</v>
      </c>
      <c r="Z35">
        <v>0.14124523677233256</v>
      </c>
      <c r="AB35">
        <v>335793.19649038522</v>
      </c>
      <c r="AC35">
        <v>393655.1241518457</v>
      </c>
      <c r="AD35">
        <v>422041.31819263304</v>
      </c>
      <c r="AE35">
        <v>490484.19582242687</v>
      </c>
      <c r="AF35">
        <v>6257345.704918839</v>
      </c>
      <c r="AG35">
        <v>5985248.7965571266</v>
      </c>
      <c r="AH35">
        <v>31764275.861845415</v>
      </c>
      <c r="AI35">
        <v>28102961.938088574</v>
      </c>
      <c r="AK35">
        <v>0.31581213391146878</v>
      </c>
      <c r="AL35">
        <v>85.610973131161359</v>
      </c>
      <c r="AM35">
        <v>7974.8341255071527</v>
      </c>
      <c r="AN35">
        <v>326.89998148286196</v>
      </c>
      <c r="AP35" s="134">
        <v>9.4049592788730447E-7</v>
      </c>
      <c r="AQ35" s="134">
        <v>8.02255869504825E-7</v>
      </c>
      <c r="AR35" s="134">
        <v>2.0284974347484574E-4</v>
      </c>
      <c r="AS35" s="134">
        <v>1.7454379541752992E-4</v>
      </c>
      <c r="AT35" s="134">
        <v>1.2744755526673574E-3</v>
      </c>
      <c r="AU35" s="134">
        <v>1.3324148079014674E-3</v>
      </c>
      <c r="AV35" s="134">
        <v>1.0291435035530823E-5</v>
      </c>
      <c r="AW35" s="134">
        <v>1.1632225179788152E-5</v>
      </c>
      <c r="AY35" s="134">
        <v>1.4885572271056211E-3</v>
      </c>
      <c r="AZ35" s="134">
        <v>1.5193930843682903E-3</v>
      </c>
      <c r="BB35">
        <v>4.1994891831751459E-3</v>
      </c>
      <c r="BC35">
        <v>6.8939556183569674E-3</v>
      </c>
      <c r="BD35">
        <v>8.8573282724770698E-3</v>
      </c>
      <c r="BE35">
        <v>1.210533452973931E-4</v>
      </c>
      <c r="BF35">
        <v>2.0071826419306577E-2</v>
      </c>
      <c r="BG35">
        <v>3.3923957544757626E-2</v>
      </c>
      <c r="BH35">
        <v>7.2176728412559378E-3</v>
      </c>
      <c r="BI35">
        <v>9.2876369651858151E-3</v>
      </c>
      <c r="BJ35">
        <v>1.3320232508580963E-4</v>
      </c>
      <c r="BK35">
        <v>5.0562469676285193E-2</v>
      </c>
      <c r="CC35" s="133">
        <v>32</v>
      </c>
      <c r="CJ35" s="127"/>
      <c r="CK35" s="127"/>
      <c r="CL35" s="127"/>
      <c r="CM35" s="127"/>
    </row>
    <row r="36" spans="1:91" x14ac:dyDescent="0.25">
      <c r="A36">
        <v>33</v>
      </c>
      <c r="B36" s="127">
        <v>16.5</v>
      </c>
      <c r="C36" s="20">
        <v>1.9157657203389543E-4</v>
      </c>
      <c r="D36" s="20">
        <v>0.16519043047129084</v>
      </c>
      <c r="E36" s="20">
        <v>6.4094457194503542</v>
      </c>
      <c r="F36" s="20">
        <v>2.8163799556415423</v>
      </c>
      <c r="G36" s="19">
        <v>397.3609460875341</v>
      </c>
      <c r="H36" s="19">
        <v>59.933376303955711</v>
      </c>
      <c r="I36" s="19">
        <v>6.138836346455713E-4</v>
      </c>
      <c r="J36" s="19">
        <v>-2.7732884826463223E-4</v>
      </c>
      <c r="K36">
        <v>0.70945628521098481</v>
      </c>
      <c r="L36" s="19">
        <v>245.44682307241393</v>
      </c>
      <c r="M36" s="19">
        <v>57.08306232111687</v>
      </c>
      <c r="N36" s="19">
        <v>5.8097474470108937E-4</v>
      </c>
      <c r="O36" s="19">
        <v>-2.6820145825222743E-4</v>
      </c>
      <c r="P36" s="19">
        <v>0.38765310277766463</v>
      </c>
      <c r="Q36" s="19">
        <v>121.28296181607517</v>
      </c>
      <c r="R36" s="19">
        <v>29.898086734639215</v>
      </c>
      <c r="S36" s="19">
        <v>2.9355714248793346E-4</v>
      </c>
      <c r="T36" s="19">
        <v>-1.5124362424121147E-4</v>
      </c>
      <c r="U36" s="19">
        <v>0.20883108575235565</v>
      </c>
      <c r="V36" s="19">
        <v>80.610886652891026</v>
      </c>
      <c r="W36" s="19">
        <v>19.984949281171019</v>
      </c>
      <c r="X36" s="19">
        <v>1.9456857572122484E-4</v>
      </c>
      <c r="Y36" s="19">
        <v>-1.0552313207762799E-4</v>
      </c>
      <c r="Z36">
        <v>0.14518818663504848</v>
      </c>
      <c r="AB36">
        <v>300641.2404652058</v>
      </c>
      <c r="AC36">
        <v>385806.44685426605</v>
      </c>
      <c r="AD36">
        <v>373738.05634192837</v>
      </c>
      <c r="AE36">
        <v>445816.3434504348</v>
      </c>
      <c r="AF36">
        <v>5541183.1041350001</v>
      </c>
      <c r="AG36">
        <v>5295453.034778472</v>
      </c>
      <c r="AH36">
        <v>28128806.848945495</v>
      </c>
      <c r="AI36">
        <v>25075300.12463982</v>
      </c>
      <c r="AK36">
        <v>0.20550720261761593</v>
      </c>
      <c r="AL36">
        <v>70.880949387377953</v>
      </c>
      <c r="AM36">
        <v>5893.2970746726351</v>
      </c>
      <c r="AN36">
        <v>258.95786438101391</v>
      </c>
      <c r="AP36" s="134">
        <v>6.8356291472061015E-7</v>
      </c>
      <c r="AQ36" s="134">
        <v>5.3266917723446941E-7</v>
      </c>
      <c r="AR36" s="134">
        <v>1.8965408575499692E-4</v>
      </c>
      <c r="AS36" s="134">
        <v>1.5899136590370063E-4</v>
      </c>
      <c r="AT36" s="134">
        <v>1.063544907995348E-3</v>
      </c>
      <c r="AU36" s="134">
        <v>1.1128976191399974E-3</v>
      </c>
      <c r="AV36" s="134">
        <v>9.2061446392534006E-6</v>
      </c>
      <c r="AW36" s="134">
        <v>1.0327208970334649E-5</v>
      </c>
      <c r="AY36" s="134">
        <v>1.263088701304319E-3</v>
      </c>
      <c r="AZ36" s="134">
        <v>1.2827488631912669E-3</v>
      </c>
      <c r="BB36">
        <v>4.2001727460898664E-3</v>
      </c>
      <c r="BC36">
        <v>7.0836097041119643E-3</v>
      </c>
      <c r="BD36">
        <v>9.9208731804724185E-3</v>
      </c>
      <c r="BE36">
        <v>1.3025948993664651E-4</v>
      </c>
      <c r="BF36">
        <v>2.1334915120610896E-2</v>
      </c>
      <c r="BG36">
        <v>3.3924490213934858E-2</v>
      </c>
      <c r="BH36">
        <v>7.3766642071596382E-3</v>
      </c>
      <c r="BI36">
        <v>1.0400534584325813E-2</v>
      </c>
      <c r="BJ36">
        <v>1.4352953405614429E-4</v>
      </c>
      <c r="BK36">
        <v>5.1845218539476455E-2</v>
      </c>
      <c r="CC36" s="133">
        <v>33</v>
      </c>
      <c r="CJ36" s="127"/>
      <c r="CK36" s="127"/>
      <c r="CL36" s="127"/>
      <c r="CM36" s="127"/>
    </row>
    <row r="37" spans="1:91" x14ac:dyDescent="0.25">
      <c r="A37">
        <v>34</v>
      </c>
      <c r="B37" s="127">
        <v>17</v>
      </c>
      <c r="C37" s="20">
        <v>1.2534399286555335E-4</v>
      </c>
      <c r="D37" s="20">
        <v>0.13704434234827553</v>
      </c>
      <c r="E37" s="20">
        <v>4.3679208045867854</v>
      </c>
      <c r="F37" s="20">
        <v>2.1784022795305926</v>
      </c>
      <c r="G37" s="19">
        <v>402.28261452129641</v>
      </c>
      <c r="H37" s="19">
        <v>61.597611920870285</v>
      </c>
      <c r="I37" s="19">
        <v>6.307356323729962E-4</v>
      </c>
      <c r="J37" s="19">
        <v>-2.7846471120388866E-4</v>
      </c>
      <c r="K37">
        <v>0.72783427643472132</v>
      </c>
      <c r="L37" s="19">
        <v>252.60122102398518</v>
      </c>
      <c r="M37" s="19">
        <v>58.812852088423433</v>
      </c>
      <c r="N37" s="19">
        <v>5.9858003999506155E-4</v>
      </c>
      <c r="O37" s="19">
        <v>-2.7398419486723472E-4</v>
      </c>
      <c r="P37" s="19">
        <v>0.3980231859195193</v>
      </c>
      <c r="Q37" s="19">
        <v>125.27086813348662</v>
      </c>
      <c r="R37" s="19">
        <v>30.804089362961616</v>
      </c>
      <c r="S37" s="19">
        <v>3.0245281347241631E-4</v>
      </c>
      <c r="T37" s="19">
        <v>-1.5528072884210715E-4</v>
      </c>
      <c r="U37" s="19">
        <v>0.21449783250069054</v>
      </c>
      <c r="V37" s="19">
        <v>82.402494775965764</v>
      </c>
      <c r="W37" s="19">
        <v>20.590553804842866</v>
      </c>
      <c r="X37" s="19">
        <v>2.0046459316732255E-4</v>
      </c>
      <c r="Y37" s="19">
        <v>-1.0814159249856521E-4</v>
      </c>
      <c r="Z37">
        <v>0.14912031363960274</v>
      </c>
      <c r="AB37">
        <v>270141.54393674969</v>
      </c>
      <c r="AC37">
        <v>379053.89957767644</v>
      </c>
      <c r="AD37">
        <v>332166.37186639884</v>
      </c>
      <c r="AE37">
        <v>406568.64448645193</v>
      </c>
      <c r="AF37">
        <v>4924825.4394087484</v>
      </c>
      <c r="AG37">
        <v>4725853.1813786533</v>
      </c>
      <c r="AH37">
        <v>24999979.417126097</v>
      </c>
      <c r="AI37">
        <v>22555858.511994563</v>
      </c>
      <c r="AK37">
        <v>0.13445847300245434</v>
      </c>
      <c r="AL37">
        <v>58.803848782891954</v>
      </c>
      <c r="AM37">
        <v>4016.1748810754452</v>
      </c>
      <c r="AN37">
        <v>200.29769099158187</v>
      </c>
      <c r="AP37" s="134">
        <v>4.9773341427979742E-7</v>
      </c>
      <c r="AQ37" s="134">
        <v>3.5472124980711575E-7</v>
      </c>
      <c r="AR37" s="134">
        <v>1.7703131250909271E-4</v>
      </c>
      <c r="AS37" s="134">
        <v>1.4463449058440972E-4</v>
      </c>
      <c r="AT37" s="134">
        <v>8.1549588518158901E-4</v>
      </c>
      <c r="AU37" s="134">
        <v>8.4983065002959394E-4</v>
      </c>
      <c r="AV37" s="134">
        <v>8.011914235992092E-6</v>
      </c>
      <c r="AW37" s="134">
        <v>8.8800739233698089E-6</v>
      </c>
      <c r="AY37" s="134">
        <v>1.0010368453409536E-3</v>
      </c>
      <c r="AZ37" s="134">
        <v>1.0036999357871806E-3</v>
      </c>
      <c r="BB37">
        <v>4.2006704795041466E-3</v>
      </c>
      <c r="BC37">
        <v>7.2606410166210569E-3</v>
      </c>
      <c r="BD37">
        <v>1.0736369065654007E-2</v>
      </c>
      <c r="BE37">
        <v>1.3827140417263861E-4</v>
      </c>
      <c r="BF37">
        <v>2.2335951965951849E-2</v>
      </c>
      <c r="BG37">
        <v>3.3924844935184661E-2</v>
      </c>
      <c r="BH37">
        <v>7.5212986977440475E-3</v>
      </c>
      <c r="BI37">
        <v>1.1250365234355407E-2</v>
      </c>
      <c r="BJ37">
        <v>1.5240960797951412E-4</v>
      </c>
      <c r="BK37">
        <v>5.2848918475263629E-2</v>
      </c>
      <c r="CC37" s="133">
        <v>34</v>
      </c>
      <c r="CJ37" s="127"/>
      <c r="CK37" s="127"/>
      <c r="CL37" s="127"/>
      <c r="CM37" s="127"/>
    </row>
    <row r="38" spans="1:91" x14ac:dyDescent="0.25">
      <c r="A38">
        <v>35</v>
      </c>
      <c r="B38" s="127">
        <v>17.5</v>
      </c>
      <c r="C38" s="20">
        <v>8.2448393330531008E-5</v>
      </c>
      <c r="D38" s="20">
        <v>0.11392199564721488</v>
      </c>
      <c r="E38" s="20">
        <v>2.764756226648895</v>
      </c>
      <c r="F38" s="20">
        <v>1.6487503246071948</v>
      </c>
      <c r="G38" s="19">
        <v>407.02600378691074</v>
      </c>
      <c r="H38" s="19">
        <v>63.25362945336461</v>
      </c>
      <c r="I38" s="19">
        <v>6.4749333926856622E-4</v>
      </c>
      <c r="J38" s="19">
        <v>-2.7945669442887132E-4</v>
      </c>
      <c r="K38">
        <v>0.74610566632629904</v>
      </c>
      <c r="L38" s="19">
        <v>259.68037209750253</v>
      </c>
      <c r="M38" s="19">
        <v>60.542641855730004</v>
      </c>
      <c r="N38" s="19">
        <v>6.1618533528903406E-4</v>
      </c>
      <c r="O38" s="19">
        <v>-2.7968221268180783E-4</v>
      </c>
      <c r="P38" s="19">
        <v>0.40834704445880166</v>
      </c>
      <c r="Q38" s="19">
        <v>128.80257856163828</v>
      </c>
      <c r="R38" s="19">
        <v>31.710091991284013</v>
      </c>
      <c r="S38" s="19">
        <v>3.113484844568991E-4</v>
      </c>
      <c r="T38" s="19">
        <v>-1.5895740633190897E-4</v>
      </c>
      <c r="U38" s="19">
        <v>0.22014653474524945</v>
      </c>
      <c r="V38" s="19">
        <v>84.15346638084786</v>
      </c>
      <c r="W38" s="19">
        <v>21.19615832851472</v>
      </c>
      <c r="X38" s="19">
        <v>2.0636061061342031E-4</v>
      </c>
      <c r="Y38" s="19">
        <v>-1.1072107698343364E-4</v>
      </c>
      <c r="Z38">
        <v>0.15304185978700008</v>
      </c>
      <c r="AB38">
        <v>243561.71281248861</v>
      </c>
      <c r="AC38">
        <v>373275.40187965205</v>
      </c>
      <c r="AD38">
        <v>296229.70768217009</v>
      </c>
      <c r="AE38">
        <v>371976.8819138378</v>
      </c>
      <c r="AF38">
        <v>4392014.736785423</v>
      </c>
      <c r="AG38">
        <v>4271448.4630744765</v>
      </c>
      <c r="AH38">
        <v>22295262.922564019</v>
      </c>
      <c r="AI38">
        <v>20371977.390063625</v>
      </c>
      <c r="AK38">
        <v>8.844368856686971E-2</v>
      </c>
      <c r="AL38">
        <v>48.882366760238575</v>
      </c>
      <c r="AM38">
        <v>2542.1121413428787</v>
      </c>
      <c r="AN38">
        <v>151.59774948068974</v>
      </c>
      <c r="AP38" s="134">
        <v>3.63126402526821E-7</v>
      </c>
      <c r="AQ38" s="134">
        <v>2.3693950397348951E-7</v>
      </c>
      <c r="AR38" s="134">
        <v>1.6501507273769214E-4</v>
      </c>
      <c r="AS38" s="134">
        <v>1.3141237839495992E-4</v>
      </c>
      <c r="AT38" s="134">
        <v>5.7880319026513245E-4</v>
      </c>
      <c r="AU38" s="134">
        <v>5.9514053916809599E-4</v>
      </c>
      <c r="AV38" s="134">
        <v>6.7995497522150582E-6</v>
      </c>
      <c r="AW38" s="134">
        <v>7.4414842790190371E-6</v>
      </c>
      <c r="AY38" s="134">
        <v>7.5098093915756644E-4</v>
      </c>
      <c r="AZ38" s="134">
        <v>7.3423134134604844E-4</v>
      </c>
      <c r="BB38">
        <v>4.2010336059066736E-3</v>
      </c>
      <c r="BC38">
        <v>7.4256560893587488E-3</v>
      </c>
      <c r="BD38">
        <v>1.131517225591914E-2</v>
      </c>
      <c r="BE38">
        <v>1.4507095392485368E-4</v>
      </c>
      <c r="BF38">
        <v>2.3086932905109415E-2</v>
      </c>
      <c r="BG38">
        <v>3.3925081874688637E-2</v>
      </c>
      <c r="BH38">
        <v>7.6527110761390078E-3</v>
      </c>
      <c r="BI38">
        <v>1.1845505773523503E-2</v>
      </c>
      <c r="BJ38">
        <v>1.5985109225853314E-4</v>
      </c>
      <c r="BK38">
        <v>5.3583149816609672E-2</v>
      </c>
      <c r="CC38" s="133">
        <f t="shared" ref="CC38:CC67" si="4">CC37+1</f>
        <v>35</v>
      </c>
      <c r="CJ38" s="127"/>
      <c r="CK38" s="127"/>
      <c r="CL38" s="127"/>
      <c r="CM38" s="127"/>
    </row>
    <row r="39" spans="1:91" x14ac:dyDescent="0.25">
      <c r="A39">
        <v>36</v>
      </c>
      <c r="B39" s="127">
        <v>18</v>
      </c>
      <c r="C39" s="20">
        <v>5.4516982097750608E-5</v>
      </c>
      <c r="D39" s="20">
        <v>9.4889120018841158E-2</v>
      </c>
      <c r="E39" s="20">
        <v>1.6360023538969699</v>
      </c>
      <c r="F39" s="20">
        <v>1.2234729111923055</v>
      </c>
      <c r="G39" s="19">
        <v>411.60002569005957</v>
      </c>
      <c r="H39" s="19">
        <v>64.901485603306909</v>
      </c>
      <c r="I39" s="19">
        <v>6.641574386536225E-4</v>
      </c>
      <c r="J39" s="19">
        <v>-2.8031419131572171E-4</v>
      </c>
      <c r="K39">
        <v>0.76427320293341672</v>
      </c>
      <c r="L39" s="19">
        <v>266.90412491502349</v>
      </c>
      <c r="M39" s="19">
        <v>62.272431623036582</v>
      </c>
      <c r="N39" s="19">
        <v>6.3379063058300645E-4</v>
      </c>
      <c r="O39" s="19">
        <v>-2.8532329981833848E-4</v>
      </c>
      <c r="P39" s="19">
        <v>0.41862560515055519</v>
      </c>
      <c r="Q39" s="19">
        <v>132.31819569025672</v>
      </c>
      <c r="R39" s="19">
        <v>32.616094619606415</v>
      </c>
      <c r="S39" s="19">
        <v>3.2024415544138195E-4</v>
      </c>
      <c r="T39" s="19">
        <v>-1.6263275679554188E-4</v>
      </c>
      <c r="U39" s="19">
        <v>0.22577752117402439</v>
      </c>
      <c r="V39" s="19">
        <v>85.864632886818001</v>
      </c>
      <c r="W39" s="19">
        <v>21.801762852186574</v>
      </c>
      <c r="X39" s="19">
        <v>2.1225662805951807E-4</v>
      </c>
      <c r="Y39" s="19">
        <v>-1.132602536880279E-4</v>
      </c>
      <c r="Z39">
        <v>0.15695305114217187</v>
      </c>
      <c r="AB39">
        <v>220301.70710375829</v>
      </c>
      <c r="AC39">
        <v>368367.51161811041</v>
      </c>
      <c r="AD39">
        <v>265034.55900140729</v>
      </c>
      <c r="AE39">
        <v>341233.1533912195</v>
      </c>
      <c r="AF39">
        <v>3929503.5531700286</v>
      </c>
      <c r="AG39">
        <v>3869808.0632113609</v>
      </c>
      <c r="AH39">
        <v>19947409.133057177</v>
      </c>
      <c r="AI39">
        <v>18471116.956325907</v>
      </c>
      <c r="AK39">
        <v>5.8481224333010451E-2</v>
      </c>
      <c r="AL39">
        <v>40.715620718944869</v>
      </c>
      <c r="AM39">
        <v>1504.256110184418</v>
      </c>
      <c r="AN39">
        <v>112.49474048263178</v>
      </c>
      <c r="AP39" s="134">
        <v>2.6545969662171891E-7</v>
      </c>
      <c r="AQ39" s="134">
        <v>1.5875782333822753E-7</v>
      </c>
      <c r="AR39" s="134">
        <v>1.5362381748385001E-4</v>
      </c>
      <c r="AS39" s="134">
        <v>1.1931906473420807E-4</v>
      </c>
      <c r="AT39" s="134">
        <v>3.8281072655371365E-4</v>
      </c>
      <c r="AU39" s="134">
        <v>3.887159480814433E-4</v>
      </c>
      <c r="AV39" s="134">
        <v>5.6395665087253679E-6</v>
      </c>
      <c r="AW39" s="134">
        <v>6.0903052451359787E-6</v>
      </c>
      <c r="AY39" s="134">
        <v>5.423395702429107E-4</v>
      </c>
      <c r="AZ39" s="134">
        <v>5.1428407588412553E-4</v>
      </c>
      <c r="BB39">
        <v>4.2012990656032957E-3</v>
      </c>
      <c r="BC39">
        <v>7.5792799068425988E-3</v>
      </c>
      <c r="BD39">
        <v>1.1697982982472854E-2</v>
      </c>
      <c r="BE39">
        <v>1.5071052043357904E-4</v>
      </c>
      <c r="BF39">
        <v>2.362927247535233E-2</v>
      </c>
      <c r="BG39">
        <v>3.3925240632511976E-2</v>
      </c>
      <c r="BH39">
        <v>7.772030140873216E-3</v>
      </c>
      <c r="BI39">
        <v>1.2234221721604946E-2</v>
      </c>
      <c r="BJ39">
        <v>1.6594139750366913E-4</v>
      </c>
      <c r="BK39">
        <v>5.4097433892493808E-2</v>
      </c>
      <c r="CC39" s="133">
        <f t="shared" si="4"/>
        <v>36</v>
      </c>
      <c r="CJ39" s="127"/>
      <c r="CK39" s="127"/>
      <c r="CL39" s="127"/>
      <c r="CM39" s="127"/>
    </row>
    <row r="40" spans="1:91" x14ac:dyDescent="0.25">
      <c r="A40">
        <v>37</v>
      </c>
      <c r="B40" s="127">
        <v>18.5</v>
      </c>
      <c r="C40" s="20">
        <v>3.6233062091893961E-5</v>
      </c>
      <c r="D40" s="20">
        <v>7.9191424341782057E-2</v>
      </c>
      <c r="E40" s="20">
        <v>0.91034851380487358</v>
      </c>
      <c r="F40" s="20">
        <v>0.89172360756128721</v>
      </c>
      <c r="G40" s="19">
        <v>416.01302734282115</v>
      </c>
      <c r="H40" s="19">
        <v>66.541236570554304</v>
      </c>
      <c r="I40" s="19">
        <v>6.8072860763862899E-4</v>
      </c>
      <c r="J40" s="19">
        <v>-2.8104592253759428E-4</v>
      </c>
      <c r="K40">
        <v>0.78233951094331422</v>
      </c>
      <c r="L40" s="19">
        <v>274.88774777926432</v>
      </c>
      <c r="M40" s="19">
        <v>64.002221390343152</v>
      </c>
      <c r="N40" s="19">
        <v>6.5139592587697885E-4</v>
      </c>
      <c r="O40" s="19">
        <v>-2.9099606166059993E-4</v>
      </c>
      <c r="P40" s="19">
        <v>0.42885976006590099</v>
      </c>
      <c r="Q40" s="19">
        <v>135.8117711052823</v>
      </c>
      <c r="R40" s="19">
        <v>33.522097247928812</v>
      </c>
      <c r="S40" s="19">
        <v>3.291398264258648E-4</v>
      </c>
      <c r="T40" s="19">
        <v>-1.6629871409820196E-4</v>
      </c>
      <c r="U40" s="19">
        <v>0.23139110388642445</v>
      </c>
      <c r="V40" s="19">
        <v>87.536907330860871</v>
      </c>
      <c r="W40" s="19">
        <v>22.407367375858417</v>
      </c>
      <c r="X40" s="19">
        <v>2.1815264550561575E-4</v>
      </c>
      <c r="Y40" s="19">
        <v>-1.1575824226716912E-4</v>
      </c>
      <c r="Z40">
        <v>0.16085409945713863</v>
      </c>
      <c r="AB40">
        <v>199867.03338095214</v>
      </c>
      <c r="AC40">
        <v>364242.14947943651</v>
      </c>
      <c r="AD40">
        <v>237848.58667289015</v>
      </c>
      <c r="AE40">
        <v>313412.10568921402</v>
      </c>
      <c r="AF40">
        <v>3526433.9487237521</v>
      </c>
      <c r="AG40">
        <v>3514536.6671422916</v>
      </c>
      <c r="AH40">
        <v>17901299.694498941</v>
      </c>
      <c r="AI40">
        <v>16809847.675559092</v>
      </c>
      <c r="AK40">
        <v>3.8867775708284785E-2</v>
      </c>
      <c r="AL40">
        <v>33.979954678184342</v>
      </c>
      <c r="AM40">
        <v>837.03871881747011</v>
      </c>
      <c r="AN40">
        <v>81.991366459502927</v>
      </c>
      <c r="AP40" s="134">
        <v>1.94468167415092E-7</v>
      </c>
      <c r="AQ40" s="134">
        <v>1.0670861613306806E-7</v>
      </c>
      <c r="AR40" s="134">
        <v>1.4286380740582874E-4</v>
      </c>
      <c r="AS40" s="134">
        <v>1.084194071044581E-4</v>
      </c>
      <c r="AT40" s="134">
        <v>2.3736123545441761E-4</v>
      </c>
      <c r="AU40" s="134">
        <v>2.3816474206771486E-4</v>
      </c>
      <c r="AV40" s="134">
        <v>4.5801907045162106E-6</v>
      </c>
      <c r="AW40" s="134">
        <v>4.8775793833465482E-6</v>
      </c>
      <c r="AY40" s="134">
        <v>3.8499970173217765E-4</v>
      </c>
      <c r="AZ40" s="134">
        <v>3.5156843717165258E-4</v>
      </c>
      <c r="BB40">
        <v>4.2014935337707105E-3</v>
      </c>
      <c r="BC40">
        <v>7.7221437142484277E-3</v>
      </c>
      <c r="BD40">
        <v>1.1935344217927272E-2</v>
      </c>
      <c r="BE40">
        <v>1.5529071113809525E-4</v>
      </c>
      <c r="BF40">
        <v>2.4014272177084503E-2</v>
      </c>
      <c r="BG40">
        <v>3.3925347341128106E-2</v>
      </c>
      <c r="BH40">
        <v>7.8804495479776748E-3</v>
      </c>
      <c r="BI40">
        <v>1.2472386463672661E-2</v>
      </c>
      <c r="BJ40">
        <v>1.7081897688701569E-4</v>
      </c>
      <c r="BK40">
        <v>5.4449002329665458E-2</v>
      </c>
      <c r="CC40" s="133">
        <f t="shared" si="4"/>
        <v>37</v>
      </c>
      <c r="CJ40" s="127"/>
      <c r="CK40" s="127"/>
      <c r="CL40" s="127"/>
      <c r="CM40" s="127"/>
    </row>
    <row r="41" spans="1:91" x14ac:dyDescent="0.25">
      <c r="A41">
        <v>38</v>
      </c>
      <c r="B41" s="127">
        <v>19</v>
      </c>
      <c r="C41" s="20">
        <v>2.4202169709192039E-5</v>
      </c>
      <c r="D41" s="20">
        <v>6.6218920333807482E-2</v>
      </c>
      <c r="E41" s="20">
        <v>0.47890066132979647</v>
      </c>
      <c r="F41" s="20">
        <v>0.63938761704403624</v>
      </c>
      <c r="G41" s="19">
        <v>420.2728342891599</v>
      </c>
      <c r="H41" s="19">
        <v>68.172938058374513</v>
      </c>
      <c r="I41" s="19">
        <v>6.9720751719135976E-4</v>
      </c>
      <c r="J41" s="19">
        <v>-2.8165999120553423E-4</v>
      </c>
      <c r="K41">
        <v>0.80030709926095933</v>
      </c>
      <c r="L41" s="19">
        <v>282.82681813697872</v>
      </c>
      <c r="M41" s="19">
        <v>65.732011157649723</v>
      </c>
      <c r="N41" s="19">
        <v>6.6900122117095125E-4</v>
      </c>
      <c r="O41" s="19">
        <v>-2.9659366213905913E-4</v>
      </c>
      <c r="P41" s="19">
        <v>0.43905036878272102</v>
      </c>
      <c r="Q41" s="19">
        <v>139.27845668293241</v>
      </c>
      <c r="R41" s="19">
        <v>34.428099876251217</v>
      </c>
      <c r="S41" s="19">
        <v>3.380354974103476E-4</v>
      </c>
      <c r="T41" s="19">
        <v>-1.6994859598632134E-4</v>
      </c>
      <c r="U41" s="19">
        <v>0.23698757994710878</v>
      </c>
      <c r="V41" s="19">
        <v>89.176015336033458</v>
      </c>
      <c r="W41" s="19">
        <v>23.012971899530275</v>
      </c>
      <c r="X41" s="19">
        <v>2.2404866295171354E-4</v>
      </c>
      <c r="Y41" s="19">
        <v>-1.1810875642030187E-4</v>
      </c>
      <c r="Z41">
        <v>0.16474520358925795</v>
      </c>
      <c r="AB41">
        <v>181847.91848357825</v>
      </c>
      <c r="AC41">
        <v>360823.97853411367</v>
      </c>
      <c r="AD41">
        <v>214068.21047919989</v>
      </c>
      <c r="AE41">
        <v>288648.18104994611</v>
      </c>
      <c r="AF41">
        <v>3173857.0127162132</v>
      </c>
      <c r="AG41">
        <v>3199898.0215902389</v>
      </c>
      <c r="AH41">
        <v>16111507.091372646</v>
      </c>
      <c r="AI41">
        <v>15411660.371845726</v>
      </c>
      <c r="AK41">
        <v>2.5962048184748083E-2</v>
      </c>
      <c r="AL41">
        <v>28.413631027392668</v>
      </c>
      <c r="AM41">
        <v>440.33509136507803</v>
      </c>
      <c r="AN41">
        <v>58.789813316816137</v>
      </c>
      <c r="AP41" s="134">
        <v>1.4276791508665293E-7</v>
      </c>
      <c r="AQ41" s="134">
        <v>7.1952114408309848E-8</v>
      </c>
      <c r="AR41" s="134">
        <v>1.3273166979715329E-4</v>
      </c>
      <c r="AS41" s="134">
        <v>9.843689616902914E-5</v>
      </c>
      <c r="AT41" s="134">
        <v>1.3873816293577624E-4</v>
      </c>
      <c r="AU41" s="134">
        <v>1.3760910141325276E-4</v>
      </c>
      <c r="AV41" s="134">
        <v>3.6489332117351562E-6</v>
      </c>
      <c r="AW41" s="134">
        <v>3.8146320317448944E-6</v>
      </c>
      <c r="AY41" s="134">
        <v>2.7526153385975133E-4</v>
      </c>
      <c r="AZ41" s="134">
        <v>2.3993258172843511E-4</v>
      </c>
      <c r="BB41">
        <v>4.2016363016857969E-3</v>
      </c>
      <c r="BC41">
        <v>7.8548753840455808E-3</v>
      </c>
      <c r="BD41">
        <v>1.2074082380863049E-2</v>
      </c>
      <c r="BE41">
        <v>1.5893964434983041E-4</v>
      </c>
      <c r="BF41">
        <v>2.4289533710944257E-2</v>
      </c>
      <c r="BG41">
        <v>3.3925419293242512E-2</v>
      </c>
      <c r="BH41">
        <v>7.9788864441467048E-3</v>
      </c>
      <c r="BI41">
        <v>1.2609995565085914E-2</v>
      </c>
      <c r="BJ41">
        <v>1.7463360891876059E-4</v>
      </c>
      <c r="BK41">
        <v>5.4688934911393892E-2</v>
      </c>
      <c r="CC41" s="133">
        <f t="shared" si="4"/>
        <v>38</v>
      </c>
      <c r="CJ41" s="127"/>
      <c r="CK41" s="127"/>
      <c r="CL41" s="127"/>
      <c r="CM41" s="127"/>
    </row>
    <row r="42" spans="1:91" x14ac:dyDescent="0.25">
      <c r="A42">
        <v>39</v>
      </c>
      <c r="B42" s="127">
        <v>19.5</v>
      </c>
      <c r="C42" s="20">
        <v>1.6245462275469062E-5</v>
      </c>
      <c r="D42" s="20">
        <v>5.5477463603646457E-2</v>
      </c>
      <c r="E42" s="20">
        <v>0.23933832389245452</v>
      </c>
      <c r="F42" s="20">
        <v>0.4516816676821811</v>
      </c>
      <c r="G42" s="19">
        <v>424.38678979145823</v>
      </c>
      <c r="H42" s="19">
        <v>69.796645278798309</v>
      </c>
      <c r="I42" s="19">
        <v>7.1359483220420335E-4</v>
      </c>
      <c r="J42" s="19">
        <v>-2.8216393286862587E-4</v>
      </c>
      <c r="K42">
        <v>0.81817836798902555</v>
      </c>
      <c r="L42" s="19">
        <v>290.7104067819086</v>
      </c>
      <c r="M42" s="19">
        <v>67.461800924956293</v>
      </c>
      <c r="N42" s="19">
        <v>6.8660651646492365E-4</v>
      </c>
      <c r="O42" s="19">
        <v>-3.0211334469436004E-4</v>
      </c>
      <c r="P42" s="19">
        <v>0.44919826035538457</v>
      </c>
      <c r="Q42" s="19">
        <v>142.71432123674339</v>
      </c>
      <c r="R42" s="19">
        <v>35.334102504573622</v>
      </c>
      <c r="S42" s="19">
        <v>3.469311683948305E-4</v>
      </c>
      <c r="T42" s="19">
        <v>-1.7357687886110541E-4</v>
      </c>
      <c r="U42" s="19">
        <v>0.2425672327452425</v>
      </c>
      <c r="V42" s="19">
        <v>91.243052210907564</v>
      </c>
      <c r="W42" s="19">
        <v>23.618576423202118</v>
      </c>
      <c r="X42" s="19">
        <v>2.2994468039781119E-4</v>
      </c>
      <c r="Y42" s="19">
        <v>-1.2066265778614361E-4</v>
      </c>
      <c r="Z42">
        <v>0.16862655074477703</v>
      </c>
      <c r="AB42">
        <v>165903.01356323829</v>
      </c>
      <c r="AC42">
        <v>358048.29338520265</v>
      </c>
      <c r="AD42">
        <v>193193.35629865006</v>
      </c>
      <c r="AE42">
        <v>266547.17328877107</v>
      </c>
      <c r="AF42">
        <v>2864358.4553075484</v>
      </c>
      <c r="AG42">
        <v>2920809.2033330132</v>
      </c>
      <c r="AH42">
        <v>14540394.031622125</v>
      </c>
      <c r="AI42">
        <v>14051193.538973287</v>
      </c>
      <c r="AK42">
        <v>1.7426762949234568E-2</v>
      </c>
      <c r="AL42">
        <v>23.80461918169998</v>
      </c>
      <c r="AM42">
        <v>220.06455874524693</v>
      </c>
      <c r="AN42">
        <v>41.530802620837669</v>
      </c>
      <c r="AP42" s="134">
        <v>1.0504187100008222E-7</v>
      </c>
      <c r="AQ42" s="134">
        <v>4.8671543116353194E-8</v>
      </c>
      <c r="AR42" s="134">
        <v>1.2321655173742801E-4</v>
      </c>
      <c r="AS42" s="134">
        <v>8.9307340565606387E-5</v>
      </c>
      <c r="AT42" s="134">
        <v>7.6828568134506905E-5</v>
      </c>
      <c r="AU42" s="134">
        <v>7.5343695334198965E-5</v>
      </c>
      <c r="AV42" s="134">
        <v>2.8562363943176098E-6</v>
      </c>
      <c r="AW42" s="134">
        <v>2.9556779291129385E-6</v>
      </c>
      <c r="AY42" s="134">
        <v>2.0300639813725259E-4</v>
      </c>
      <c r="AZ42" s="134">
        <v>1.6765538537203464E-4</v>
      </c>
      <c r="BB42">
        <v>4.2017413435567969E-3</v>
      </c>
      <c r="BC42">
        <v>7.978091935783008E-3</v>
      </c>
      <c r="BD42">
        <v>1.2150910948997557E-2</v>
      </c>
      <c r="BE42">
        <v>1.6179588074414803E-4</v>
      </c>
      <c r="BF42">
        <v>2.4492540109081511E-2</v>
      </c>
      <c r="BG42">
        <v>3.3925467964785627E-2</v>
      </c>
      <c r="BH42">
        <v>8.068193784712312E-3</v>
      </c>
      <c r="BI42">
        <v>1.2685339260420113E-2</v>
      </c>
      <c r="BJ42">
        <v>1.7758928684787352E-4</v>
      </c>
      <c r="BK42">
        <v>5.4856590296765921E-2</v>
      </c>
      <c r="CC42" s="133">
        <f t="shared" si="4"/>
        <v>39</v>
      </c>
      <c r="CJ42" s="127"/>
      <c r="CK42" s="127"/>
      <c r="CL42" s="127"/>
      <c r="CM42" s="127"/>
    </row>
    <row r="43" spans="1:91" x14ac:dyDescent="0.25">
      <c r="A43">
        <v>40</v>
      </c>
      <c r="B43" s="127">
        <v>20</v>
      </c>
      <c r="C43" s="20">
        <v>1.0956987436690861E-5</v>
      </c>
      <c r="D43" s="20">
        <v>4.6566038451719777E-2</v>
      </c>
      <c r="E43" s="20">
        <v>0.11414438716552958</v>
      </c>
      <c r="F43" s="20">
        <v>0.31478378996360085</v>
      </c>
      <c r="G43" s="19">
        <v>428.3617906670695</v>
      </c>
      <c r="H43" s="19">
        <v>71.412412957904223</v>
      </c>
      <c r="I43" s="19">
        <v>7.2989121156060289E-4</v>
      </c>
      <c r="J43" s="19">
        <v>-2.8256476091155193E-4</v>
      </c>
      <c r="K43">
        <v>0.83595561486934056</v>
      </c>
      <c r="L43" s="19">
        <v>298.52956924525233</v>
      </c>
      <c r="M43" s="19">
        <v>69.191590692262878</v>
      </c>
      <c r="N43" s="19">
        <v>7.0421181175889616E-4</v>
      </c>
      <c r="O43" s="19">
        <v>-3.0755315881748392E-4</v>
      </c>
      <c r="P43" s="19">
        <v>0.45930423509440294</v>
      </c>
      <c r="Q43" s="19">
        <v>146.11619939713171</v>
      </c>
      <c r="R43" s="19">
        <v>36.240105132896019</v>
      </c>
      <c r="S43" s="19">
        <v>3.5582683937931329E-4</v>
      </c>
      <c r="T43" s="19">
        <v>-1.7717901170197594E-4</v>
      </c>
      <c r="U43" s="19">
        <v>0.24813033318794925</v>
      </c>
      <c r="V43" s="19">
        <v>94.146320868395463</v>
      </c>
      <c r="W43" s="19">
        <v>24.224180946873972</v>
      </c>
      <c r="X43" s="19">
        <v>2.3584069784390901E-4</v>
      </c>
      <c r="Y43" s="19">
        <v>-1.2364044198431338E-4</v>
      </c>
      <c r="Z43">
        <v>0.17249831757283651</v>
      </c>
      <c r="AB43">
        <v>151746.55627507315</v>
      </c>
      <c r="AC43">
        <v>355859.3087718765</v>
      </c>
      <c r="AD43">
        <v>174807.64395081458</v>
      </c>
      <c r="AE43">
        <v>246770.28284959827</v>
      </c>
      <c r="AF43">
        <v>2591764.8649826073</v>
      </c>
      <c r="AG43">
        <v>2672803.6799478424</v>
      </c>
      <c r="AH43">
        <v>13156622.3160134</v>
      </c>
      <c r="AI43">
        <v>12646621.385110252</v>
      </c>
      <c r="AK43">
        <v>1.1753732793758848E-2</v>
      </c>
      <c r="AL43">
        <v>19.980848801291053</v>
      </c>
      <c r="AM43">
        <v>104.95241124073407</v>
      </c>
      <c r="AN43">
        <v>28.943444874137114</v>
      </c>
      <c r="AP43" s="134">
        <v>7.7456339585411669E-8</v>
      </c>
      <c r="AQ43" s="134">
        <v>3.3029156478504755E-8</v>
      </c>
      <c r="AR43" s="134">
        <v>1.1430191695114339E-4</v>
      </c>
      <c r="AS43" s="134">
        <v>8.0969428614177967E-5</v>
      </c>
      <c r="AT43" s="134">
        <v>4.0494572890754261E-5</v>
      </c>
      <c r="AU43" s="134">
        <v>3.9266786419114074E-5</v>
      </c>
      <c r="AV43" s="134">
        <v>2.1999145509337153E-6</v>
      </c>
      <c r="AW43" s="134">
        <v>2.2886306146726469E-6</v>
      </c>
      <c r="AY43" s="134">
        <v>1.570738607324168E-4</v>
      </c>
      <c r="AZ43" s="134">
        <v>1.2255787480444319E-4</v>
      </c>
      <c r="BB43">
        <v>4.2018187998963822E-3</v>
      </c>
      <c r="BC43">
        <v>8.0923938527341522E-3</v>
      </c>
      <c r="BD43">
        <v>1.2191405521888311E-2</v>
      </c>
      <c r="BE43">
        <v>1.6399579529508175E-4</v>
      </c>
      <c r="BF43">
        <v>2.4649613969813928E-2</v>
      </c>
      <c r="BG43">
        <v>3.3925500993942106E-2</v>
      </c>
      <c r="BH43">
        <v>8.1491632133264894E-3</v>
      </c>
      <c r="BI43">
        <v>1.2724606046839226E-2</v>
      </c>
      <c r="BJ43">
        <v>1.7987791746254617E-4</v>
      </c>
      <c r="BK43">
        <v>5.4979148171570368E-2</v>
      </c>
      <c r="CC43" s="133">
        <f t="shared" si="4"/>
        <v>40</v>
      </c>
      <c r="CJ43" s="127"/>
      <c r="CK43" s="127"/>
      <c r="CL43" s="127"/>
      <c r="CM43" s="127"/>
    </row>
    <row r="44" spans="1:91" x14ac:dyDescent="0.25">
      <c r="A44">
        <v>41</v>
      </c>
      <c r="B44" s="127">
        <v>20.5</v>
      </c>
      <c r="C44" s="20">
        <v>7.4248027457524445E-6</v>
      </c>
      <c r="D44" s="20">
        <v>3.915861132811882E-2</v>
      </c>
      <c r="E44" s="20">
        <v>5.2166002948883926E-2</v>
      </c>
      <c r="F44" s="20">
        <v>0.21668478684391812</v>
      </c>
      <c r="G44" s="19">
        <v>432.20432001980288</v>
      </c>
      <c r="H44" s="19">
        <v>73.020295341035308</v>
      </c>
      <c r="I44" s="19">
        <v>7.4609730820063681E-4</v>
      </c>
      <c r="J44" s="19">
        <v>-2.8286900782523373E-4</v>
      </c>
      <c r="K44">
        <v>0.85364104123799633</v>
      </c>
      <c r="L44" s="19">
        <v>306.27702806916329</v>
      </c>
      <c r="M44" s="19">
        <v>70.921380459569448</v>
      </c>
      <c r="N44" s="19">
        <v>7.2181710705286855E-4</v>
      </c>
      <c r="O44" s="19">
        <v>-3.129118167382258E-4</v>
      </c>
      <c r="P44" s="19">
        <v>0.46936906618163343</v>
      </c>
      <c r="Q44" s="19">
        <v>149.48156658950751</v>
      </c>
      <c r="R44" s="19">
        <v>37.146107761218424</v>
      </c>
      <c r="S44" s="19">
        <v>3.647225103637962E-4</v>
      </c>
      <c r="T44" s="19">
        <v>-1.8075126173665152E-4</v>
      </c>
      <c r="U44" s="19">
        <v>0.25367714075191411</v>
      </c>
      <c r="V44" s="19">
        <v>97.052204468296253</v>
      </c>
      <c r="W44" s="19">
        <v>24.829785470545808</v>
      </c>
      <c r="X44" s="19">
        <v>2.4173671529000658E-4</v>
      </c>
      <c r="Y44" s="19">
        <v>-1.2661477335822359E-4</v>
      </c>
      <c r="Z44">
        <v>0.17636067113095599</v>
      </c>
      <c r="AB44">
        <v>139138.19216613201</v>
      </c>
      <c r="AC44">
        <v>354208.76353560475</v>
      </c>
      <c r="AD44">
        <v>158562.74337294573</v>
      </c>
      <c r="AE44">
        <v>229026.21895510345</v>
      </c>
      <c r="AF44">
        <v>2350911.7672502054</v>
      </c>
      <c r="AG44">
        <v>2451978.7931929762</v>
      </c>
      <c r="AH44">
        <v>11933975.430363823</v>
      </c>
      <c r="AI44">
        <v>11412362.500956304</v>
      </c>
      <c r="AK44">
        <v>7.9647027090411233E-3</v>
      </c>
      <c r="AL44">
        <v>16.802423358965569</v>
      </c>
      <c r="AM44">
        <v>47.965107441831265</v>
      </c>
      <c r="AN44">
        <v>19.923529683044656</v>
      </c>
      <c r="AP44" s="134">
        <v>5.7243109063334748E-8</v>
      </c>
      <c r="AQ44" s="134">
        <v>2.248589964161211E-8</v>
      </c>
      <c r="AR44" s="134">
        <v>1.0596703236551361E-4</v>
      </c>
      <c r="AS44" s="134">
        <v>7.3364628013438885E-5</v>
      </c>
      <c r="AT44" s="134">
        <v>2.0402768028140284E-5</v>
      </c>
      <c r="AU44" s="134">
        <v>1.9561795385420492E-5</v>
      </c>
      <c r="AV44" s="134">
        <v>1.6694796967951576E-6</v>
      </c>
      <c r="AW44" s="134">
        <v>1.7457848610552946E-6</v>
      </c>
      <c r="AY44" s="134">
        <v>1.280965231995124E-4</v>
      </c>
      <c r="AZ44" s="134">
        <v>9.4694694159556277E-5</v>
      </c>
      <c r="BB44">
        <v>4.2018760430054458E-3</v>
      </c>
      <c r="BC44">
        <v>8.1983608850996655E-3</v>
      </c>
      <c r="BD44">
        <v>1.2211808289916451E-2</v>
      </c>
      <c r="BE44">
        <v>1.6566527499187691E-4</v>
      </c>
      <c r="BF44">
        <v>2.4777710493013441E-2</v>
      </c>
      <c r="BG44">
        <v>3.3925523479841749E-2</v>
      </c>
      <c r="BH44">
        <v>8.2225278413399286E-3</v>
      </c>
      <c r="BI44">
        <v>1.2744167842224647E-2</v>
      </c>
      <c r="BJ44">
        <v>1.8162370232360146E-4</v>
      </c>
      <c r="BK44">
        <v>5.5073842865729923E-2</v>
      </c>
      <c r="CC44" s="133">
        <f t="shared" si="4"/>
        <v>41</v>
      </c>
      <c r="CJ44" s="127"/>
      <c r="CK44" s="127"/>
      <c r="CL44" s="127"/>
      <c r="CM44" s="127"/>
    </row>
    <row r="45" spans="1:91" x14ac:dyDescent="0.25">
      <c r="A45">
        <v>42</v>
      </c>
      <c r="B45" s="127">
        <v>21</v>
      </c>
      <c r="C45" s="20">
        <v>5.054374204406671E-6</v>
      </c>
      <c r="D45" s="20">
        <v>3.298961821233562E-2</v>
      </c>
      <c r="E45" s="20">
        <v>2.29372163697137E-2</v>
      </c>
      <c r="F45" s="20">
        <v>0.14748837148376864</v>
      </c>
      <c r="G45" s="19">
        <v>435.92047717268542</v>
      </c>
      <c r="H45" s="19">
        <v>74.620346197951278</v>
      </c>
      <c r="I45" s="19">
        <v>7.6221376918577158E-4</v>
      </c>
      <c r="J45" s="19">
        <v>-2.8308276277171166E-4</v>
      </c>
      <c r="K45">
        <v>0.8712367575399903</v>
      </c>
      <c r="L45" s="19">
        <v>313.94690853319798</v>
      </c>
      <c r="M45" s="19">
        <v>72.651170226876019</v>
      </c>
      <c r="N45" s="19">
        <v>7.3942240234684095E-4</v>
      </c>
      <c r="O45" s="19">
        <v>-3.1818857538235944E-4</v>
      </c>
      <c r="P45" s="19">
        <v>0.47939350114242379</v>
      </c>
      <c r="Q45" s="19">
        <v>152.80843524244506</v>
      </c>
      <c r="R45" s="19">
        <v>38.052110389540829</v>
      </c>
      <c r="S45" s="19">
        <v>3.7361818134827904E-4</v>
      </c>
      <c r="T45" s="19">
        <v>-1.8429058597593706E-4</v>
      </c>
      <c r="U45" s="19">
        <v>0.25920790441316843</v>
      </c>
      <c r="V45" s="19">
        <v>99.955395140891952</v>
      </c>
      <c r="W45" s="19">
        <v>25.435389994217665</v>
      </c>
      <c r="X45" s="19">
        <v>2.4763273273610439E-4</v>
      </c>
      <c r="Y45" s="19">
        <v>-1.2958086355470221E-4</v>
      </c>
      <c r="Z45">
        <v>0.18021376973965436</v>
      </c>
      <c r="AB45">
        <v>127874.85518906213</v>
      </c>
      <c r="AC45">
        <v>353054.77524456132</v>
      </c>
      <c r="AD45">
        <v>144165.94666956426</v>
      </c>
      <c r="AE45">
        <v>213064.3026946325</v>
      </c>
      <c r="AF45">
        <v>2137459.3631057949</v>
      </c>
      <c r="AG45">
        <v>2254937.3282963969</v>
      </c>
      <c r="AH45">
        <v>10850423.175405711</v>
      </c>
      <c r="AI45">
        <v>10325985.961751169</v>
      </c>
      <c r="AK45">
        <v>5.4219067222190153E-3</v>
      </c>
      <c r="AL45">
        <v>14.155392973710255</v>
      </c>
      <c r="AM45">
        <v>21.09009671812294</v>
      </c>
      <c r="AN45">
        <v>13.561122540999737</v>
      </c>
      <c r="AP45" s="134">
        <v>4.2400100584299879E-8</v>
      </c>
      <c r="AQ45" s="134">
        <v>1.5357126152629593E-8</v>
      </c>
      <c r="AR45" s="134">
        <v>9.8188187298871212E-5</v>
      </c>
      <c r="AS45" s="134">
        <v>6.6437187246697125E-5</v>
      </c>
      <c r="AT45" s="134">
        <v>9.8668994986077173E-6</v>
      </c>
      <c r="AU45" s="134">
        <v>9.3528527172222955E-6</v>
      </c>
      <c r="AV45" s="134">
        <v>1.2498242991792502E-6</v>
      </c>
      <c r="AW45" s="134">
        <v>1.3133005013983115E-6</v>
      </c>
      <c r="AY45" s="134">
        <v>1.0934731119724248E-4</v>
      </c>
      <c r="AZ45" s="134">
        <v>7.7118697591470364E-5</v>
      </c>
      <c r="BB45">
        <v>4.20191844310603E-3</v>
      </c>
      <c r="BC45">
        <v>8.2965490723985371E-3</v>
      </c>
      <c r="BD45">
        <v>1.222167518941506E-2</v>
      </c>
      <c r="BE45">
        <v>1.6691509929105615E-4</v>
      </c>
      <c r="BF45">
        <v>2.4887057804210681E-2</v>
      </c>
      <c r="BG45">
        <v>3.3925538836967903E-2</v>
      </c>
      <c r="BH45">
        <v>8.288965028586625E-3</v>
      </c>
      <c r="BI45">
        <v>1.2753520694941869E-2</v>
      </c>
      <c r="BJ45">
        <v>1.8293700282499977E-4</v>
      </c>
      <c r="BK45">
        <v>5.5150961563321402E-2</v>
      </c>
      <c r="CC45" s="133">
        <f t="shared" si="4"/>
        <v>42</v>
      </c>
      <c r="CJ45" s="127"/>
      <c r="CK45" s="127"/>
      <c r="CL45" s="127"/>
      <c r="CM45" s="127"/>
    </row>
    <row r="46" spans="1:91" x14ac:dyDescent="0.25">
      <c r="A46">
        <v>43</v>
      </c>
      <c r="B46" s="127">
        <v>21.5</v>
      </c>
      <c r="C46" s="20">
        <v>3.4561568789551759E-6</v>
      </c>
      <c r="D46" s="20">
        <v>2.7842343500715381E-2</v>
      </c>
      <c r="E46" s="20">
        <v>9.7413477329632518E-3</v>
      </c>
      <c r="F46" s="20">
        <v>9.9365384466838819E-2</v>
      </c>
      <c r="G46" s="19">
        <v>439.51600507453611</v>
      </c>
      <c r="H46" s="19">
        <v>76.212618827914298</v>
      </c>
      <c r="I46" s="19">
        <v>7.7824123576277773E-4</v>
      </c>
      <c r="J46" s="19">
        <v>-2.8321170581676133E-4</v>
      </c>
      <c r="K46">
        <v>0.88874478844388261</v>
      </c>
      <c r="L46" s="19">
        <v>321.53451810630327</v>
      </c>
      <c r="M46" s="19">
        <v>74.380959994182589</v>
      </c>
      <c r="N46" s="19">
        <v>7.5702769764081335E-4</v>
      </c>
      <c r="O46" s="19">
        <v>-3.2338313887392213E-4</v>
      </c>
      <c r="P46" s="19">
        <v>0.48937826319262473</v>
      </c>
      <c r="Q46" s="19">
        <v>156.09526834117671</v>
      </c>
      <c r="R46" s="19">
        <v>38.958113017863219</v>
      </c>
      <c r="S46" s="19">
        <v>3.8251385233276178E-4</v>
      </c>
      <c r="T46" s="19">
        <v>-1.8779452391488418E-4</v>
      </c>
      <c r="U46" s="19">
        <v>0.2647228634718769</v>
      </c>
      <c r="V46" s="19">
        <v>102.85137482252634</v>
      </c>
      <c r="W46" s="19">
        <v>26.040994517889509</v>
      </c>
      <c r="X46" s="19">
        <v>2.5352875018220205E-4</v>
      </c>
      <c r="Y46" s="19">
        <v>-1.3253466083268869E-4</v>
      </c>
      <c r="Z46">
        <v>0.18405776374111296</v>
      </c>
      <c r="AB46">
        <v>117784.25325447028</v>
      </c>
      <c r="AC46">
        <v>352360.8953243444</v>
      </c>
      <c r="AD46">
        <v>131370.23768008899</v>
      </c>
      <c r="AE46">
        <v>198668.51264201294</v>
      </c>
      <c r="AF46">
        <v>1947745.2966500113</v>
      </c>
      <c r="AG46">
        <v>2078728.9094623269</v>
      </c>
      <c r="AH46">
        <v>9887374.268416781</v>
      </c>
      <c r="AI46">
        <v>9367954.5107336976</v>
      </c>
      <c r="AK46">
        <v>3.7074738547678053E-3</v>
      </c>
      <c r="AL46">
        <v>11.946767950599778</v>
      </c>
      <c r="AM46">
        <v>8.9568831082891762</v>
      </c>
      <c r="AN46">
        <v>9.1363552362272067</v>
      </c>
      <c r="AP46" s="134">
        <v>3.1476820986909765E-8</v>
      </c>
      <c r="AQ46" s="134">
        <v>1.0521808475242736E-8</v>
      </c>
      <c r="AR46" s="134">
        <v>9.0939684372744948E-5</v>
      </c>
      <c r="AS46" s="134">
        <v>6.0134179250272215E-5</v>
      </c>
      <c r="AT46" s="134">
        <v>4.5985905465639695E-6</v>
      </c>
      <c r="AU46" s="134">
        <v>4.3088269314568376E-6</v>
      </c>
      <c r="AV46" s="134">
        <v>9.2404262124591027E-7</v>
      </c>
      <c r="AW46" s="134">
        <v>9.7527749795954625E-7</v>
      </c>
      <c r="AY46" s="134">
        <v>9.6493794361541741E-5</v>
      </c>
      <c r="AZ46" s="134">
        <v>6.5428805488163837E-5</v>
      </c>
      <c r="BB46">
        <v>4.2019499199270165E-3</v>
      </c>
      <c r="BC46">
        <v>8.3874887567712813E-3</v>
      </c>
      <c r="BD46">
        <v>1.2226273779961624E-2</v>
      </c>
      <c r="BE46">
        <v>1.6783914191230206E-4</v>
      </c>
      <c r="BF46">
        <v>2.4983551598572223E-2</v>
      </c>
      <c r="BG46">
        <v>3.3925549358776376E-2</v>
      </c>
      <c r="BH46">
        <v>8.3490992078368974E-3</v>
      </c>
      <c r="BI46">
        <v>1.2757829521873326E-2</v>
      </c>
      <c r="BJ46">
        <v>1.8391228032295931E-4</v>
      </c>
      <c r="BK46">
        <v>5.5216390368809563E-2</v>
      </c>
      <c r="CC46" s="133">
        <f t="shared" si="4"/>
        <v>43</v>
      </c>
      <c r="CJ46" s="127"/>
      <c r="CK46" s="127"/>
      <c r="CL46" s="127"/>
      <c r="CM46" s="127"/>
    </row>
    <row r="47" spans="1:91" x14ac:dyDescent="0.25">
      <c r="A47">
        <v>44</v>
      </c>
      <c r="B47" s="127">
        <v>22</v>
      </c>
      <c r="C47" s="20">
        <v>2.3736619286178769E-6</v>
      </c>
      <c r="D47" s="20">
        <v>2.3539601226641567E-2</v>
      </c>
      <c r="E47" s="20">
        <v>4.0122918102917593E-3</v>
      </c>
      <c r="F47" s="20">
        <v>6.6321917606760941E-2</v>
      </c>
      <c r="G47" s="19">
        <v>442.99631542319526</v>
      </c>
      <c r="H47" s="19">
        <v>77.797166064711121</v>
      </c>
      <c r="I47" s="19">
        <v>7.941803434268369E-4</v>
      </c>
      <c r="J47" s="19">
        <v>-2.8326113916199712E-4</v>
      </c>
      <c r="K47">
        <v>0.90616707759236581</v>
      </c>
      <c r="L47" s="19">
        <v>329.03616181628655</v>
      </c>
      <c r="M47" s="19">
        <v>76.11074976148916</v>
      </c>
      <c r="N47" s="19">
        <v>7.7463299293478575E-4</v>
      </c>
      <c r="O47" s="19">
        <v>-3.2849557780753152E-4</v>
      </c>
      <c r="P47" s="19">
        <v>0.49932405247561185</v>
      </c>
      <c r="Q47" s="19">
        <v>159.34090721098676</v>
      </c>
      <c r="R47" s="19">
        <v>39.864115646185624</v>
      </c>
      <c r="S47" s="19">
        <v>3.9140952331724469E-4</v>
      </c>
      <c r="T47" s="19">
        <v>-1.9126110762828489E-4</v>
      </c>
      <c r="U47" s="19">
        <v>0.27022224828631136</v>
      </c>
      <c r="V47" s="19">
        <v>105.73630208420293</v>
      </c>
      <c r="W47" s="19">
        <v>26.646599041561359</v>
      </c>
      <c r="X47" s="19">
        <v>2.5942476762829981E-4</v>
      </c>
      <c r="Y47" s="19">
        <v>-1.3547274330155269E-4</v>
      </c>
      <c r="Z47">
        <v>0.18789279617448915</v>
      </c>
      <c r="AB47">
        <v>108719.61275306896</v>
      </c>
      <c r="AC47">
        <v>352095.32555221586</v>
      </c>
      <c r="AD47">
        <v>119966.31340339452</v>
      </c>
      <c r="AE47">
        <v>185652.38350977784</v>
      </c>
      <c r="AF47">
        <v>1778666.3616832122</v>
      </c>
      <c r="AG47">
        <v>1920794.4343293046</v>
      </c>
      <c r="AH47">
        <v>9029075.8482910432</v>
      </c>
      <c r="AI47">
        <v>8521337.5840232167</v>
      </c>
      <c r="AK47">
        <v>2.5462644922150937E-3</v>
      </c>
      <c r="AL47">
        <v>10.100520220114193</v>
      </c>
      <c r="AM47">
        <v>3.6891844666956852</v>
      </c>
      <c r="AN47">
        <v>6.0981055168702145</v>
      </c>
      <c r="AP47" s="134">
        <v>2.3420470582417682E-8</v>
      </c>
      <c r="AQ47" s="134">
        <v>7.2317475053711894E-9</v>
      </c>
      <c r="AR47" s="134">
        <v>8.4194637090751777E-5</v>
      </c>
      <c r="AS47" s="134">
        <v>5.4405551004316757E-5</v>
      </c>
      <c r="AT47" s="134">
        <v>2.0741295535630894E-6</v>
      </c>
      <c r="AU47" s="134">
        <v>1.9206555375010027E-6</v>
      </c>
      <c r="AV47" s="134">
        <v>6.7538534611207402E-7</v>
      </c>
      <c r="AW47" s="134">
        <v>7.156277352869629E-7</v>
      </c>
      <c r="AY47" s="134">
        <v>8.6967572461009365E-5</v>
      </c>
      <c r="AZ47" s="134">
        <v>5.7049066024610091E-5</v>
      </c>
      <c r="BB47">
        <v>4.2019733403975985E-3</v>
      </c>
      <c r="BC47">
        <v>8.4716833938620322E-3</v>
      </c>
      <c r="BD47">
        <v>1.2228347909515188E-2</v>
      </c>
      <c r="BE47">
        <v>1.6851452725841413E-4</v>
      </c>
      <c r="BF47">
        <v>2.5070519171033232E-2</v>
      </c>
      <c r="BG47">
        <v>3.3925556590523882E-2</v>
      </c>
      <c r="BH47">
        <v>8.4035047588412147E-3</v>
      </c>
      <c r="BI47">
        <v>1.2759750177410828E-2</v>
      </c>
      <c r="BJ47">
        <v>1.8462790805824628E-4</v>
      </c>
      <c r="BK47">
        <v>5.5273439434834169E-2</v>
      </c>
      <c r="CC47" s="133">
        <f t="shared" si="4"/>
        <v>44</v>
      </c>
      <c r="CJ47" s="127"/>
      <c r="CK47" s="127"/>
      <c r="CL47" s="127"/>
      <c r="CM47" s="127"/>
    </row>
    <row r="48" spans="1:91" x14ac:dyDescent="0.25">
      <c r="A48">
        <v>45</v>
      </c>
      <c r="B48" s="127">
        <v>22.5</v>
      </c>
      <c r="C48" s="20">
        <v>1.6371949461751938E-6</v>
      </c>
      <c r="D48" s="20">
        <v>1.9936251182123308E-2</v>
      </c>
      <c r="E48" s="20">
        <v>1.6100248360196544E-3</v>
      </c>
      <c r="F48" s="20">
        <v>4.3892084438761303E-2</v>
      </c>
      <c r="G48" s="19">
        <v>446.36651172213118</v>
      </c>
      <c r="H48" s="19">
        <v>79.374040281611897</v>
      </c>
      <c r="I48" s="19">
        <v>8.1003172198383427E-4</v>
      </c>
      <c r="J48" s="19">
        <v>-2.8323601567158867E-4</v>
      </c>
      <c r="K48">
        <v>0.92350549202068399</v>
      </c>
      <c r="L48" s="19">
        <v>336.44898723921557</v>
      </c>
      <c r="M48" s="19">
        <v>77.84053952879573</v>
      </c>
      <c r="N48" s="19">
        <v>7.9223828822875804E-4</v>
      </c>
      <c r="O48" s="19">
        <v>-3.3352626225956937E-4</v>
      </c>
      <c r="P48" s="19">
        <v>0.50923154720214681</v>
      </c>
      <c r="Q48" s="19">
        <v>162.54451102008593</v>
      </c>
      <c r="R48" s="19">
        <v>40.770118274508029</v>
      </c>
      <c r="S48" s="19">
        <v>4.0030519430172754E-4</v>
      </c>
      <c r="T48" s="19">
        <v>-1.9468878621749962E-4</v>
      </c>
      <c r="U48" s="19">
        <v>0.27570628092801663</v>
      </c>
      <c r="V48" s="19">
        <v>108.60691637940489</v>
      </c>
      <c r="W48" s="19">
        <v>27.252203565233209</v>
      </c>
      <c r="X48" s="19">
        <v>2.6532078507439751E-4</v>
      </c>
      <c r="Y48" s="19">
        <v>-1.3839222869114804E-4</v>
      </c>
      <c r="Z48">
        <v>0.19171900337861814</v>
      </c>
      <c r="AB48">
        <v>100555.4165126422</v>
      </c>
      <c r="AC48">
        <v>352230.26516288274</v>
      </c>
      <c r="AD48">
        <v>109776.13998312991</v>
      </c>
      <c r="AE48">
        <v>173854.65779340506</v>
      </c>
      <c r="AF48">
        <v>1627582.9602837132</v>
      </c>
      <c r="AG48">
        <v>1778915.1669854282</v>
      </c>
      <c r="AH48">
        <v>8262128.4769116594</v>
      </c>
      <c r="AI48">
        <v>7771512.1377900662</v>
      </c>
      <c r="AK48">
        <v>1.7562447743799993E-3</v>
      </c>
      <c r="AL48">
        <v>8.5543721084964712</v>
      </c>
      <c r="AM48">
        <v>1.4803705455326952</v>
      </c>
      <c r="AN48">
        <v>4.0357482401211229</v>
      </c>
      <c r="AP48" s="134">
        <v>1.7465441796058769E-8</v>
      </c>
      <c r="AQ48" s="134">
        <v>4.9860700458771043E-9</v>
      </c>
      <c r="AR48" s="134">
        <v>7.792560487015743E-5</v>
      </c>
      <c r="AS48" s="134">
        <v>4.9204158330125396E-5</v>
      </c>
      <c r="AT48" s="134">
        <v>9.0955151390540699E-7</v>
      </c>
      <c r="AU48" s="134">
        <v>8.3217602109793109E-7</v>
      </c>
      <c r="AV48" s="134">
        <v>4.8846350566914261E-7</v>
      </c>
      <c r="AW48" s="134">
        <v>5.1930025567311826E-7</v>
      </c>
      <c r="AY48" s="134">
        <v>7.9341085331528042E-5</v>
      </c>
      <c r="AZ48" s="134">
        <v>5.0560620676942328E-5</v>
      </c>
      <c r="BB48">
        <v>4.2019908058393944E-3</v>
      </c>
      <c r="BC48">
        <v>8.5496089987321892E-3</v>
      </c>
      <c r="BD48">
        <v>1.2229257461029094E-2</v>
      </c>
      <c r="BE48">
        <v>1.6900299076408326E-4</v>
      </c>
      <c r="BF48">
        <v>2.5149860256364759E-2</v>
      </c>
      <c r="BG48">
        <v>3.3925561576593925E-2</v>
      </c>
      <c r="BH48">
        <v>8.4527089171713404E-3</v>
      </c>
      <c r="BI48">
        <v>1.2760582353431926E-2</v>
      </c>
      <c r="BJ48">
        <v>1.851472083139194E-4</v>
      </c>
      <c r="BK48">
        <v>5.5324000055511108E-2</v>
      </c>
      <c r="CC48" s="133">
        <f t="shared" si="4"/>
        <v>45</v>
      </c>
      <c r="CJ48" s="127"/>
      <c r="CK48" s="127"/>
      <c r="CL48" s="127"/>
      <c r="CM48" s="127"/>
    </row>
    <row r="49" spans="1:91" x14ac:dyDescent="0.25">
      <c r="A49">
        <v>46</v>
      </c>
      <c r="B49" s="127">
        <v>23</v>
      </c>
      <c r="C49" s="20">
        <v>1.1339549835821426E-6</v>
      </c>
      <c r="D49" s="20">
        <v>1.6913179045076089E-2</v>
      </c>
      <c r="E49" s="20">
        <v>6.3288288463051281E-4</v>
      </c>
      <c r="F49" s="20">
        <v>2.8824016849710386E-2</v>
      </c>
      <c r="G49" s="19">
        <v>449.63141046412534</v>
      </c>
      <c r="H49" s="19">
        <v>80.943293396266981</v>
      </c>
      <c r="I49" s="19">
        <v>8.2579599561187944E-4</v>
      </c>
      <c r="J49" s="19">
        <v>-2.8314096495653111E-4</v>
      </c>
      <c r="K49">
        <v>0.94076182627140548</v>
      </c>
      <c r="L49" s="19">
        <v>343.77085400628823</v>
      </c>
      <c r="M49" s="19">
        <v>79.570329296102315</v>
      </c>
      <c r="N49" s="19">
        <v>8.0984358352273066E-4</v>
      </c>
      <c r="O49" s="19">
        <v>-3.3847580609361967E-4</v>
      </c>
      <c r="P49" s="19">
        <v>0.51910140470401056</v>
      </c>
      <c r="Q49" s="19">
        <v>165.93552570130595</v>
      </c>
      <c r="R49" s="19">
        <v>41.676120902830426</v>
      </c>
      <c r="S49" s="19">
        <v>4.0920086528621038E-4</v>
      </c>
      <c r="T49" s="19">
        <v>-1.9816379119909263E-4</v>
      </c>
      <c r="U49" s="19">
        <v>0.28117517576837026</v>
      </c>
      <c r="V49" s="19">
        <v>111.46045678325717</v>
      </c>
      <c r="W49" s="19">
        <v>27.857808088905063</v>
      </c>
      <c r="X49" s="19">
        <v>2.7121680252049528E-4</v>
      </c>
      <c r="Y49" s="19">
        <v>-1.4129069786407395E-4</v>
      </c>
      <c r="Z49">
        <v>0.19553651553125445</v>
      </c>
      <c r="AB49">
        <v>93183.930132741632</v>
      </c>
      <c r="AC49">
        <v>352741.36425443785</v>
      </c>
      <c r="AD49">
        <v>100647.72206398625</v>
      </c>
      <c r="AE49">
        <v>163135.59123174741</v>
      </c>
      <c r="AF49">
        <v>1492241.5512869149</v>
      </c>
      <c r="AG49">
        <v>1648022.3666551015</v>
      </c>
      <c r="AH49">
        <v>7575092.4629791472</v>
      </c>
      <c r="AI49">
        <v>7105873.3841584949</v>
      </c>
      <c r="AK49">
        <v>1.2164113497606583E-3</v>
      </c>
      <c r="AL49">
        <v>7.257213292885317</v>
      </c>
      <c r="AM49">
        <v>0.58191722277714031</v>
      </c>
      <c r="AN49">
        <v>2.6502836846753133</v>
      </c>
      <c r="AP49" s="134">
        <v>1.305387471882615E-8</v>
      </c>
      <c r="AQ49" s="134">
        <v>3.4484511118555458E-9</v>
      </c>
      <c r="AR49" s="134">
        <v>7.2105092336531801E-5</v>
      </c>
      <c r="AS49" s="134">
        <v>4.4485775532427216E-5</v>
      </c>
      <c r="AT49" s="134">
        <v>3.8996181434251889E-7</v>
      </c>
      <c r="AU49" s="134">
        <v>3.5310031863112694E-7</v>
      </c>
      <c r="AV49" s="134">
        <v>3.4986816301289142E-7</v>
      </c>
      <c r="AW49" s="134">
        <v>3.7297085683847576E-7</v>
      </c>
      <c r="AY49" s="134">
        <v>7.2857976188606048E-5</v>
      </c>
      <c r="AZ49" s="134">
        <v>4.5215295159008678E-5</v>
      </c>
      <c r="BB49">
        <v>4.2020038597141134E-3</v>
      </c>
      <c r="BC49">
        <v>8.6217140910687211E-3</v>
      </c>
      <c r="BD49">
        <v>1.2229647422843435E-2</v>
      </c>
      <c r="BE49">
        <v>1.6935285892709614E-4</v>
      </c>
      <c r="BF49">
        <v>2.5222718232553367E-2</v>
      </c>
      <c r="BG49">
        <v>3.392556502504504E-2</v>
      </c>
      <c r="BH49">
        <v>8.4971946927037672E-3</v>
      </c>
      <c r="BI49">
        <v>1.2760935453750557E-2</v>
      </c>
      <c r="BJ49">
        <v>1.8552017917075787E-4</v>
      </c>
      <c r="BK49">
        <v>5.5369215350670124E-2</v>
      </c>
      <c r="CC49" s="133">
        <f t="shared" si="4"/>
        <v>46</v>
      </c>
      <c r="CJ49" s="127"/>
      <c r="CK49" s="127"/>
      <c r="CL49" s="127"/>
      <c r="CM49" s="127"/>
    </row>
    <row r="50" spans="1:91" x14ac:dyDescent="0.25">
      <c r="A50">
        <v>47</v>
      </c>
      <c r="B50" s="127">
        <v>23.5</v>
      </c>
      <c r="C50" s="20">
        <v>7.8861301898841043E-7</v>
      </c>
      <c r="D50" s="20">
        <v>1.4372446074699253E-2</v>
      </c>
      <c r="E50" s="20">
        <v>2.4545781459225458E-4</v>
      </c>
      <c r="F50" s="20">
        <v>1.8796048362822493E-2</v>
      </c>
      <c r="G50" s="19">
        <v>452.79556061541228</v>
      </c>
      <c r="H50" s="19">
        <v>82.504976875541502</v>
      </c>
      <c r="I50" s="19">
        <v>8.4147378292201457E-4</v>
      </c>
      <c r="J50" s="19">
        <v>-2.8298031725106223E-4</v>
      </c>
      <c r="K50">
        <v>0.95793780623109304</v>
      </c>
      <c r="L50" s="19">
        <v>351.00975760288293</v>
      </c>
      <c r="M50" s="19">
        <v>81.300119063408886</v>
      </c>
      <c r="N50" s="19">
        <v>8.2744887881670305E-4</v>
      </c>
      <c r="O50" s="19">
        <v>-3.432952021689576E-4</v>
      </c>
      <c r="P50" s="19">
        <v>0.52893426241077257</v>
      </c>
      <c r="Q50" s="19">
        <v>170.22787801855785</v>
      </c>
      <c r="R50" s="19">
        <v>42.582123531152831</v>
      </c>
      <c r="S50" s="19">
        <v>4.1809653627069318E-4</v>
      </c>
      <c r="T50" s="19">
        <v>-2.0195868984917043E-4</v>
      </c>
      <c r="U50" s="19">
        <v>0.2866291400052301</v>
      </c>
      <c r="V50" s="19">
        <v>114.29459283164911</v>
      </c>
      <c r="W50" s="19">
        <v>28.463412612576906</v>
      </c>
      <c r="X50" s="19">
        <v>2.7711281996659298E-4</v>
      </c>
      <c r="Y50" s="19">
        <v>-1.4416612979322401E-4</v>
      </c>
      <c r="Z50">
        <v>0.19934545713269594</v>
      </c>
      <c r="AB50">
        <v>86512.3573699064</v>
      </c>
      <c r="AC50">
        <v>353607.26416020608</v>
      </c>
      <c r="AD50">
        <v>92450.836780130252</v>
      </c>
      <c r="AE50">
        <v>153469.99459334754</v>
      </c>
      <c r="AF50">
        <v>1370711.4007691927</v>
      </c>
      <c r="AG50">
        <v>1518356.996762868</v>
      </c>
      <c r="AH50">
        <v>6958166.787362094</v>
      </c>
      <c r="AI50">
        <v>6513567.1118460251</v>
      </c>
      <c r="AK50">
        <v>8.4595759157579545E-4</v>
      </c>
      <c r="AL50">
        <v>6.1670196020866141</v>
      </c>
      <c r="AM50">
        <v>0.22569125069618692</v>
      </c>
      <c r="AN50">
        <v>1.7282414374128812</v>
      </c>
      <c r="AP50" s="134">
        <v>9.7784596015420161E-9</v>
      </c>
      <c r="AQ50" s="134">
        <v>2.3923648559225413E-9</v>
      </c>
      <c r="AR50" s="134">
        <v>6.6705936007407181E-5</v>
      </c>
      <c r="AS50" s="134">
        <v>4.018387840846341E-5</v>
      </c>
      <c r="AT50" s="134">
        <v>1.6465263991350574E-7</v>
      </c>
      <c r="AU50" s="134">
        <v>1.4864175630458442E-7</v>
      </c>
      <c r="AV50" s="134">
        <v>2.4837597175046643E-7</v>
      </c>
      <c r="AW50" s="134">
        <v>2.6532948962324828E-7</v>
      </c>
      <c r="AY50" s="134">
        <v>6.7128743078672689E-5</v>
      </c>
      <c r="AZ50" s="134">
        <v>4.0600242019247163E-5</v>
      </c>
      <c r="BB50">
        <v>4.2020136381737154E-3</v>
      </c>
      <c r="BC50">
        <v>8.6884200270761283E-3</v>
      </c>
      <c r="BD50">
        <v>1.2229812075483348E-2</v>
      </c>
      <c r="BE50">
        <v>1.6960123489884662E-4</v>
      </c>
      <c r="BF50">
        <v>2.5289846975632038E-2</v>
      </c>
      <c r="BG50">
        <v>3.3925567417409895E-2</v>
      </c>
      <c r="BH50">
        <v>8.5373785711122304E-3</v>
      </c>
      <c r="BI50">
        <v>1.2761084095506862E-2</v>
      </c>
      <c r="BJ50">
        <v>1.8578550866038112E-4</v>
      </c>
      <c r="BK50">
        <v>5.5409815592689364E-2</v>
      </c>
      <c r="CC50" s="133">
        <f t="shared" si="4"/>
        <v>47</v>
      </c>
      <c r="CJ50" s="127"/>
      <c r="CK50" s="127"/>
      <c r="CL50" s="127"/>
      <c r="CM50" s="127"/>
    </row>
    <row r="51" spans="1:91" x14ac:dyDescent="0.25">
      <c r="A51">
        <v>48</v>
      </c>
      <c r="B51" s="127">
        <v>24</v>
      </c>
      <c r="C51" s="20">
        <v>5.506360847713136E-7</v>
      </c>
      <c r="D51" s="20">
        <v>1.2233374459176372E-2</v>
      </c>
      <c r="E51" s="20">
        <v>9.485440416665839E-5</v>
      </c>
      <c r="F51" s="20">
        <v>1.2178740465265955E-2</v>
      </c>
      <c r="G51" s="19">
        <v>455.86326155568821</v>
      </c>
      <c r="H51" s="19">
        <v>84.059141740290471</v>
      </c>
      <c r="I51" s="19">
        <v>8.5706569701819626E-4</v>
      </c>
      <c r="J51" s="19">
        <v>-2.8275812529084826E-4</v>
      </c>
      <c r="K51">
        <v>0.97503509271180011</v>
      </c>
      <c r="L51" s="19">
        <v>358.26766957124028</v>
      </c>
      <c r="M51" s="19">
        <v>83.029908830715456</v>
      </c>
      <c r="N51" s="19">
        <v>8.4505417411067545E-4</v>
      </c>
      <c r="O51" s="19">
        <v>-3.4762666383304709E-4</v>
      </c>
      <c r="P51" s="19">
        <v>0.53873073875775934</v>
      </c>
      <c r="Q51" s="19">
        <v>174.50641334467869</v>
      </c>
      <c r="R51" s="19">
        <v>43.488126159475236</v>
      </c>
      <c r="S51" s="19">
        <v>4.2699220725517608E-4</v>
      </c>
      <c r="T51" s="19">
        <v>-2.0572614712000459E-4</v>
      </c>
      <c r="U51" s="19">
        <v>0.29206837413711156</v>
      </c>
      <c r="V51" s="19">
        <v>117.10736549891226</v>
      </c>
      <c r="W51" s="19">
        <v>29.069017136248764</v>
      </c>
      <c r="X51" s="19">
        <v>2.830088374126908E-4</v>
      </c>
      <c r="Y51" s="19">
        <v>-1.4701684613829645E-4</v>
      </c>
      <c r="Z51">
        <v>0.20314594744052758</v>
      </c>
      <c r="AB51">
        <v>80460.50005165716</v>
      </c>
      <c r="AC51">
        <v>354809.20932297426</v>
      </c>
      <c r="AD51">
        <v>85073.538614446559</v>
      </c>
      <c r="AE51">
        <v>145378.29802456594</v>
      </c>
      <c r="AF51">
        <v>1261332.761756704</v>
      </c>
      <c r="AG51">
        <v>1401836.8754823206</v>
      </c>
      <c r="AH51">
        <v>6402926.0468265694</v>
      </c>
      <c r="AI51">
        <v>5985248.7965571266</v>
      </c>
      <c r="AK51">
        <v>5.9067599049453636E-4</v>
      </c>
      <c r="AL51">
        <v>5.2491732929312871</v>
      </c>
      <c r="AM51">
        <v>8.7215838477078408E-2</v>
      </c>
      <c r="AN51">
        <v>1.1197994132213984</v>
      </c>
      <c r="AP51" s="134">
        <v>7.3411921391901765E-9</v>
      </c>
      <c r="AQ51" s="134">
        <v>1.6647707414968991E-9</v>
      </c>
      <c r="AR51" s="134">
        <v>6.1701598151694975E-5</v>
      </c>
      <c r="AS51" s="134">
        <v>3.6106993714043102E-5</v>
      </c>
      <c r="AT51" s="134">
        <v>6.9145780654749452E-8</v>
      </c>
      <c r="AU51" s="134">
        <v>6.2215397527669288E-8</v>
      </c>
      <c r="AV51" s="134">
        <v>1.7488870010866291E-7</v>
      </c>
      <c r="AW51" s="134">
        <v>1.8709321053880612E-7</v>
      </c>
      <c r="AY51" s="134">
        <v>6.1952973824597573E-5</v>
      </c>
      <c r="AZ51" s="134">
        <v>3.635796709285107E-5</v>
      </c>
      <c r="BB51">
        <v>4.2020209793658548E-3</v>
      </c>
      <c r="BC51">
        <v>8.750121625227824E-3</v>
      </c>
      <c r="BD51">
        <v>1.2229881221264003E-2</v>
      </c>
      <c r="BE51">
        <v>1.6977612359895527E-4</v>
      </c>
      <c r="BF51">
        <v>2.5351799949456636E-2</v>
      </c>
      <c r="BG51">
        <v>3.392556908218064E-2</v>
      </c>
      <c r="BH51">
        <v>8.573485564826273E-3</v>
      </c>
      <c r="BI51">
        <v>1.276114631090439E-2</v>
      </c>
      <c r="BJ51">
        <v>1.8597260187091993E-4</v>
      </c>
      <c r="BK51">
        <v>5.5446173559782222E-2</v>
      </c>
      <c r="CC51" s="133">
        <f t="shared" si="4"/>
        <v>48</v>
      </c>
      <c r="CJ51" s="127"/>
      <c r="CK51" s="127"/>
      <c r="CL51" s="127"/>
      <c r="CM51" s="127"/>
    </row>
    <row r="52" spans="1:91" x14ac:dyDescent="0.25">
      <c r="A52">
        <v>49</v>
      </c>
      <c r="B52" s="127">
        <v>24.5</v>
      </c>
      <c r="C52" s="20">
        <v>3.8597480108420847E-7</v>
      </c>
      <c r="D52" s="20">
        <v>1.0429382302211828E-2</v>
      </c>
      <c r="E52" s="20">
        <v>3.7018608790161658E-5</v>
      </c>
      <c r="F52" s="20">
        <v>7.8454880423093325E-3</v>
      </c>
      <c r="G52" s="19">
        <v>458.83857961348298</v>
      </c>
      <c r="H52" s="19">
        <v>85.605838570073615</v>
      </c>
      <c r="I52" s="19">
        <v>8.725723455564803E-4</v>
      </c>
      <c r="J52" s="19">
        <v>-2.8247818438047824E-4</v>
      </c>
      <c r="K52">
        <v>0.99205528479804406</v>
      </c>
      <c r="L52" s="19">
        <v>365.484799410324</v>
      </c>
      <c r="M52" s="19">
        <v>84.759698598022027</v>
      </c>
      <c r="N52" s="19">
        <v>8.6265946940464774E-4</v>
      </c>
      <c r="O52" s="19">
        <v>-3.5190496535771179E-4</v>
      </c>
      <c r="P52" s="19">
        <v>0.54849143403218359</v>
      </c>
      <c r="Q52" s="19">
        <v>178.77142972129258</v>
      </c>
      <c r="R52" s="19">
        <v>44.394128787797627</v>
      </c>
      <c r="S52" s="19">
        <v>4.3588787823965882E-4</v>
      </c>
      <c r="T52" s="19">
        <v>-2.0938943891661934E-4</v>
      </c>
      <c r="U52" s="19">
        <v>0.29749307239127798</v>
      </c>
      <c r="V52" s="19">
        <v>119.89713669886449</v>
      </c>
      <c r="W52" s="19">
        <v>29.674621659920614</v>
      </c>
      <c r="X52" s="19">
        <v>2.889048548587885E-4</v>
      </c>
      <c r="Y52" s="19">
        <v>-1.4984146388536976E-4</v>
      </c>
      <c r="Z52">
        <v>0.20693810086129671</v>
      </c>
      <c r="AB52">
        <v>74958.824654667755</v>
      </c>
      <c r="AC52">
        <v>356330.71823704842</v>
      </c>
      <c r="AD52">
        <v>78419.283347200399</v>
      </c>
      <c r="AE52">
        <v>137895.5917093727</v>
      </c>
      <c r="AF52">
        <v>1162674.2327902787</v>
      </c>
      <c r="AG52">
        <v>1298923.1826772792</v>
      </c>
      <c r="AH52">
        <v>5902103.9925568262</v>
      </c>
      <c r="AI52">
        <v>5512870.8286374118</v>
      </c>
      <c r="AK52">
        <v>4.1404124110578787E-4</v>
      </c>
      <c r="AL52">
        <v>4.4751049863821768</v>
      </c>
      <c r="AM52">
        <v>3.4037523436616139E-2</v>
      </c>
      <c r="AN52">
        <v>0.72136958097346537</v>
      </c>
      <c r="AP52" s="134">
        <v>5.5235823535555552E-9</v>
      </c>
      <c r="AQ52" s="134">
        <v>1.1619577541736034E-9</v>
      </c>
      <c r="AR52" s="134">
        <v>5.7066384636144982E-5</v>
      </c>
      <c r="AS52" s="134">
        <v>3.2452850239142242E-5</v>
      </c>
      <c r="AT52" s="134">
        <v>2.9275202353913153E-8</v>
      </c>
      <c r="AU52" s="134">
        <v>2.6204416004385726E-8</v>
      </c>
      <c r="AV52" s="134">
        <v>1.2222244506081024E-7</v>
      </c>
      <c r="AW52" s="134">
        <v>1.3085189248879293E-7</v>
      </c>
      <c r="AY52" s="134">
        <v>5.7223405865913263E-5</v>
      </c>
      <c r="AZ52" s="134">
        <v>3.2611068505389597E-5</v>
      </c>
      <c r="BB52">
        <v>4.2020265029482085E-3</v>
      </c>
      <c r="BC52">
        <v>8.8071880098639695E-3</v>
      </c>
      <c r="BD52">
        <v>1.2229910496466358E-2</v>
      </c>
      <c r="BE52">
        <v>1.6989834604401609E-4</v>
      </c>
      <c r="BF52">
        <v>2.5409023355322552E-2</v>
      </c>
      <c r="BG52">
        <v>3.3925570244138392E-2</v>
      </c>
      <c r="BH52">
        <v>8.6059384150654148E-3</v>
      </c>
      <c r="BI52">
        <v>1.2761172515320395E-2</v>
      </c>
      <c r="BJ52">
        <v>1.8610345376340873E-4</v>
      </c>
      <c r="BK52">
        <v>5.5478784628287606E-2</v>
      </c>
      <c r="CC52" s="133">
        <f t="shared" si="4"/>
        <v>49</v>
      </c>
      <c r="CJ52" s="127"/>
      <c r="CK52" s="127"/>
      <c r="CL52" s="127"/>
      <c r="CM52" s="127"/>
    </row>
    <row r="53" spans="1:91" x14ac:dyDescent="0.25">
      <c r="A53">
        <v>50</v>
      </c>
      <c r="B53" s="127">
        <v>25</v>
      </c>
      <c r="C53" s="20">
        <v>2.7158690278083494E-7</v>
      </c>
      <c r="D53" s="20">
        <v>8.9054201592180977E-3</v>
      </c>
      <c r="E53" s="20">
        <v>1.484674393575485E-5</v>
      </c>
      <c r="F53" s="20">
        <v>5.0275639666005631E-3</v>
      </c>
      <c r="G53" s="19">
        <v>461.72536332228617</v>
      </c>
      <c r="H53" s="19">
        <v>87.145117507811449</v>
      </c>
      <c r="I53" s="19">
        <v>8.8799433080348554E-4</v>
      </c>
      <c r="J53" s="19">
        <v>-2.8214405081830119E-4</v>
      </c>
      <c r="K53">
        <v>1.0089999229779081</v>
      </c>
      <c r="L53" s="19">
        <v>372.65596817709582</v>
      </c>
      <c r="M53" s="19">
        <v>86.489488365328597</v>
      </c>
      <c r="N53" s="19">
        <v>8.8026476469862025E-4</v>
      </c>
      <c r="O53" s="19">
        <v>-3.5612960566946429E-4</v>
      </c>
      <c r="P53" s="19">
        <v>0.55821693116348259</v>
      </c>
      <c r="Q53" s="19">
        <v>183.01697627281382</v>
      </c>
      <c r="R53" s="19">
        <v>45.300131416120031</v>
      </c>
      <c r="S53" s="19">
        <v>4.4478354922414172E-4</v>
      </c>
      <c r="T53" s="19">
        <v>-2.1298180043672612E-4</v>
      </c>
      <c r="U53" s="19">
        <v>0.3029034231112398</v>
      </c>
      <c r="V53" s="19">
        <v>122.66254597404506</v>
      </c>
      <c r="W53" s="19">
        <v>30.28022618359245</v>
      </c>
      <c r="X53" s="19">
        <v>2.948008723048861E-4</v>
      </c>
      <c r="Y53" s="19">
        <v>-1.5263885478073531E-4</v>
      </c>
      <c r="Z53">
        <v>0.21072202730413486</v>
      </c>
      <c r="AB53">
        <v>69946.858221095012</v>
      </c>
      <c r="AC53">
        <v>358157.30340744503</v>
      </c>
      <c r="AD53">
        <v>72404.551560250868</v>
      </c>
      <c r="AE53">
        <v>130966.79133871167</v>
      </c>
      <c r="AF53">
        <v>1073497.523091611</v>
      </c>
      <c r="AG53">
        <v>1206892.2928050449</v>
      </c>
      <c r="AH53">
        <v>5449414.6669385536</v>
      </c>
      <c r="AI53">
        <v>5089496.9752235264</v>
      </c>
      <c r="AK53">
        <v>2.9133554309655806E-4</v>
      </c>
      <c r="AL53">
        <v>3.8211937203503838</v>
      </c>
      <c r="AM53">
        <v>1.3651144956182115E-2</v>
      </c>
      <c r="AN53">
        <v>0.4622697392878069</v>
      </c>
      <c r="AP53" s="134">
        <v>4.1650983404526271E-9</v>
      </c>
      <c r="AQ53" s="134">
        <v>8.134290165936682E-10</v>
      </c>
      <c r="AR53" s="134">
        <v>5.2775600953354546E-5</v>
      </c>
      <c r="AS53" s="134">
        <v>2.9176814070888065E-5</v>
      </c>
      <c r="AT53" s="134">
        <v>1.2716512765551247E-8</v>
      </c>
      <c r="AU53" s="134">
        <v>1.1310988592407267E-8</v>
      </c>
      <c r="AV53" s="134">
        <v>8.4829246357849123E-8</v>
      </c>
      <c r="AW53" s="134">
        <v>9.0828178410992067E-8</v>
      </c>
      <c r="AY53" s="134">
        <v>5.2877311810818392E-5</v>
      </c>
      <c r="AZ53" s="134">
        <v>2.9279766666908061E-5</v>
      </c>
      <c r="BB53">
        <v>4.2020306680465493E-3</v>
      </c>
      <c r="BC53">
        <v>8.859963610817324E-3</v>
      </c>
      <c r="BD53">
        <v>1.2229923212979124E-2</v>
      </c>
      <c r="BE53">
        <v>1.6998317529037395E-4</v>
      </c>
      <c r="BF53">
        <v>2.5461900667133372E-2</v>
      </c>
      <c r="BG53">
        <v>3.3925571057567411E-2</v>
      </c>
      <c r="BH53">
        <v>8.6351152291363024E-3</v>
      </c>
      <c r="BI53">
        <v>1.2761183826308987E-2</v>
      </c>
      <c r="BJ53">
        <v>1.8619428194181973E-4</v>
      </c>
      <c r="BK53">
        <v>5.5508064394954523E-2</v>
      </c>
      <c r="CC53" s="133">
        <f t="shared" si="4"/>
        <v>50</v>
      </c>
      <c r="CJ53" s="127"/>
      <c r="CK53" s="127"/>
      <c r="CL53" s="127"/>
      <c r="CM53" s="127"/>
    </row>
    <row r="54" spans="1:91" x14ac:dyDescent="0.25">
      <c r="A54">
        <v>51</v>
      </c>
      <c r="B54" s="127">
        <v>25.5</v>
      </c>
      <c r="C54" s="20">
        <v>1.9181270508546093E-7</v>
      </c>
      <c r="D54" s="20">
        <v>7.6158910757205649E-3</v>
      </c>
      <c r="E54" s="20">
        <v>6.2396122782658661E-6</v>
      </c>
      <c r="F54" s="20">
        <v>3.2065348562229918E-3</v>
      </c>
      <c r="G54" s="19">
        <v>464.52725751027327</v>
      </c>
      <c r="H54" s="19">
        <v>88.677028264382983</v>
      </c>
      <c r="I54" s="19">
        <v>9.0333224969410119E-4</v>
      </c>
      <c r="J54" s="19">
        <v>-2.8175905882934875E-4</v>
      </c>
      <c r="K54">
        <v>1.0258704920751371</v>
      </c>
      <c r="L54" s="19">
        <v>379.77677514366923</v>
      </c>
      <c r="M54" s="19">
        <v>88.219278132635168</v>
      </c>
      <c r="N54" s="19">
        <v>8.9787005999259254E-4</v>
      </c>
      <c r="O54" s="19">
        <v>-3.60300303042403E-4</v>
      </c>
      <c r="P54" s="19">
        <v>0.56790779646313971</v>
      </c>
      <c r="Q54" s="19">
        <v>187.23725286763505</v>
      </c>
      <c r="R54" s="19">
        <v>46.206134044442422</v>
      </c>
      <c r="S54" s="19">
        <v>4.5367922020862441E-4</v>
      </c>
      <c r="T54" s="19">
        <v>-2.1654622007366326E-4</v>
      </c>
      <c r="U54" s="19">
        <v>0.30829960910840953</v>
      </c>
      <c r="V54" s="19">
        <v>125.27086813348662</v>
      </c>
      <c r="W54" s="19">
        <v>30.885830707264301</v>
      </c>
      <c r="X54" s="19">
        <v>3.0069688975098381E-4</v>
      </c>
      <c r="Y54" s="19">
        <v>-1.5528072884210715E-4</v>
      </c>
      <c r="Z54">
        <v>0.21449783250069054</v>
      </c>
      <c r="AB54">
        <v>65371.852202326219</v>
      </c>
      <c r="AC54">
        <v>360276.23216231534</v>
      </c>
      <c r="AD54">
        <v>66956.8770764254</v>
      </c>
      <c r="AE54">
        <v>124542.30453816656</v>
      </c>
      <c r="AF54">
        <v>992728.22145275562</v>
      </c>
      <c r="AG54">
        <v>1123387.182794461</v>
      </c>
      <c r="AH54">
        <v>5039404.017150024</v>
      </c>
      <c r="AI54">
        <v>4725853.1813786533</v>
      </c>
      <c r="AK54">
        <v>2.057605062567697E-4</v>
      </c>
      <c r="AL54">
        <v>3.267874466685591</v>
      </c>
      <c r="AM54">
        <v>5.7371402140135577E-3</v>
      </c>
      <c r="AN54">
        <v>0.29483146148923667</v>
      </c>
      <c r="AP54" s="134">
        <v>3.1475397946495361E-9</v>
      </c>
      <c r="AQ54" s="134">
        <v>5.7111873581510195E-10</v>
      </c>
      <c r="AR54" s="134">
        <v>4.88056583486652E-5</v>
      </c>
      <c r="AS54" s="134">
        <v>2.6239071766045056E-5</v>
      </c>
      <c r="AT54" s="134">
        <v>5.7791650222432916E-9</v>
      </c>
      <c r="AU54" s="134">
        <v>5.1070016659280736E-9</v>
      </c>
      <c r="AV54" s="134">
        <v>5.8505224126875059E-8</v>
      </c>
      <c r="AW54" s="134">
        <v>6.2386927856956138E-8</v>
      </c>
      <c r="AY54" s="134">
        <v>4.8873090277608967E-5</v>
      </c>
      <c r="AZ54" s="134">
        <v>2.6307136814303756E-5</v>
      </c>
      <c r="BB54">
        <v>4.2020338155863441E-3</v>
      </c>
      <c r="BC54">
        <v>8.9087692691659885E-3</v>
      </c>
      <c r="BD54">
        <v>1.2229928992144146E-2</v>
      </c>
      <c r="BE54">
        <v>1.7004168051450082E-4</v>
      </c>
      <c r="BF54">
        <v>2.5510773757410982E-2</v>
      </c>
      <c r="BG54">
        <v>3.3925571628686146E-2</v>
      </c>
      <c r="BH54">
        <v>8.6613543009023478E-3</v>
      </c>
      <c r="BI54">
        <v>1.2761188933310652E-2</v>
      </c>
      <c r="BJ54">
        <v>1.862566688696767E-4</v>
      </c>
      <c r="BK54">
        <v>5.5534371531768822E-2</v>
      </c>
      <c r="CC54" s="133">
        <f t="shared" si="4"/>
        <v>51</v>
      </c>
      <c r="CJ54" s="127"/>
      <c r="CK54" s="127"/>
      <c r="CL54" s="127"/>
      <c r="CM54" s="127"/>
    </row>
    <row r="55" spans="1:91" x14ac:dyDescent="0.25">
      <c r="A55">
        <v>52</v>
      </c>
      <c r="B55" s="127">
        <v>26</v>
      </c>
      <c r="C55" s="20">
        <v>1.3596550303513534E-7</v>
      </c>
      <c r="D55" s="20">
        <v>6.5229598973204515E-3</v>
      </c>
      <c r="E55" s="20">
        <v>2.7937122528741105E-6</v>
      </c>
      <c r="F55" s="20">
        <v>2.0363856355909028E-3</v>
      </c>
      <c r="G55" s="19">
        <v>467.24771632533367</v>
      </c>
      <c r="H55" s="19">
        <v>90.201620123168354</v>
      </c>
      <c r="I55" s="19">
        <v>9.1858669388849971E-4</v>
      </c>
      <c r="J55" s="19">
        <v>-2.8132633614174257E-4</v>
      </c>
      <c r="K55">
        <v>1.0426684239975232</v>
      </c>
      <c r="L55" s="19">
        <v>386.94487401531086</v>
      </c>
      <c r="M55" s="19">
        <v>89.949067899941738</v>
      </c>
      <c r="N55" s="19">
        <v>9.1547535528656505E-4</v>
      </c>
      <c r="O55" s="19">
        <v>-3.643307474925975E-4</v>
      </c>
      <c r="P55" s="19">
        <v>0.57756458031861335</v>
      </c>
      <c r="Q55" s="19">
        <v>191.42966305658223</v>
      </c>
      <c r="R55" s="19">
        <v>47.112136672764827</v>
      </c>
      <c r="S55" s="19">
        <v>4.6257489119310731E-4</v>
      </c>
      <c r="T55" s="19">
        <v>-2.2008106626429202E-4</v>
      </c>
      <c r="U55" s="19">
        <v>0.31368180798202056</v>
      </c>
      <c r="V55" s="19">
        <v>127.62680040614028</v>
      </c>
      <c r="W55" s="19">
        <v>31.491435230936151</v>
      </c>
      <c r="X55" s="19">
        <v>3.0659290719708157E-4</v>
      </c>
      <c r="Y55" s="19">
        <v>-1.5773155146126826E-4</v>
      </c>
      <c r="Z55">
        <v>0.2182656182951504</v>
      </c>
      <c r="AB55">
        <v>61187.665219605151</v>
      </c>
      <c r="AC55">
        <v>362676.32165601046</v>
      </c>
      <c r="AD55">
        <v>62013.205066741772</v>
      </c>
      <c r="AE55">
        <v>118698.74433741932</v>
      </c>
      <c r="AF55">
        <v>919431.45290697552</v>
      </c>
      <c r="AG55">
        <v>1047492.4563312108</v>
      </c>
      <c r="AH55">
        <v>4667326.3206852442</v>
      </c>
      <c r="AI55">
        <v>4416719.7537421398</v>
      </c>
      <c r="AK55">
        <v>1.4585233405420734E-4</v>
      </c>
      <c r="AL55">
        <v>2.798912679256087</v>
      </c>
      <c r="AM55">
        <v>2.5687363569329032E-3</v>
      </c>
      <c r="AN55">
        <v>0.18723967772617939</v>
      </c>
      <c r="AP55" s="134">
        <v>2.3836885020982098E-9</v>
      </c>
      <c r="AQ55" s="134">
        <v>4.0215565600818207E-10</v>
      </c>
      <c r="AR55" s="134">
        <v>4.5134139998791462E-5</v>
      </c>
      <c r="AS55" s="134">
        <v>2.3579968725698985E-5</v>
      </c>
      <c r="AT55" s="134">
        <v>2.7938312843347961E-9</v>
      </c>
      <c r="AU55" s="134">
        <v>2.4522719389596105E-9</v>
      </c>
      <c r="AV55" s="134">
        <v>4.0117117351822396E-8</v>
      </c>
      <c r="AW55" s="134">
        <v>4.2393379740142544E-8</v>
      </c>
      <c r="AY55" s="134">
        <v>4.5179434635929714E-5</v>
      </c>
      <c r="AZ55" s="134">
        <v>2.3625216533034096E-5</v>
      </c>
      <c r="BB55">
        <v>4.2020361992748459E-3</v>
      </c>
      <c r="BC55">
        <v>8.9539034091647794E-3</v>
      </c>
      <c r="BD55">
        <v>1.222993178597543E-2</v>
      </c>
      <c r="BE55">
        <v>1.7008179763185264E-4</v>
      </c>
      <c r="BF55">
        <v>2.5555953192046905E-2</v>
      </c>
      <c r="BG55">
        <v>3.3925572030841802E-2</v>
      </c>
      <c r="BH55">
        <v>8.6849342696280474E-3</v>
      </c>
      <c r="BI55">
        <v>1.2761191385582592E-2</v>
      </c>
      <c r="BJ55">
        <v>1.8629906224941684E-4</v>
      </c>
      <c r="BK55">
        <v>5.5557996748301856E-2</v>
      </c>
      <c r="CC55" s="133">
        <f t="shared" si="4"/>
        <v>52</v>
      </c>
      <c r="CJ55" s="127"/>
      <c r="CK55" s="127"/>
      <c r="CL55" s="127"/>
      <c r="CM55" s="127"/>
    </row>
    <row r="56" spans="1:91" x14ac:dyDescent="0.25">
      <c r="A56">
        <v>53</v>
      </c>
      <c r="B56" s="127">
        <v>26.5</v>
      </c>
      <c r="C56" s="20">
        <v>9.6722626698470732E-8</v>
      </c>
      <c r="D56" s="20">
        <v>5.5951765210824683E-3</v>
      </c>
      <c r="E56" s="20">
        <v>1.3423155656182128E-6</v>
      </c>
      <c r="F56" s="20">
        <v>1.2883114029161587E-3</v>
      </c>
      <c r="G56" s="19">
        <v>469.89001528716432</v>
      </c>
      <c r="H56" s="19">
        <v>91.718941944531309</v>
      </c>
      <c r="I56" s="19">
        <v>9.3375824982839053E-4</v>
      </c>
      <c r="J56" s="19">
        <v>-2.80848818328377E-4</v>
      </c>
      <c r="K56">
        <v>1.0593951003154836</v>
      </c>
      <c r="L56" s="19">
        <v>394.17593760041871</v>
      </c>
      <c r="M56" s="19">
        <v>91.678857667248309</v>
      </c>
      <c r="N56" s="19">
        <v>9.3308065058053734E-4</v>
      </c>
      <c r="O56" s="19">
        <v>-3.6821022043053461E-4</v>
      </c>
      <c r="P56" s="19">
        <v>0.58718781784542251</v>
      </c>
      <c r="Q56" s="19">
        <v>195.59199670718391</v>
      </c>
      <c r="R56" s="19">
        <v>48.018139301087231</v>
      </c>
      <c r="S56" s="19">
        <v>4.7147056217759022E-4</v>
      </c>
      <c r="T56" s="19">
        <v>-2.2358498307089485E-4</v>
      </c>
      <c r="U56" s="19">
        <v>0.31905019241087995</v>
      </c>
      <c r="V56" s="19">
        <v>129.97655773130643</v>
      </c>
      <c r="W56" s="19">
        <v>32.097039754607998</v>
      </c>
      <c r="X56" s="19">
        <v>3.1248892464317922E-4</v>
      </c>
      <c r="Y56" s="19">
        <v>-1.6018310017610211E-4</v>
      </c>
      <c r="Z56">
        <v>0.22202548290766028</v>
      </c>
      <c r="AB56">
        <v>57353.825443382069</v>
      </c>
      <c r="AC56">
        <v>365347.76260073745</v>
      </c>
      <c r="AD56">
        <v>57518.519670951784</v>
      </c>
      <c r="AE56">
        <v>113389.81931588122</v>
      </c>
      <c r="AF56">
        <v>852791.53130699799</v>
      </c>
      <c r="AG56">
        <v>978398.82316342578</v>
      </c>
      <c r="AH56">
        <v>4329040.8953731302</v>
      </c>
      <c r="AI56">
        <v>4132034.7652226663</v>
      </c>
      <c r="AK56">
        <v>1.0375588325650697E-4</v>
      </c>
      <c r="AL56">
        <v>2.4008135499908221</v>
      </c>
      <c r="AM56">
        <v>1.2342197348109755E-3</v>
      </c>
      <c r="AN56">
        <v>0.11845644934682882</v>
      </c>
      <c r="AP56" s="134">
        <v>1.8090490469363997E-9</v>
      </c>
      <c r="AQ56" s="134">
        <v>2.8399211348091484E-10</v>
      </c>
      <c r="AR56" s="134">
        <v>4.1739835512548661E-5</v>
      </c>
      <c r="AS56" s="134">
        <v>2.1173096178084901E-5</v>
      </c>
      <c r="AT56" s="134">
        <v>1.4472701586510789E-9</v>
      </c>
      <c r="AU56" s="134">
        <v>1.2614689486444926E-9</v>
      </c>
      <c r="AV56" s="134">
        <v>2.7363208666712949E-8</v>
      </c>
      <c r="AW56" s="134">
        <v>2.8667824952446997E-8</v>
      </c>
      <c r="AY56" s="134">
        <v>4.1770455040420961E-5</v>
      </c>
      <c r="AZ56" s="134">
        <v>2.1203309464099471E-5</v>
      </c>
      <c r="BB56">
        <v>4.2020380083238927E-3</v>
      </c>
      <c r="BC56">
        <v>8.9956432446773281E-3</v>
      </c>
      <c r="BD56">
        <v>1.2229933233245588E-2</v>
      </c>
      <c r="BE56">
        <v>1.7010916084051936E-4</v>
      </c>
      <c r="BF56">
        <v>2.5597723647087327E-2</v>
      </c>
      <c r="BG56">
        <v>3.3925572314833917E-2</v>
      </c>
      <c r="BH56">
        <v>8.706107365806133E-3</v>
      </c>
      <c r="BI56">
        <v>1.276119264705154E-2</v>
      </c>
      <c r="BJ56">
        <v>1.8632773007436928E-4</v>
      </c>
      <c r="BK56">
        <v>5.5579200057765961E-2</v>
      </c>
      <c r="CC56" s="133">
        <f t="shared" si="4"/>
        <v>53</v>
      </c>
      <c r="CJ56" s="127"/>
      <c r="CK56" s="127"/>
      <c r="CL56" s="127"/>
      <c r="CM56" s="127"/>
    </row>
    <row r="57" spans="1:91" x14ac:dyDescent="0.25">
      <c r="A57">
        <v>54</v>
      </c>
      <c r="B57" s="127">
        <v>27</v>
      </c>
      <c r="C57" s="20">
        <v>6.9046488078788535E-8</v>
      </c>
      <c r="D57" s="20">
        <v>4.806352774608111E-3</v>
      </c>
      <c r="E57" s="20">
        <v>6.8884395522960762E-7</v>
      </c>
      <c r="F57" s="20">
        <v>8.1226409526693284E-4</v>
      </c>
      <c r="G57" s="19">
        <v>472.45726244933229</v>
      </c>
      <c r="H57" s="19">
        <v>93.229042170250722</v>
      </c>
      <c r="I57" s="19">
        <v>9.4884749879262185E-4</v>
      </c>
      <c r="J57" s="19">
        <v>-2.8032926202352804E-4</v>
      </c>
      <c r="K57">
        <v>1.0760518546834728</v>
      </c>
      <c r="L57" s="19">
        <v>401.35675269141535</v>
      </c>
      <c r="M57" s="19">
        <v>93.408647434554879</v>
      </c>
      <c r="N57" s="19">
        <v>9.5068594587450984E-4</v>
      </c>
      <c r="O57" s="19">
        <v>-3.7203435067979096E-4</v>
      </c>
      <c r="P57" s="19">
        <v>0.59677802950099301</v>
      </c>
      <c r="Q57" s="19">
        <v>199.7223819509741</v>
      </c>
      <c r="R57" s="19">
        <v>48.924141929409622</v>
      </c>
      <c r="S57" s="19">
        <v>4.8036623316207296E-4</v>
      </c>
      <c r="T57" s="19">
        <v>-2.2705685479758954E-4</v>
      </c>
      <c r="U57" s="19">
        <v>0.32440493042005569</v>
      </c>
      <c r="V57" s="19">
        <v>132.31819569025672</v>
      </c>
      <c r="W57" s="19">
        <v>32.702644278279848</v>
      </c>
      <c r="X57" s="19">
        <v>3.1838494208927704E-4</v>
      </c>
      <c r="Y57" s="19">
        <v>-1.6263275679554188E-4</v>
      </c>
      <c r="Z57">
        <v>0.22577752117402439</v>
      </c>
      <c r="AB57">
        <v>53834.740938608993</v>
      </c>
      <c r="AC57">
        <v>368281.96722976095</v>
      </c>
      <c r="AD57">
        <v>53424.692837959679</v>
      </c>
      <c r="AE57">
        <v>108439.96053409475</v>
      </c>
      <c r="AF57">
        <v>792094.8917935841</v>
      </c>
      <c r="AG57">
        <v>915390.79222345748</v>
      </c>
      <c r="AH57">
        <v>4020925.4591626069</v>
      </c>
      <c r="AI57">
        <v>3869808.0632113609</v>
      </c>
      <c r="AK57">
        <v>7.4067253970552604E-5</v>
      </c>
      <c r="AL57">
        <v>2.0623400930848059</v>
      </c>
      <c r="AM57">
        <v>6.3337178345098841E-4</v>
      </c>
      <c r="AN57">
        <v>7.4685297700106512E-2</v>
      </c>
      <c r="AP57" s="134">
        <v>1.3758263284858372E-9</v>
      </c>
      <c r="AQ57" s="134">
        <v>2.0111561401632269E-10</v>
      </c>
      <c r="AR57" s="134">
        <v>3.8602750592128023E-5</v>
      </c>
      <c r="AS57" s="134">
        <v>1.9018266724990029E-5</v>
      </c>
      <c r="AT57" s="134">
        <v>7.9961604349803319E-10</v>
      </c>
      <c r="AU57" s="134">
        <v>6.9191408612768203E-10</v>
      </c>
      <c r="AV57" s="134">
        <v>1.8574156238066741E-8</v>
      </c>
      <c r="AW57" s="134">
        <v>1.9299483716029291E-8</v>
      </c>
      <c r="AY57" s="134">
        <v>3.8623500190738078E-5</v>
      </c>
      <c r="AZ57" s="134">
        <v>1.9038459238406204E-5</v>
      </c>
      <c r="BB57">
        <v>4.2020393841502215E-3</v>
      </c>
      <c r="BC57">
        <v>9.0342459952694569E-3</v>
      </c>
      <c r="BD57">
        <v>1.2229934032861631E-2</v>
      </c>
      <c r="BE57">
        <v>1.7012773499675742E-4</v>
      </c>
      <c r="BF57">
        <v>2.5636347147278069E-2</v>
      </c>
      <c r="BG57">
        <v>3.3925572515949534E-2</v>
      </c>
      <c r="BH57">
        <v>8.7251256325311232E-3</v>
      </c>
      <c r="BI57">
        <v>1.2761193338965627E-2</v>
      </c>
      <c r="BJ57">
        <v>1.8634702955808532E-4</v>
      </c>
      <c r="BK57">
        <v>5.5598238517004371E-2</v>
      </c>
      <c r="CC57" s="133">
        <f t="shared" si="4"/>
        <v>54</v>
      </c>
      <c r="CJ57" s="127"/>
      <c r="CK57" s="127"/>
      <c r="CL57" s="127"/>
      <c r="CM57" s="127"/>
    </row>
    <row r="58" spans="1:91" x14ac:dyDescent="0.25">
      <c r="A58">
        <v>55</v>
      </c>
      <c r="B58" s="127">
        <v>27.5</v>
      </c>
      <c r="C58" s="20">
        <v>4.9457986872646788E-8</v>
      </c>
      <c r="D58" s="20">
        <v>4.1346445547695947E-3</v>
      </c>
      <c r="E58" s="20">
        <v>3.7259283521759841E-7</v>
      </c>
      <c r="F58" s="20">
        <v>5.1057244020002177E-4</v>
      </c>
      <c r="G58" s="19">
        <v>474.95240874629371</v>
      </c>
      <c r="H58" s="19">
        <v>94.731968827893823</v>
      </c>
      <c r="I58" s="19">
        <v>9.6385501695203689E-4</v>
      </c>
      <c r="J58" s="19">
        <v>-2.7977025711326252E-4</v>
      </c>
      <c r="K58">
        <v>1.0926399751157705</v>
      </c>
      <c r="L58" s="19">
        <v>408.48415313215207</v>
      </c>
      <c r="M58" s="19">
        <v>95.13843720186145</v>
      </c>
      <c r="N58" s="19">
        <v>9.6829124116848213E-4</v>
      </c>
      <c r="O58" s="19">
        <v>-3.7580375846352562E-4</v>
      </c>
      <c r="P58" s="19">
        <v>0.60633572166341732</v>
      </c>
      <c r="Q58" s="19">
        <v>203.81924337346311</v>
      </c>
      <c r="R58" s="19">
        <v>49.830144557732027</v>
      </c>
      <c r="S58" s="19">
        <v>4.8926190414655586E-4</v>
      </c>
      <c r="T58" s="19">
        <v>-2.3049577527327976E-4</v>
      </c>
      <c r="U58" s="19">
        <v>0.32974618562522029</v>
      </c>
      <c r="V58" s="19">
        <v>134.65001478910972</v>
      </c>
      <c r="W58" s="19">
        <v>33.308248801951699</v>
      </c>
      <c r="X58" s="19">
        <v>3.2428095953537475E-4</v>
      </c>
      <c r="Y58" s="19">
        <v>-1.6507821031923282E-4</v>
      </c>
      <c r="Z58">
        <v>0.22952182476421751</v>
      </c>
      <c r="AB58">
        <v>50599.032370759487</v>
      </c>
      <c r="AC58">
        <v>371471.43777406728</v>
      </c>
      <c r="AD58">
        <v>49689.515446780446</v>
      </c>
      <c r="AE58">
        <v>103818.811536612</v>
      </c>
      <c r="AF58">
        <v>736715.72582496249</v>
      </c>
      <c r="AG58">
        <v>857835.58745285124</v>
      </c>
      <c r="AH58">
        <v>3739803.2089657863</v>
      </c>
      <c r="AI58">
        <v>3628176.1152262827</v>
      </c>
      <c r="AK58">
        <v>5.3054360569193776E-5</v>
      </c>
      <c r="AL58">
        <v>1.7741193033113074</v>
      </c>
      <c r="AM58">
        <v>3.4258816782992558E-4</v>
      </c>
      <c r="AN58">
        <v>4.6945636174250842E-2</v>
      </c>
      <c r="AP58" s="134">
        <v>1.0485252006489592E-9</v>
      </c>
      <c r="AQ58" s="134">
        <v>1.4282218004998269E-10</v>
      </c>
      <c r="AR58" s="134">
        <v>3.5704097481318037E-5</v>
      </c>
      <c r="AS58" s="134">
        <v>1.708861117800081E-5</v>
      </c>
      <c r="AT58" s="134">
        <v>4.6502084293952164E-10</v>
      </c>
      <c r="AU58" s="134">
        <v>3.9936343611852671E-10</v>
      </c>
      <c r="AV58" s="134">
        <v>1.2552969648697984E-8</v>
      </c>
      <c r="AW58" s="134">
        <v>1.2939183403262916E-8</v>
      </c>
      <c r="AY58" s="134">
        <v>3.5718163997010327E-5</v>
      </c>
      <c r="AZ58" s="134">
        <v>1.7102092547020242E-5</v>
      </c>
      <c r="BB58">
        <v>4.2020404326754222E-3</v>
      </c>
      <c r="BC58">
        <v>9.0699500927507743E-3</v>
      </c>
      <c r="BD58">
        <v>1.2229934497882474E-2</v>
      </c>
      <c r="BE58">
        <v>1.7014028796640611E-4</v>
      </c>
      <c r="BF58">
        <v>2.5672065311275076E-2</v>
      </c>
      <c r="BG58">
        <v>3.3925572658771712E-2</v>
      </c>
      <c r="BH58">
        <v>8.7422142437091239E-3</v>
      </c>
      <c r="BI58">
        <v>1.2761193738329063E-2</v>
      </c>
      <c r="BJ58">
        <v>1.8635996874148859E-4</v>
      </c>
      <c r="BK58">
        <v>5.5615340609551388E-2</v>
      </c>
      <c r="CC58" s="133">
        <f t="shared" si="4"/>
        <v>55</v>
      </c>
      <c r="CJ58" s="127"/>
      <c r="CK58" s="127"/>
      <c r="CL58" s="127"/>
      <c r="CM58" s="127"/>
    </row>
    <row r="59" spans="1:91" x14ac:dyDescent="0.25">
      <c r="A59">
        <v>56</v>
      </c>
      <c r="B59" s="127">
        <v>28</v>
      </c>
      <c r="C59" s="20">
        <v>3.5545181342800917E-8</v>
      </c>
      <c r="D59" s="20">
        <v>3.5618003741336841E-3</v>
      </c>
      <c r="E59" s="20">
        <v>2.0917863728828378E-7</v>
      </c>
      <c r="F59" s="20">
        <v>3.2008116931838847E-4</v>
      </c>
      <c r="G59" s="19">
        <v>477.37825759327552</v>
      </c>
      <c r="H59" s="19">
        <v>96.227769535137355</v>
      </c>
      <c r="I59" s="19">
        <v>9.7878137542368321E-4</v>
      </c>
      <c r="J59" s="19">
        <v>-2.7917423798887772E-4</v>
      </c>
      <c r="K59">
        <v>1.1091607061271698</v>
      </c>
      <c r="L59" s="19">
        <v>415.55546147037393</v>
      </c>
      <c r="M59" s="19">
        <v>96.868226969168035</v>
      </c>
      <c r="N59" s="19">
        <v>9.8589653646245475E-4</v>
      </c>
      <c r="O59" s="19">
        <v>-3.7951912630888857E-4</v>
      </c>
      <c r="P59" s="19">
        <v>0.61586138717797401</v>
      </c>
      <c r="Q59" s="19">
        <v>207.88126556859106</v>
      </c>
      <c r="R59" s="19">
        <v>50.736147186054438</v>
      </c>
      <c r="S59" s="19">
        <v>4.9815757513103876E-4</v>
      </c>
      <c r="T59" s="19">
        <v>-2.3390102113849954E-4</v>
      </c>
      <c r="U59" s="19">
        <v>0.33507411745700938</v>
      </c>
      <c r="V59" s="19">
        <v>136.97053214905262</v>
      </c>
      <c r="W59" s="19">
        <v>33.913853325623549</v>
      </c>
      <c r="X59" s="19">
        <v>3.3017697698147245E-4</v>
      </c>
      <c r="Y59" s="19">
        <v>-1.6751742222518705E-4</v>
      </c>
      <c r="Z59">
        <v>0.23325848238193136</v>
      </c>
      <c r="AB59">
        <v>47618.967273082468</v>
      </c>
      <c r="AC59">
        <v>374909.65236636263</v>
      </c>
      <c r="AD59">
        <v>46275.879180029107</v>
      </c>
      <c r="AE59">
        <v>99498.983556336636</v>
      </c>
      <c r="AF59">
        <v>686103.85132086009</v>
      </c>
      <c r="AG59">
        <v>805173.25199839298</v>
      </c>
      <c r="AH59">
        <v>3482881.2456531897</v>
      </c>
      <c r="AI59">
        <v>3405406.5600894219</v>
      </c>
      <c r="AK59">
        <v>3.8129875207300716E-5</v>
      </c>
      <c r="AL59">
        <v>1.5283197175927832</v>
      </c>
      <c r="AM59">
        <v>1.9233361279183536E-4</v>
      </c>
      <c r="AN59">
        <v>2.9430523345841193E-2</v>
      </c>
      <c r="AP59" s="134">
        <v>8.0072873039509105E-10</v>
      </c>
      <c r="AQ59" s="134">
        <v>1.0170417050249778E-10</v>
      </c>
      <c r="AR59" s="134">
        <v>3.3026270806160013E-5</v>
      </c>
      <c r="AS59" s="134">
        <v>1.536015407360864E-5</v>
      </c>
      <c r="AT59" s="134">
        <v>2.8032726011020382E-10</v>
      </c>
      <c r="AU59" s="134">
        <v>2.3887233252529758E-10</v>
      </c>
      <c r="AV59" s="134">
        <v>8.4500507683320992E-9</v>
      </c>
      <c r="AW59" s="134">
        <v>8.6422936076884699E-9</v>
      </c>
      <c r="AY59" s="134">
        <v>3.3035801912918852E-5</v>
      </c>
      <c r="AZ59" s="134">
        <v>1.5369136943719356E-5</v>
      </c>
      <c r="BB59">
        <v>4.2020412334041529E-3</v>
      </c>
      <c r="BC59">
        <v>9.102976363556935E-3</v>
      </c>
      <c r="BD59">
        <v>1.2229934778209734E-2</v>
      </c>
      <c r="BE59">
        <v>1.7014873801717446E-4</v>
      </c>
      <c r="BF59">
        <v>2.5705101113187995E-2</v>
      </c>
      <c r="BG59">
        <v>3.3925572760475885E-2</v>
      </c>
      <c r="BH59">
        <v>8.7575743977827327E-3</v>
      </c>
      <c r="BI59">
        <v>1.2761193977201397E-2</v>
      </c>
      <c r="BJ59">
        <v>1.8636861103509629E-4</v>
      </c>
      <c r="BK59">
        <v>5.5630709746495109E-2</v>
      </c>
      <c r="CC59" s="133">
        <f t="shared" si="4"/>
        <v>56</v>
      </c>
      <c r="CJ59" s="127"/>
      <c r="CK59" s="127"/>
      <c r="CL59" s="127"/>
      <c r="CM59" s="127"/>
    </row>
    <row r="60" spans="1:91" x14ac:dyDescent="0.25">
      <c r="A60">
        <v>57</v>
      </c>
      <c r="B60" s="127">
        <v>28.5</v>
      </c>
      <c r="C60" s="20">
        <v>2.5629702090279795E-8</v>
      </c>
      <c r="D60" s="20">
        <v>3.0725450547288151E-3</v>
      </c>
      <c r="E60" s="20">
        <v>1.203173526637903E-7</v>
      </c>
      <c r="F60" s="20">
        <v>2.0019661275849578E-4</v>
      </c>
      <c r="G60" s="19">
        <v>479.73747380058529</v>
      </c>
      <c r="H60" s="19">
        <v>97.716491504034579</v>
      </c>
      <c r="I60" s="19">
        <v>9.9362714032432244E-4</v>
      </c>
      <c r="J60" s="19">
        <v>-2.7854349394400957E-4</v>
      </c>
      <c r="K60">
        <v>1.125615250748212</v>
      </c>
      <c r="L60" s="19">
        <v>422.5684300361786</v>
      </c>
      <c r="M60" s="19">
        <v>98.598016736474605</v>
      </c>
      <c r="N60" s="19">
        <v>1.0035018317564271E-3</v>
      </c>
      <c r="O60" s="19">
        <v>-3.8318118706369452E-4</v>
      </c>
      <c r="P60" s="19">
        <v>0.62535550587391664</v>
      </c>
      <c r="Q60" s="19">
        <v>211.90736131384634</v>
      </c>
      <c r="R60" s="19">
        <v>51.642149814376829</v>
      </c>
      <c r="S60" s="19">
        <v>5.0705324611552145E-4</v>
      </c>
      <c r="T60" s="19">
        <v>-2.3727202857559682E-4</v>
      </c>
      <c r="U60" s="19">
        <v>0.34038888136748779</v>
      </c>
      <c r="V60" s="19">
        <v>139.27845668293241</v>
      </c>
      <c r="W60" s="19">
        <v>34.519457849295399</v>
      </c>
      <c r="X60" s="19">
        <v>3.3607299442757021E-4</v>
      </c>
      <c r="Y60" s="19">
        <v>-1.6994859598632134E-4</v>
      </c>
      <c r="Z60">
        <v>0.23698757994710878</v>
      </c>
      <c r="AB60">
        <v>44869.978911728758</v>
      </c>
      <c r="AC60">
        <v>378590.96580092149</v>
      </c>
      <c r="AD60">
        <v>43151.08352025225</v>
      </c>
      <c r="AE60">
        <v>95455.737398030033</v>
      </c>
      <c r="AF60">
        <v>639774.43792553735</v>
      </c>
      <c r="AG60">
        <v>756907.87012222945</v>
      </c>
      <c r="AH60">
        <v>3247698.4162228587</v>
      </c>
      <c r="AI60">
        <v>3199898.0215902389</v>
      </c>
      <c r="AK60">
        <v>2.7493384627241185E-5</v>
      </c>
      <c r="AL60">
        <v>1.31838696644429</v>
      </c>
      <c r="AM60">
        <v>1.1062827169814576E-4</v>
      </c>
      <c r="AN60">
        <v>1.8407490506529942E-2</v>
      </c>
      <c r="AP60" s="134">
        <v>6.1273451189553756E-10</v>
      </c>
      <c r="AQ60" s="134">
        <v>7.2620287092899951E-11</v>
      </c>
      <c r="AR60" s="134">
        <v>3.055281255743038E-5</v>
      </c>
      <c r="AS60" s="134">
        <v>1.3811500517217713E-5</v>
      </c>
      <c r="AT60" s="134">
        <v>1.7291761774174177E-10</v>
      </c>
      <c r="AU60" s="134">
        <v>1.4615817335903897E-10</v>
      </c>
      <c r="AV60" s="134">
        <v>5.667857093682436E-9</v>
      </c>
      <c r="AW60" s="134">
        <v>5.752524106184501E-9</v>
      </c>
      <c r="AY60" s="134">
        <v>3.0559266066653705E-5</v>
      </c>
      <c r="AZ60" s="134">
        <v>1.381747181978435E-5</v>
      </c>
      <c r="BB60">
        <v>4.2020418461386645E-3</v>
      </c>
      <c r="BC60">
        <v>9.1335291761143658E-3</v>
      </c>
      <c r="BD60">
        <v>1.2229934951127352E-2</v>
      </c>
      <c r="BE60">
        <v>1.7015440587426814E-4</v>
      </c>
      <c r="BF60">
        <v>2.5735660379254649E-2</v>
      </c>
      <c r="BG60">
        <v>3.392557283309617E-2</v>
      </c>
      <c r="BH60">
        <v>8.7713858982999496E-3</v>
      </c>
      <c r="BI60">
        <v>1.2761194123359571E-2</v>
      </c>
      <c r="BJ60">
        <v>1.8637436355920247E-4</v>
      </c>
      <c r="BK60">
        <v>5.5644527218314886E-2</v>
      </c>
      <c r="CC60" s="133">
        <f t="shared" si="4"/>
        <v>57</v>
      </c>
      <c r="CJ60" s="127"/>
      <c r="CK60" s="127"/>
      <c r="CL60" s="127"/>
      <c r="CM60" s="127"/>
    </row>
    <row r="61" spans="1:91" x14ac:dyDescent="0.25">
      <c r="A61">
        <v>58</v>
      </c>
      <c r="B61" s="127">
        <v>29</v>
      </c>
      <c r="C61" s="20">
        <v>1.8539366262839398E-8</v>
      </c>
      <c r="D61" s="20">
        <v>2.6540733743980866E-3</v>
      </c>
      <c r="E61" s="20">
        <v>7.0256541483690827E-8</v>
      </c>
      <c r="F61" s="20">
        <v>1.2496605482305401E-4</v>
      </c>
      <c r="G61" s="19">
        <v>482.03259185822543</v>
      </c>
      <c r="H61" s="19">
        <v>99.198181545231179</v>
      </c>
      <c r="I61" s="19">
        <v>1.0083928728233031E-3</v>
      </c>
      <c r="J61" s="19">
        <v>-2.7788017878835065E-4</v>
      </c>
      <c r="K61">
        <v>1.1420047724237787</v>
      </c>
      <c r="L61" s="19">
        <v>429.52118935611043</v>
      </c>
      <c r="M61" s="19">
        <v>100.32780650378118</v>
      </c>
      <c r="N61" s="19">
        <v>1.0211071270503995E-3</v>
      </c>
      <c r="O61" s="19">
        <v>-3.8679071365636363E-4</v>
      </c>
      <c r="P61" s="19">
        <v>0.63481854505379176</v>
      </c>
      <c r="Q61" s="19">
        <v>215.89664373431373</v>
      </c>
      <c r="R61" s="19">
        <v>52.548152442699234</v>
      </c>
      <c r="S61" s="19">
        <v>5.1594891710000435E-4</v>
      </c>
      <c r="T61" s="19">
        <v>-2.4060837300675581E-4</v>
      </c>
      <c r="U61" s="19">
        <v>0.34569062902054526</v>
      </c>
      <c r="V61" s="19">
        <v>141.57266728962534</v>
      </c>
      <c r="W61" s="19">
        <v>35.125062372967257</v>
      </c>
      <c r="X61" s="19">
        <v>3.4196901187366803E-4</v>
      </c>
      <c r="Y61" s="19">
        <v>-1.7237015025093477E-4</v>
      </c>
      <c r="Z61">
        <v>0.24070920076319596</v>
      </c>
      <c r="AB61">
        <v>42330.255860587167</v>
      </c>
      <c r="AC61">
        <v>382510.52299883211</v>
      </c>
      <c r="AD61">
        <v>40286.246953796501</v>
      </c>
      <c r="AE61">
        <v>91666.700816732482</v>
      </c>
      <c r="AF61">
        <v>597299.27729156264</v>
      </c>
      <c r="AG61">
        <v>712599.81737805915</v>
      </c>
      <c r="AH61">
        <v>3032080.9989858363</v>
      </c>
      <c r="AI61">
        <v>3010176.6875740732</v>
      </c>
      <c r="AK61">
        <v>1.9887469843157203E-5</v>
      </c>
      <c r="AL61">
        <v>1.1388265045643364</v>
      </c>
      <c r="AM61">
        <v>6.4598826252008307E-5</v>
      </c>
      <c r="AN61">
        <v>1.149026167874685E-2</v>
      </c>
      <c r="AP61" s="134">
        <v>4.6981690610743551E-10</v>
      </c>
      <c r="AQ61" s="134">
        <v>5.1991954854580366E-11</v>
      </c>
      <c r="AR61" s="134">
        <v>2.8268369249447188E-5</v>
      </c>
      <c r="AS61" s="134">
        <v>1.242355723962588E-5</v>
      </c>
      <c r="AT61" s="134">
        <v>1.0815152254148026E-10</v>
      </c>
      <c r="AU61" s="134">
        <v>9.0652319403747987E-11</v>
      </c>
      <c r="AV61" s="134">
        <v>3.7895629050114712E-9</v>
      </c>
      <c r="AW61" s="134">
        <v>3.817138617204211E-9</v>
      </c>
      <c r="AY61" s="134">
        <v>2.8272736780780849E-5</v>
      </c>
      <c r="AZ61" s="134">
        <v>1.2427517022517342E-5</v>
      </c>
      <c r="BB61">
        <v>4.2020423159555703E-3</v>
      </c>
      <c r="BC61">
        <v>9.1617975453638124E-3</v>
      </c>
      <c r="BD61">
        <v>1.2229935059278874E-2</v>
      </c>
      <c r="BE61">
        <v>1.7015819543717315E-4</v>
      </c>
      <c r="BF61">
        <v>2.5763933116035431E-2</v>
      </c>
      <c r="BG61">
        <v>3.3925572885088122E-2</v>
      </c>
      <c r="BH61">
        <v>8.7838094555395749E-3</v>
      </c>
      <c r="BI61">
        <v>1.276119421401189E-2</v>
      </c>
      <c r="BJ61">
        <v>1.8637818069781967E-4</v>
      </c>
      <c r="BK61">
        <v>5.5656954735337404E-2</v>
      </c>
      <c r="CC61" s="133">
        <f t="shared" si="4"/>
        <v>58</v>
      </c>
      <c r="CJ61" s="127"/>
      <c r="CK61" s="127"/>
      <c r="CL61" s="127"/>
      <c r="CM61" s="127"/>
    </row>
    <row r="62" spans="1:91" x14ac:dyDescent="0.25">
      <c r="A62">
        <v>59</v>
      </c>
      <c r="B62" s="127">
        <v>29.5</v>
      </c>
      <c r="C62" s="20">
        <v>1.3452579758900682E-8</v>
      </c>
      <c r="D62" s="20">
        <v>2.2956333249080506E-3</v>
      </c>
      <c r="E62" s="20">
        <v>4.1407451206506655E-8</v>
      </c>
      <c r="F62" s="20">
        <v>7.7876447717339356E-5</v>
      </c>
      <c r="G62" s="19">
        <v>484.26602364158651</v>
      </c>
      <c r="H62" s="19">
        <v>100.67288607212808</v>
      </c>
      <c r="I62" s="19">
        <v>1.0230791291947418E-3</v>
      </c>
      <c r="J62" s="19">
        <v>-2.7718631974404283E-4</v>
      </c>
      <c r="K62">
        <v>1.1583303968031546</v>
      </c>
      <c r="L62" s="19">
        <v>436.41220291741115</v>
      </c>
      <c r="M62" s="19">
        <v>102.05759627108775</v>
      </c>
      <c r="N62" s="19">
        <v>1.0387124223443719E-3</v>
      </c>
      <c r="O62" s="19">
        <v>-3.9034851034554631E-4</v>
      </c>
      <c r="P62" s="19">
        <v>0.64425095995731185</v>
      </c>
      <c r="Q62" s="19">
        <v>219.84840191770726</v>
      </c>
      <c r="R62" s="19">
        <v>53.454155071021638</v>
      </c>
      <c r="S62" s="19">
        <v>5.2484458808448725E-4</v>
      </c>
      <c r="T62" s="19">
        <v>-2.4390975135545929E-4</v>
      </c>
      <c r="U62" s="19">
        <v>0.35097950846783532</v>
      </c>
      <c r="V62" s="19">
        <v>143.85219366637864</v>
      </c>
      <c r="W62" s="19">
        <v>35.730666896639093</v>
      </c>
      <c r="X62" s="19">
        <v>3.4786502931976557E-4</v>
      </c>
      <c r="Y62" s="19">
        <v>-1.7478069520479559E-4</v>
      </c>
      <c r="Z62">
        <v>0.24442342567063458</v>
      </c>
      <c r="AB62">
        <v>39980.390873170501</v>
      </c>
      <c r="AC62">
        <v>386664.18337384309</v>
      </c>
      <c r="AD62">
        <v>37655.805250625548</v>
      </c>
      <c r="AE62">
        <v>88111.617583217158</v>
      </c>
      <c r="AF62">
        <v>558299.3443848429</v>
      </c>
      <c r="AG62">
        <v>671858.94217416621</v>
      </c>
      <c r="AH62">
        <v>2834104.9423858873</v>
      </c>
      <c r="AI62">
        <v>2834890.7719178386</v>
      </c>
      <c r="AK62">
        <v>1.4430793937334381E-5</v>
      </c>
      <c r="AL62">
        <v>0.9850247926018022</v>
      </c>
      <c r="AM62">
        <v>3.807293512517369E-5</v>
      </c>
      <c r="AN62">
        <v>7.1605106214683717E-3</v>
      </c>
      <c r="AP62" s="134">
        <v>3.6094679472026879E-10</v>
      </c>
      <c r="AQ62" s="134">
        <v>3.732125849210628E-11</v>
      </c>
      <c r="AR62" s="134">
        <v>2.6158643695063159E-5</v>
      </c>
      <c r="AS62" s="134">
        <v>1.1179283953917812E-5</v>
      </c>
      <c r="AT62" s="134">
        <v>6.8194482956314429E-11</v>
      </c>
      <c r="AU62" s="134">
        <v>5.6668048507277339E-11</v>
      </c>
      <c r="AV62" s="134">
        <v>2.5265509806564559E-9</v>
      </c>
      <c r="AW62" s="134">
        <v>2.5258506226764419E-9</v>
      </c>
      <c r="AY62" s="134">
        <v>2.6161599387321493E-5</v>
      </c>
      <c r="AZ62" s="134">
        <v>1.1181903793847488E-5</v>
      </c>
      <c r="BB62">
        <v>4.2020426769023653E-3</v>
      </c>
      <c r="BC62">
        <v>9.1879561890588751E-3</v>
      </c>
      <c r="BD62">
        <v>1.2229935127473357E-2</v>
      </c>
      <c r="BE62">
        <v>1.7016072198815382E-4</v>
      </c>
      <c r="BF62">
        <v>2.5790094715422748E-2</v>
      </c>
      <c r="BG62">
        <v>3.3925572922409379E-2</v>
      </c>
      <c r="BH62">
        <v>8.7949887394934926E-3</v>
      </c>
      <c r="BI62">
        <v>1.2761194270679939E-2</v>
      </c>
      <c r="BJ62">
        <v>1.8638070654844235E-4</v>
      </c>
      <c r="BK62">
        <v>5.5668136639131255E-2</v>
      </c>
      <c r="CC62" s="133">
        <f t="shared" si="4"/>
        <v>59</v>
      </c>
      <c r="CJ62" s="127"/>
      <c r="CK62" s="127"/>
      <c r="CL62" s="127"/>
      <c r="CM62" s="127"/>
    </row>
    <row r="63" spans="1:91" x14ac:dyDescent="0.25">
      <c r="A63">
        <v>60</v>
      </c>
      <c r="B63" s="127">
        <v>30</v>
      </c>
      <c r="C63" s="20">
        <v>9.7914577032337287E-9</v>
      </c>
      <c r="D63" s="20">
        <v>1.9881825315446909E-3</v>
      </c>
      <c r="E63" s="20">
        <v>2.4548481825732431E-8</v>
      </c>
      <c r="F63" s="20">
        <v>4.8465813876066243E-5</v>
      </c>
      <c r="G63" s="19">
        <v>486.44006558439952</v>
      </c>
      <c r="H63" s="19">
        <v>102.14065110499403</v>
      </c>
      <c r="I63" s="19">
        <v>1.0376864608690932E-3</v>
      </c>
      <c r="J63" s="19">
        <v>-2.7646382568462398E-4</v>
      </c>
      <c r="K63">
        <v>1.1745932134289825</v>
      </c>
      <c r="L63" s="19">
        <v>443.24022744076285</v>
      </c>
      <c r="M63" s="19">
        <v>103.78738603839432</v>
      </c>
      <c r="N63" s="19">
        <v>1.0563177176383443E-3</v>
      </c>
      <c r="O63" s="19">
        <v>-3.938554052446997E-4</v>
      </c>
      <c r="P63" s="19">
        <v>0.65365319420161971</v>
      </c>
      <c r="Q63" s="19">
        <v>223.76207952114493</v>
      </c>
      <c r="R63" s="19">
        <v>54.360157699344029</v>
      </c>
      <c r="S63" s="19">
        <v>5.3374025906896994E-4</v>
      </c>
      <c r="T63" s="19">
        <v>-2.4717596652658341E-4</v>
      </c>
      <c r="U63" s="19">
        <v>0.35625566431168049</v>
      </c>
      <c r="V63" s="19">
        <v>146.11619939713171</v>
      </c>
      <c r="W63" s="19">
        <v>36.33627142031095</v>
      </c>
      <c r="X63" s="19">
        <v>3.5376104676586339E-4</v>
      </c>
      <c r="Y63" s="19">
        <v>-1.7717901170197594E-4</v>
      </c>
      <c r="Z63">
        <v>0.24813033318794925</v>
      </c>
      <c r="AB63">
        <v>37803.079639515134</v>
      </c>
      <c r="AC63">
        <v>391048.45457909798</v>
      </c>
      <c r="AD63">
        <v>35237.082737387849</v>
      </c>
      <c r="AE63">
        <v>84772.124742098153</v>
      </c>
      <c r="AF63">
        <v>522438.44101544772</v>
      </c>
      <c r="AG63">
        <v>634338.58155558002</v>
      </c>
      <c r="AH63">
        <v>2652063.5975413709</v>
      </c>
      <c r="AI63">
        <v>2672803.6799478424</v>
      </c>
      <c r="AK63">
        <v>1.050345071308746E-5</v>
      </c>
      <c r="AL63">
        <v>0.8531018715141615</v>
      </c>
      <c r="AM63">
        <v>2.2571607977304109E-5</v>
      </c>
      <c r="AN63">
        <v>4.4562892274863271E-3</v>
      </c>
      <c r="AP63" s="134">
        <v>2.7784642979479169E-10</v>
      </c>
      <c r="AQ63" s="134">
        <v>2.6859716718207644E-11</v>
      </c>
      <c r="AR63" s="134">
        <v>2.421034334403026E-5</v>
      </c>
      <c r="AS63" s="134">
        <v>1.0063471620058473E-5</v>
      </c>
      <c r="AT63" s="134">
        <v>4.3204339890135882E-11</v>
      </c>
      <c r="AU63" s="134">
        <v>3.558290262268465E-11</v>
      </c>
      <c r="AV63" s="134">
        <v>1.6803100919667184E-9</v>
      </c>
      <c r="AW63" s="134">
        <v>1.6672714352044322E-9</v>
      </c>
      <c r="AY63" s="134">
        <v>2.421234470489191E-5</v>
      </c>
      <c r="AZ63" s="134">
        <v>1.0065201334113019E-5</v>
      </c>
      <c r="BB63">
        <v>4.2020429547487952E-3</v>
      </c>
      <c r="BC63">
        <v>9.2121665324029055E-3</v>
      </c>
      <c r="BD63">
        <v>1.2229935170677697E-2</v>
      </c>
      <c r="BE63">
        <v>1.7016240229824578E-4</v>
      </c>
      <c r="BF63">
        <v>2.5814307060127641E-2</v>
      </c>
      <c r="BG63">
        <v>3.3925572949269095E-2</v>
      </c>
      <c r="BH63">
        <v>8.805052211113551E-3</v>
      </c>
      <c r="BI63">
        <v>1.2761194306262841E-2</v>
      </c>
      <c r="BJ63">
        <v>1.8638237381987755E-4</v>
      </c>
      <c r="BK63">
        <v>5.5678201840465361E-2</v>
      </c>
      <c r="CC63" s="133">
        <f t="shared" si="4"/>
        <v>60</v>
      </c>
      <c r="CJ63" s="127"/>
      <c r="CK63" s="127"/>
      <c r="CL63" s="127"/>
      <c r="CM63" s="127"/>
    </row>
    <row r="64" spans="1:91" x14ac:dyDescent="0.25">
      <c r="A64">
        <v>61</v>
      </c>
      <c r="B64" s="127">
        <v>30.5</v>
      </c>
      <c r="C64" s="20">
        <v>7.1481353304894041E-9</v>
      </c>
      <c r="D64" s="20">
        <v>1.7241045074323166E-3</v>
      </c>
      <c r="E64" s="20">
        <v>1.4611584844927895E-8</v>
      </c>
      <c r="F64" s="20">
        <v>3.013108628933719E-5</v>
      </c>
      <c r="G64" s="19">
        <v>488.55690536099678</v>
      </c>
      <c r="H64" s="19">
        <v>103.60152227502761</v>
      </c>
      <c r="I64" s="19">
        <v>1.0522154144840526E-3</v>
      </c>
      <c r="J64" s="19">
        <v>-2.7571449477088072E-4</v>
      </c>
      <c r="K64">
        <v>1.1907942773319589</v>
      </c>
      <c r="L64" s="19">
        <v>450.00427794094605</v>
      </c>
      <c r="M64" s="19">
        <v>105.51717580570089</v>
      </c>
      <c r="N64" s="19">
        <v>1.0739230129323165E-3</v>
      </c>
      <c r="O64" s="19">
        <v>-3.9731224393939574E-4</v>
      </c>
      <c r="P64" s="19">
        <v>0.66302568019958175</v>
      </c>
      <c r="Q64" s="19">
        <v>227.4292309453393</v>
      </c>
      <c r="R64" s="19">
        <v>55.266160327666434</v>
      </c>
      <c r="S64" s="19">
        <v>5.4263593005345284E-4</v>
      </c>
      <c r="T64" s="19">
        <v>-2.5014870291822184E-4</v>
      </c>
      <c r="U64" s="19">
        <v>0.36151923785620266</v>
      </c>
      <c r="V64" s="19">
        <v>148.36396702355822</v>
      </c>
      <c r="W64" s="19">
        <v>36.941875943982808</v>
      </c>
      <c r="X64" s="19">
        <v>3.596570642119612E-4</v>
      </c>
      <c r="Y64" s="19">
        <v>-1.7956403281016686E-4</v>
      </c>
      <c r="Z64">
        <v>0.25182999964163094</v>
      </c>
      <c r="AB64">
        <v>35782.861639199211</v>
      </c>
      <c r="AC64">
        <v>395660.43435077637</v>
      </c>
      <c r="AD64">
        <v>33009.924947275897</v>
      </c>
      <c r="AE64">
        <v>81631.554891647465</v>
      </c>
      <c r="AF64">
        <v>489417.74936417921</v>
      </c>
      <c r="AG64">
        <v>602409.24069480377</v>
      </c>
      <c r="AH64">
        <v>2484440.0702148685</v>
      </c>
      <c r="AI64">
        <v>2522786.4713420635</v>
      </c>
      <c r="AK64">
        <v>7.6679172202805552E-6</v>
      </c>
      <c r="AL64">
        <v>0.73978961118512832</v>
      </c>
      <c r="AM64">
        <v>1.3434923079484169E-5</v>
      </c>
      <c r="AN64">
        <v>2.7704648803997885E-3</v>
      </c>
      <c r="AP64" s="134">
        <v>2.1429021797073233E-10</v>
      </c>
      <c r="AQ64" s="134">
        <v>1.9380045500032214E-11</v>
      </c>
      <c r="AR64" s="134">
        <v>2.2411126725272321E-5</v>
      </c>
      <c r="AS64" s="134">
        <v>9.062544651600451E-6</v>
      </c>
      <c r="AT64" s="134">
        <v>2.7450829269960025E-11</v>
      </c>
      <c r="AU64" s="134">
        <v>2.2301987041215809E-11</v>
      </c>
      <c r="AV64" s="134">
        <v>1.1151264679772223E-9</v>
      </c>
      <c r="AW64" s="134">
        <v>1.0981765249937961E-9</v>
      </c>
      <c r="AY64" s="134">
        <v>2.2412483592787537E-5</v>
      </c>
      <c r="AZ64" s="134">
        <v>9.0636845101579853E-6</v>
      </c>
      <c r="BB64">
        <v>4.2020431690390136E-3</v>
      </c>
      <c r="BC64">
        <v>9.2345776591281781E-3</v>
      </c>
      <c r="BD64">
        <v>1.2229935198128527E-2</v>
      </c>
      <c r="BE64">
        <v>1.7016351742471376E-4</v>
      </c>
      <c r="BF64">
        <v>2.5836719543720431E-2</v>
      </c>
      <c r="BG64">
        <v>3.3925572968649141E-2</v>
      </c>
      <c r="BH64">
        <v>8.8141147557651515E-3</v>
      </c>
      <c r="BI64">
        <v>1.2761194328564828E-2</v>
      </c>
      <c r="BJ64">
        <v>1.8638347199640255E-4</v>
      </c>
      <c r="BK64">
        <v>5.5687265524975528E-2</v>
      </c>
      <c r="CC64" s="133">
        <f t="shared" si="4"/>
        <v>61</v>
      </c>
      <c r="CJ64" s="127"/>
      <c r="CK64" s="127"/>
      <c r="CL64" s="127"/>
      <c r="CM64" s="127"/>
    </row>
    <row r="65" spans="1:91" x14ac:dyDescent="0.25">
      <c r="A65">
        <v>62</v>
      </c>
      <c r="B65" s="127">
        <v>31</v>
      </c>
      <c r="C65" s="20">
        <v>5.2337765146231104E-9</v>
      </c>
      <c r="D65" s="20">
        <v>1.4969739276518216E-3</v>
      </c>
      <c r="E65" s="20">
        <v>8.7226983051200027E-9</v>
      </c>
      <c r="F65" s="20">
        <v>1.8718805628029744E-5</v>
      </c>
      <c r="G65" s="19">
        <v>490.61862811621285</v>
      </c>
      <c r="H65" s="19">
        <v>105.05554482837086</v>
      </c>
      <c r="I65" s="19">
        <v>1.066666531934859E-3</v>
      </c>
      <c r="J65" s="19">
        <v>-2.7494002153297635E-4</v>
      </c>
      <c r="K65">
        <v>1.2069346105375645</v>
      </c>
      <c r="L65" s="19">
        <v>456.70359695705037</v>
      </c>
      <c r="M65" s="19">
        <v>107.24696557300747</v>
      </c>
      <c r="N65" s="19">
        <v>1.0915283082262891E-3</v>
      </c>
      <c r="O65" s="19">
        <v>-4.0071988404240093E-4</v>
      </c>
      <c r="P65" s="19">
        <v>0.67236883955762261</v>
      </c>
      <c r="Q65" s="19">
        <v>231.08312108000135</v>
      </c>
      <c r="R65" s="19">
        <v>56.172162955988846</v>
      </c>
      <c r="S65" s="19">
        <v>5.5153160103793575E-4</v>
      </c>
      <c r="T65" s="19">
        <v>-2.5310347052893815E-4</v>
      </c>
      <c r="U65" s="19">
        <v>0.36677036724779566</v>
      </c>
      <c r="V65" s="19">
        <v>150.59488484675907</v>
      </c>
      <c r="W65" s="19">
        <v>37.547480467654658</v>
      </c>
      <c r="X65" s="19">
        <v>3.6555308165805891E-4</v>
      </c>
      <c r="Y65" s="19">
        <v>-1.8193482746575311E-4</v>
      </c>
      <c r="Z65">
        <v>0.25552249928588067</v>
      </c>
      <c r="AB65">
        <v>33905.896623277011</v>
      </c>
      <c r="AC65">
        <v>400497.75936050847</v>
      </c>
      <c r="AD65">
        <v>30956.383032559355</v>
      </c>
      <c r="AE65">
        <v>78674.760631668614</v>
      </c>
      <c r="AF65">
        <v>458971.15296231396</v>
      </c>
      <c r="AG65">
        <v>572611.80230199778</v>
      </c>
      <c r="AH65">
        <v>2329883.4686189448</v>
      </c>
      <c r="AI65">
        <v>2383810.043288325</v>
      </c>
      <c r="AK65">
        <v>5.6143544026650102E-6</v>
      </c>
      <c r="AL65">
        <v>0.64233099276627847</v>
      </c>
      <c r="AM65">
        <v>8.0202648801313153E-6</v>
      </c>
      <c r="AN65">
        <v>1.7211391948334267E-3</v>
      </c>
      <c r="AP65" s="134">
        <v>1.6558637174663757E-10</v>
      </c>
      <c r="AQ65" s="134">
        <v>1.4018441480495883E-11</v>
      </c>
      <c r="AR65" s="134">
        <v>2.0749549199293939E-5</v>
      </c>
      <c r="AS65" s="134">
        <v>8.1643844558164917E-6</v>
      </c>
      <c r="AT65" s="134">
        <v>1.7474442191772905E-11</v>
      </c>
      <c r="AU65" s="134">
        <v>1.4006461005324154E-11</v>
      </c>
      <c r="AV65" s="134">
        <v>7.3872329582802889E-10</v>
      </c>
      <c r="AW65" s="134">
        <v>7.2201189003265421E-10</v>
      </c>
      <c r="AY65" s="134">
        <v>2.0750470983403705E-5</v>
      </c>
      <c r="AZ65" s="134">
        <v>8.1651344926090092E-6</v>
      </c>
      <c r="BB65">
        <v>4.2020433346253855E-3</v>
      </c>
      <c r="BC65">
        <v>9.2553272083274723E-3</v>
      </c>
      <c r="BD65">
        <v>1.2229935215602969E-2</v>
      </c>
      <c r="BE65">
        <v>1.7016425614800959E-4</v>
      </c>
      <c r="BF65">
        <v>2.5857470014703836E-2</v>
      </c>
      <c r="BG65">
        <v>3.392557298266758E-2</v>
      </c>
      <c r="BH65">
        <v>8.8222791402209674E-3</v>
      </c>
      <c r="BI65">
        <v>1.2761194342571289E-2</v>
      </c>
      <c r="BJ65">
        <v>1.8638419400829258E-4</v>
      </c>
      <c r="BK65">
        <v>5.569543065946813E-2</v>
      </c>
      <c r="CC65" s="133">
        <f t="shared" si="4"/>
        <v>62</v>
      </c>
      <c r="CJ65" s="127"/>
      <c r="CK65" s="127"/>
      <c r="CL65" s="127"/>
      <c r="CM65" s="127"/>
    </row>
    <row r="66" spans="1:91" x14ac:dyDescent="0.25">
      <c r="A66">
        <v>63</v>
      </c>
      <c r="B66" s="127">
        <v>31.5</v>
      </c>
      <c r="C66" s="20">
        <v>3.8431621783706916E-9</v>
      </c>
      <c r="D66" s="20">
        <v>1.3013621315702991E-3</v>
      </c>
      <c r="E66" s="20">
        <v>5.2198035296554267E-9</v>
      </c>
      <c r="F66" s="20">
        <v>1.1624141011724669E-5</v>
      </c>
      <c r="G66" s="19">
        <v>492.62722227789084</v>
      </c>
      <c r="H66" s="19">
        <v>106.50276363007174</v>
      </c>
      <c r="I66" s="19">
        <v>1.0810403504239547E-3</v>
      </c>
      <c r="J66" s="19">
        <v>-2.7414200344374356E-4</v>
      </c>
      <c r="K66">
        <v>1.2230152034906341</v>
      </c>
      <c r="L66" s="19">
        <v>463.33762742039266</v>
      </c>
      <c r="M66" s="19">
        <v>108.97675534031404</v>
      </c>
      <c r="N66" s="19">
        <v>1.1091336035202615E-3</v>
      </c>
      <c r="O66" s="19">
        <v>-4.0407919055449103E-4</v>
      </c>
      <c r="P66" s="19">
        <v>0.68168308345444939</v>
      </c>
      <c r="Q66" s="19">
        <v>234.72726738407925</v>
      </c>
      <c r="R66" s="19">
        <v>57.078165584311236</v>
      </c>
      <c r="S66" s="19">
        <v>5.6042727202241854E-4</v>
      </c>
      <c r="T66" s="19">
        <v>-2.5604577217949287E-4</v>
      </c>
      <c r="U66" s="19">
        <v>0.37200918760593005</v>
      </c>
      <c r="V66" s="19">
        <v>152.80843524244506</v>
      </c>
      <c r="W66" s="19">
        <v>38.153084991326509</v>
      </c>
      <c r="X66" s="19">
        <v>3.7144909910415667E-4</v>
      </c>
      <c r="Y66" s="19">
        <v>-1.8429058597593706E-4</v>
      </c>
      <c r="Z66">
        <v>0.25920790441316843</v>
      </c>
      <c r="AB66">
        <v>32159.771338080547</v>
      </c>
      <c r="AC66">
        <v>405558.56015159545</v>
      </c>
      <c r="AD66">
        <v>29060.441957210009</v>
      </c>
      <c r="AE66">
        <v>75887.958627236425</v>
      </c>
      <c r="AF66">
        <v>430861.2067716865</v>
      </c>
      <c r="AG66">
        <v>544723.38056462584</v>
      </c>
      <c r="AH66">
        <v>2187188.4462616476</v>
      </c>
      <c r="AI66">
        <v>2254937.3282963969</v>
      </c>
      <c r="AK66">
        <v>4.1226205276449247E-6</v>
      </c>
      <c r="AL66">
        <v>0.55839665239274106</v>
      </c>
      <c r="AM66">
        <v>4.7994560244629426E-6</v>
      </c>
      <c r="AN66">
        <v>1.0688056224907674E-3</v>
      </c>
      <c r="AP66" s="134">
        <v>1.2819184826613829E-10</v>
      </c>
      <c r="AQ66" s="134">
        <v>1.0165290374105068E-11</v>
      </c>
      <c r="AR66" s="134">
        <v>1.9215008953234474E-5</v>
      </c>
      <c r="AS66" s="134">
        <v>7.3581720011154808E-6</v>
      </c>
      <c r="AT66" s="134">
        <v>1.1139215944790723E-11</v>
      </c>
      <c r="AU66" s="134">
        <v>8.8108133333438516E-12</v>
      </c>
      <c r="AV66" s="134">
        <v>4.8866645410347462E-10</v>
      </c>
      <c r="AW66" s="134">
        <v>4.739846243523979E-10</v>
      </c>
      <c r="AY66" s="134">
        <v>1.9215636950752787E-5</v>
      </c>
      <c r="AZ66" s="134">
        <v>7.3586649618435404E-6</v>
      </c>
      <c r="BB66">
        <v>4.2020434628172341E-3</v>
      </c>
      <c r="BC66">
        <v>9.2745422172807075E-3</v>
      </c>
      <c r="BD66">
        <v>1.2229935226742185E-2</v>
      </c>
      <c r="BE66">
        <v>1.701647448144637E-4</v>
      </c>
      <c r="BF66">
        <v>2.5876685651654591E-2</v>
      </c>
      <c r="BG66">
        <v>3.3925572992832873E-2</v>
      </c>
      <c r="BH66">
        <v>8.8296373122220828E-3</v>
      </c>
      <c r="BI66">
        <v>1.2761194351382102E-2</v>
      </c>
      <c r="BJ66">
        <v>1.8638466799291694E-4</v>
      </c>
      <c r="BK66">
        <v>5.5702789324429972E-2</v>
      </c>
      <c r="CC66" s="133">
        <f t="shared" si="4"/>
        <v>63</v>
      </c>
      <c r="CJ66" s="127"/>
      <c r="CK66" s="127"/>
      <c r="CL66" s="127"/>
      <c r="CM66" s="127"/>
    </row>
    <row r="67" spans="1:91" x14ac:dyDescent="0.25">
      <c r="A67">
        <v>64</v>
      </c>
      <c r="B67" s="127">
        <v>32</v>
      </c>
      <c r="C67" s="20">
        <v>2.8300119404171767E-9</v>
      </c>
      <c r="D67" s="20">
        <v>1.1326756943699835E-3</v>
      </c>
      <c r="E67" s="20">
        <v>3.1303500351245439E-9</v>
      </c>
      <c r="F67" s="20">
        <v>7.2177384504084502E-6</v>
      </c>
      <c r="G67" s="19">
        <v>494.5845849839356</v>
      </c>
      <c r="H67" s="19">
        <v>107.94322316800178</v>
      </c>
      <c r="I67" s="19">
        <v>1.0953374025100559E-3</v>
      </c>
      <c r="J67" s="19">
        <v>-2.7332194702400824E-4</v>
      </c>
      <c r="K67">
        <v>1.2390370164031292</v>
      </c>
      <c r="L67" s="19">
        <v>469.90598870171647</v>
      </c>
      <c r="M67" s="19">
        <v>110.70654510762061</v>
      </c>
      <c r="N67" s="19">
        <v>1.1267388988142339E-3</v>
      </c>
      <c r="O67" s="19">
        <v>-4.0739103191828849E-4</v>
      </c>
      <c r="P67" s="19">
        <v>0.69096881300191404</v>
      </c>
      <c r="Q67" s="19">
        <v>238.35964594934859</v>
      </c>
      <c r="R67" s="19">
        <v>57.984168212633641</v>
      </c>
      <c r="S67" s="19">
        <v>5.6932294300690133E-4</v>
      </c>
      <c r="T67" s="19">
        <v>-2.5897429343092022E-4</v>
      </c>
      <c r="U67" s="19">
        <v>0.37723583114517756</v>
      </c>
      <c r="V67" s="19">
        <v>155.00418430211263</v>
      </c>
      <c r="W67" s="19">
        <v>38.758689514998331</v>
      </c>
      <c r="X67" s="19">
        <v>3.7734511655025411E-4</v>
      </c>
      <c r="Y67" s="19">
        <v>-1.8663060714092577E-4</v>
      </c>
      <c r="Z67">
        <v>0.26288628545645609</v>
      </c>
      <c r="AB67">
        <v>30533.331989592483</v>
      </c>
      <c r="AC67">
        <v>410841.42137041315</v>
      </c>
      <c r="AD67">
        <v>27307.785821038175</v>
      </c>
      <c r="AE67">
        <v>73258.591016381339</v>
      </c>
      <c r="AF67">
        <v>404875.65779074823</v>
      </c>
      <c r="AG67">
        <v>518608.14164144266</v>
      </c>
      <c r="AH67">
        <v>2055277.5394368684</v>
      </c>
      <c r="AI67">
        <v>2135315.7057053298</v>
      </c>
      <c r="AK67">
        <v>3.0357983289662656E-6</v>
      </c>
      <c r="AL67">
        <v>0.48601561443902813</v>
      </c>
      <c r="AM67">
        <v>2.8782649096656803E-6</v>
      </c>
      <c r="AN67">
        <v>6.6364984988424316E-4</v>
      </c>
      <c r="AP67" s="134">
        <v>9.9425713839584896E-11</v>
      </c>
      <c r="AQ67" s="134">
        <v>7.3892216584198808E-12</v>
      </c>
      <c r="AR67" s="134">
        <v>1.7797693947950812E-5</v>
      </c>
      <c r="AS67" s="134">
        <v>6.6342473653410872E-6</v>
      </c>
      <c r="AT67" s="134">
        <v>7.1090095299165979E-12</v>
      </c>
      <c r="AU67" s="134">
        <v>5.5499801845680751E-12</v>
      </c>
      <c r="AV67" s="134">
        <v>3.2290035635093765E-10</v>
      </c>
      <c r="AW67" s="134">
        <v>3.1079706298747459E-10</v>
      </c>
      <c r="AY67" s="134">
        <v>1.7798123383030536E-5</v>
      </c>
      <c r="AZ67" s="134">
        <v>6.6345711016059183E-6</v>
      </c>
      <c r="BB67">
        <v>4.2020435622429483E-3</v>
      </c>
      <c r="BC67">
        <v>9.2923399112286587E-3</v>
      </c>
      <c r="BD67">
        <v>1.2229935233851194E-2</v>
      </c>
      <c r="BE67">
        <v>1.7016506771482006E-4</v>
      </c>
      <c r="BF67">
        <v>2.589448377503762E-2</v>
      </c>
      <c r="BG67">
        <v>3.3925573000222094E-2</v>
      </c>
      <c r="BH67">
        <v>8.8362715595874247E-3</v>
      </c>
      <c r="BI67">
        <v>1.2761194356932083E-2</v>
      </c>
      <c r="BJ67">
        <v>1.8638497878997994E-4</v>
      </c>
      <c r="BK67">
        <v>5.570942389553158E-2</v>
      </c>
      <c r="CC67" s="133">
        <f t="shared" si="4"/>
        <v>64</v>
      </c>
      <c r="CJ67" s="127"/>
      <c r="CK67" s="127"/>
      <c r="CL67" s="127"/>
      <c r="CM67" s="127"/>
    </row>
    <row r="68" spans="1:91" x14ac:dyDescent="0.25">
      <c r="A68">
        <v>65</v>
      </c>
      <c r="B68" s="127">
        <v>32.5</v>
      </c>
      <c r="C68" s="20">
        <v>2.0897265455890161E-9</v>
      </c>
      <c r="D68" s="20">
        <v>9.8702222826611537E-4</v>
      </c>
      <c r="E68" s="20">
        <v>1.8811113971799365E-9</v>
      </c>
      <c r="F68" s="20">
        <v>4.4827203879372553E-6</v>
      </c>
      <c r="G68" s="19">
        <v>496.49252715310746</v>
      </c>
      <c r="H68" s="19">
        <v>109.37696755672246</v>
      </c>
      <c r="I68" s="19">
        <v>1.1095582161565966E-3</v>
      </c>
      <c r="J68" s="19">
        <v>-2.7248127351716761E-4</v>
      </c>
      <c r="K68">
        <v>1.2550009805300517</v>
      </c>
      <c r="L68" s="19">
        <v>476.40845544170367</v>
      </c>
      <c r="M68" s="19">
        <v>112.43633487492718</v>
      </c>
      <c r="N68" s="19">
        <v>1.1443441941082063E-3</v>
      </c>
      <c r="O68" s="19">
        <v>-4.1065627666873075E-4</v>
      </c>
      <c r="P68" s="19">
        <v>0.70022641958914544</v>
      </c>
      <c r="Q68" s="19">
        <v>241.97845246444174</v>
      </c>
      <c r="R68" s="19">
        <v>58.890170840956046</v>
      </c>
      <c r="S68" s="19">
        <v>5.7821861399138424E-4</v>
      </c>
      <c r="T68" s="19">
        <v>-2.6188787352329188E-4</v>
      </c>
      <c r="U68" s="19">
        <v>0.38245042728923589</v>
      </c>
      <c r="V68" s="19">
        <v>157.18177263797452</v>
      </c>
      <c r="W68" s="19">
        <v>39.364294038670188</v>
      </c>
      <c r="X68" s="19">
        <v>3.8324113399635192E-4</v>
      </c>
      <c r="Y68" s="19">
        <v>-1.8895428679962349E-4</v>
      </c>
      <c r="Z68">
        <v>0.26655771108384213</v>
      </c>
      <c r="AB68">
        <v>29016.538675913511</v>
      </c>
      <c r="AC68">
        <v>416345.34661882126</v>
      </c>
      <c r="AD68">
        <v>25685.594761145985</v>
      </c>
      <c r="AE68">
        <v>70775.20214639722</v>
      </c>
      <c r="AF68">
        <v>380824.43383797596</v>
      </c>
      <c r="AG68">
        <v>494139.53968619433</v>
      </c>
      <c r="AH68">
        <v>1933185.8813316855</v>
      </c>
      <c r="AI68">
        <v>2024169.7557874101</v>
      </c>
      <c r="AK68">
        <v>2.2416825400957158E-6</v>
      </c>
      <c r="AL68">
        <v>0.42351770866113436</v>
      </c>
      <c r="AM68">
        <v>1.7296266759061586E-6</v>
      </c>
      <c r="AN68">
        <v>4.1217297259631841E-4</v>
      </c>
      <c r="AP68" s="134">
        <v>7.7255339278510346E-11</v>
      </c>
      <c r="AQ68" s="134">
        <v>5.3841902120454215E-12</v>
      </c>
      <c r="AR68" s="134">
        <v>1.6488530345490772E-5</v>
      </c>
      <c r="AS68" s="134">
        <v>5.983984443945433E-6</v>
      </c>
      <c r="AT68" s="134">
        <v>4.5417954370071717E-12</v>
      </c>
      <c r="AU68" s="134">
        <v>3.5002798541573221E-12</v>
      </c>
      <c r="AV68" s="134">
        <v>2.1320917795674715E-10</v>
      </c>
      <c r="AW68" s="134">
        <v>2.0362569464238511E-10</v>
      </c>
      <c r="AY68" s="134">
        <v>1.6488825351803444E-5</v>
      </c>
      <c r="AZ68" s="134">
        <v>5.9841969541101422E-6</v>
      </c>
      <c r="BB68">
        <v>4.2020436394982876E-3</v>
      </c>
      <c r="BC68">
        <v>9.3088284415741487E-3</v>
      </c>
      <c r="BD68">
        <v>1.222993523839299E-2</v>
      </c>
      <c r="BE68">
        <v>1.7016528092399802E-4</v>
      </c>
      <c r="BF68">
        <v>2.5910972600389427E-2</v>
      </c>
      <c r="BG68">
        <v>3.3925573005606287E-2</v>
      </c>
      <c r="BH68">
        <v>8.8422555440313706E-3</v>
      </c>
      <c r="BI68">
        <v>1.2761194360432363E-2</v>
      </c>
      <c r="BJ68">
        <v>1.8638518241567459E-4</v>
      </c>
      <c r="BK68">
        <v>5.5715408092485694E-2</v>
      </c>
    </row>
    <row r="69" spans="1:91" x14ac:dyDescent="0.25">
      <c r="A69">
        <v>66</v>
      </c>
      <c r="B69" s="127">
        <v>33</v>
      </c>
      <c r="C69" s="20">
        <v>1.5472789146013586E-9</v>
      </c>
      <c r="D69" s="20">
        <v>8.6109864216420313E-4</v>
      </c>
      <c r="E69" s="20">
        <v>1.1326563810323409E-9</v>
      </c>
      <c r="F69" s="20">
        <v>2.785681443780324E-6</v>
      </c>
      <c r="G69" s="19">
        <v>498.35277822627165</v>
      </c>
      <c r="H69" s="19">
        <v>110.8040405413081</v>
      </c>
      <c r="I69" s="19">
        <v>1.1237033147796067E-3</v>
      </c>
      <c r="J69" s="19">
        <v>-2.7162132416697364E-4</v>
      </c>
      <c r="K69">
        <v>1.2709079993780938</v>
      </c>
      <c r="L69" s="19">
        <v>482.84493882207653</v>
      </c>
      <c r="M69" s="19">
        <v>114.16612464223374</v>
      </c>
      <c r="N69" s="19">
        <v>1.1619494894021787E-3</v>
      </c>
      <c r="O69" s="19">
        <v>-4.1387579059759582E-4</v>
      </c>
      <c r="P69" s="19">
        <v>0.70945628521098481</v>
      </c>
      <c r="Q69" s="19">
        <v>245.58208055689397</v>
      </c>
      <c r="R69" s="19">
        <v>59.796173469278429</v>
      </c>
      <c r="S69" s="19">
        <v>5.8711428497586692E-4</v>
      </c>
      <c r="T69" s="19">
        <v>-2.6478548988206955E-4</v>
      </c>
      <c r="U69" s="19">
        <v>0.38765310277766463</v>
      </c>
      <c r="V69" s="19">
        <v>159.34090721098676</v>
      </c>
      <c r="W69" s="19">
        <v>39.969898562342038</v>
      </c>
      <c r="X69" s="19">
        <v>3.8913715144244968E-4</v>
      </c>
      <c r="Y69" s="19">
        <v>-1.9126110762828489E-4</v>
      </c>
      <c r="Z69">
        <v>0.27022224828631136</v>
      </c>
      <c r="AB69">
        <v>27600.338616934747</v>
      </c>
      <c r="AC69">
        <v>422069.72734958911</v>
      </c>
      <c r="AD69">
        <v>24182.368777215681</v>
      </c>
      <c r="AE69">
        <v>68427.328855753367</v>
      </c>
      <c r="AF69">
        <v>358537.03151834046</v>
      </c>
      <c r="AG69">
        <v>471199.93356352556</v>
      </c>
      <c r="AH69">
        <v>1820047.9425138982</v>
      </c>
      <c r="AI69">
        <v>1920794.4343293046</v>
      </c>
      <c r="AK69">
        <v>1.6597904327919959E-6</v>
      </c>
      <c r="AL69">
        <v>0.36948562394713524</v>
      </c>
      <c r="AM69">
        <v>1.0414442728941021E-6</v>
      </c>
      <c r="AN69">
        <v>2.5613522638597626E-4</v>
      </c>
      <c r="AP69" s="134">
        <v>6.0136596721809704E-11</v>
      </c>
      <c r="AQ69" s="134">
        <v>3.9325029141861097E-12</v>
      </c>
      <c r="AR69" s="134">
        <v>1.5279132799234287E-5</v>
      </c>
      <c r="AS69" s="134">
        <v>5.3996791943467616E-6</v>
      </c>
      <c r="AT69" s="134">
        <v>2.9047049017050514E-12</v>
      </c>
      <c r="AU69" s="134">
        <v>2.2101961369519127E-12</v>
      </c>
      <c r="AV69" s="134">
        <v>1.4072993375778636E-10</v>
      </c>
      <c r="AW69" s="134">
        <v>1.333485883800015E-10</v>
      </c>
      <c r="AY69" s="134">
        <v>1.5279336570469669E-5</v>
      </c>
      <c r="AZ69" s="134">
        <v>5.3998186856341925E-6</v>
      </c>
      <c r="BB69">
        <v>4.2020436996348847E-3</v>
      </c>
      <c r="BC69">
        <v>9.3241075743733838E-3</v>
      </c>
      <c r="BD69">
        <v>1.2229935241297694E-2</v>
      </c>
      <c r="BE69">
        <v>1.7016542165393178E-4</v>
      </c>
      <c r="BF69">
        <v>2.5926251936959892E-2</v>
      </c>
      <c r="BG69">
        <v>3.3925573009538787E-2</v>
      </c>
      <c r="BH69">
        <v>8.8476552232257168E-3</v>
      </c>
      <c r="BI69">
        <v>1.2761194362642558E-2</v>
      </c>
      <c r="BJ69">
        <v>1.8638531576426297E-4</v>
      </c>
      <c r="BK69">
        <v>5.572080791117133E-2</v>
      </c>
      <c r="CJ69" s="223">
        <f>SUM(CJ4:CJ67)</f>
        <v>132.85301477899353</v>
      </c>
      <c r="CK69" s="224">
        <f>SUM(CK4:CK67)</f>
        <v>3031.352031779662</v>
      </c>
      <c r="CL69" s="224">
        <f>SUM(CL4:CL67)</f>
        <v>215.18163963507891</v>
      </c>
      <c r="CM69" s="225">
        <f>SUM(CM4:CM67)</f>
        <v>7129.3358371438226</v>
      </c>
    </row>
    <row r="70" spans="1:91" x14ac:dyDescent="0.25">
      <c r="A70">
        <v>67</v>
      </c>
      <c r="B70" s="127">
        <v>33.5</v>
      </c>
      <c r="C70" s="20">
        <v>1.1486896593573764E-9</v>
      </c>
      <c r="D70" s="20">
        <v>7.5209795481859644E-4</v>
      </c>
      <c r="E70" s="20">
        <v>6.833431019463353E-10</v>
      </c>
      <c r="F70" s="20">
        <v>1.7327175026458826E-6</v>
      </c>
      <c r="G70" s="19">
        <v>500.16699060256997</v>
      </c>
      <c r="H70" s="19">
        <v>112.22448550112095</v>
      </c>
      <c r="I70" s="19">
        <v>1.1377732172949864E-3</v>
      </c>
      <c r="J70" s="19">
        <v>-2.7074336512950415E-4</v>
      </c>
      <c r="K70">
        <v>1.2867589498512435</v>
      </c>
      <c r="L70" s="19">
        <v>489.21546998009347</v>
      </c>
      <c r="M70" s="19">
        <v>115.89591440954032</v>
      </c>
      <c r="N70" s="19">
        <v>1.1795547846961511E-3</v>
      </c>
      <c r="O70" s="19">
        <v>-4.1705043436123722E-4</v>
      </c>
      <c r="P70" s="19">
        <v>0.71865878278168083</v>
      </c>
      <c r="Q70" s="19">
        <v>249.16910241077511</v>
      </c>
      <c r="R70" s="19">
        <v>60.702176097600841</v>
      </c>
      <c r="S70" s="19">
        <v>5.9600995596034993E-4</v>
      </c>
      <c r="T70" s="19">
        <v>-2.6766624427037092E-4</v>
      </c>
      <c r="U70" s="19">
        <v>0.39284398176595758</v>
      </c>
      <c r="V70" s="19">
        <v>161.48135405976745</v>
      </c>
      <c r="W70" s="19">
        <v>40.575503086013889</v>
      </c>
      <c r="X70" s="19">
        <v>3.9503316888854744E-4</v>
      </c>
      <c r="Y70" s="19">
        <v>-1.935506300438416E-4</v>
      </c>
      <c r="Z70">
        <v>0.27387996245919471</v>
      </c>
      <c r="AB70">
        <v>26276.555508488138</v>
      </c>
      <c r="AC70">
        <v>428014.31530808652</v>
      </c>
      <c r="AD70">
        <v>22787.774570794001</v>
      </c>
      <c r="AE70">
        <v>66205.402727146255</v>
      </c>
      <c r="AF70">
        <v>337860.24540406122</v>
      </c>
      <c r="AG70">
        <v>449680.14624252112</v>
      </c>
      <c r="AH70">
        <v>1715086.0035316804</v>
      </c>
      <c r="AI70">
        <v>1824548.7089514825</v>
      </c>
      <c r="AK70">
        <v>1.2322174682640738E-6</v>
      </c>
      <c r="AL70">
        <v>0.32271492312087824</v>
      </c>
      <c r="AM70">
        <v>6.2831391043333659E-7</v>
      </c>
      <c r="AN70">
        <v>1.5931828486493121E-4</v>
      </c>
      <c r="AP70" s="134">
        <v>4.689417788667276E-11</v>
      </c>
      <c r="AQ70" s="134">
        <v>2.8789164852514767E-12</v>
      </c>
      <c r="AR70" s="134">
        <v>1.4161756871795918E-5</v>
      </c>
      <c r="AS70" s="134">
        <v>4.8744499667329288E-6</v>
      </c>
      <c r="AT70" s="134">
        <v>1.8596858286239321E-12</v>
      </c>
      <c r="AU70" s="134">
        <v>1.397246277567422E-12</v>
      </c>
      <c r="AV70" s="134">
        <v>9.2892300757434486E-11</v>
      </c>
      <c r="AW70" s="134">
        <v>8.731928289077413E-11</v>
      </c>
      <c r="AY70" s="134">
        <v>1.4161898517960392E-5</v>
      </c>
      <c r="AZ70" s="134">
        <v>4.8745415621785819E-6</v>
      </c>
      <c r="BB70">
        <v>4.2020437465290624E-3</v>
      </c>
      <c r="BC70">
        <v>9.3382693312451803E-3</v>
      </c>
      <c r="BD70">
        <v>1.222993524315738E-2</v>
      </c>
      <c r="BE70">
        <v>1.7016551454623253E-4</v>
      </c>
      <c r="BF70">
        <v>2.5940413835477856E-2</v>
      </c>
      <c r="BG70">
        <v>3.3925573012417706E-2</v>
      </c>
      <c r="BH70">
        <v>8.8525296731924493E-3</v>
      </c>
      <c r="BI70">
        <v>1.2761194364039805E-2</v>
      </c>
      <c r="BJ70">
        <v>1.8638540308354586E-4</v>
      </c>
      <c r="BK70">
        <v>5.5725682452733509E-2</v>
      </c>
      <c r="CJ70" s="13"/>
      <c r="CM70" s="86"/>
    </row>
    <row r="71" spans="1:91" x14ac:dyDescent="0.25">
      <c r="A71">
        <v>68</v>
      </c>
      <c r="B71" s="127">
        <v>34</v>
      </c>
      <c r="C71" s="20">
        <v>8.5500652567720466E-10</v>
      </c>
      <c r="D71" s="20">
        <v>6.5763146026944278E-4</v>
      </c>
      <c r="E71" s="20">
        <v>4.1308432840657209E-10</v>
      </c>
      <c r="F71" s="20">
        <v>1.079189639070676E-6</v>
      </c>
      <c r="G71" s="19">
        <v>501.93674379294396</v>
      </c>
      <c r="H71" s="19">
        <v>113.63834545354054</v>
      </c>
      <c r="I71" s="19">
        <v>1.1517684381652075E-3</v>
      </c>
      <c r="J71" s="19">
        <v>-2.6984859204762907E-4</v>
      </c>
      <c r="K71">
        <v>1.3025546833372856</v>
      </c>
      <c r="L71" s="19">
        <v>495.64839129980209</v>
      </c>
      <c r="M71" s="19">
        <v>117.62570417684687</v>
      </c>
      <c r="N71" s="19">
        <v>1.1971600799901231E-3</v>
      </c>
      <c r="O71" s="19">
        <v>-4.1999877904160123E-4</v>
      </c>
      <c r="P71" s="19">
        <v>0.72783427643472132</v>
      </c>
      <c r="Q71" s="19">
        <v>252.7382513985722</v>
      </c>
      <c r="R71" s="19">
        <v>61.608178725923231</v>
      </c>
      <c r="S71" s="19">
        <v>6.0490562694483262E-4</v>
      </c>
      <c r="T71" s="19">
        <v>-2.70529350396802E-4</v>
      </c>
      <c r="U71" s="19">
        <v>0.3980231859195193</v>
      </c>
      <c r="V71" s="19">
        <v>163.60293182404496</v>
      </c>
      <c r="W71" s="19">
        <v>41.181107609685732</v>
      </c>
      <c r="X71" s="19">
        <v>4.009291863346451E-4</v>
      </c>
      <c r="Y71" s="19">
        <v>-1.958224840827314E-4</v>
      </c>
      <c r="Z71">
        <v>0.27753091747789621</v>
      </c>
      <c r="AB71">
        <v>25037.792741980746</v>
      </c>
      <c r="AC71">
        <v>434179.19809218246</v>
      </c>
      <c r="AD71">
        <v>21492.512104558373</v>
      </c>
      <c r="AE71">
        <v>64220.932540203379</v>
      </c>
      <c r="AF71">
        <v>318656.18959134852</v>
      </c>
      <c r="AG71">
        <v>429478.99149669713</v>
      </c>
      <c r="AH71">
        <v>1617600.1117066906</v>
      </c>
      <c r="AI71">
        <v>1734849.6725781143</v>
      </c>
      <c r="AK71">
        <v>9.1717895067378577E-7</v>
      </c>
      <c r="AL71">
        <v>0.28218064519788871</v>
      </c>
      <c r="AM71">
        <v>3.7981890646237149E-7</v>
      </c>
      <c r="AN71">
        <v>9.9228317413656739E-5</v>
      </c>
      <c r="AP71" s="134">
        <v>3.6631781408428875E-11</v>
      </c>
      <c r="AQ71" s="134">
        <v>2.1124433291690211E-12</v>
      </c>
      <c r="AR71" s="134">
        <v>1.3129253752428535E-5</v>
      </c>
      <c r="AS71" s="134">
        <v>4.393904511137999E-6</v>
      </c>
      <c r="AT71" s="134">
        <v>1.1919395224974584E-12</v>
      </c>
      <c r="AU71" s="134">
        <v>8.8437132894145872E-13</v>
      </c>
      <c r="AV71" s="134">
        <v>6.1342921959224738E-11</v>
      </c>
      <c r="AW71" s="134">
        <v>5.7197069568682659E-11</v>
      </c>
      <c r="AY71" s="134">
        <v>1.3129352919071424E-5</v>
      </c>
      <c r="AZ71" s="134">
        <v>4.3939647050222261E-6</v>
      </c>
      <c r="BB71">
        <v>4.2020437831608443E-3</v>
      </c>
      <c r="BC71">
        <v>9.351398584997608E-3</v>
      </c>
      <c r="BD71">
        <v>1.2229935244349319E-2</v>
      </c>
      <c r="BE71">
        <v>1.7016557588915449E-4</v>
      </c>
      <c r="BF71">
        <v>2.5953543188396926E-2</v>
      </c>
      <c r="BG71">
        <v>3.3925573014530148E-2</v>
      </c>
      <c r="BH71">
        <v>8.8569235777035873E-3</v>
      </c>
      <c r="BI71">
        <v>1.2761194364924176E-2</v>
      </c>
      <c r="BJ71">
        <v>1.8638546028061542E-4</v>
      </c>
      <c r="BK71">
        <v>5.5730076417438532E-2</v>
      </c>
      <c r="CJ71" s="13"/>
      <c r="CM71" s="86"/>
    </row>
    <row r="72" spans="1:91" ht="17.25" x14ac:dyDescent="0.25">
      <c r="A72">
        <v>69</v>
      </c>
      <c r="B72" s="127">
        <v>34.5</v>
      </c>
      <c r="C72" s="20">
        <v>6.3803874530386862E-10</v>
      </c>
      <c r="D72" s="20">
        <v>5.7566361692322021E-4</v>
      </c>
      <c r="E72" s="20">
        <v>2.5020917791899651E-10</v>
      </c>
      <c r="F72" s="20">
        <v>6.7331813233129893E-7</v>
      </c>
      <c r="G72" s="19">
        <v>503.66354831158606</v>
      </c>
      <c r="H72" s="19">
        <v>115.04566305764929</v>
      </c>
      <c r="I72" s="19">
        <v>1.1656894874454572E-3</v>
      </c>
      <c r="J72" s="19">
        <v>-2.6893813431385451E-4</v>
      </c>
      <c r="K72">
        <v>1.3182960267388348</v>
      </c>
      <c r="L72" s="19">
        <v>502.17004678518964</v>
      </c>
      <c r="M72" s="19">
        <v>119.35549394415344</v>
      </c>
      <c r="N72" s="19">
        <v>1.2147653752840957E-3</v>
      </c>
      <c r="O72" s="19">
        <v>-4.2270218260402083E-4</v>
      </c>
      <c r="P72" s="19">
        <v>0.73698312180960401</v>
      </c>
      <c r="Q72" s="19">
        <v>256.28840649882517</v>
      </c>
      <c r="R72" s="19">
        <v>62.514181354245622</v>
      </c>
      <c r="S72" s="19">
        <v>6.1380129792931531E-4</v>
      </c>
      <c r="T72" s="19">
        <v>-2.7337412281255098E-4</v>
      </c>
      <c r="U72" s="19">
        <v>0.40319083450205073</v>
      </c>
      <c r="V72" s="19">
        <v>165.93552570130595</v>
      </c>
      <c r="W72" s="19">
        <v>41.786712133357589</v>
      </c>
      <c r="X72" s="19">
        <v>4.0682520378074291E-4</v>
      </c>
      <c r="Y72" s="19">
        <v>-1.9816379119909263E-4</v>
      </c>
      <c r="Z72">
        <v>0.28117517576837026</v>
      </c>
      <c r="AB72">
        <v>23877.348575164891</v>
      </c>
      <c r="AC72">
        <v>440564.7774606059</v>
      </c>
      <c r="AD72">
        <v>20288.198099026999</v>
      </c>
      <c r="AE72">
        <v>62465.33737856074</v>
      </c>
      <c r="AF72">
        <v>300800.57037814736</v>
      </c>
      <c r="AG72">
        <v>410502.78625444783</v>
      </c>
      <c r="AH72">
        <v>1526959.3126972388</v>
      </c>
      <c r="AI72">
        <v>1648022.3666551015</v>
      </c>
      <c r="AK72">
        <v>6.844341994273307E-7</v>
      </c>
      <c r="AL72">
        <v>0.24700936718232677</v>
      </c>
      <c r="AM72">
        <v>2.3005998971354399E-7</v>
      </c>
      <c r="AN72">
        <v>6.1909624533529404E-5</v>
      </c>
      <c r="AP72" s="134">
        <v>2.8664581298579304E-11</v>
      </c>
      <c r="AQ72" s="134">
        <v>1.5535381729160837E-12</v>
      </c>
      <c r="AR72" s="134">
        <v>1.2175027371907075E-5</v>
      </c>
      <c r="AS72" s="134">
        <v>3.9543429612069131E-6</v>
      </c>
      <c r="AT72" s="134">
        <v>7.6482564319717607E-13</v>
      </c>
      <c r="AU72" s="134">
        <v>5.6043466065768089E-13</v>
      </c>
      <c r="AV72" s="134">
        <v>4.0544383873707493E-11</v>
      </c>
      <c r="AW72" s="134">
        <v>3.7566009895353481E-11</v>
      </c>
      <c r="AY72" s="134">
        <v>1.217509734569789E-5</v>
      </c>
      <c r="AZ72" s="134">
        <v>3.9543826411896412E-6</v>
      </c>
      <c r="BB72">
        <v>4.2020438118254254E-3</v>
      </c>
      <c r="BC72">
        <v>9.3635736123695145E-3</v>
      </c>
      <c r="BD72">
        <v>1.2229935245114145E-2</v>
      </c>
      <c r="BE72">
        <v>1.7016561643353836E-4</v>
      </c>
      <c r="BF72">
        <v>2.5965718285742626E-2</v>
      </c>
      <c r="BG72">
        <v>3.3925573016083684E-2</v>
      </c>
      <c r="BH72">
        <v>8.860877920664794E-3</v>
      </c>
      <c r="BI72">
        <v>1.2761194365484611E-2</v>
      </c>
      <c r="BJ72">
        <v>1.8638549784662532E-4</v>
      </c>
      <c r="BK72">
        <v>5.5734030800079708E-2</v>
      </c>
      <c r="CJ72" s="226" t="s">
        <v>253</v>
      </c>
      <c r="CK72" s="227" t="s">
        <v>257</v>
      </c>
      <c r="CL72" s="227" t="s">
        <v>254</v>
      </c>
      <c r="CM72" s="228" t="s">
        <v>258</v>
      </c>
    </row>
    <row r="73" spans="1:91" x14ac:dyDescent="0.25">
      <c r="A73">
        <v>70</v>
      </c>
      <c r="B73" s="127">
        <v>35</v>
      </c>
      <c r="C73" s="20">
        <v>4.7732533288633531E-10</v>
      </c>
      <c r="D73" s="20">
        <v>5.044574983070106E-4</v>
      </c>
      <c r="E73" s="20">
        <v>1.5185832948507946E-10</v>
      </c>
      <c r="F73" s="20">
        <v>4.2100512360518421E-7</v>
      </c>
      <c r="G73" s="19">
        <v>505.34884932421488</v>
      </c>
      <c r="H73" s="19">
        <v>116.44648061787282</v>
      </c>
      <c r="I73" s="19">
        <v>1.1795368708291973E-3</v>
      </c>
      <c r="J73" s="19">
        <v>-2.6801305904522791E-4</v>
      </c>
      <c r="K73">
        <v>1.3339837834522839</v>
      </c>
      <c r="L73" s="19">
        <v>508.64008118900614</v>
      </c>
      <c r="M73" s="19">
        <v>121.08528371146001</v>
      </c>
      <c r="N73" s="19">
        <v>1.2323706705780681E-3</v>
      </c>
      <c r="O73" s="19">
        <v>-4.2536654137855304E-4</v>
      </c>
      <c r="P73" s="19">
        <v>0.74610566632629904</v>
      </c>
      <c r="Q73" s="19">
        <v>259.81857829937212</v>
      </c>
      <c r="R73" s="19">
        <v>63.420183982568027</v>
      </c>
      <c r="S73" s="19">
        <v>6.2269696891379821E-4</v>
      </c>
      <c r="T73" s="19">
        <v>-2.7619996695218095E-4</v>
      </c>
      <c r="U73" s="19">
        <v>0.40834704445880166</v>
      </c>
      <c r="V73" s="19">
        <v>168.79840426299126</v>
      </c>
      <c r="W73" s="19">
        <v>42.39231665702944</v>
      </c>
      <c r="X73" s="19">
        <v>4.1272122122684062E-4</v>
      </c>
      <c r="Y73" s="19">
        <v>-2.0069664701310514E-4</v>
      </c>
      <c r="Z73">
        <v>0.28481279837280377</v>
      </c>
      <c r="AB73">
        <v>22789.141627602785</v>
      </c>
      <c r="AC73">
        <v>447171.75006966223</v>
      </c>
      <c r="AD73">
        <v>19167.264110195956</v>
      </c>
      <c r="AE73">
        <v>60792.572247091324</v>
      </c>
      <c r="AF73">
        <v>284181.175124273</v>
      </c>
      <c r="AG73">
        <v>392664.8620497947</v>
      </c>
      <c r="AH73">
        <v>1442593.9794719827</v>
      </c>
      <c r="AI73">
        <v>1560036.5840827834</v>
      </c>
      <c r="AK73">
        <v>5.120343936555951E-7</v>
      </c>
      <c r="AL73">
        <v>0.21645579773337281</v>
      </c>
      <c r="AM73">
        <v>1.3962927343362208E-7</v>
      </c>
      <c r="AN73">
        <v>3.8710184499033286E-5</v>
      </c>
      <c r="AP73" s="134">
        <v>2.2468349270136884E-11</v>
      </c>
      <c r="AQ73" s="134">
        <v>1.1450508525545908E-12</v>
      </c>
      <c r="AR73" s="134">
        <v>1.1292993955158678E-5</v>
      </c>
      <c r="AS73" s="134">
        <v>3.5605632354819355E-6</v>
      </c>
      <c r="AT73" s="134">
        <v>4.9133892620636082E-13</v>
      </c>
      <c r="AU73" s="134">
        <v>3.5559401140384028E-13</v>
      </c>
      <c r="AV73" s="134">
        <v>2.6833734959300165E-11</v>
      </c>
      <c r="AW73" s="134">
        <v>2.4813638919751851E-11</v>
      </c>
      <c r="AY73" s="134">
        <v>1.1293043748581835E-5</v>
      </c>
      <c r="AZ73" s="134">
        <v>3.560589549765719E-6</v>
      </c>
      <c r="BB73">
        <v>4.2020438342937746E-3</v>
      </c>
      <c r="BC73">
        <v>9.3748666063246736E-3</v>
      </c>
      <c r="BD73">
        <v>1.2229935245605485E-2</v>
      </c>
      <c r="BE73">
        <v>1.7016564326727333E-4</v>
      </c>
      <c r="BF73">
        <v>2.5977011329491206E-2</v>
      </c>
      <c r="BG73">
        <v>3.3925573017228733E-2</v>
      </c>
      <c r="BH73">
        <v>8.8644384839002763E-3</v>
      </c>
      <c r="BI73">
        <v>1.2761194365840205E-2</v>
      </c>
      <c r="BJ73">
        <v>1.8638552266026423E-4</v>
      </c>
      <c r="BK73">
        <v>5.5737591389629478E-2</v>
      </c>
      <c r="CJ73" s="229">
        <f>CJ69/(2^CB2)</f>
        <v>16.606626847374191</v>
      </c>
      <c r="CK73" s="20">
        <f>CK69/(2^CB2)</f>
        <v>378.91900397245774</v>
      </c>
      <c r="CL73" s="20">
        <f>CL69/(2^CB2)</f>
        <v>26.897704954384864</v>
      </c>
      <c r="CM73" s="230">
        <f>CM69/(2^CB2)</f>
        <v>891.16697964297782</v>
      </c>
    </row>
    <row r="74" spans="1:91" x14ac:dyDescent="0.25">
      <c r="A74">
        <v>71</v>
      </c>
      <c r="B74" s="127">
        <v>35.5</v>
      </c>
      <c r="C74" s="20">
        <v>3.5797378196975236E-10</v>
      </c>
      <c r="D74" s="20">
        <v>4.4252902448750143E-4</v>
      </c>
      <c r="E74" s="20">
        <v>9.2352994323082484E-11</v>
      </c>
      <c r="F74" s="20">
        <v>2.6394001634828981E-7</v>
      </c>
      <c r="G74" s="19">
        <v>506.99403007054394</v>
      </c>
      <c r="H74" s="19">
        <v>117.84084008757745</v>
      </c>
      <c r="I74" s="19">
        <v>1.1933110896932013E-3</v>
      </c>
      <c r="J74" s="19">
        <v>-2.6707437479199942E-4</v>
      </c>
      <c r="K74">
        <v>1.3496187342978017</v>
      </c>
      <c r="L74" s="19">
        <v>515.05783960363431</v>
      </c>
      <c r="M74" s="19">
        <v>122.81507347876659</v>
      </c>
      <c r="N74" s="19">
        <v>1.2499759658720405E-3</v>
      </c>
      <c r="O74" s="19">
        <v>-4.2799270102192571E-4</v>
      </c>
      <c r="P74" s="19">
        <v>0.755202249448087</v>
      </c>
      <c r="Q74" s="19">
        <v>263.32789641057542</v>
      </c>
      <c r="R74" s="19">
        <v>64.326186610890431</v>
      </c>
      <c r="S74" s="19">
        <v>6.3159263989828111E-4</v>
      </c>
      <c r="T74" s="19">
        <v>-2.7900637019048573E-4</v>
      </c>
      <c r="U74" s="19">
        <v>0.41349193049510446</v>
      </c>
      <c r="V74" s="19">
        <v>171.65581104710944</v>
      </c>
      <c r="W74" s="19">
        <v>42.997921180701297</v>
      </c>
      <c r="X74" s="19">
        <v>4.1861723867293844E-4</v>
      </c>
      <c r="Y74" s="19">
        <v>-2.0321768002142752E-4</v>
      </c>
      <c r="Z74">
        <v>0.28844384501089737</v>
      </c>
      <c r="AB74">
        <v>21767.645315544658</v>
      </c>
      <c r="AC74">
        <v>454001.0903605062</v>
      </c>
      <c r="AD74">
        <v>18122.867187407657</v>
      </c>
      <c r="AE74">
        <v>59197.450287502747</v>
      </c>
      <c r="AF74">
        <v>268696.54763086478</v>
      </c>
      <c r="AG74">
        <v>375885.08523480082</v>
      </c>
      <c r="AH74">
        <v>1363989.0881149506</v>
      </c>
      <c r="AI74">
        <v>1478136.2074941793</v>
      </c>
      <c r="AK74">
        <v>3.8400410740221504E-7</v>
      </c>
      <c r="AL74">
        <v>0.18988313849448871</v>
      </c>
      <c r="AM74">
        <v>8.4915865599709641E-8</v>
      </c>
      <c r="AN74">
        <v>2.4268509233397717E-5</v>
      </c>
      <c r="AP74" s="134">
        <v>1.7641049449110186E-11</v>
      </c>
      <c r="AQ74" s="134">
        <v>8.4582199372536963E-13</v>
      </c>
      <c r="AR74" s="134">
        <v>1.0477544007298444E-5</v>
      </c>
      <c r="AS74" s="134">
        <v>3.2076235981835049E-6</v>
      </c>
      <c r="AT74" s="134">
        <v>3.1602886731677334E-13</v>
      </c>
      <c r="AU74" s="134">
        <v>2.2590911141543698E-13</v>
      </c>
      <c r="AV74" s="134">
        <v>1.779230453150992E-11</v>
      </c>
      <c r="AW74" s="134">
        <v>1.6418317277092533E-11</v>
      </c>
      <c r="AY74" s="134">
        <v>1.0477579756681292E-5</v>
      </c>
      <c r="AZ74" s="134">
        <v>3.2076410882318871E-6</v>
      </c>
      <c r="BB74">
        <v>4.2020438519348238E-3</v>
      </c>
      <c r="BC74">
        <v>9.3853441503319712E-3</v>
      </c>
      <c r="BD74">
        <v>1.2229935245921513E-2</v>
      </c>
      <c r="BE74">
        <v>1.7016566105957785E-4</v>
      </c>
      <c r="BF74">
        <v>2.5987488909247885E-2</v>
      </c>
      <c r="BG74">
        <v>3.3925573018074556E-2</v>
      </c>
      <c r="BH74">
        <v>8.8676461074984596E-3</v>
      </c>
      <c r="BI74">
        <v>1.2761194366066115E-2</v>
      </c>
      <c r="BJ74">
        <v>1.8638553907858151E-4</v>
      </c>
      <c r="BK74">
        <v>5.5740799030717714E-2</v>
      </c>
      <c r="CJ74" s="13"/>
      <c r="CM74" s="86"/>
    </row>
    <row r="75" spans="1:91" x14ac:dyDescent="0.25">
      <c r="A75">
        <v>72</v>
      </c>
      <c r="B75" s="127">
        <v>36</v>
      </c>
      <c r="C75" s="20">
        <v>2.6911464140587664E-10</v>
      </c>
      <c r="D75" s="20">
        <v>3.8860850464794944E-4</v>
      </c>
      <c r="E75" s="20">
        <v>5.6278929493255826E-11</v>
      </c>
      <c r="F75" s="20">
        <v>1.6599499053993931E-7</v>
      </c>
      <c r="G75" s="19">
        <v>508.60041507691312</v>
      </c>
      <c r="H75" s="19">
        <v>119.228783072624</v>
      </c>
      <c r="I75" s="19">
        <v>1.2070126411420198E-3</v>
      </c>
      <c r="J75" s="19">
        <v>-2.6612303499991784E-4</v>
      </c>
      <c r="K75">
        <v>1.3652016384033183</v>
      </c>
      <c r="L75" s="19">
        <v>521.42280164330043</v>
      </c>
      <c r="M75" s="19">
        <v>124.54486324607316</v>
      </c>
      <c r="N75" s="19">
        <v>1.2675812611660129E-3</v>
      </c>
      <c r="O75" s="19">
        <v>-4.3058148803534958E-4</v>
      </c>
      <c r="P75" s="19">
        <v>0.76427320293341672</v>
      </c>
      <c r="Q75" s="19">
        <v>267.04298015181206</v>
      </c>
      <c r="R75" s="19">
        <v>65.232189239212829</v>
      </c>
      <c r="S75" s="19">
        <v>6.4048831088276391E-4</v>
      </c>
      <c r="T75" s="19">
        <v>-2.8182379082303027E-4</v>
      </c>
      <c r="U75" s="19">
        <v>0.41862560515055519</v>
      </c>
      <c r="V75" s="19">
        <v>174.50641334467869</v>
      </c>
      <c r="W75" s="19">
        <v>43.603525704373148</v>
      </c>
      <c r="X75" s="19">
        <v>4.2451325611903614E-4</v>
      </c>
      <c r="Y75" s="19">
        <v>-2.0572614712000459E-4</v>
      </c>
      <c r="Z75">
        <v>0.29206837413711156</v>
      </c>
      <c r="AB75">
        <v>20807.830043509115</v>
      </c>
      <c r="AC75">
        <v>461054.03535544343</v>
      </c>
      <c r="AD75">
        <v>17148.811408745314</v>
      </c>
      <c r="AE75">
        <v>57675.1798544087</v>
      </c>
      <c r="AF75">
        <v>254254.82479418698</v>
      </c>
      <c r="AG75">
        <v>359918.88108335942</v>
      </c>
      <c r="AH75">
        <v>1290678.3123104521</v>
      </c>
      <c r="AI75">
        <v>1401836.8754823206</v>
      </c>
      <c r="AK75">
        <v>2.8868350942713128E-7</v>
      </c>
      <c r="AL75">
        <v>0.16674658254034325</v>
      </c>
      <c r="AM75">
        <v>5.1746822590574105E-8</v>
      </c>
      <c r="AN75">
        <v>1.5262751803805388E-5</v>
      </c>
      <c r="AP75" s="134">
        <v>1.3873792164944392E-11</v>
      </c>
      <c r="AQ75" s="134">
        <v>6.2613812544678105E-13</v>
      </c>
      <c r="AR75" s="134">
        <v>9.7235066947735004E-6</v>
      </c>
      <c r="AS75" s="134">
        <v>2.8911324240560147E-6</v>
      </c>
      <c r="AT75" s="134">
        <v>2.035234636450336E-13</v>
      </c>
      <c r="AU75" s="134">
        <v>1.4377357040790872E-13</v>
      </c>
      <c r="AV75" s="134">
        <v>1.1825372486877408E-11</v>
      </c>
      <c r="AW75" s="134">
        <v>1.0887680350507284E-11</v>
      </c>
      <c r="AY75" s="134">
        <v>9.7235325974616166E-6</v>
      </c>
      <c r="AZ75" s="134">
        <v>2.8911440816480614E-6</v>
      </c>
      <c r="BB75">
        <v>4.2020438658086157E-3</v>
      </c>
      <c r="BC75">
        <v>9.3950676570267455E-3</v>
      </c>
      <c r="BD75">
        <v>1.2229935246125036E-2</v>
      </c>
      <c r="BE75">
        <v>1.7016567288495035E-4</v>
      </c>
      <c r="BF75">
        <v>2.5997212441845344E-2</v>
      </c>
      <c r="BG75">
        <v>3.3925573018700694E-2</v>
      </c>
      <c r="BH75">
        <v>8.8705372399225154E-3</v>
      </c>
      <c r="BI75">
        <v>1.2761194366209889E-2</v>
      </c>
      <c r="BJ75">
        <v>1.8638554996626186E-4</v>
      </c>
      <c r="BK75">
        <v>5.5743690174799368E-2</v>
      </c>
      <c r="CJ75" s="226" t="s">
        <v>255</v>
      </c>
      <c r="CK75" s="227" t="s">
        <v>256</v>
      </c>
      <c r="CM75" s="86"/>
    </row>
    <row r="76" spans="1:91" x14ac:dyDescent="0.25">
      <c r="A76">
        <v>73</v>
      </c>
      <c r="B76" s="127">
        <v>36.5</v>
      </c>
      <c r="C76" s="20">
        <v>2.0279321554633339E-10</v>
      </c>
      <c r="D76" s="20">
        <v>3.4160827643457876E-4</v>
      </c>
      <c r="E76" s="20">
        <v>3.4365910839886583E-11</v>
      </c>
      <c r="F76" s="20">
        <v>1.0478336363113587E-7</v>
      </c>
      <c r="G76" s="19">
        <v>510.16927317379424</v>
      </c>
      <c r="H76" s="19">
        <v>120.61035083487934</v>
      </c>
      <c r="I76" s="19">
        <v>1.2206420180519233E-3</v>
      </c>
      <c r="J76" s="19">
        <v>-2.6515994124440967E-4</v>
      </c>
      <c r="K76">
        <v>1.3807332340451923</v>
      </c>
      <c r="L76" s="19">
        <v>527.73456754076119</v>
      </c>
      <c r="M76" s="19">
        <v>126.27465301337973</v>
      </c>
      <c r="N76" s="19">
        <v>1.2851865564599855E-3</v>
      </c>
      <c r="O76" s="19">
        <v>-4.3313370974691341E-4</v>
      </c>
      <c r="P76" s="19">
        <v>0.77331885107737364</v>
      </c>
      <c r="Q76" s="19">
        <v>271.03973651031146</v>
      </c>
      <c r="R76" s="19">
        <v>66.138191867535227</v>
      </c>
      <c r="S76" s="19">
        <v>6.493839818672467E-4</v>
      </c>
      <c r="T76" s="19">
        <v>-2.8466415846859947E-4</v>
      </c>
      <c r="U76" s="19">
        <v>0.42374817886918104</v>
      </c>
      <c r="V76" s="19">
        <v>177.35114319667468</v>
      </c>
      <c r="W76" s="19">
        <v>44.209130228044984</v>
      </c>
      <c r="X76" s="19">
        <v>4.3040927356513374E-4</v>
      </c>
      <c r="Y76" s="19">
        <v>-2.0818610247925443E-4</v>
      </c>
      <c r="Z76">
        <v>0.2956864429942076</v>
      </c>
      <c r="AB76">
        <v>19905.112140421759</v>
      </c>
      <c r="AC76">
        <v>468332.0711526894</v>
      </c>
      <c r="AD76">
        <v>16239.47884145121</v>
      </c>
      <c r="AE76">
        <v>56221.329610055116</v>
      </c>
      <c r="AF76">
        <v>240772.71299843289</v>
      </c>
      <c r="AG76">
        <v>344659.64622958214</v>
      </c>
      <c r="AH76">
        <v>1222238.8271875638</v>
      </c>
      <c r="AI76">
        <v>1331669.932963276</v>
      </c>
      <c r="AK76">
        <v>2.1753947256862181E-7</v>
      </c>
      <c r="AL76">
        <v>0.14657942886393147</v>
      </c>
      <c r="AM76">
        <v>3.1598445588916255E-8</v>
      </c>
      <c r="AN76">
        <v>9.6345225061783944E-6</v>
      </c>
      <c r="AP76" s="134">
        <v>1.0928824265544303E-11</v>
      </c>
      <c r="AQ76" s="134">
        <v>4.644983462977444E-13</v>
      </c>
      <c r="AR76" s="134">
        <v>9.0261165579887954E-6</v>
      </c>
      <c r="AS76" s="134">
        <v>2.6071853846323107E-6</v>
      </c>
      <c r="AT76" s="134">
        <v>1.3123765228795639E-13</v>
      </c>
      <c r="AU76" s="134">
        <v>9.168014281506032E-14</v>
      </c>
      <c r="AV76" s="134">
        <v>7.8826840482133444E-12</v>
      </c>
      <c r="AW76" s="134">
        <v>7.2349178033473624E-12</v>
      </c>
      <c r="AY76" s="134">
        <v>9.0261355007347607E-6</v>
      </c>
      <c r="AZ76" s="134">
        <v>2.607193175728603E-6</v>
      </c>
      <c r="BB76">
        <v>4.2020438767374404E-3</v>
      </c>
      <c r="BC76">
        <v>9.404093773584735E-3</v>
      </c>
      <c r="BD76">
        <v>1.2229935246256273E-2</v>
      </c>
      <c r="BE76">
        <v>1.7016568076763441E-4</v>
      </c>
      <c r="BF76">
        <v>2.6006238577346082E-2</v>
      </c>
      <c r="BG76">
        <v>3.3925573019165191E-2</v>
      </c>
      <c r="BH76">
        <v>8.8731444253071484E-3</v>
      </c>
      <c r="BI76">
        <v>1.2761194366301569E-2</v>
      </c>
      <c r="BJ76">
        <v>1.8638555720117966E-4</v>
      </c>
      <c r="BK76">
        <v>5.5746297367975088E-2</v>
      </c>
      <c r="CJ76" s="229">
        <f>CK73-(CJ73^2)</f>
        <v>103.13894872452852</v>
      </c>
      <c r="CK76" s="20">
        <f>CM73-(CL73^2)</f>
        <v>167.68044782983782</v>
      </c>
      <c r="CM76" s="86"/>
    </row>
    <row r="77" spans="1:91" x14ac:dyDescent="0.25">
      <c r="A77">
        <v>74</v>
      </c>
      <c r="B77" s="127">
        <v>37</v>
      </c>
      <c r="C77" s="20">
        <v>1.5317244879478787E-10</v>
      </c>
      <c r="D77" s="20">
        <v>3.0059543695739921E-4</v>
      </c>
      <c r="E77" s="20">
        <v>2.1028142841791286E-11</v>
      </c>
      <c r="F77" s="20">
        <v>6.6427271169317155E-8</v>
      </c>
      <c r="G77" s="19">
        <v>511.70182033171494</v>
      </c>
      <c r="H77" s="19">
        <v>121.98558429568666</v>
      </c>
      <c r="I77" s="19">
        <v>1.2341997091143123E-3</v>
      </c>
      <c r="J77" s="19">
        <v>-2.6418594625338354E-4</v>
      </c>
      <c r="K77">
        <v>1.3962142394481107</v>
      </c>
      <c r="L77" s="19">
        <v>533.99284565552375</v>
      </c>
      <c r="M77" s="19">
        <v>128.0044427806863</v>
      </c>
      <c r="N77" s="19">
        <v>1.3027918517539577E-3</v>
      </c>
      <c r="O77" s="19">
        <v>-4.3565015437599966E-4</v>
      </c>
      <c r="P77" s="19">
        <v>0.78233951094331422</v>
      </c>
      <c r="Q77" s="19">
        <v>275.02678655518326</v>
      </c>
      <c r="R77" s="19">
        <v>67.044194495857624</v>
      </c>
      <c r="S77" s="19">
        <v>6.582796528517296E-4</v>
      </c>
      <c r="T77" s="19">
        <v>-2.8748826091537982E-4</v>
      </c>
      <c r="U77" s="19">
        <v>0.42885976006590099</v>
      </c>
      <c r="V77" s="19">
        <v>180.18924188980364</v>
      </c>
      <c r="W77" s="19">
        <v>44.814734751716834</v>
      </c>
      <c r="X77" s="19">
        <v>4.363052910112315E-4</v>
      </c>
      <c r="Y77" s="19">
        <v>-2.1058988416212593E-4</v>
      </c>
      <c r="Z77">
        <v>0.29929810766337883</v>
      </c>
      <c r="AB77">
        <v>19055.308672176285</v>
      </c>
      <c r="AC77">
        <v>475836.92093579576</v>
      </c>
      <c r="AD77">
        <v>15389.768685480554</v>
      </c>
      <c r="AE77">
        <v>54831.797078531519</v>
      </c>
      <c r="AF77">
        <v>228174.58583482142</v>
      </c>
      <c r="AG77">
        <v>330270.04689276096</v>
      </c>
      <c r="AH77">
        <v>1158286.7290554449</v>
      </c>
      <c r="AI77">
        <v>1267237.6382215424</v>
      </c>
      <c r="AK77">
        <v>1.6431049546255322E-7</v>
      </c>
      <c r="AL77">
        <v>0.12898138162281209</v>
      </c>
      <c r="AM77">
        <v>1.9334759684329485E-8</v>
      </c>
      <c r="AN77">
        <v>6.1077924674927107E-6</v>
      </c>
      <c r="AP77" s="134">
        <v>8.6228199337684895E-12</v>
      </c>
      <c r="AQ77" s="134">
        <v>3.4530842024493404E-13</v>
      </c>
      <c r="AR77" s="134">
        <v>8.3809824734077584E-6</v>
      </c>
      <c r="AS77" s="134">
        <v>2.3523099459622234E-6</v>
      </c>
      <c r="AT77" s="134">
        <v>8.473669236032348E-14</v>
      </c>
      <c r="AU77" s="134">
        <v>5.8542274318347447E-14</v>
      </c>
      <c r="AV77" s="134">
        <v>5.2731265189177024E-12</v>
      </c>
      <c r="AW77" s="134">
        <v>4.8197688288871106E-12</v>
      </c>
      <c r="AY77" s="134">
        <v>8.3809964540909027E-6</v>
      </c>
      <c r="AZ77" s="134">
        <v>2.3523151695817467E-6</v>
      </c>
      <c r="BB77">
        <v>4.2020438853602607E-3</v>
      </c>
      <c r="BC77">
        <v>9.412474756058142E-3</v>
      </c>
      <c r="BD77">
        <v>1.2229935246341009E-2</v>
      </c>
      <c r="BE77">
        <v>1.7016568604076094E-4</v>
      </c>
      <c r="BF77">
        <v>2.6014619573800173E-2</v>
      </c>
      <c r="BG77">
        <v>3.3925573019510498E-2</v>
      </c>
      <c r="BH77">
        <v>8.8754967352531102E-3</v>
      </c>
      <c r="BI77">
        <v>1.2761194366360111E-2</v>
      </c>
      <c r="BJ77">
        <v>1.8638556202094848E-4</v>
      </c>
      <c r="BK77">
        <v>5.574864968314467E-2</v>
      </c>
      <c r="CJ77" s="13"/>
      <c r="CM77" s="86"/>
    </row>
    <row r="78" spans="1:91" x14ac:dyDescent="0.25">
      <c r="A78">
        <v>75</v>
      </c>
      <c r="B78" s="127">
        <v>37.5</v>
      </c>
      <c r="C78" s="20">
        <v>1.1595799389022605E-10</v>
      </c>
      <c r="D78" s="20">
        <v>2.6476883226831614E-4</v>
      </c>
      <c r="E78" s="20">
        <v>1.2893416393903717E-11</v>
      </c>
      <c r="F78" s="20">
        <v>4.2317225015618755E-8</v>
      </c>
      <c r="G78" s="19">
        <v>513.19922232809438</v>
      </c>
      <c r="H78" s="19">
        <v>123.35452403929285</v>
      </c>
      <c r="I78" s="19">
        <v>1.2476861988785953E-3</v>
      </c>
      <c r="J78" s="19">
        <v>-2.6320185673404706E-4</v>
      </c>
      <c r="K78">
        <v>1.4116453535465767</v>
      </c>
      <c r="L78" s="19">
        <v>540.19744124107501</v>
      </c>
      <c r="M78" s="19">
        <v>129.73423254799289</v>
      </c>
      <c r="N78" s="19">
        <v>1.3203971470479301E-3</v>
      </c>
      <c r="O78" s="19">
        <v>-4.3813159116616742E-4</v>
      </c>
      <c r="P78" s="19">
        <v>0.79133549258517799</v>
      </c>
      <c r="Q78" s="19">
        <v>279.00255876464951</v>
      </c>
      <c r="R78" s="19">
        <v>67.950197124180036</v>
      </c>
      <c r="S78" s="19">
        <v>6.6717532383621251E-4</v>
      </c>
      <c r="T78" s="19">
        <v>-2.9029554299441396E-4</v>
      </c>
      <c r="U78" s="19">
        <v>0.4339604551895494</v>
      </c>
      <c r="V78" s="19">
        <v>183.01697627281382</v>
      </c>
      <c r="W78" s="19">
        <v>45.420339275388692</v>
      </c>
      <c r="X78" s="19">
        <v>4.4220130845732926E-4</v>
      </c>
      <c r="Y78" s="19">
        <v>-2.1298180043672612E-4</v>
      </c>
      <c r="Z78">
        <v>0.3029034231112398</v>
      </c>
      <c r="AB78">
        <v>18254.597384350156</v>
      </c>
      <c r="AC78">
        <v>483570.53433691192</v>
      </c>
      <c r="AD78">
        <v>14595.043536024608</v>
      </c>
      <c r="AE78">
        <v>53502.780284045635</v>
      </c>
      <c r="AF78">
        <v>216391.6873692513</v>
      </c>
      <c r="AG78">
        <v>316692.44152712304</v>
      </c>
      <c r="AH78">
        <v>1098472.9909366972</v>
      </c>
      <c r="AI78">
        <v>1206892.2928050449</v>
      </c>
      <c r="AK78">
        <v>1.2438996424528729E-7</v>
      </c>
      <c r="AL78">
        <v>0.11360867663957863</v>
      </c>
      <c r="AM78">
        <v>1.1855117656452374E-8</v>
      </c>
      <c r="AN78">
        <v>3.8909445419906931E-6</v>
      </c>
      <c r="AP78" s="134">
        <v>6.8141718837320406E-12</v>
      </c>
      <c r="AQ78" s="134">
        <v>2.5723230720799594E-13</v>
      </c>
      <c r="AR78" s="134">
        <v>7.7840587703052036E-6</v>
      </c>
      <c r="AS78" s="134">
        <v>2.1234163166181551E-6</v>
      </c>
      <c r="AT78" s="134">
        <v>5.4785457799137967E-14</v>
      </c>
      <c r="AU78" s="134">
        <v>3.7434166724301329E-14</v>
      </c>
      <c r="AV78" s="134">
        <v>3.5421394737004692E-12</v>
      </c>
      <c r="AW78" s="134">
        <v>3.2239368543380165E-12</v>
      </c>
      <c r="AY78" s="134">
        <v>7.7840691814020184E-6</v>
      </c>
      <c r="AZ78" s="134">
        <v>2.1234198352214834E-6</v>
      </c>
      <c r="BB78">
        <v>4.2020438921744323E-3</v>
      </c>
      <c r="BC78">
        <v>9.4202588148284468E-3</v>
      </c>
      <c r="BD78">
        <v>1.2229935246395795E-2</v>
      </c>
      <c r="BE78">
        <v>1.7016568958290042E-4</v>
      </c>
      <c r="BF78">
        <v>2.6022403642981574E-2</v>
      </c>
      <c r="BG78">
        <v>3.392557301976773E-2</v>
      </c>
      <c r="BH78">
        <v>8.8776201515697283E-3</v>
      </c>
      <c r="BI78">
        <v>1.2761194366397544E-2</v>
      </c>
      <c r="BJ78">
        <v>1.8638556524488533E-4</v>
      </c>
      <c r="BK78">
        <v>5.5750773102979885E-2</v>
      </c>
      <c r="CJ78" s="13" t="s">
        <v>259</v>
      </c>
      <c r="CM78" s="86"/>
    </row>
    <row r="79" spans="1:91" x14ac:dyDescent="0.25">
      <c r="A79">
        <v>76</v>
      </c>
      <c r="B79" s="127">
        <v>38</v>
      </c>
      <c r="C79" s="20">
        <v>8.7982378082512228E-11</v>
      </c>
      <c r="D79" s="20">
        <v>2.3343961362322564E-4</v>
      </c>
      <c r="E79" s="20">
        <v>7.9219360440261257E-12</v>
      </c>
      <c r="F79" s="20">
        <v>2.7106375020981147E-8</v>
      </c>
      <c r="G79" s="19">
        <v>514.66259725651878</v>
      </c>
      <c r="H79" s="19">
        <v>124.71721031623775</v>
      </c>
      <c r="I79" s="19">
        <v>1.2611019677945699E-3</v>
      </c>
      <c r="J79" s="19">
        <v>-2.622084360178878E-4</v>
      </c>
      <c r="K79">
        <v>1.4270272567101803</v>
      </c>
      <c r="L79" s="19">
        <v>546.34824633643041</v>
      </c>
      <c r="M79" s="19">
        <v>131.46402231529945</v>
      </c>
      <c r="N79" s="19">
        <v>1.3380024423419025E-3</v>
      </c>
      <c r="O79" s="19">
        <v>-4.4057877057489351E-4</v>
      </c>
      <c r="P79" s="19">
        <v>0.80030709926095933</v>
      </c>
      <c r="Q79" s="19">
        <v>282.96741623100996</v>
      </c>
      <c r="R79" s="19">
        <v>68.856199752502434</v>
      </c>
      <c r="S79" s="19">
        <v>6.7607099482069519E-4</v>
      </c>
      <c r="T79" s="19">
        <v>-2.9304658999540039E-4</v>
      </c>
      <c r="U79" s="19">
        <v>0.43905036878272102</v>
      </c>
      <c r="V79" s="19">
        <v>185.83347049715391</v>
      </c>
      <c r="W79" s="19">
        <v>46.025943799060549</v>
      </c>
      <c r="X79" s="19">
        <v>4.4809732590342708E-4</v>
      </c>
      <c r="Y79" s="19">
        <v>-2.1536129160054616E-4</v>
      </c>
      <c r="Z79">
        <v>0.30650244323392672</v>
      </c>
      <c r="AB79">
        <v>17499.481132186989</v>
      </c>
      <c r="AC79">
        <v>491535.07801288791</v>
      </c>
      <c r="AD79">
        <v>13851.081851163051</v>
      </c>
      <c r="AE79">
        <v>52230.752141509663</v>
      </c>
      <c r="AF79">
        <v>205361.42740956703</v>
      </c>
      <c r="AG79">
        <v>304047.65936388157</v>
      </c>
      <c r="AH79">
        <v>1042479.8851199822</v>
      </c>
      <c r="AI79">
        <v>1150333.7244814308</v>
      </c>
      <c r="AK79">
        <v>9.4380081068490348E-8</v>
      </c>
      <c r="AL79">
        <v>0.10016573836044694</v>
      </c>
      <c r="AM79">
        <v>7.2839875018095149E-9</v>
      </c>
      <c r="AN79">
        <v>2.4923515637453079E-6</v>
      </c>
      <c r="AP79" s="134">
        <v>5.3933073989774487E-12</v>
      </c>
      <c r="AQ79" s="134">
        <v>1.9201087631433646E-13</v>
      </c>
      <c r="AR79" s="134">
        <v>7.231618398965435E-6</v>
      </c>
      <c r="AS79" s="134">
        <v>1.9177540865018795E-6</v>
      </c>
      <c r="AT79" s="134">
        <v>3.5469112158450944E-14</v>
      </c>
      <c r="AU79" s="134">
        <v>2.3956729405675518E-14</v>
      </c>
      <c r="AV79" s="134">
        <v>2.3907910352231453E-12</v>
      </c>
      <c r="AW79" s="134">
        <v>2.1666334827042104E-12</v>
      </c>
      <c r="AY79" s="134">
        <v>7.2316262185329815E-6</v>
      </c>
      <c r="AZ79" s="134">
        <v>1.9177564691029679E-6</v>
      </c>
      <c r="BB79">
        <v>4.2020438975677397E-3</v>
      </c>
      <c r="BC79">
        <v>9.4274904332274125E-3</v>
      </c>
      <c r="BD79">
        <v>1.2229935246431265E-2</v>
      </c>
      <c r="BE79">
        <v>1.7016569197369146E-4</v>
      </c>
      <c r="BF79">
        <v>2.6029635269200106E-2</v>
      </c>
      <c r="BG79">
        <v>3.3925573019959743E-2</v>
      </c>
      <c r="BH79">
        <v>8.8795379056562304E-3</v>
      </c>
      <c r="BI79">
        <v>1.2761194366421501E-2</v>
      </c>
      <c r="BJ79">
        <v>1.8638556741151882E-4</v>
      </c>
      <c r="BK79">
        <v>5.5752690859448992E-2</v>
      </c>
      <c r="CJ79" s="231" t="s">
        <v>260</v>
      </c>
      <c r="CK79" s="77">
        <f>_xlfn.NORM.S.INV(CB1/100)</f>
        <v>1.0364333894937898</v>
      </c>
      <c r="CM79" s="86"/>
    </row>
    <row r="80" spans="1:91" x14ac:dyDescent="0.25">
      <c r="A80">
        <v>77</v>
      </c>
      <c r="B80" s="127">
        <v>38.5</v>
      </c>
      <c r="C80" s="20">
        <v>6.6903418035850607E-11</v>
      </c>
      <c r="D80" s="20">
        <v>2.060147854380862E-4</v>
      </c>
      <c r="E80" s="20">
        <v>4.8774446162316554E-12</v>
      </c>
      <c r="F80" s="20">
        <v>1.7469367587028002E-8</v>
      </c>
      <c r="G80" s="19">
        <v>516.09301788909852</v>
      </c>
      <c r="H80" s="19">
        <v>126.07368304670057</v>
      </c>
      <c r="I80" s="19">
        <v>1.2744474922542764E-3</v>
      </c>
      <c r="J80" s="19">
        <v>-2.6120640653683284E-4</v>
      </c>
      <c r="K80">
        <v>1.4423606114347143</v>
      </c>
      <c r="L80" s="19">
        <v>552.44523066287763</v>
      </c>
      <c r="M80" s="19">
        <v>133.19381208260603</v>
      </c>
      <c r="N80" s="19">
        <v>1.3556077376358751E-3</v>
      </c>
      <c r="O80" s="19">
        <v>-4.4299242451020153E-4</v>
      </c>
      <c r="P80" s="19">
        <v>0.80925462763778633</v>
      </c>
      <c r="Q80" s="19">
        <v>286.92056377110436</v>
      </c>
      <c r="R80" s="19">
        <v>69.762202380824846</v>
      </c>
      <c r="S80" s="19">
        <v>6.849666658051782E-4</v>
      </c>
      <c r="T80" s="19">
        <v>-2.9572844991919249E-4</v>
      </c>
      <c r="U80" s="19">
        <v>0.44412960353865583</v>
      </c>
      <c r="V80" s="19">
        <v>188.63793579897239</v>
      </c>
      <c r="W80" s="19">
        <v>46.631548322732385</v>
      </c>
      <c r="X80" s="19">
        <v>4.5399334334952468E-4</v>
      </c>
      <c r="Y80" s="19">
        <v>-2.1772786034557161E-4</v>
      </c>
      <c r="Z80">
        <v>0.31009522089852315</v>
      </c>
      <c r="AB80">
        <v>16786.756242865034</v>
      </c>
      <c r="AC80">
        <v>499732.92731046816</v>
      </c>
      <c r="AD80">
        <v>13154.035838251955</v>
      </c>
      <c r="AE80">
        <v>51012.437306038984</v>
      </c>
      <c r="AF80">
        <v>195026.75711306944</v>
      </c>
      <c r="AG80">
        <v>292314.16853634309</v>
      </c>
      <c r="AH80">
        <v>990017.81354527257</v>
      </c>
      <c r="AI80">
        <v>1097285.3672693877</v>
      </c>
      <c r="AK80">
        <v>7.1768349021674693E-8</v>
      </c>
      <c r="AL80">
        <v>8.8398120508720091E-2</v>
      </c>
      <c r="AM80">
        <v>4.4846670596628111E-9</v>
      </c>
      <c r="AN80">
        <v>1.6062570369320767E-6</v>
      </c>
      <c r="AP80" s="134">
        <v>4.2752958334150342E-12</v>
      </c>
      <c r="AQ80" s="134">
        <v>1.4361340848186156E-13</v>
      </c>
      <c r="AR80" s="134">
        <v>6.720228042230068E-6</v>
      </c>
      <c r="AS80" s="134">
        <v>1.7328738867816317E-6</v>
      </c>
      <c r="AT80" s="134">
        <v>2.2995137313711082E-14</v>
      </c>
      <c r="AU80" s="134">
        <v>1.5341942137523306E-14</v>
      </c>
      <c r="AV80" s="134">
        <v>1.6224526619173041E-12</v>
      </c>
      <c r="AW80" s="134">
        <v>1.4638462198117826E-12</v>
      </c>
      <c r="AY80" s="134">
        <v>6.7202339629737006E-6</v>
      </c>
      <c r="AZ80" s="134">
        <v>1.7328755095832023E-6</v>
      </c>
      <c r="BB80">
        <v>4.2020439018430359E-3</v>
      </c>
      <c r="BC80">
        <v>9.4342106612696434E-3</v>
      </c>
      <c r="BD80">
        <v>1.2229935246454261E-2</v>
      </c>
      <c r="BE80">
        <v>1.7016569359614412E-4</v>
      </c>
      <c r="BF80">
        <v>2.6036355503163085E-2</v>
      </c>
      <c r="BG80">
        <v>3.3925573020103357E-2</v>
      </c>
      <c r="BH80">
        <v>8.8812707795430119E-3</v>
      </c>
      <c r="BI80">
        <v>1.2761194366436843E-2</v>
      </c>
      <c r="BJ80">
        <v>1.8638556887536504E-4</v>
      </c>
      <c r="BK80">
        <v>5.5754423734958578E-2</v>
      </c>
      <c r="CJ80" s="13"/>
      <c r="CM80" s="86"/>
    </row>
    <row r="81" spans="1:91" x14ac:dyDescent="0.25">
      <c r="A81">
        <v>78</v>
      </c>
      <c r="B81" s="127">
        <v>39</v>
      </c>
      <c r="C81" s="20">
        <v>5.0984906491278563E-11</v>
      </c>
      <c r="D81" s="20">
        <v>1.8198326609371616E-4</v>
      </c>
      <c r="E81" s="20">
        <v>3.0092053307371805E-12</v>
      </c>
      <c r="F81" s="20">
        <v>1.1334342671307782E-8</v>
      </c>
      <c r="G81" s="19">
        <v>517.49151390174563</v>
      </c>
      <c r="H81" s="19">
        <v>127.42398182380836</v>
      </c>
      <c r="I81" s="19">
        <v>1.2877232446333632E-3</v>
      </c>
      <c r="J81" s="19">
        <v>-2.6019645214257791E-4</v>
      </c>
      <c r="K81">
        <v>1.4576460630010535</v>
      </c>
      <c r="L81" s="19">
        <v>558.48843342041152</v>
      </c>
      <c r="M81" s="19">
        <v>134.92360184991259</v>
      </c>
      <c r="N81" s="19">
        <v>1.3732130329298473E-3</v>
      </c>
      <c r="O81" s="19">
        <v>-4.4537326660563708E-4</v>
      </c>
      <c r="P81" s="19">
        <v>0.81817836798902555</v>
      </c>
      <c r="Q81" s="19">
        <v>290.85831028513519</v>
      </c>
      <c r="R81" s="19">
        <v>70.668205009147243</v>
      </c>
      <c r="S81" s="19">
        <v>6.93862336789661E-4</v>
      </c>
      <c r="T81" s="19">
        <v>-2.9839512415858708E-4</v>
      </c>
      <c r="U81" s="19">
        <v>0.44919826035538457</v>
      </c>
      <c r="V81" s="19">
        <v>191.42966305658223</v>
      </c>
      <c r="W81" s="19">
        <v>47.237152846404236</v>
      </c>
      <c r="X81" s="19">
        <v>4.5988936079562238E-4</v>
      </c>
      <c r="Y81" s="19">
        <v>-2.2008106626429202E-4</v>
      </c>
      <c r="Z81">
        <v>0.31368180798202056</v>
      </c>
      <c r="AB81">
        <v>16113.484329976676</v>
      </c>
      <c r="AC81">
        <v>508166.65891167999</v>
      </c>
      <c r="AD81">
        <v>12500.394080948879</v>
      </c>
      <c r="AE81">
        <v>49844.791221635489</v>
      </c>
      <c r="AF81">
        <v>185335.61488052338</v>
      </c>
      <c r="AG81">
        <v>281195.16393492388</v>
      </c>
      <c r="AH81">
        <v>940822.49498568114</v>
      </c>
      <c r="AI81">
        <v>1047492.4563312108</v>
      </c>
      <c r="AK81">
        <v>5.4692311264915868E-8</v>
      </c>
      <c r="AL81">
        <v>7.808652496719673E-2</v>
      </c>
      <c r="AM81">
        <v>2.7668759123594744E-9</v>
      </c>
      <c r="AN81">
        <v>1.0421595163128017E-6</v>
      </c>
      <c r="AP81" s="134">
        <v>3.3941952060094896E-12</v>
      </c>
      <c r="AQ81" s="134">
        <v>1.0762672108801506E-13</v>
      </c>
      <c r="AR81" s="134">
        <v>6.2467250601486108E-6</v>
      </c>
      <c r="AS81" s="134">
        <v>1.5665934805501344E-6</v>
      </c>
      <c r="AT81" s="134">
        <v>1.4929002793894424E-14</v>
      </c>
      <c r="AU81" s="134">
        <v>9.8396994942622969E-15</v>
      </c>
      <c r="AV81" s="134">
        <v>1.1077110952036311E-12</v>
      </c>
      <c r="AW81" s="134">
        <v>9.9490885114620534E-13</v>
      </c>
      <c r="AY81" s="134">
        <v>6.2467295769839147E-6</v>
      </c>
      <c r="AZ81" s="134">
        <v>1.566594592925406E-6</v>
      </c>
      <c r="BB81">
        <v>4.2020439052372315E-3</v>
      </c>
      <c r="BC81">
        <v>9.4404573863297921E-3</v>
      </c>
      <c r="BD81">
        <v>1.222993524646919E-2</v>
      </c>
      <c r="BE81">
        <v>1.7016569470385521E-4</v>
      </c>
      <c r="BF81">
        <v>2.6042602232740068E-2</v>
      </c>
      <c r="BG81">
        <v>3.3925573020210986E-2</v>
      </c>
      <c r="BH81">
        <v>8.8828373730235628E-3</v>
      </c>
      <c r="BI81">
        <v>1.2761194366446682E-2</v>
      </c>
      <c r="BJ81">
        <v>1.8638556987027389E-4</v>
      </c>
      <c r="BK81">
        <v>5.5755990329551502E-2</v>
      </c>
      <c r="CJ81" s="226" t="s">
        <v>248</v>
      </c>
      <c r="CK81" s="222">
        <f>CJ73-CK79*(CJ76)^0.5</f>
        <v>6.0808842365999762</v>
      </c>
      <c r="CM81" s="86"/>
    </row>
    <row r="82" spans="1:91" x14ac:dyDescent="0.25">
      <c r="A82">
        <v>79</v>
      </c>
      <c r="B82" s="127">
        <v>39.5</v>
      </c>
      <c r="C82" s="20">
        <v>3.893670637883868E-11</v>
      </c>
      <c r="D82" s="20">
        <v>1.6090406230425701E-4</v>
      </c>
      <c r="E82" s="20">
        <v>1.8604152762457768E-12</v>
      </c>
      <c r="F82" s="20">
        <v>7.4075775906381694E-9</v>
      </c>
      <c r="G82" s="19">
        <v>518.85907397146877</v>
      </c>
      <c r="H82" s="19">
        <v>128.76814591690479</v>
      </c>
      <c r="I82" s="19">
        <v>1.3009296933319473E-3</v>
      </c>
      <c r="J82" s="19">
        <v>-2.5917922028013556E-4</v>
      </c>
      <c r="K82">
        <v>1.4728842401035851</v>
      </c>
      <c r="L82" s="19">
        <v>564.47795589030409</v>
      </c>
      <c r="M82" s="19">
        <v>136.65339161721917</v>
      </c>
      <c r="N82" s="19">
        <v>1.3908183282238197E-3</v>
      </c>
      <c r="O82" s="19">
        <v>-4.4772199252626879E-4</v>
      </c>
      <c r="P82" s="19">
        <v>0.82707860438380831</v>
      </c>
      <c r="Q82" s="19">
        <v>294.77961356821703</v>
      </c>
      <c r="R82" s="19">
        <v>71.574207637469627</v>
      </c>
      <c r="S82" s="19">
        <v>7.0275800777414368E-4</v>
      </c>
      <c r="T82" s="19">
        <v>-3.0104617482812042E-4</v>
      </c>
      <c r="U82" s="19">
        <v>0.45425643838730856</v>
      </c>
      <c r="V82" s="19">
        <v>194.20801601881541</v>
      </c>
      <c r="W82" s="19">
        <v>47.842757370076086</v>
      </c>
      <c r="X82" s="19">
        <v>4.657853782417202E-4</v>
      </c>
      <c r="Y82" s="19">
        <v>-2.2242052085819894E-4</v>
      </c>
      <c r="Z82">
        <v>0.31726225540799674</v>
      </c>
      <c r="AB82">
        <v>15476.967144124468</v>
      </c>
      <c r="AC82">
        <v>516839.04436348163</v>
      </c>
      <c r="AD82">
        <v>11886.948320998052</v>
      </c>
      <c r="AE82">
        <v>48724.981138920113</v>
      </c>
      <c r="AF82">
        <v>176240.43385022227</v>
      </c>
      <c r="AG82">
        <v>270653.12040216528</v>
      </c>
      <c r="AH82">
        <v>894652.4649307949</v>
      </c>
      <c r="AI82">
        <v>1000720.3265043243</v>
      </c>
      <c r="AK82">
        <v>4.1768017467411801E-8</v>
      </c>
      <c r="AL82">
        <v>6.9041727561777122E-2</v>
      </c>
      <c r="AM82">
        <v>1.7105972006134318E-9</v>
      </c>
      <c r="AN82">
        <v>6.8110500121470968E-7</v>
      </c>
      <c r="AP82" s="134">
        <v>2.6987210787785528E-12</v>
      </c>
      <c r="AQ82" s="134">
        <v>8.0814361691368781E-14</v>
      </c>
      <c r="AR82" s="134">
        <v>5.808196157445752E-6</v>
      </c>
      <c r="AS82" s="134">
        <v>1.4169677637212788E-6</v>
      </c>
      <c r="AT82" s="134">
        <v>9.7060428372934038E-15</v>
      </c>
      <c r="AU82" s="134">
        <v>6.3202567111424541E-15</v>
      </c>
      <c r="AV82" s="134">
        <v>7.6130679555820145E-13</v>
      </c>
      <c r="AW82" s="134">
        <v>6.8061473638086085E-13</v>
      </c>
      <c r="AY82" s="134">
        <v>5.8081996271796694E-6</v>
      </c>
      <c r="AZ82" s="134">
        <v>1.4169685314706336E-6</v>
      </c>
      <c r="BB82">
        <v>4.2020439079359529E-3</v>
      </c>
      <c r="BC82">
        <v>9.4462655824872378E-3</v>
      </c>
      <c r="BD82">
        <v>1.2229935246478895E-2</v>
      </c>
      <c r="BE82">
        <v>1.70165695465162E-4</v>
      </c>
      <c r="BF82">
        <v>2.6048410432367247E-2</v>
      </c>
      <c r="BG82">
        <v>3.3925573020291803E-2</v>
      </c>
      <c r="BH82">
        <v>8.8842543407872832E-3</v>
      </c>
      <c r="BI82">
        <v>1.2761194366453002E-2</v>
      </c>
      <c r="BJ82">
        <v>1.8638557055088864E-4</v>
      </c>
      <c r="BK82">
        <v>5.5757407298082977E-2</v>
      </c>
      <c r="CJ82" s="232" t="s">
        <v>249</v>
      </c>
      <c r="CK82" s="222">
        <f>CL73-CK79*(CK76)^0.5</f>
        <v>13.476775045261528</v>
      </c>
      <c r="CL82" s="100"/>
      <c r="CM82" s="101"/>
    </row>
    <row r="83" spans="1:91" x14ac:dyDescent="0.25">
      <c r="A83">
        <v>80</v>
      </c>
      <c r="B83" s="127">
        <v>40</v>
      </c>
      <c r="C83" s="20">
        <v>2.9797858011377825E-11</v>
      </c>
      <c r="D83" s="20">
        <v>1.4239622363018461E-4</v>
      </c>
      <c r="E83" s="20">
        <v>1.15256685991703E-12</v>
      </c>
      <c r="F83" s="20">
        <v>4.8791032881543386E-9</v>
      </c>
      <c r="G83" s="19">
        <v>520.19664775410172</v>
      </c>
      <c r="H83" s="19">
        <v>130.10621427478063</v>
      </c>
      <c r="I83" s="19">
        <v>1.3140673028149998E-3</v>
      </c>
      <c r="J83" s="19">
        <v>-2.5815532402578389E-4</v>
      </c>
      <c r="K83">
        <v>1.4880757554498794</v>
      </c>
      <c r="L83" s="19">
        <v>570.41395476071864</v>
      </c>
      <c r="M83" s="19">
        <v>138.38318138452576</v>
      </c>
      <c r="N83" s="19">
        <v>1.4084236235177923E-3</v>
      </c>
      <c r="O83" s="19">
        <v>-4.5003928029943894E-4</v>
      </c>
      <c r="P83" s="19">
        <v>0.83595561486934056</v>
      </c>
      <c r="Q83" s="19">
        <v>298.68353421433784</v>
      </c>
      <c r="R83" s="19">
        <v>72.480210265792039</v>
      </c>
      <c r="S83" s="19">
        <v>7.1165367875862659E-4</v>
      </c>
      <c r="T83" s="19">
        <v>-3.036812175923005E-4</v>
      </c>
      <c r="U83" s="19">
        <v>0.45930423509440294</v>
      </c>
      <c r="V83" s="19">
        <v>196.97242513832376</v>
      </c>
      <c r="W83" s="19">
        <v>48.448361893747943</v>
      </c>
      <c r="X83" s="19">
        <v>4.7168139568781801E-4</v>
      </c>
      <c r="Y83" s="19">
        <v>-2.2474588299892741E-4</v>
      </c>
      <c r="Z83">
        <v>0.32083661318117929</v>
      </c>
      <c r="AB83">
        <v>14874.724098293153</v>
      </c>
      <c r="AC83">
        <v>525753.04440708202</v>
      </c>
      <c r="AD83">
        <v>11310.763887601915</v>
      </c>
      <c r="AE83">
        <v>47650.368897803906</v>
      </c>
      <c r="AF83">
        <v>167697.70347256106</v>
      </c>
      <c r="AG83">
        <v>260652.93628859086</v>
      </c>
      <c r="AH83">
        <v>851286.84999983618</v>
      </c>
      <c r="AI83">
        <v>956752.81833964575</v>
      </c>
      <c r="AK83">
        <v>3.1964631055365779E-8</v>
      </c>
      <c r="AL83">
        <v>6.110026768069355E-2</v>
      </c>
      <c r="AM83">
        <v>1.0597513733989694E-9</v>
      </c>
      <c r="AN83">
        <v>4.4861921597756222E-7</v>
      </c>
      <c r="AP83" s="134">
        <v>2.1489226182711963E-12</v>
      </c>
      <c r="AQ83" s="134">
        <v>6.0797804968326706E-14</v>
      </c>
      <c r="AR83" s="134">
        <v>5.4019576650934669E-6</v>
      </c>
      <c r="AS83" s="134">
        <v>1.2822622173552474E-6</v>
      </c>
      <c r="AT83" s="134">
        <v>6.319414943999919E-15</v>
      </c>
      <c r="AU83" s="134">
        <v>4.0657565131958813E-15</v>
      </c>
      <c r="AV83" s="134">
        <v>5.2698948183875808E-13</v>
      </c>
      <c r="AW83" s="134">
        <v>4.6889772089315453E-13</v>
      </c>
      <c r="AY83" s="134">
        <v>5.4019603473249815E-6</v>
      </c>
      <c r="AZ83" s="134">
        <v>1.2822627511165296E-6</v>
      </c>
      <c r="BB83">
        <v>4.2020439100848754E-3</v>
      </c>
      <c r="BC83">
        <v>9.4516675401523313E-3</v>
      </c>
      <c r="BD83">
        <v>1.2229935246485215E-2</v>
      </c>
      <c r="BE83">
        <v>1.7016569599215148E-4</v>
      </c>
      <c r="BF83">
        <v>2.6053812392714575E-2</v>
      </c>
      <c r="BG83">
        <v>3.3925573020352602E-2</v>
      </c>
      <c r="BH83">
        <v>8.8855366030046387E-3</v>
      </c>
      <c r="BI83">
        <v>1.2761194366457068E-2</v>
      </c>
      <c r="BJ83">
        <v>1.8638557101978637E-4</v>
      </c>
      <c r="BK83">
        <v>5.5758689560834095E-2</v>
      </c>
    </row>
    <row r="84" spans="1:91" x14ac:dyDescent="0.25">
      <c r="A84">
        <v>81</v>
      </c>
      <c r="B84" s="127">
        <v>40.5</v>
      </c>
      <c r="C84" s="20">
        <v>2.2850911754793562E-11</v>
      </c>
      <c r="D84" s="20">
        <v>1.2613029832539028E-4</v>
      </c>
      <c r="E84" s="20">
        <v>7.1551631968387576E-13</v>
      </c>
      <c r="F84" s="20">
        <v>3.2402408268469126E-9</v>
      </c>
      <c r="G84" s="19">
        <v>521.50514775026454</v>
      </c>
      <c r="H84" s="19">
        <v>131.43822552886581</v>
      </c>
      <c r="I84" s="19">
        <v>1.3271365336522331E-3</v>
      </c>
      <c r="J84" s="19">
        <v>-2.571253439988224E-4</v>
      </c>
      <c r="K84">
        <v>1.5032212063331647</v>
      </c>
      <c r="L84" s="19">
        <v>576.07124944921418</v>
      </c>
      <c r="M84" s="19">
        <v>140.11297115183231</v>
      </c>
      <c r="N84" s="19">
        <v>1.4260289188117645E-3</v>
      </c>
      <c r="O84" s="19">
        <v>-4.5214500736412536E-4</v>
      </c>
      <c r="P84" s="19">
        <v>0.84480967164635168</v>
      </c>
      <c r="Q84" s="19">
        <v>302.56922708712835</v>
      </c>
      <c r="R84" s="19">
        <v>73.386212894114436</v>
      </c>
      <c r="S84" s="19">
        <v>7.2054934974310949E-4</v>
      </c>
      <c r="T84" s="19">
        <v>-3.0629991699250179E-4</v>
      </c>
      <c r="U84" s="19">
        <v>0.46434174628918956</v>
      </c>
      <c r="V84" s="19">
        <v>199.7223819509741</v>
      </c>
      <c r="W84" s="19">
        <v>49.05396641741978</v>
      </c>
      <c r="X84" s="19">
        <v>4.7757741313391561E-4</v>
      </c>
      <c r="Y84" s="19">
        <v>-2.2705685479758954E-4</v>
      </c>
      <c r="Z84">
        <v>0.32440493042005569</v>
      </c>
      <c r="AB84">
        <v>14304.472153622271</v>
      </c>
      <c r="AC84">
        <v>534911.80403210153</v>
      </c>
      <c r="AD84">
        <v>10769.153334509816</v>
      </c>
      <c r="AE84">
        <v>46699.072242363654</v>
      </c>
      <c r="AF84">
        <v>159667.57864344947</v>
      </c>
      <c r="AG84">
        <v>251161.79041180853</v>
      </c>
      <c r="AH84">
        <v>810523.3837786176</v>
      </c>
      <c r="AI84">
        <v>915390.79222345748</v>
      </c>
      <c r="AK84">
        <v>2.45125325196797E-8</v>
      </c>
      <c r="AL84">
        <v>5.4120782095610755E-2</v>
      </c>
      <c r="AM84">
        <v>6.578962391205218E-10</v>
      </c>
      <c r="AN84">
        <v>2.9793062648370967E-7</v>
      </c>
      <c r="AP84" s="134">
        <v>1.7136271968953763E-12</v>
      </c>
      <c r="AQ84" s="134">
        <v>4.5825372210721742E-14</v>
      </c>
      <c r="AR84" s="134">
        <v>5.0255373300499293E-6</v>
      </c>
      <c r="AS84" s="134">
        <v>1.1589262804778893E-6</v>
      </c>
      <c r="AT84" s="134">
        <v>4.1204122008366957E-15</v>
      </c>
      <c r="AU84" s="134">
        <v>2.6194121249168735E-15</v>
      </c>
      <c r="AV84" s="134">
        <v>3.675780766432335E-13</v>
      </c>
      <c r="AW84" s="134">
        <v>3.2546823609624135E-13</v>
      </c>
      <c r="AY84" s="134">
        <v>5.025539415375615E-6</v>
      </c>
      <c r="AZ84" s="134">
        <v>1.1589266543909097E-6</v>
      </c>
      <c r="BB84">
        <v>4.2020439117985029E-3</v>
      </c>
      <c r="BC84">
        <v>9.456693077482382E-3</v>
      </c>
      <c r="BD84">
        <v>1.2229935246489335E-2</v>
      </c>
      <c r="BE84">
        <v>1.7016569635972954E-4</v>
      </c>
      <c r="BF84">
        <v>2.6058837932129948E-2</v>
      </c>
      <c r="BG84">
        <v>3.3925573020398427E-2</v>
      </c>
      <c r="BH84">
        <v>8.8866955292851157E-3</v>
      </c>
      <c r="BI84">
        <v>1.2761194366459687E-2</v>
      </c>
      <c r="BJ84">
        <v>1.8638557134525462E-4</v>
      </c>
      <c r="BK84">
        <v>5.5759848487488481E-2</v>
      </c>
    </row>
    <row r="85" spans="1:91" x14ac:dyDescent="0.25">
      <c r="A85">
        <v>82</v>
      </c>
      <c r="B85" s="127">
        <v>41</v>
      </c>
      <c r="C85" s="20">
        <v>1.7558987918586076E-11</v>
      </c>
      <c r="D85" s="20">
        <v>1.1182105704895388E-4</v>
      </c>
      <c r="E85" s="20">
        <v>4.451113692996448E-13</v>
      </c>
      <c r="F85" s="20">
        <v>2.1703765141320448E-9</v>
      </c>
      <c r="G85" s="19">
        <v>522.78545106678291</v>
      </c>
      <c r="H85" s="19">
        <v>132.7642179963847</v>
      </c>
      <c r="I85" s="19">
        <v>1.3401378425575341E-3</v>
      </c>
      <c r="J85" s="19">
        <v>-2.5608983015581104E-4</v>
      </c>
      <c r="K85">
        <v>1.5183211751790793</v>
      </c>
      <c r="L85" s="19">
        <v>581.43789625257784</v>
      </c>
      <c r="M85" s="19">
        <v>141.8427609191389</v>
      </c>
      <c r="N85" s="19">
        <v>1.4436342141057371E-3</v>
      </c>
      <c r="O85" s="19">
        <v>-4.5403312434914449E-4</v>
      </c>
      <c r="P85" s="19">
        <v>0.85364104123799633</v>
      </c>
      <c r="Q85" s="19">
        <v>306.43593353419897</v>
      </c>
      <c r="R85" s="19">
        <v>74.292215522436848</v>
      </c>
      <c r="S85" s="19">
        <v>7.2944502072759239E-4</v>
      </c>
      <c r="T85" s="19">
        <v>-3.0890198219097752E-4</v>
      </c>
      <c r="U85" s="19">
        <v>0.46936906618163343</v>
      </c>
      <c r="V85" s="19">
        <v>202.45743394874958</v>
      </c>
      <c r="W85" s="19">
        <v>49.659570941091616</v>
      </c>
      <c r="X85" s="19">
        <v>4.8347343058001316E-4</v>
      </c>
      <c r="Y85" s="19">
        <v>-2.2935317784261478E-4</v>
      </c>
      <c r="Z85">
        <v>0.32796725538766203</v>
      </c>
      <c r="AB85">
        <v>13764.107791559565</v>
      </c>
      <c r="AC85">
        <v>544318.64818944107</v>
      </c>
      <c r="AD85">
        <v>10259.652902629532</v>
      </c>
      <c r="AE85">
        <v>45865.900283948722</v>
      </c>
      <c r="AF85">
        <v>152113.53073000512</v>
      </c>
      <c r="AG85">
        <v>242149.00289166174</v>
      </c>
      <c r="AH85">
        <v>772176.63531502965</v>
      </c>
      <c r="AI85">
        <v>876450.74879953463</v>
      </c>
      <c r="AK85">
        <v>1.8835802570403501E-8</v>
      </c>
      <c r="AL85">
        <v>4.7980882806086596E-2</v>
      </c>
      <c r="AM85">
        <v>4.0926682983471455E-10</v>
      </c>
      <c r="AN85">
        <v>1.9955974543723017E-7</v>
      </c>
      <c r="AP85" s="134">
        <v>1.3684724688042625E-12</v>
      </c>
      <c r="AQ85" s="134">
        <v>3.4604367557600217E-14</v>
      </c>
      <c r="AR85" s="134">
        <v>4.6766575108782849E-6</v>
      </c>
      <c r="AS85" s="134">
        <v>1.0461123080337318E-6</v>
      </c>
      <c r="AT85" s="134">
        <v>2.6905353381162737E-15</v>
      </c>
      <c r="AU85" s="134">
        <v>1.6901446008341479E-15</v>
      </c>
      <c r="AV85" s="134">
        <v>2.5843794840517875E-13</v>
      </c>
      <c r="AW85" s="134">
        <v>2.2769076951621648E-13</v>
      </c>
      <c r="AY85" s="134">
        <v>4.6766591404792369E-6</v>
      </c>
      <c r="AZ85" s="134">
        <v>1.0461125720190135E-6</v>
      </c>
      <c r="BB85">
        <v>4.2020439131669751E-3</v>
      </c>
      <c r="BC85">
        <v>9.4613697349932597E-3</v>
      </c>
      <c r="BD85">
        <v>1.2229935246492026E-2</v>
      </c>
      <c r="BE85">
        <v>1.7016569661816748E-4</v>
      </c>
      <c r="BF85">
        <v>2.6063514591270424E-2</v>
      </c>
      <c r="BG85">
        <v>3.3925573020433031E-2</v>
      </c>
      <c r="BH85">
        <v>8.8877416415931495E-3</v>
      </c>
      <c r="BI85">
        <v>1.2761194366461377E-2</v>
      </c>
      <c r="BJ85">
        <v>1.863855715729454E-4</v>
      </c>
      <c r="BK85">
        <v>5.5760894600060507E-2</v>
      </c>
    </row>
    <row r="86" spans="1:91" x14ac:dyDescent="0.25">
      <c r="A86">
        <v>83</v>
      </c>
      <c r="B86" s="127">
        <v>41.5</v>
      </c>
      <c r="C86" s="20">
        <v>1.3519420775686371E-11</v>
      </c>
      <c r="D86" s="20">
        <v>9.9221288672271258E-5</v>
      </c>
      <c r="E86" s="20">
        <v>2.7746720557102212E-13</v>
      </c>
      <c r="F86" s="20">
        <v>1.4665970471854962E-9</v>
      </c>
      <c r="G86" s="19">
        <v>524.03840108026225</v>
      </c>
      <c r="H86" s="19">
        <v>134.08422968347341</v>
      </c>
      <c r="I86" s="19">
        <v>1.3530716824279069E-3</v>
      </c>
      <c r="J86" s="19">
        <v>-2.5504930347531728E-4</v>
      </c>
      <c r="K86">
        <v>1.5333762300680798</v>
      </c>
      <c r="L86" s="19">
        <v>586.74716314371233</v>
      </c>
      <c r="M86" s="19">
        <v>143.57255068644545</v>
      </c>
      <c r="N86" s="19">
        <v>1.4612395093997093E-3</v>
      </c>
      <c r="O86" s="19">
        <v>-4.5589200001833381E-4</v>
      </c>
      <c r="P86" s="19">
        <v>0.86244998465252243</v>
      </c>
      <c r="Q86" s="19">
        <v>310.28297427443681</v>
      </c>
      <c r="R86" s="19">
        <v>75.198218150759246</v>
      </c>
      <c r="S86" s="19">
        <v>7.3834069171207519E-4</v>
      </c>
      <c r="T86" s="19">
        <v>-3.1148716309179847E-4</v>
      </c>
      <c r="U86" s="19">
        <v>0.47438628742208894</v>
      </c>
      <c r="V86" s="19">
        <v>205.17717989910034</v>
      </c>
      <c r="W86" s="19">
        <v>50.265175464763466</v>
      </c>
      <c r="X86" s="19">
        <v>4.8936944802611092E-4</v>
      </c>
      <c r="Y86" s="19">
        <v>-2.3163462977061214E-4</v>
      </c>
      <c r="Z86">
        <v>0.33152363552068742</v>
      </c>
      <c r="AB86">
        <v>13251.690833131503</v>
      </c>
      <c r="AC86">
        <v>553977.0781042052</v>
      </c>
      <c r="AD86">
        <v>9780.0014754873573</v>
      </c>
      <c r="AE86">
        <v>45063.443195384098</v>
      </c>
      <c r="AF86">
        <v>145002.03555616908</v>
      </c>
      <c r="AG86">
        <v>233585.90092019684</v>
      </c>
      <c r="AH86">
        <v>736076.42523484479</v>
      </c>
      <c r="AI86">
        <v>839763.55226324231</v>
      </c>
      <c r="AK86">
        <v>1.4502495347553338E-8</v>
      </c>
      <c r="AL86">
        <v>4.2574494905453703E-2</v>
      </c>
      <c r="AM86">
        <v>2.5512294549075652E-10</v>
      </c>
      <c r="AN86">
        <v>1.3484929065977025E-7</v>
      </c>
      <c r="AP86" s="134">
        <v>1.0943882958161542E-12</v>
      </c>
      <c r="AQ86" s="134">
        <v>2.6178872593759851E-14</v>
      </c>
      <c r="AR86" s="134">
        <v>4.353219681220153E-6</v>
      </c>
      <c r="AS86" s="134">
        <v>9.4476790690096797E-7</v>
      </c>
      <c r="AT86" s="134">
        <v>1.7594438899578769E-15</v>
      </c>
      <c r="AU86" s="134">
        <v>1.0922018173430667E-15</v>
      </c>
      <c r="AV86" s="134">
        <v>1.8320012166772854E-13</v>
      </c>
      <c r="AW86" s="134">
        <v>1.6058007077865982E-13</v>
      </c>
      <c r="AY86" s="134">
        <v>4.3532209605680151E-6</v>
      </c>
      <c r="AZ86" s="134">
        <v>9.4476809475211319E-7</v>
      </c>
      <c r="BB86">
        <v>4.2020439142613636E-3</v>
      </c>
      <c r="BC86">
        <v>9.4657229546744794E-3</v>
      </c>
      <c r="BD86">
        <v>1.2229935246493785E-2</v>
      </c>
      <c r="BE86">
        <v>1.7016569680136762E-4</v>
      </c>
      <c r="BF86">
        <v>2.6067867812230992E-2</v>
      </c>
      <c r="BG86">
        <v>3.3925573020459211E-2</v>
      </c>
      <c r="BH86">
        <v>8.88868640950005E-3</v>
      </c>
      <c r="BI86">
        <v>1.276119436646247E-2</v>
      </c>
      <c r="BJ86">
        <v>1.8638557173352547E-4</v>
      </c>
      <c r="BK86">
        <v>5.5761839368155257E-2</v>
      </c>
    </row>
    <row r="87" spans="1:91" x14ac:dyDescent="0.25">
      <c r="A87">
        <v>84</v>
      </c>
      <c r="B87" s="127">
        <v>42</v>
      </c>
      <c r="C87" s="20">
        <v>1.0429534487160752E-11</v>
      </c>
      <c r="D87" s="20">
        <v>8.811650380312462E-5</v>
      </c>
      <c r="E87" s="20">
        <v>1.7331899415055902E-13</v>
      </c>
      <c r="F87" s="20">
        <v>9.998796236442197E-10</v>
      </c>
      <c r="G87" s="19">
        <v>525.26480900904039</v>
      </c>
      <c r="H87" s="19">
        <v>135.39829828826169</v>
      </c>
      <c r="I87" s="19">
        <v>1.3659385023819816E-3</v>
      </c>
      <c r="J87" s="19">
        <v>-2.5400425754058521E-4</v>
      </c>
      <c r="K87">
        <v>1.5483869252348026</v>
      </c>
      <c r="L87" s="19">
        <v>592.154338438737</v>
      </c>
      <c r="M87" s="19">
        <v>145.30234045375204</v>
      </c>
      <c r="N87" s="19">
        <v>1.4788448046936819E-3</v>
      </c>
      <c r="O87" s="19">
        <v>-4.5750494061650224E-4</v>
      </c>
      <c r="P87" s="19">
        <v>0.8712367575399903</v>
      </c>
      <c r="Q87" s="19">
        <v>314.10974289499796</v>
      </c>
      <c r="R87" s="19">
        <v>76.104220779081658</v>
      </c>
      <c r="S87" s="19">
        <v>7.4723636269655809E-4</v>
      </c>
      <c r="T87" s="19">
        <v>-3.140552468027611E-4</v>
      </c>
      <c r="U87" s="19">
        <v>0.47939350114242379</v>
      </c>
      <c r="V87" s="19">
        <v>207.88126556859106</v>
      </c>
      <c r="W87" s="19">
        <v>50.870779988435331</v>
      </c>
      <c r="X87" s="19">
        <v>4.9526546547220879E-4</v>
      </c>
      <c r="Y87" s="19">
        <v>-2.3390102113849954E-4</v>
      </c>
      <c r="Z87">
        <v>0.33507411745700938</v>
      </c>
      <c r="AB87">
        <v>12765.429896045585</v>
      </c>
      <c r="AC87">
        <v>563890.76813669922</v>
      </c>
      <c r="AD87">
        <v>9328.1217374616572</v>
      </c>
      <c r="AE87">
        <v>44381.122484201835</v>
      </c>
      <c r="AF87">
        <v>138302.29404748499</v>
      </c>
      <c r="AG87">
        <v>225445.69018533148</v>
      </c>
      <c r="AH87">
        <v>702066.40764581936</v>
      </c>
      <c r="AI87">
        <v>805173.25199839298</v>
      </c>
      <c r="AK87">
        <v>1.1187925717144256E-8</v>
      </c>
      <c r="AL87">
        <v>3.7809583935598821E-2</v>
      </c>
      <c r="AM87">
        <v>1.5936172423038877E-10</v>
      </c>
      <c r="AN87">
        <v>9.1935994452147076E-8</v>
      </c>
      <c r="AP87" s="134">
        <v>8.7642373255365255E-13</v>
      </c>
      <c r="AQ87" s="134">
        <v>1.9840590322330057E-14</v>
      </c>
      <c r="AR87" s="134">
        <v>4.0532901477642445E-6</v>
      </c>
      <c r="AS87" s="134">
        <v>8.5192941997034309E-7</v>
      </c>
      <c r="AT87" s="134">
        <v>1.1522710113230167E-15</v>
      </c>
      <c r="AU87" s="134">
        <v>7.0687412165379052E-16</v>
      </c>
      <c r="AV87" s="134">
        <v>1.3095056742627576E-13</v>
      </c>
      <c r="AW87" s="134">
        <v>1.1418163013235637E-13</v>
      </c>
      <c r="AY87" s="134">
        <v>4.0532911562908164E-6</v>
      </c>
      <c r="AZ87" s="134">
        <v>8.5192955469943756E-7</v>
      </c>
      <c r="BB87">
        <v>4.2020439151377875E-3</v>
      </c>
      <c r="BC87">
        <v>9.4697762448222433E-3</v>
      </c>
      <c r="BD87">
        <v>1.2229935246494936E-2</v>
      </c>
      <c r="BE87">
        <v>1.7016569693231818E-4</v>
      </c>
      <c r="BF87">
        <v>2.6071921103387283E-2</v>
      </c>
      <c r="BG87">
        <v>3.392557302047905E-2</v>
      </c>
      <c r="BH87">
        <v>8.8895383389200212E-3</v>
      </c>
      <c r="BI87">
        <v>1.2761194366463176E-2</v>
      </c>
      <c r="BJ87">
        <v>1.8638557184770711E-4</v>
      </c>
      <c r="BK87">
        <v>5.576269129770995E-2</v>
      </c>
    </row>
    <row r="88" spans="1:91" x14ac:dyDescent="0.25">
      <c r="A88">
        <v>85</v>
      </c>
      <c r="B88" s="127">
        <v>42.5</v>
      </c>
      <c r="C88" s="20">
        <v>8.0613158843452606E-12</v>
      </c>
      <c r="D88" s="20">
        <v>7.8320407822323623E-5</v>
      </c>
      <c r="E88" s="20">
        <v>1.0848495573696115E-13</v>
      </c>
      <c r="F88" s="20">
        <v>6.877545985985403E-10</v>
      </c>
      <c r="G88" s="19">
        <v>526.46545539928763</v>
      </c>
      <c r="H88" s="19">
        <v>136.70646120391774</v>
      </c>
      <c r="I88" s="19">
        <v>1.3787387477980349E-3</v>
      </c>
      <c r="J88" s="19">
        <v>-2.5295516002698843E-4</v>
      </c>
      <c r="K88">
        <v>1.5633538015455857</v>
      </c>
      <c r="L88" s="19">
        <v>597.59437188461675</v>
      </c>
      <c r="M88" s="19">
        <v>147.03213022105862</v>
      </c>
      <c r="N88" s="19">
        <v>1.4964500999876545E-3</v>
      </c>
      <c r="O88" s="19">
        <v>-4.5896115165955929E-4</v>
      </c>
      <c r="P88" s="19">
        <v>0.88000161034331403</v>
      </c>
      <c r="Q88" s="19">
        <v>317.91569990121968</v>
      </c>
      <c r="R88" s="19">
        <v>77.010223407404041</v>
      </c>
      <c r="S88" s="19">
        <v>7.5613203368104078E-4</v>
      </c>
      <c r="T88" s="19">
        <v>-3.1660605440602963E-4</v>
      </c>
      <c r="U88" s="19">
        <v>0.48439079699542947</v>
      </c>
      <c r="V88" s="19">
        <v>210.56937981303531</v>
      </c>
      <c r="W88" s="19">
        <v>51.476384512107174</v>
      </c>
      <c r="X88" s="19">
        <v>5.0116148291830644E-4</v>
      </c>
      <c r="Y88" s="19">
        <v>-2.3615219256843337E-4</v>
      </c>
      <c r="Z88">
        <v>0.33861874706177086</v>
      </c>
      <c r="AB88">
        <v>12303.669306258906</v>
      </c>
      <c r="AC88">
        <v>574063.56314533169</v>
      </c>
      <c r="AD88">
        <v>8902.1032814312402</v>
      </c>
      <c r="AE88">
        <v>43776.000932566974</v>
      </c>
      <c r="AF88">
        <v>131985.98177864385</v>
      </c>
      <c r="AG88">
        <v>217703.33240160529</v>
      </c>
      <c r="AH88">
        <v>670002.79876141448</v>
      </c>
      <c r="AI88">
        <v>772535.99733812828</v>
      </c>
      <c r="AK88">
        <v>8.647500366149346E-9</v>
      </c>
      <c r="AL88">
        <v>3.3606213429038356E-2</v>
      </c>
      <c r="AM88">
        <v>9.9748730276391191E-11</v>
      </c>
      <c r="AN88">
        <v>6.3237015202634554E-8</v>
      </c>
      <c r="AP88" s="134">
        <v>7.028391409829539E-13</v>
      </c>
      <c r="AQ88" s="134">
        <v>1.5063663540617572E-14</v>
      </c>
      <c r="AR88" s="134">
        <v>3.7750868942553205E-6</v>
      </c>
      <c r="AS88" s="134">
        <v>7.6768578017909247E-7</v>
      </c>
      <c r="AT88" s="134">
        <v>7.5575245895190328E-16</v>
      </c>
      <c r="AU88" s="134">
        <v>4.5818651086323776E-16</v>
      </c>
      <c r="AV88" s="134">
        <v>9.4383210517234008E-14</v>
      </c>
      <c r="AW88" s="134">
        <v>8.1856399469443226E-14</v>
      </c>
      <c r="AY88" s="134">
        <v>3.7750876922334244E-6</v>
      </c>
      <c r="AZ88" s="134">
        <v>7.6768587755734205E-7</v>
      </c>
      <c r="BB88">
        <v>4.2020439158406264E-3</v>
      </c>
      <c r="BC88">
        <v>9.4735513317164982E-3</v>
      </c>
      <c r="BD88">
        <v>1.2229935246495693E-2</v>
      </c>
      <c r="BE88">
        <v>1.7016569702670139E-4</v>
      </c>
      <c r="BF88">
        <v>2.6075696191079516E-2</v>
      </c>
      <c r="BG88">
        <v>3.3925573020494114E-2</v>
      </c>
      <c r="BH88">
        <v>8.8903060247002008E-3</v>
      </c>
      <c r="BI88">
        <v>1.2761194366463634E-2</v>
      </c>
      <c r="BJ88">
        <v>1.8638557192956351E-4</v>
      </c>
      <c r="BK88">
        <v>5.5763458983587512E-2</v>
      </c>
    </row>
    <row r="89" spans="1:91" x14ac:dyDescent="0.25">
      <c r="A89">
        <v>86</v>
      </c>
      <c r="B89" s="127">
        <v>43</v>
      </c>
      <c r="C89" s="20">
        <v>6.2426275466839757E-12</v>
      </c>
      <c r="D89" s="20">
        <v>6.9671027082570227E-5</v>
      </c>
      <c r="E89" s="20">
        <v>6.8042258985146983E-14</v>
      </c>
      <c r="F89" s="20">
        <v>4.7720196049605216E-10</v>
      </c>
      <c r="G89" s="19">
        <v>527.64109153062145</v>
      </c>
      <c r="H89" s="19">
        <v>138.00875552165851</v>
      </c>
      <c r="I89" s="19">
        <v>1.3914728603515918E-3</v>
      </c>
      <c r="J89" s="19">
        <v>-2.5190245410062031E-4</v>
      </c>
      <c r="K89">
        <v>1.5782773869552991</v>
      </c>
      <c r="L89" s="19">
        <v>602.97761956646161</v>
      </c>
      <c r="M89" s="19">
        <v>148.76191998836518</v>
      </c>
      <c r="N89" s="19">
        <v>1.5140553952816267E-3</v>
      </c>
      <c r="O89" s="19">
        <v>-4.6038786696139648E-4</v>
      </c>
      <c r="P89" s="19">
        <v>0.88874478844388261</v>
      </c>
      <c r="Q89" s="19">
        <v>321.70036726846394</v>
      </c>
      <c r="R89" s="19">
        <v>77.916226035726439</v>
      </c>
      <c r="S89" s="19">
        <v>7.6502770466552357E-4</v>
      </c>
      <c r="T89" s="19">
        <v>-3.1913943800859735E-4</v>
      </c>
      <c r="U89" s="19">
        <v>0.48937826319262473</v>
      </c>
      <c r="V89" s="19">
        <v>213.24125100016519</v>
      </c>
      <c r="W89" s="19">
        <v>52.081989035779017</v>
      </c>
      <c r="X89" s="19">
        <v>5.0705750036440409E-4</v>
      </c>
      <c r="Y89" s="19">
        <v>-2.3838801214000395E-4</v>
      </c>
      <c r="Z89">
        <v>0.3421575694520968</v>
      </c>
      <c r="AB89">
        <v>11864.877303083478</v>
      </c>
      <c r="AC89">
        <v>584499.47631037375</v>
      </c>
      <c r="AD89">
        <v>8500.1874441813106</v>
      </c>
      <c r="AE89">
        <v>43192.960363852901</v>
      </c>
      <c r="AF89">
        <v>126027.02413742345</v>
      </c>
      <c r="AG89">
        <v>210335.42919561418</v>
      </c>
      <c r="AH89">
        <v>639753.23556148098</v>
      </c>
      <c r="AI89">
        <v>741719.03984853462</v>
      </c>
      <c r="AK89">
        <v>6.6965647755494416E-9</v>
      </c>
      <c r="AL89">
        <v>2.9894882713950889E-2</v>
      </c>
      <c r="AM89">
        <v>6.2562858534617865E-11</v>
      </c>
      <c r="AN89">
        <v>4.3877318584431364E-8</v>
      </c>
      <c r="AP89" s="134">
        <v>5.6440236207155038E-13</v>
      </c>
      <c r="AQ89" s="134">
        <v>1.1456921771463682E-14</v>
      </c>
      <c r="AR89" s="134">
        <v>3.5169674681015454E-6</v>
      </c>
      <c r="AS89" s="134">
        <v>6.9212395867566335E-7</v>
      </c>
      <c r="AT89" s="134">
        <v>4.9642415158829386E-16</v>
      </c>
      <c r="AU89" s="134">
        <v>2.9744327322257126E-16</v>
      </c>
      <c r="AV89" s="134">
        <v>6.858475447321861E-14</v>
      </c>
      <c r="AW89" s="134">
        <v>5.9156252202170096E-14</v>
      </c>
      <c r="AY89" s="134">
        <v>3.5169681015850861E-6</v>
      </c>
      <c r="AZ89" s="134">
        <v>6.9212402958628056E-7</v>
      </c>
      <c r="BB89">
        <v>4.202043916405029E-3</v>
      </c>
      <c r="BC89">
        <v>9.4770682991845989E-3</v>
      </c>
      <c r="BD89">
        <v>1.2229935246496189E-2</v>
      </c>
      <c r="BE89">
        <v>1.7016569709528615E-4</v>
      </c>
      <c r="BF89">
        <v>2.6079213159181106E-2</v>
      </c>
      <c r="BG89">
        <v>3.392557302050557E-2</v>
      </c>
      <c r="BH89">
        <v>8.8909981486588758E-3</v>
      </c>
      <c r="BI89">
        <v>1.276119436646393E-2</v>
      </c>
      <c r="BJ89">
        <v>1.8638557198871975E-4</v>
      </c>
      <c r="BK89">
        <v>5.5764151107617094E-2</v>
      </c>
    </row>
    <row r="90" spans="1:91" x14ac:dyDescent="0.25">
      <c r="A90">
        <v>87</v>
      </c>
      <c r="B90" s="127">
        <v>43.5</v>
      </c>
      <c r="C90" s="20">
        <v>4.8432402855673834E-12</v>
      </c>
      <c r="D90" s="20">
        <v>6.2027390191027161E-5</v>
      </c>
      <c r="E90" s="20">
        <v>4.276322721096538E-14</v>
      </c>
      <c r="F90" s="20">
        <v>3.3391761895265665E-10</v>
      </c>
      <c r="G90" s="19">
        <v>528.79244074622318</v>
      </c>
      <c r="H90" s="19">
        <v>139.30521803372415</v>
      </c>
      <c r="I90" s="19">
        <v>1.4041412780525626E-3</v>
      </c>
      <c r="J90" s="19">
        <v>-2.5084655973390505E-4</v>
      </c>
      <c r="K90">
        <v>1.5931581969445443</v>
      </c>
      <c r="L90" s="19">
        <v>608.3048408643748</v>
      </c>
      <c r="M90" s="19">
        <v>150.49170975567176</v>
      </c>
      <c r="N90" s="19">
        <v>1.5316606905755991E-3</v>
      </c>
      <c r="O90" s="19">
        <v>-4.6178602849324672E-4</v>
      </c>
      <c r="P90" s="19">
        <v>0.89746653230199813</v>
      </c>
      <c r="Q90" s="19">
        <v>325.46332345003469</v>
      </c>
      <c r="R90" s="19">
        <v>78.822228664048851</v>
      </c>
      <c r="S90" s="19">
        <v>7.7392337565000647E-4</v>
      </c>
      <c r="T90" s="19">
        <v>-3.2165527804659975E-4</v>
      </c>
      <c r="U90" s="19">
        <v>0.49435598654054558</v>
      </c>
      <c r="V90" s="19">
        <v>215.89664373431373</v>
      </c>
      <c r="W90" s="19">
        <v>52.687593559450875</v>
      </c>
      <c r="X90" s="19">
        <v>5.1295351781050185E-4</v>
      </c>
      <c r="Y90" s="19">
        <v>-2.4060837300675581E-4</v>
      </c>
      <c r="Z90">
        <v>0.34569062902054526</v>
      </c>
      <c r="AB90">
        <v>11447.635396370433</v>
      </c>
      <c r="AC90">
        <v>595202.68738208443</v>
      </c>
      <c r="AD90">
        <v>8120.7536753323584</v>
      </c>
      <c r="AE90">
        <v>42630.838949422476</v>
      </c>
      <c r="AF90">
        <v>120401.3942252249</v>
      </c>
      <c r="AG90">
        <v>203320.11243596664</v>
      </c>
      <c r="AH90">
        <v>611195.74987114209</v>
      </c>
      <c r="AI90">
        <v>712599.81737805915</v>
      </c>
      <c r="AK90">
        <v>5.1954200460158319E-9</v>
      </c>
      <c r="AL90">
        <v>2.6615102898018276E-2</v>
      </c>
      <c r="AM90">
        <v>3.931953133812565E-11</v>
      </c>
      <c r="AN90">
        <v>3.0702744247970627E-8</v>
      </c>
      <c r="AP90" s="134">
        <v>4.5384220112942124E-13</v>
      </c>
      <c r="AQ90" s="134">
        <v>8.7288249131857229E-15</v>
      </c>
      <c r="AR90" s="134">
        <v>3.2774178311631891E-6</v>
      </c>
      <c r="AS90" s="134">
        <v>6.2431571965061771E-7</v>
      </c>
      <c r="AT90" s="134">
        <v>3.2657039888237394E-16</v>
      </c>
      <c r="AU90" s="134">
        <v>1.9338731848532145E-16</v>
      </c>
      <c r="AV90" s="134">
        <v>5.0233896839831856E-14</v>
      </c>
      <c r="AW90" s="134">
        <v>4.3085534825055597E-14</v>
      </c>
      <c r="AY90" s="134">
        <v>3.2774183355658577E-6</v>
      </c>
      <c r="AZ90" s="134">
        <v>6.2431577165836476E-7</v>
      </c>
      <c r="BB90">
        <v>4.2020439168588709E-3</v>
      </c>
      <c r="BC90">
        <v>9.4803457170157621E-3</v>
      </c>
      <c r="BD90">
        <v>1.2229935246496515E-2</v>
      </c>
      <c r="BE90">
        <v>1.7016569714552006E-4</v>
      </c>
      <c r="BF90">
        <v>2.608249057751667E-2</v>
      </c>
      <c r="BG90">
        <v>3.3925573020514299E-2</v>
      </c>
      <c r="BH90">
        <v>8.891622464378527E-3</v>
      </c>
      <c r="BI90">
        <v>1.2761194366464123E-2</v>
      </c>
      <c r="BJ90">
        <v>1.8638557203180529E-4</v>
      </c>
      <c r="BK90">
        <v>5.5764775423388757E-2</v>
      </c>
    </row>
    <row r="91" spans="1:91" x14ac:dyDescent="0.25">
      <c r="A91">
        <v>88</v>
      </c>
      <c r="B91" s="127">
        <v>44</v>
      </c>
      <c r="C91" s="20">
        <v>3.7644252815713704E-12</v>
      </c>
      <c r="D91" s="20">
        <v>5.5266681594179042E-5</v>
      </c>
      <c r="E91" s="20">
        <v>2.6930299075338244E-14</v>
      </c>
      <c r="F91" s="20">
        <v>2.3555332774190893E-10</v>
      </c>
      <c r="G91" s="19">
        <v>529.92019971209868</v>
      </c>
      <c r="H91" s="19">
        <v>140.59588523631803</v>
      </c>
      <c r="I91" s="19">
        <v>1.4167444352819526E-3</v>
      </c>
      <c r="J91" s="19">
        <v>-2.4978787494368739E-4</v>
      </c>
      <c r="K91">
        <v>1.6079967349382416</v>
      </c>
      <c r="L91" s="19">
        <v>613.57679460097211</v>
      </c>
      <c r="M91" s="19">
        <v>152.22149952297832</v>
      </c>
      <c r="N91" s="19">
        <v>1.5492659858695715E-3</v>
      </c>
      <c r="O91" s="19">
        <v>-4.6315653753766216E-4</v>
      </c>
      <c r="P91" s="19">
        <v>0.90616707759236581</v>
      </c>
      <c r="Q91" s="19">
        <v>329.20419879988168</v>
      </c>
      <c r="R91" s="19">
        <v>79.728231292371248</v>
      </c>
      <c r="S91" s="19">
        <v>7.8281904663448938E-4</v>
      </c>
      <c r="T91" s="19">
        <v>-3.2415348082012144E-4</v>
      </c>
      <c r="U91" s="19">
        <v>0.49932405247561185</v>
      </c>
      <c r="V91" s="19">
        <v>218.53535585563907</v>
      </c>
      <c r="W91" s="19">
        <v>53.293198083122718</v>
      </c>
      <c r="X91" s="19">
        <v>5.1884953525659961E-4</v>
      </c>
      <c r="Y91" s="19">
        <v>-2.4281319121640543E-4</v>
      </c>
      <c r="Z91">
        <v>0.34921796945737554</v>
      </c>
      <c r="AB91">
        <v>11050.628751228451</v>
      </c>
      <c r="AC91">
        <v>606177.54132067156</v>
      </c>
      <c r="AD91">
        <v>7762.3072693185031</v>
      </c>
      <c r="AE91">
        <v>42088.553309028881</v>
      </c>
      <c r="AF91">
        <v>115086.93096669941</v>
      </c>
      <c r="AG91">
        <v>196636.94097825247</v>
      </c>
      <c r="AH91">
        <v>584217.84502744058</v>
      </c>
      <c r="AI91">
        <v>685065.11412450694</v>
      </c>
      <c r="AK91">
        <v>4.0381582197946855E-9</v>
      </c>
      <c r="AL91">
        <v>2.3714175510706422E-2</v>
      </c>
      <c r="AM91">
        <v>2.476161897730529E-11</v>
      </c>
      <c r="AN91">
        <v>2.1658436596134262E-8</v>
      </c>
      <c r="AP91" s="134">
        <v>3.6542338998998415E-13</v>
      </c>
      <c r="AQ91" s="134">
        <v>6.6616757377661989E-15</v>
      </c>
      <c r="AR91" s="134">
        <v>3.055042101262815E-6</v>
      </c>
      <c r="AS91" s="134">
        <v>5.6343527268776981E-7</v>
      </c>
      <c r="AT91" s="134">
        <v>2.1515578501672013E-16</v>
      </c>
      <c r="AU91" s="134">
        <v>1.259255705164975E-16</v>
      </c>
      <c r="AV91" s="134">
        <v>3.7072535151878101E-14</v>
      </c>
      <c r="AW91" s="134">
        <v>3.1615150369776319E-14</v>
      </c>
      <c r="AY91" s="134">
        <v>3.0550425039738957E-6</v>
      </c>
      <c r="AZ91" s="134">
        <v>5.6343531109052141E-7</v>
      </c>
      <c r="BB91">
        <v>4.2020439172242938E-3</v>
      </c>
      <c r="BC91">
        <v>9.4834007591170257E-3</v>
      </c>
      <c r="BD91">
        <v>1.222993524649673E-2</v>
      </c>
      <c r="BE91">
        <v>1.7016569718259259E-4</v>
      </c>
      <c r="BF91">
        <v>2.6085545620020644E-2</v>
      </c>
      <c r="BG91">
        <v>3.392557302052096E-2</v>
      </c>
      <c r="BH91">
        <v>8.892185899651215E-3</v>
      </c>
      <c r="BI91">
        <v>1.276119436646425E-2</v>
      </c>
      <c r="BJ91">
        <v>1.8638557206342044E-4</v>
      </c>
      <c r="BK91">
        <v>5.5765338858699845E-2</v>
      </c>
    </row>
    <row r="92" spans="1:91" x14ac:dyDescent="0.25">
      <c r="A92">
        <v>89</v>
      </c>
      <c r="B92" s="127">
        <v>44.5</v>
      </c>
      <c r="C92" s="20">
        <v>2.9311814794537881E-12</v>
      </c>
      <c r="D92" s="20">
        <v>4.928179750718495E-5</v>
      </c>
      <c r="E92" s="20">
        <v>1.6993662837116725E-14</v>
      </c>
      <c r="F92" s="20">
        <v>1.6744199530912865E-10</v>
      </c>
      <c r="G92" s="19">
        <v>531.02503960980016</v>
      </c>
      <c r="H92" s="19">
        <v>141.88079333251343</v>
      </c>
      <c r="I92" s="19">
        <v>1.4292827628281442E-3</v>
      </c>
      <c r="J92" s="19">
        <v>-2.4872677695685362E-4</v>
      </c>
      <c r="K92">
        <v>1.6227934927065391</v>
      </c>
      <c r="L92" s="19">
        <v>618.79423774088889</v>
      </c>
      <c r="M92" s="19">
        <v>153.9512892902849</v>
      </c>
      <c r="N92" s="19">
        <v>1.5668712811635439E-3</v>
      </c>
      <c r="O92" s="19">
        <v>-4.6450025689093275E-4</v>
      </c>
      <c r="P92" s="19">
        <v>0.91484665533484844</v>
      </c>
      <c r="Q92" s="19">
        <v>332.92267137287956</v>
      </c>
      <c r="R92" s="19">
        <v>80.63423392069366</v>
      </c>
      <c r="S92" s="19">
        <v>7.9171471761897228E-4</v>
      </c>
      <c r="T92" s="19">
        <v>-3.266339762374753E-4</v>
      </c>
      <c r="U92" s="19">
        <v>0.50428254509764958</v>
      </c>
      <c r="V92" s="19">
        <v>221.15721568914071</v>
      </c>
      <c r="W92" s="19">
        <v>53.898802606794575</v>
      </c>
      <c r="X92" s="19">
        <v>5.2474555270269738E-4</v>
      </c>
      <c r="Y92" s="19">
        <v>-2.4500240371618561E-4</v>
      </c>
      <c r="Z92">
        <v>0.35273963377171319</v>
      </c>
      <c r="AB92">
        <v>10672.637490458628</v>
      </c>
      <c r="AC92">
        <v>617428.54729920882</v>
      </c>
      <c r="AD92">
        <v>7423.4683105657932</v>
      </c>
      <c r="AE92">
        <v>41565.092109957746</v>
      </c>
      <c r="AF92">
        <v>110063.17520674154</v>
      </c>
      <c r="AG92">
        <v>190266.80370669809</v>
      </c>
      <c r="AH92">
        <v>558715.66385557479</v>
      </c>
      <c r="AI92">
        <v>659010.2910969439</v>
      </c>
      <c r="AK92">
        <v>3.14432448504473E-9</v>
      </c>
      <c r="AL92">
        <v>2.1146143786052264E-2</v>
      </c>
      <c r="AM92">
        <v>1.5625173824631653E-11</v>
      </c>
      <c r="AN92">
        <v>1.5395799642051722E-8</v>
      </c>
      <c r="AP92" s="134">
        <v>2.9461550510412876E-13</v>
      </c>
      <c r="AQ92" s="134">
        <v>5.0926127384274886E-15</v>
      </c>
      <c r="AR92" s="134">
        <v>2.8485531157929296E-6</v>
      </c>
      <c r="AS92" s="134">
        <v>5.0874767052389815E-7</v>
      </c>
      <c r="AT92" s="134">
        <v>1.4196550113406675E-16</v>
      </c>
      <c r="AU92" s="134">
        <v>8.2122438177488496E-17</v>
      </c>
      <c r="AV92" s="134">
        <v>2.7555697178433606E-14</v>
      </c>
      <c r="AW92" s="134">
        <v>2.336200185345348E-14</v>
      </c>
      <c r="AY92" s="134">
        <v>2.8485534381060972E-6</v>
      </c>
      <c r="AZ92" s="134">
        <v>5.0874769906063508E-7</v>
      </c>
      <c r="BB92">
        <v>4.2020439175189097E-3</v>
      </c>
      <c r="BC92">
        <v>9.4862493122328181E-3</v>
      </c>
      <c r="BD92">
        <v>1.2229935246496872E-2</v>
      </c>
      <c r="BE92">
        <v>1.7016569721014829E-4</v>
      </c>
      <c r="BF92">
        <v>2.6088394173458748E-2</v>
      </c>
      <c r="BG92">
        <v>3.3925573020526054E-2</v>
      </c>
      <c r="BH92">
        <v>8.8926946473217392E-3</v>
      </c>
      <c r="BI92">
        <v>1.2761194366464331E-2</v>
      </c>
      <c r="BJ92">
        <v>1.8638557208678245E-4</v>
      </c>
      <c r="BK92">
        <v>5.5765847606398904E-2</v>
      </c>
    </row>
    <row r="93" spans="1:91" x14ac:dyDescent="0.25">
      <c r="A93">
        <v>90</v>
      </c>
      <c r="B93" s="127">
        <v>45</v>
      </c>
      <c r="C93" s="20">
        <v>2.2864183272947833E-12</v>
      </c>
      <c r="D93" s="20">
        <v>4.3979244993913462E-5</v>
      </c>
      <c r="E93" s="20">
        <v>1.0744936913146753E-14</v>
      </c>
      <c r="F93" s="20">
        <v>1.1988229402042999E-10</v>
      </c>
      <c r="G93" s="19">
        <v>532.10760726663636</v>
      </c>
      <c r="H93" s="19">
        <v>143.15997823512561</v>
      </c>
      <c r="I93" s="19">
        <v>1.4417566879227452E-3</v>
      </c>
      <c r="J93" s="19">
        <v>-2.4766362330818655E-4</v>
      </c>
      <c r="K93">
        <v>1.6375489507489434</v>
      </c>
      <c r="L93" s="19">
        <v>623.95792424339606</v>
      </c>
      <c r="M93" s="19">
        <v>155.68107905759146</v>
      </c>
      <c r="N93" s="19">
        <v>1.5844765764575161E-3</v>
      </c>
      <c r="O93" s="19">
        <v>-4.6581801292283972E-4</v>
      </c>
      <c r="P93" s="19">
        <v>0.92350549202068399</v>
      </c>
      <c r="Q93" s="19">
        <v>336.61846306911411</v>
      </c>
      <c r="R93" s="19">
        <v>81.540236549016058</v>
      </c>
      <c r="S93" s="19">
        <v>8.0061038860345507E-4</v>
      </c>
      <c r="T93" s="19">
        <v>-3.2909671575001402E-4</v>
      </c>
      <c r="U93" s="19">
        <v>0.50923154720214681</v>
      </c>
      <c r="V93" s="19">
        <v>223.76207952114493</v>
      </c>
      <c r="W93" s="19">
        <v>54.504407130466419</v>
      </c>
      <c r="X93" s="19">
        <v>5.3064157014879503E-4</v>
      </c>
      <c r="Y93" s="19">
        <v>-2.4717596652658341E-4</v>
      </c>
      <c r="Z93">
        <v>0.35625566431168049</v>
      </c>
      <c r="AB93">
        <v>10312.52881772703</v>
      </c>
      <c r="AC93">
        <v>628960.37804363226</v>
      </c>
      <c r="AD93">
        <v>7102.9616999522113</v>
      </c>
      <c r="AE93">
        <v>41059.510274320368</v>
      </c>
      <c r="AF93">
        <v>105311.22183897761</v>
      </c>
      <c r="AG93">
        <v>184191.82868961539</v>
      </c>
      <c r="AH93">
        <v>534593.23802610149</v>
      </c>
      <c r="AI93">
        <v>634338.58155558002</v>
      </c>
      <c r="AK93">
        <v>2.4526769085985368E-9</v>
      </c>
      <c r="AL93">
        <v>1.8870891186704927E-2</v>
      </c>
      <c r="AM93">
        <v>9.8796538810878785E-12</v>
      </c>
      <c r="AN93">
        <v>1.1022824805453401E-8</v>
      </c>
      <c r="AP93" s="134">
        <v>2.3783467197516426E-13</v>
      </c>
      <c r="AQ93" s="134">
        <v>3.899573000492552E-15</v>
      </c>
      <c r="AR93" s="134">
        <v>2.6567637534680626E-6</v>
      </c>
      <c r="AS93" s="134">
        <v>4.595985451513592E-7</v>
      </c>
      <c r="AT93" s="134">
        <v>9.3813875753849035E-17</v>
      </c>
      <c r="AU93" s="134">
        <v>5.3637851099986864E-17</v>
      </c>
      <c r="AV93" s="134">
        <v>2.0619087600421935E-14</v>
      </c>
      <c r="AW93" s="134">
        <v>1.7376879045291986E-14</v>
      </c>
      <c r="AY93" s="134">
        <v>2.6567640120156363E-6</v>
      </c>
      <c r="AZ93" s="134">
        <v>4.5959856648144908E-7</v>
      </c>
      <c r="BB93">
        <v>4.2020439177567447E-3</v>
      </c>
      <c r="BC93">
        <v>9.4889060759862868E-3</v>
      </c>
      <c r="BD93">
        <v>1.2229935246496966E-2</v>
      </c>
      <c r="BE93">
        <v>1.7016569723076738E-4</v>
      </c>
      <c r="BF93">
        <v>2.6091050937470765E-2</v>
      </c>
      <c r="BG93">
        <v>3.3925573020529953E-2</v>
      </c>
      <c r="BH93">
        <v>8.8931542458668914E-3</v>
      </c>
      <c r="BI93">
        <v>1.2761194366464385E-2</v>
      </c>
      <c r="BJ93">
        <v>1.8638557210415933E-4</v>
      </c>
      <c r="BK93">
        <v>5.5766307204965386E-2</v>
      </c>
    </row>
    <row r="94" spans="1:91" x14ac:dyDescent="0.25">
      <c r="A94">
        <v>91</v>
      </c>
      <c r="B94" s="127">
        <v>45.5</v>
      </c>
      <c r="C94" s="20">
        <v>1.7865926078701759E-12</v>
      </c>
      <c r="D94" s="20">
        <v>3.9277334050607349E-5</v>
      </c>
      <c r="E94" s="20">
        <v>6.8074980127197871E-15</v>
      </c>
      <c r="F94" s="20">
        <v>8.6404994796662463E-11</v>
      </c>
      <c r="G94" s="19">
        <v>533.16852622711815</v>
      </c>
      <c r="H94" s="19">
        <v>144.43347556955075</v>
      </c>
      <c r="I94" s="19">
        <v>1.4541666342760163E-3</v>
      </c>
      <c r="J94" s="19">
        <v>-2.4659875287480639E-4</v>
      </c>
      <c r="K94">
        <v>1.6522635786625113</v>
      </c>
      <c r="L94" s="19">
        <v>629.06860405234613</v>
      </c>
      <c r="M94" s="19">
        <v>157.41086882489805</v>
      </c>
      <c r="N94" s="19">
        <v>1.6020818717514887E-3</v>
      </c>
      <c r="O94" s="19">
        <v>-4.6711059750446487E-4</v>
      </c>
      <c r="P94" s="19">
        <v>0.93214380973437316</v>
      </c>
      <c r="Q94" s="19">
        <v>340.29133609185106</v>
      </c>
      <c r="R94" s="19">
        <v>82.446239177338441</v>
      </c>
      <c r="S94" s="19">
        <v>8.0950605958793776E-4</v>
      </c>
      <c r="T94" s="19">
        <v>-3.3154167046038077E-4</v>
      </c>
      <c r="U94" s="19">
        <v>0.51417114031131483</v>
      </c>
      <c r="V94" s="19">
        <v>226.20948669763877</v>
      </c>
      <c r="W94" s="19">
        <v>55.110011654138269</v>
      </c>
      <c r="X94" s="19">
        <v>5.3653758759489279E-4</v>
      </c>
      <c r="Y94" s="19">
        <v>-2.4916126162809708E-4</v>
      </c>
      <c r="Z94">
        <v>0.35976610278356558</v>
      </c>
      <c r="AB94">
        <v>9969.2498757080612</v>
      </c>
      <c r="AC94">
        <v>640777.8694869054</v>
      </c>
      <c r="AD94">
        <v>6799.6081462457269</v>
      </c>
      <c r="AE94">
        <v>40570.923728892478</v>
      </c>
      <c r="AF94">
        <v>100813.58624138741</v>
      </c>
      <c r="AG94">
        <v>178395.29822034284</v>
      </c>
      <c r="AH94">
        <v>511761.81003969349</v>
      </c>
      <c r="AI94">
        <v>612790.79960117221</v>
      </c>
      <c r="AK94">
        <v>1.9165059963373303E-9</v>
      </c>
      <c r="AL94">
        <v>1.6853365651808033E-2</v>
      </c>
      <c r="AM94">
        <v>6.2592944663617022E-12</v>
      </c>
      <c r="AN94">
        <v>7.9446854745490042E-9</v>
      </c>
      <c r="AP94" s="134">
        <v>1.9224174539021786E-13</v>
      </c>
      <c r="AQ94" s="134">
        <v>2.9909054098137747E-15</v>
      </c>
      <c r="AR94" s="134">
        <v>2.4785789547465757E-6</v>
      </c>
      <c r="AS94" s="134">
        <v>4.1540502662516293E-7</v>
      </c>
      <c r="AT94" s="134">
        <v>6.2087806809833029E-17</v>
      </c>
      <c r="AU94" s="134">
        <v>3.5086656031879317E-17</v>
      </c>
      <c r="AV94" s="134">
        <v>1.552418589799187E-14</v>
      </c>
      <c r="AW94" s="134">
        <v>1.2964759718520105E-14</v>
      </c>
      <c r="AY94" s="134">
        <v>2.4785791625745953E-6</v>
      </c>
      <c r="AZ94" s="134">
        <v>4.1540504261591471E-7</v>
      </c>
      <c r="BB94">
        <v>4.2020439179489867E-3</v>
      </c>
      <c r="BC94">
        <v>9.491384654941034E-3</v>
      </c>
      <c r="BD94">
        <v>1.2229935246497028E-2</v>
      </c>
      <c r="BE94">
        <v>1.7016569724629155E-4</v>
      </c>
      <c r="BF94">
        <v>2.6093529516633341E-2</v>
      </c>
      <c r="BG94">
        <v>3.3925573020532944E-2</v>
      </c>
      <c r="BH94">
        <v>8.8935696508935166E-3</v>
      </c>
      <c r="BI94">
        <v>1.276119436646442E-2</v>
      </c>
      <c r="BJ94">
        <v>1.8638557211712409E-4</v>
      </c>
      <c r="BK94">
        <v>5.5766722610008E-2</v>
      </c>
    </row>
    <row r="95" spans="1:91" x14ac:dyDescent="0.25">
      <c r="A95">
        <v>92</v>
      </c>
      <c r="B95" s="127">
        <v>46</v>
      </c>
      <c r="C95" s="20">
        <v>1.398428981486493E-12</v>
      </c>
      <c r="D95" s="20">
        <v>3.5104620159207483E-5</v>
      </c>
      <c r="E95" s="20">
        <v>4.3214898826651413E-15</v>
      </c>
      <c r="F95" s="20">
        <v>6.2659861794784973E-11</v>
      </c>
      <c r="G95" s="19">
        <v>534.20839776913954</v>
      </c>
      <c r="H95" s="19">
        <v>145.70132067657309</v>
      </c>
      <c r="I95" s="19">
        <v>1.4665130221118996E-3</v>
      </c>
      <c r="J95" s="19">
        <v>-2.455324868512547E-4</v>
      </c>
      <c r="K95">
        <v>1.666937835494877</v>
      </c>
      <c r="L95" s="19">
        <v>634.12702220932135</v>
      </c>
      <c r="M95" s="19">
        <v>159.14065859220463</v>
      </c>
      <c r="N95" s="19">
        <v>1.6196871670454613E-3</v>
      </c>
      <c r="O95" s="19">
        <v>-4.6837876981386644E-4</v>
      </c>
      <c r="P95" s="19">
        <v>0.94076182627140548</v>
      </c>
      <c r="Q95" s="19">
        <v>343.94108969177495</v>
      </c>
      <c r="R95" s="19">
        <v>83.352241805660853</v>
      </c>
      <c r="S95" s="19">
        <v>8.1840173057242077E-4</v>
      </c>
      <c r="T95" s="19">
        <v>-3.3396882938877459E-4</v>
      </c>
      <c r="U95" s="19">
        <v>0.51910140470401056</v>
      </c>
      <c r="V95" s="19">
        <v>228.64814228931959</v>
      </c>
      <c r="W95" s="19">
        <v>55.715616177810126</v>
      </c>
      <c r="X95" s="19">
        <v>5.4243360504099055E-4</v>
      </c>
      <c r="Y95" s="19">
        <v>-2.5113492258910979E-4</v>
      </c>
      <c r="Z95">
        <v>0.36327099027008436</v>
      </c>
      <c r="AB95">
        <v>9641.8212632392497</v>
      </c>
      <c r="AC95">
        <v>652886.02071677928</v>
      </c>
      <c r="AD95">
        <v>6512.316019836303</v>
      </c>
      <c r="AE95">
        <v>40098.504639781298</v>
      </c>
      <c r="AF95">
        <v>96554.083496624167</v>
      </c>
      <c r="AG95">
        <v>172861.5694849088</v>
      </c>
      <c r="AH95">
        <v>490139.22011109366</v>
      </c>
      <c r="AI95">
        <v>592255.87161061994</v>
      </c>
      <c r="AK95">
        <v>1.5001167678991766E-9</v>
      </c>
      <c r="AL95">
        <v>1.5062911317979504E-2</v>
      </c>
      <c r="AM95">
        <v>3.9734830121818827E-12</v>
      </c>
      <c r="AN95">
        <v>5.7613902414991539E-9</v>
      </c>
      <c r="AP95" s="134">
        <v>1.5558437840147225E-13</v>
      </c>
      <c r="AQ95" s="134">
        <v>2.2976702215989466E-15</v>
      </c>
      <c r="AR95" s="134">
        <v>2.312988385713833E-6</v>
      </c>
      <c r="AS95" s="134">
        <v>3.756477068981707E-7</v>
      </c>
      <c r="AT95" s="134">
        <v>4.1152925575859337E-17</v>
      </c>
      <c r="AU95" s="134">
        <v>2.2986503154067315E-17</v>
      </c>
      <c r="AV95" s="134">
        <v>1.1754599520098173E-14</v>
      </c>
      <c r="AW95" s="134">
        <v>9.7278735723315788E-15</v>
      </c>
      <c r="AY95" s="134">
        <v>2.3129885530939639E-6</v>
      </c>
      <c r="AZ95" s="134">
        <v>3.7564771894670097E-7</v>
      </c>
      <c r="BB95">
        <v>4.2020439181045715E-3</v>
      </c>
      <c r="BC95">
        <v>9.4936976433267484E-3</v>
      </c>
      <c r="BD95">
        <v>1.222993524649707E-2</v>
      </c>
      <c r="BE95">
        <v>1.7016569725804615E-4</v>
      </c>
      <c r="BF95">
        <v>2.6095842505186435E-2</v>
      </c>
      <c r="BG95">
        <v>3.3925573020535241E-2</v>
      </c>
      <c r="BH95">
        <v>8.8939452986004155E-3</v>
      </c>
      <c r="BI95">
        <v>1.2761194366464442E-2</v>
      </c>
      <c r="BJ95">
        <v>1.8638557212685196E-4</v>
      </c>
      <c r="BK95">
        <v>5.5767098257726945E-2</v>
      </c>
    </row>
    <row r="96" spans="1:91" x14ac:dyDescent="0.25">
      <c r="A96">
        <v>93</v>
      </c>
      <c r="B96" s="127">
        <v>46.5</v>
      </c>
      <c r="C96" s="20">
        <v>1.0964499471370086E-12</v>
      </c>
      <c r="D96" s="20">
        <v>3.1398561190929942E-5</v>
      </c>
      <c r="E96" s="20">
        <v>2.748762253085783E-15</v>
      </c>
      <c r="F96" s="20">
        <v>4.5696575735509725E-11</v>
      </c>
      <c r="G96" s="19">
        <v>535.22780186815612</v>
      </c>
      <c r="H96" s="19">
        <v>146.96354861513851</v>
      </c>
      <c r="I96" s="19">
        <v>1.4787962682026215E-3</v>
      </c>
      <c r="J96" s="19">
        <v>-2.4446512966898163E-4</v>
      </c>
      <c r="K96">
        <v>1.6815721700828912</v>
      </c>
      <c r="L96" s="19">
        <v>639.13391807732899</v>
      </c>
      <c r="M96" s="19">
        <v>160.87044835951119</v>
      </c>
      <c r="N96" s="19">
        <v>1.6372924623394335E-3</v>
      </c>
      <c r="O96" s="19">
        <v>-4.6962325802860322E-4</v>
      </c>
      <c r="P96" s="19">
        <v>0.94935975525201122</v>
      </c>
      <c r="Q96" s="19">
        <v>347.56755717269419</v>
      </c>
      <c r="R96" s="19">
        <v>84.258244433983251</v>
      </c>
      <c r="S96" s="19">
        <v>8.2729740155690346E-4</v>
      </c>
      <c r="T96" s="19">
        <v>-3.3637819788328227E-4</v>
      </c>
      <c r="U96" s="19">
        <v>0.52402241944459538</v>
      </c>
      <c r="V96" s="19">
        <v>231.08312108000135</v>
      </c>
      <c r="W96" s="19">
        <v>56.321220701481984</v>
      </c>
      <c r="X96" s="19">
        <v>5.4832962248708831E-4</v>
      </c>
      <c r="Y96" s="19">
        <v>-2.5310347052893815E-4</v>
      </c>
      <c r="Z96">
        <v>0.36677036724779566</v>
      </c>
      <c r="AB96">
        <v>9329.3311441213536</v>
      </c>
      <c r="AC96">
        <v>665289.99419892835</v>
      </c>
      <c r="AD96">
        <v>6240.0739779748146</v>
      </c>
      <c r="AE96">
        <v>39641.477081051307</v>
      </c>
      <c r="AF96">
        <v>92517.719050992382</v>
      </c>
      <c r="AG96">
        <v>167576.00057890391</v>
      </c>
      <c r="AH96">
        <v>469649.35111932468</v>
      </c>
      <c r="AI96">
        <v>572611.80230199778</v>
      </c>
      <c r="AK96">
        <v>1.1761791071535219E-9</v>
      </c>
      <c r="AL96">
        <v>1.3472692215046829E-2</v>
      </c>
      <c r="AM96">
        <v>2.5274061524418661E-12</v>
      </c>
      <c r="AN96">
        <v>4.2016659145329384E-9</v>
      </c>
      <c r="AP96" s="134">
        <v>1.2607325101699942E-13</v>
      </c>
      <c r="AQ96" s="134">
        <v>1.7679194297364296E-15</v>
      </c>
      <c r="AR96" s="134">
        <v>2.1590596942601191E-6</v>
      </c>
      <c r="AS96" s="134">
        <v>3.3986352696950333E-7</v>
      </c>
      <c r="AT96" s="134">
        <v>2.7318076778880079E-17</v>
      </c>
      <c r="AU96" s="134">
        <v>1.508214865918002E-17</v>
      </c>
      <c r="AV96" s="134">
        <v>8.94638926790599E-15</v>
      </c>
      <c r="AW96" s="134">
        <v>7.3377214679151213E-15</v>
      </c>
      <c r="AY96" s="134">
        <v>2.1590598293070771E-6</v>
      </c>
      <c r="AZ96" s="134">
        <v>3.3986353609022642E-7</v>
      </c>
      <c r="BB96">
        <v>4.2020439182306451E-3</v>
      </c>
      <c r="BC96">
        <v>9.4958567030210082E-3</v>
      </c>
      <c r="BD96">
        <v>1.2229935246497098E-2</v>
      </c>
      <c r="BE96">
        <v>1.7016569726699255E-4</v>
      </c>
      <c r="BF96">
        <v>2.6098001565015745E-2</v>
      </c>
      <c r="BG96">
        <v>3.392557302053701E-2</v>
      </c>
      <c r="BH96">
        <v>8.8942851621273845E-3</v>
      </c>
      <c r="BI96">
        <v>1.2761194366464458E-2</v>
      </c>
      <c r="BJ96">
        <v>1.8638557213418967E-4</v>
      </c>
      <c r="BK96">
        <v>5.5767438121263044E-2</v>
      </c>
    </row>
    <row r="97" spans="1:63" x14ac:dyDescent="0.25">
      <c r="A97">
        <v>94</v>
      </c>
      <c r="B97" s="127">
        <v>47</v>
      </c>
      <c r="C97" s="20">
        <v>8.6111163969626034E-13</v>
      </c>
      <c r="D97" s="20">
        <v>2.8104357952088862E-5</v>
      </c>
      <c r="E97" s="20">
        <v>1.7518373552265539E-15</v>
      </c>
      <c r="F97" s="20">
        <v>3.3497103815163748E-11</v>
      </c>
      <c r="G97" s="19">
        <v>536.22729811240708</v>
      </c>
      <c r="H97" s="19">
        <v>148.22019416509681</v>
      </c>
      <c r="I97" s="19">
        <v>1.4910167859028974E-3</v>
      </c>
      <c r="J97" s="19">
        <v>-2.4339696986373761E-4</v>
      </c>
      <c r="K97">
        <v>1.6961670213775375</v>
      </c>
      <c r="L97" s="19">
        <v>644.0900246636993</v>
      </c>
      <c r="M97" s="19">
        <v>162.60023812681777</v>
      </c>
      <c r="N97" s="19">
        <v>1.6548977576334061E-3</v>
      </c>
      <c r="O97" s="19">
        <v>-4.7084476091333478E-4</v>
      </c>
      <c r="P97" s="19">
        <v>0.95793780623109304</v>
      </c>
      <c r="Q97" s="19">
        <v>351.18032221020133</v>
      </c>
      <c r="R97" s="19">
        <v>85.164247062305662</v>
      </c>
      <c r="S97" s="19">
        <v>8.3619307254138636E-4</v>
      </c>
      <c r="T97" s="19">
        <v>-3.38721450772209E-4</v>
      </c>
      <c r="U97" s="19">
        <v>0.52893426241077257</v>
      </c>
      <c r="V97" s="19">
        <v>233.51376426933589</v>
      </c>
      <c r="W97" s="19">
        <v>56.926825225153813</v>
      </c>
      <c r="X97" s="19">
        <v>5.5422563993318596E-4</v>
      </c>
      <c r="Y97" s="19">
        <v>-2.5506647452789438E-4</v>
      </c>
      <c r="Z97">
        <v>0.37026427360372177</v>
      </c>
      <c r="AB97">
        <v>9030.9298877344627</v>
      </c>
      <c r="AC97">
        <v>677995.11625919433</v>
      </c>
      <c r="AD97">
        <v>5981.9442811408226</v>
      </c>
      <c r="AE97">
        <v>39199.113092394138</v>
      </c>
      <c r="AF97">
        <v>88690.589620364131</v>
      </c>
      <c r="AG97">
        <v>162625.11646380587</v>
      </c>
      <c r="AH97">
        <v>450221.62557462626</v>
      </c>
      <c r="AI97">
        <v>553815.98737493576</v>
      </c>
      <c r="AK97">
        <v>9.2372800252494706E-10</v>
      </c>
      <c r="AL97">
        <v>1.2059194760152726E-2</v>
      </c>
      <c r="AM97">
        <v>1.610762991490666E-12</v>
      </c>
      <c r="AN97">
        <v>3.0799603049113422E-9</v>
      </c>
      <c r="AP97" s="134">
        <v>1.0228492680244663E-13</v>
      </c>
      <c r="AQ97" s="134">
        <v>1.3624404960637066E-15</v>
      </c>
      <c r="AR97" s="134">
        <v>2.0159323112004822E-6</v>
      </c>
      <c r="AS97" s="134">
        <v>3.0763947979457189E-7</v>
      </c>
      <c r="AT97" s="134">
        <v>1.8161599763689256E-17</v>
      </c>
      <c r="AU97" s="134">
        <v>9.9047614938935966E-18</v>
      </c>
      <c r="AV97" s="134">
        <v>6.8409870382843811E-15</v>
      </c>
      <c r="AW97" s="134">
        <v>5.5613423503901053E-15</v>
      </c>
      <c r="AY97" s="134">
        <v>2.0159324203445577E-6</v>
      </c>
      <c r="AZ97" s="134">
        <v>3.0763948672825951E-7</v>
      </c>
      <c r="BB97">
        <v>4.2020439183329296E-3</v>
      </c>
      <c r="BC97">
        <v>9.4978726353322079E-3</v>
      </c>
      <c r="BD97">
        <v>1.2229935246497115E-2</v>
      </c>
      <c r="BE97">
        <v>1.7016569727383354E-4</v>
      </c>
      <c r="BF97">
        <v>2.6100017497436085E-2</v>
      </c>
      <c r="BG97">
        <v>3.392557302053837E-2</v>
      </c>
      <c r="BH97">
        <v>8.8945928016071797E-3</v>
      </c>
      <c r="BI97">
        <v>1.2761194366464468E-2</v>
      </c>
      <c r="BJ97">
        <v>1.8638557213975101E-4</v>
      </c>
      <c r="BK97">
        <v>5.5767745760749769E-2</v>
      </c>
    </row>
    <row r="98" spans="1:63" x14ac:dyDescent="0.25">
      <c r="A98">
        <v>95</v>
      </c>
      <c r="B98" s="127">
        <v>47.5</v>
      </c>
      <c r="C98" s="20">
        <v>6.7739403441086221E-13</v>
      </c>
      <c r="D98" s="20">
        <v>2.5173952234765639E-5</v>
      </c>
      <c r="E98" s="20">
        <v>1.1186607644499714E-15</v>
      </c>
      <c r="F98" s="20">
        <v>2.4669417798260915E-11</v>
      </c>
      <c r="G98" s="19">
        <v>537.20742657202811</v>
      </c>
      <c r="H98" s="19">
        <v>149.47129182991304</v>
      </c>
      <c r="I98" s="19">
        <v>1.5031749851837476E-3</v>
      </c>
      <c r="J98" s="19">
        <v>-2.4232828089413533E-4</v>
      </c>
      <c r="K98">
        <v>1.7107228187558134</v>
      </c>
      <c r="L98" s="19">
        <v>648.99606803200913</v>
      </c>
      <c r="M98" s="19">
        <v>164.33002789412433</v>
      </c>
      <c r="N98" s="19">
        <v>1.6725030529273783E-3</v>
      </c>
      <c r="O98" s="19">
        <v>-4.7204394931005174E-4</v>
      </c>
      <c r="P98" s="19">
        <v>0.9664961848045015</v>
      </c>
      <c r="Q98" s="19">
        <v>354.81476010637016</v>
      </c>
      <c r="R98" s="19">
        <v>86.07024969062806</v>
      </c>
      <c r="S98" s="19">
        <v>8.4508874352586926E-4</v>
      </c>
      <c r="T98" s="19">
        <v>-3.4086995046824723E-4</v>
      </c>
      <c r="U98" s="19">
        <v>0.53383701032046094</v>
      </c>
      <c r="V98" s="19">
        <v>235.93946116764673</v>
      </c>
      <c r="W98" s="19">
        <v>57.53242974882567</v>
      </c>
      <c r="X98" s="19">
        <v>5.6012165737928373E-4</v>
      </c>
      <c r="Y98" s="19">
        <v>-2.5702353741276825E-4</v>
      </c>
      <c r="Z98">
        <v>0.37375274865122465</v>
      </c>
      <c r="AB98">
        <v>8745.8251882651512</v>
      </c>
      <c r="AC98">
        <v>691006.87781035528</v>
      </c>
      <c r="AD98">
        <v>5737.0567292810701</v>
      </c>
      <c r="AE98">
        <v>38770.729086113293</v>
      </c>
      <c r="AF98">
        <v>85059.793286536136</v>
      </c>
      <c r="AG98">
        <v>158243.11683347161</v>
      </c>
      <c r="AH98">
        <v>431790.54923897964</v>
      </c>
      <c r="AI98">
        <v>535827.71752831328</v>
      </c>
      <c r="AK98">
        <v>7.2665123717219034E-10</v>
      </c>
      <c r="AL98">
        <v>1.0801797835031393E-2</v>
      </c>
      <c r="AM98">
        <v>1.028575714539232E-12</v>
      </c>
      <c r="AN98">
        <v>2.2682805051797149E-9</v>
      </c>
      <c r="AP98" s="134">
        <v>8.3085497540836523E-14</v>
      </c>
      <c r="AQ98" s="134">
        <v>1.0515832193664757E-15</v>
      </c>
      <c r="AR98" s="134">
        <v>1.8828117525665469E-6</v>
      </c>
      <c r="AS98" s="134">
        <v>2.7860703395697366E-7</v>
      </c>
      <c r="AT98" s="134">
        <v>1.2092384366304853E-17</v>
      </c>
      <c r="AU98" s="134">
        <v>6.4999712791404493E-18</v>
      </c>
      <c r="AV98" s="134">
        <v>5.2531962757811728E-15</v>
      </c>
      <c r="AW98" s="134">
        <v>4.2332272687253405E-15</v>
      </c>
      <c r="AY98" s="134">
        <v>1.8828118409173333E-6</v>
      </c>
      <c r="AZ98" s="134">
        <v>2.7860703924828408E-7</v>
      </c>
      <c r="BB98">
        <v>4.202043918416015E-3</v>
      </c>
      <c r="BC98">
        <v>9.4997554470847741E-3</v>
      </c>
      <c r="BD98">
        <v>1.2229935246497127E-2</v>
      </c>
      <c r="BE98">
        <v>1.7016569727908675E-4</v>
      </c>
      <c r="BF98">
        <v>2.6101900309277001E-2</v>
      </c>
      <c r="BG98">
        <v>3.3925573020539425E-2</v>
      </c>
      <c r="BH98">
        <v>8.8948714086411369E-3</v>
      </c>
      <c r="BI98">
        <v>1.2761194366464475E-2</v>
      </c>
      <c r="BJ98">
        <v>1.8638557214398425E-4</v>
      </c>
      <c r="BK98">
        <v>5.5768024367789021E-2</v>
      </c>
    </row>
    <row r="99" spans="1:63" x14ac:dyDescent="0.25">
      <c r="A99">
        <v>96</v>
      </c>
      <c r="B99" s="127">
        <v>48</v>
      </c>
      <c r="C99" s="20">
        <v>5.3373268178504371E-13</v>
      </c>
      <c r="D99" s="20">
        <v>2.2565160100012398E-5</v>
      </c>
      <c r="E99" s="20">
        <v>7.157247254241042E-16</v>
      </c>
      <c r="F99" s="20">
        <v>1.8245373482414909E-11</v>
      </c>
      <c r="G99" s="19">
        <v>538.16870862471353</v>
      </c>
      <c r="H99" s="19">
        <v>150.71687583934636</v>
      </c>
      <c r="I99" s="19">
        <v>1.5152712726659082E-3</v>
      </c>
      <c r="J99" s="19">
        <v>-2.4125932191440563E-4</v>
      </c>
      <c r="K99">
        <v>1.7252399823201996</v>
      </c>
      <c r="L99" s="19">
        <v>653.85276679389779</v>
      </c>
      <c r="M99" s="19">
        <v>166.05981766143091</v>
      </c>
      <c r="N99" s="19">
        <v>1.6901083482213509E-3</v>
      </c>
      <c r="O99" s="19">
        <v>-4.7322146753787161E-4</v>
      </c>
      <c r="P99" s="19">
        <v>0.97503509271180011</v>
      </c>
      <c r="Q99" s="19">
        <v>358.43958901241984</v>
      </c>
      <c r="R99" s="19">
        <v>86.976252318950472</v>
      </c>
      <c r="S99" s="19">
        <v>8.5398441451035216E-4</v>
      </c>
      <c r="T99" s="19">
        <v>-3.4300740488138644E-4</v>
      </c>
      <c r="U99" s="19">
        <v>0.53873073875775934</v>
      </c>
      <c r="V99" s="19">
        <v>238.35964594934859</v>
      </c>
      <c r="W99" s="19">
        <v>58.138034272497528</v>
      </c>
      <c r="X99" s="19">
        <v>5.6601767482538159E-4</v>
      </c>
      <c r="Y99" s="19">
        <v>-2.5897429343092022E-4</v>
      </c>
      <c r="Z99">
        <v>0.37723583114517756</v>
      </c>
      <c r="AB99">
        <v>8473.2776151688668</v>
      </c>
      <c r="AC99">
        <v>704330.9353106491</v>
      </c>
      <c r="AD99">
        <v>5504.6031546625927</v>
      </c>
      <c r="AE99">
        <v>38355.682568222677</v>
      </c>
      <c r="AF99">
        <v>81613.347846168021</v>
      </c>
      <c r="AG99">
        <v>154027.04601309958</v>
      </c>
      <c r="AH99">
        <v>414295.29663936753</v>
      </c>
      <c r="AI99">
        <v>518608.14164144266</v>
      </c>
      <c r="AK99">
        <v>5.7254344419439713E-10</v>
      </c>
      <c r="AL99">
        <v>9.682400889711543E-3</v>
      </c>
      <c r="AM99">
        <v>6.580878620771694E-13</v>
      </c>
      <c r="AN99">
        <v>1.677608499654263E-9</v>
      </c>
      <c r="AP99" s="134">
        <v>6.7570481010728311E-14</v>
      </c>
      <c r="AQ99" s="134">
        <v>8.1288981569703968E-16</v>
      </c>
      <c r="AR99" s="134">
        <v>1.7589643826567603E-6</v>
      </c>
      <c r="AS99" s="134">
        <v>2.5243719421469298E-7</v>
      </c>
      <c r="AT99" s="134">
        <v>8.0634832346001898E-18</v>
      </c>
      <c r="AU99" s="134">
        <v>4.2725474461232015E-18</v>
      </c>
      <c r="AV99" s="134">
        <v>4.0493061670322905E-15</v>
      </c>
      <c r="AW99" s="134">
        <v>3.2348286981081269E-15</v>
      </c>
      <c r="AY99" s="134">
        <v>1.7589644542846111E-6</v>
      </c>
      <c r="AZ99" s="134">
        <v>2.5243719826668399E-7</v>
      </c>
      <c r="BB99">
        <v>4.2020439184835851E-3</v>
      </c>
      <c r="BC99">
        <v>9.5015144114674304E-3</v>
      </c>
      <c r="BD99">
        <v>1.2229935246497136E-2</v>
      </c>
      <c r="BE99">
        <v>1.7016569728313605E-4</v>
      </c>
      <c r="BF99">
        <v>2.6103659273731289E-2</v>
      </c>
      <c r="BG99">
        <v>3.3925573020540237E-2</v>
      </c>
      <c r="BH99">
        <v>8.895123845835351E-3</v>
      </c>
      <c r="BI99">
        <v>1.2761194366464479E-2</v>
      </c>
      <c r="BJ99">
        <v>1.8638557214721907E-4</v>
      </c>
      <c r="BK99">
        <v>5.5768276804987284E-2</v>
      </c>
    </row>
    <row r="100" spans="1:63" x14ac:dyDescent="0.25">
      <c r="A100">
        <v>97</v>
      </c>
      <c r="B100" s="127">
        <v>48.5</v>
      </c>
      <c r="C100" s="20">
        <v>4.2120765574335262E-13</v>
      </c>
      <c r="D100" s="20">
        <v>2.024092139358866E-5</v>
      </c>
      <c r="E100" s="20">
        <v>4.5880853966301048E-16</v>
      </c>
      <c r="F100" s="20">
        <v>1.3546274579441301E-11</v>
      </c>
      <c r="G100" s="19">
        <v>539.11164774041617</v>
      </c>
      <c r="H100" s="19">
        <v>151.95698015209939</v>
      </c>
      <c r="I100" s="19">
        <v>1.5273060516528614E-3</v>
      </c>
      <c r="J100" s="19">
        <v>-2.4019033850418477E-4</v>
      </c>
      <c r="K100">
        <v>1.739718923186292</v>
      </c>
      <c r="L100" s="19">
        <v>658.66083167256693</v>
      </c>
      <c r="M100" s="19">
        <v>167.7896074287375</v>
      </c>
      <c r="N100" s="19">
        <v>1.7077136435153233E-3</v>
      </c>
      <c r="O100" s="19">
        <v>-4.7437793470877013E-4</v>
      </c>
      <c r="P100" s="19">
        <v>0.9835547279356639</v>
      </c>
      <c r="Q100" s="19">
        <v>362.0540864383899</v>
      </c>
      <c r="R100" s="19">
        <v>87.882254947272855</v>
      </c>
      <c r="S100" s="19">
        <v>8.6288008549483485E-4</v>
      </c>
      <c r="T100" s="19">
        <v>-3.4513363570055466E-4</v>
      </c>
      <c r="U100" s="19">
        <v>0.54361552219803366</v>
      </c>
      <c r="V100" s="19">
        <v>240.77379464146833</v>
      </c>
      <c r="W100" s="19">
        <v>58.743638796169371</v>
      </c>
      <c r="X100" s="19">
        <v>5.7191369227147925E-4</v>
      </c>
      <c r="Y100" s="19">
        <v>-2.6091840609461904E-4</v>
      </c>
      <c r="Z100">
        <v>0.3807135592964821</v>
      </c>
      <c r="AB100">
        <v>8212.5965526267428</v>
      </c>
      <c r="AC100">
        <v>717973.11194245727</v>
      </c>
      <c r="AD100">
        <v>5283.8324151162851</v>
      </c>
      <c r="AE100">
        <v>37953.36914241995</v>
      </c>
      <c r="AF100">
        <v>78340.116578699352</v>
      </c>
      <c r="AG100">
        <v>149969.52321675574</v>
      </c>
      <c r="AH100">
        <v>397679.33424212266</v>
      </c>
      <c r="AI100">
        <v>502120.22104565625</v>
      </c>
      <c r="AK100">
        <v>4.5183607856614644E-10</v>
      </c>
      <c r="AL100">
        <v>8.6851019200061674E-3</v>
      </c>
      <c r="AM100">
        <v>4.2186097565745787E-13</v>
      </c>
      <c r="AN100">
        <v>1.2455401581679946E-9</v>
      </c>
      <c r="AP100" s="134">
        <v>5.5017444929963075E-14</v>
      </c>
      <c r="AQ100" s="134">
        <v>6.293217267478386E-16</v>
      </c>
      <c r="AR100" s="134">
        <v>1.6437126005660852E-6</v>
      </c>
      <c r="AS100" s="134">
        <v>2.2883612486194144E-7</v>
      </c>
      <c r="AT100" s="134">
        <v>5.384992952284701E-18</v>
      </c>
      <c r="AU100" s="134">
        <v>2.8129780411966017E-18</v>
      </c>
      <c r="AV100" s="134">
        <v>3.1320213320656517E-15</v>
      </c>
      <c r="AW100" s="134">
        <v>2.4805616383546151E-15</v>
      </c>
      <c r="AY100" s="134">
        <v>1.6437126587209366E-6</v>
      </c>
      <c r="AZ100" s="134">
        <v>2.2883612797463778E-7</v>
      </c>
      <c r="BB100">
        <v>4.2020439185386027E-3</v>
      </c>
      <c r="BC100">
        <v>9.5031581240679966E-3</v>
      </c>
      <c r="BD100">
        <v>1.2229935246497141E-2</v>
      </c>
      <c r="BE100">
        <v>1.7016569728626807E-4</v>
      </c>
      <c r="BF100">
        <v>2.6105302986390005E-2</v>
      </c>
      <c r="BG100">
        <v>3.3925573020540868E-2</v>
      </c>
      <c r="BH100">
        <v>8.8953526819602127E-3</v>
      </c>
      <c r="BI100">
        <v>1.2761194366464482E-2</v>
      </c>
      <c r="BJ100">
        <v>1.8638557214969965E-4</v>
      </c>
      <c r="BK100">
        <v>5.5768505641115261E-2</v>
      </c>
    </row>
    <row r="101" spans="1:63" x14ac:dyDescent="0.25">
      <c r="A101">
        <v>98</v>
      </c>
      <c r="B101" s="127">
        <v>49</v>
      </c>
      <c r="C101" s="20">
        <v>3.3292660100570509E-13</v>
      </c>
      <c r="D101" s="20">
        <v>1.8168649267891271E-5</v>
      </c>
      <c r="E101" s="20">
        <v>2.9467927636290825E-16</v>
      </c>
      <c r="F101" s="20">
        <v>1.0092726959071102E-11</v>
      </c>
      <c r="G101" s="19">
        <v>540.03673022741123</v>
      </c>
      <c r="H101" s="19">
        <v>153.19163845843781</v>
      </c>
      <c r="I101" s="19">
        <v>1.5392797221634935E-3</v>
      </c>
      <c r="J101" s="19">
        <v>-2.3912156335795744E-4</v>
      </c>
      <c r="K101">
        <v>1.7541600437591776</v>
      </c>
      <c r="L101" s="19">
        <v>663.42096513059346</v>
      </c>
      <c r="M101" s="19">
        <v>169.51939719604405</v>
      </c>
      <c r="N101" s="19">
        <v>1.7253189388092955E-3</v>
      </c>
      <c r="O101" s="19">
        <v>-4.7551394596511218E-4</v>
      </c>
      <c r="P101" s="19">
        <v>0.99205528479804406</v>
      </c>
      <c r="Q101" s="19">
        <v>365.65758533017669</v>
      </c>
      <c r="R101" s="19">
        <v>88.788257575595253</v>
      </c>
      <c r="S101" s="19">
        <v>8.7177575647931764E-4</v>
      </c>
      <c r="T101" s="19">
        <v>-3.4724848513189546E-4</v>
      </c>
      <c r="U101" s="19">
        <v>0.54849143403218359</v>
      </c>
      <c r="V101" s="19">
        <v>243.181422328553</v>
      </c>
      <c r="W101" s="19">
        <v>59.349243319841229</v>
      </c>
      <c r="X101" s="19">
        <v>5.7780970971757701E-4</v>
      </c>
      <c r="Y101" s="19">
        <v>-2.6285556618198133E-4</v>
      </c>
      <c r="Z101">
        <v>0.3841859707859594</v>
      </c>
      <c r="AB101">
        <v>7963.1364902885343</v>
      </c>
      <c r="AC101">
        <v>731939.39900110674</v>
      </c>
      <c r="AD101">
        <v>5074.0458376334254</v>
      </c>
      <c r="AE101">
        <v>37563.219769163727</v>
      </c>
      <c r="AF101">
        <v>75229.740691372484</v>
      </c>
      <c r="AG101">
        <v>146063.51028977078</v>
      </c>
      <c r="AH101">
        <v>381890.07752238947</v>
      </c>
      <c r="AI101">
        <v>486328.6770553363</v>
      </c>
      <c r="AK101">
        <v>3.5713560235104501E-10</v>
      </c>
      <c r="AL101">
        <v>7.7959183562890276E-3</v>
      </c>
      <c r="AM101">
        <v>2.7094893901451157E-13</v>
      </c>
      <c r="AN101">
        <v>9.2799659856490776E-10</v>
      </c>
      <c r="AP101" s="134">
        <v>4.4848609939888727E-14</v>
      </c>
      <c r="AQ101" s="134">
        <v>4.8793056206351993E-16</v>
      </c>
      <c r="AR101" s="134">
        <v>1.536430415836587E-6</v>
      </c>
      <c r="AS101" s="134">
        <v>2.0754127053530237E-7</v>
      </c>
      <c r="AT101" s="134">
        <v>3.6016200045946006E-18</v>
      </c>
      <c r="AU101" s="134">
        <v>1.8550077187449799E-18</v>
      </c>
      <c r="AV101" s="134">
        <v>2.4300097153231248E-15</v>
      </c>
      <c r="AW101" s="134">
        <v>1.9081675466555241E-15</v>
      </c>
      <c r="AY101" s="134">
        <v>1.5364304631188081E-6</v>
      </c>
      <c r="AZ101" s="134">
        <v>2.0754127293325547E-7</v>
      </c>
      <c r="BB101">
        <v>4.2020439185834514E-3</v>
      </c>
      <c r="BC101">
        <v>9.5046945544838331E-3</v>
      </c>
      <c r="BD101">
        <v>1.2229935246497145E-2</v>
      </c>
      <c r="BE101">
        <v>1.7016569728869809E-4</v>
      </c>
      <c r="BF101">
        <v>2.6106839416853128E-2</v>
      </c>
      <c r="BG101">
        <v>3.3925573020541354E-2</v>
      </c>
      <c r="BH101">
        <v>8.8955602232307484E-3</v>
      </c>
      <c r="BI101">
        <v>1.2761194366464484E-2</v>
      </c>
      <c r="BJ101">
        <v>1.8638557215160781E-4</v>
      </c>
      <c r="BK101">
        <v>5.5768713182388192E-2</v>
      </c>
    </row>
    <row r="102" spans="1:63" x14ac:dyDescent="0.25">
      <c r="A102">
        <v>99</v>
      </c>
      <c r="B102" s="127">
        <v>49.5</v>
      </c>
      <c r="C102" s="20">
        <v>2.6355454031103348E-13</v>
      </c>
      <c r="D102" s="20">
        <v>1.6319665837437104E-5</v>
      </c>
      <c r="E102" s="20">
        <v>1.896247479902647E-16</v>
      </c>
      <c r="F102" s="20">
        <v>7.543690290487523E-12</v>
      </c>
      <c r="G102" s="19">
        <v>540.94442594190343</v>
      </c>
      <c r="H102" s="19">
        <v>154.42088418277771</v>
      </c>
      <c r="I102" s="19">
        <v>1.551192680964347E-3</v>
      </c>
      <c r="J102" s="19">
        <v>-2.3805321693662253E-4</v>
      </c>
      <c r="K102">
        <v>1.7685637379990606</v>
      </c>
      <c r="L102" s="19">
        <v>668.13386105542327</v>
      </c>
      <c r="M102" s="19">
        <v>171.24918696335064</v>
      </c>
      <c r="N102" s="19">
        <v>1.7429242341032681E-3</v>
      </c>
      <c r="O102" s="19">
        <v>-4.7663007364438597E-4</v>
      </c>
      <c r="P102" s="19">
        <v>1.0005369540532261</v>
      </c>
      <c r="Q102" s="19">
        <v>369.25072321380577</v>
      </c>
      <c r="R102" s="19">
        <v>89.694260203917665</v>
      </c>
      <c r="S102" s="19">
        <v>8.8067142746380066E-4</v>
      </c>
      <c r="T102" s="19">
        <v>-3.4932770825471331E-4</v>
      </c>
      <c r="U102" s="19">
        <v>0.55335854659011818</v>
      </c>
      <c r="V102" s="19">
        <v>245.58208055689397</v>
      </c>
      <c r="W102" s="19">
        <v>59.954847843513065</v>
      </c>
      <c r="X102" s="19">
        <v>5.8370572716367455E-4</v>
      </c>
      <c r="Y102" s="19">
        <v>-2.6478548988206955E-4</v>
      </c>
      <c r="Z102">
        <v>0.38765310277766463</v>
      </c>
      <c r="AB102">
        <v>7724.2936315987326</v>
      </c>
      <c r="AC102">
        <v>746235.9574846637</v>
      </c>
      <c r="AD102">
        <v>4874.5930677295382</v>
      </c>
      <c r="AE102">
        <v>37184.698255127478</v>
      </c>
      <c r="AF102">
        <v>72272.577780316889</v>
      </c>
      <c r="AG102">
        <v>142344.72510337402</v>
      </c>
      <c r="AH102">
        <v>366878.57857302763</v>
      </c>
      <c r="AI102">
        <v>471199.93356352556</v>
      </c>
      <c r="AK102">
        <v>2.8271910151367202E-10</v>
      </c>
      <c r="AL102">
        <v>7.0025449109979623E-3</v>
      </c>
      <c r="AM102">
        <v>1.7435438593782111E-13</v>
      </c>
      <c r="AN102">
        <v>6.9362016416263435E-10</v>
      </c>
      <c r="AP102" s="134">
        <v>3.6601288738832727E-14</v>
      </c>
      <c r="AQ102" s="134">
        <v>3.7886019653439488E-16</v>
      </c>
      <c r="AR102" s="134">
        <v>1.4365393815856654E-6</v>
      </c>
      <c r="AS102" s="134">
        <v>1.8831791676653895E-7</v>
      </c>
      <c r="AT102" s="134">
        <v>2.4124556130790972E-18</v>
      </c>
      <c r="AU102" s="134">
        <v>1.2248742326854821E-18</v>
      </c>
      <c r="AV102" s="134">
        <v>1.8905987012391579E-15</v>
      </c>
      <c r="AW102" s="134">
        <v>1.4720294184190984E-15</v>
      </c>
      <c r="AY102" s="134">
        <v>1.4365394200799652E-6</v>
      </c>
      <c r="AZ102" s="134">
        <v>1.8831791861865344E-7</v>
      </c>
      <c r="BB102">
        <v>4.2020439186200523E-3</v>
      </c>
      <c r="BC102">
        <v>9.5061310938654182E-3</v>
      </c>
      <c r="BD102">
        <v>1.2229935246497146E-2</v>
      </c>
      <c r="BE102">
        <v>1.7016569729058869E-4</v>
      </c>
      <c r="BF102">
        <v>2.6108275956273207E-2</v>
      </c>
      <c r="BG102">
        <v>3.3925573020541736E-2</v>
      </c>
      <c r="BH102">
        <v>8.8957485411475141E-3</v>
      </c>
      <c r="BI102">
        <v>1.2761194366464486E-2</v>
      </c>
      <c r="BJ102">
        <v>1.8638557215307984E-4</v>
      </c>
      <c r="BK102">
        <v>5.5768901500306813E-2</v>
      </c>
    </row>
    <row r="103" spans="1:63" x14ac:dyDescent="0.25">
      <c r="A103">
        <v>100</v>
      </c>
      <c r="B103" s="127">
        <v>50</v>
      </c>
      <c r="C103" s="20">
        <v>2.0895486271267467E-13</v>
      </c>
      <c r="D103" s="20">
        <v>1.4668712094823936E-5</v>
      </c>
      <c r="E103" s="20">
        <v>1.2225380267803984E-16</v>
      </c>
      <c r="F103" s="20">
        <v>5.6549268638067578E-12</v>
      </c>
      <c r="G103" s="19">
        <v>541.8351889632163</v>
      </c>
      <c r="H103" s="19">
        <v>155.64475048624649</v>
      </c>
      <c r="I103" s="19">
        <v>1.5630453216015352E-3</v>
      </c>
      <c r="J103" s="19">
        <v>-2.3698550808346356E-4</v>
      </c>
      <c r="K103">
        <v>1.7829303916766555</v>
      </c>
      <c r="L103" s="19">
        <v>672.80020449658207</v>
      </c>
      <c r="M103" s="19">
        <v>172.97897673065719</v>
      </c>
      <c r="N103" s="19">
        <v>1.7605295293972405E-3</v>
      </c>
      <c r="O103" s="19">
        <v>-4.7772686837610685E-4</v>
      </c>
      <c r="P103" s="19">
        <v>1.0089999229779081</v>
      </c>
      <c r="Q103" s="19">
        <v>372.83469467906957</v>
      </c>
      <c r="R103" s="19">
        <v>90.600262832240062</v>
      </c>
      <c r="S103" s="19">
        <v>8.8956709844828345E-4</v>
      </c>
      <c r="T103" s="19">
        <v>-3.5133601829501269E-4</v>
      </c>
      <c r="U103" s="19">
        <v>0.55821693116348259</v>
      </c>
      <c r="V103" s="19">
        <v>247.97535492246899</v>
      </c>
      <c r="W103" s="19">
        <v>60.560452367184901</v>
      </c>
      <c r="X103" s="19">
        <v>5.8960174460977221E-4</v>
      </c>
      <c r="Y103" s="19">
        <v>-2.667079170727884E-4</v>
      </c>
      <c r="Z103">
        <v>0.39111499193164345</v>
      </c>
      <c r="AB103">
        <v>7495.5027895439107</v>
      </c>
      <c r="AC103">
        <v>760869.11987690092</v>
      </c>
      <c r="AD103">
        <v>4684.8682847995124</v>
      </c>
      <c r="AE103">
        <v>36817.298950985525</v>
      </c>
      <c r="AF103">
        <v>69459.645717959007</v>
      </c>
      <c r="AG103">
        <v>138862.86827339919</v>
      </c>
      <c r="AH103">
        <v>352599.24125926418</v>
      </c>
      <c r="AI103">
        <v>456702.05619720003</v>
      </c>
      <c r="AK103">
        <v>2.2414916841623057E-10</v>
      </c>
      <c r="AL103">
        <v>6.2941432902914657E-3</v>
      </c>
      <c r="AM103">
        <v>1.1240878060698871E-13</v>
      </c>
      <c r="AN103">
        <v>5.199539149356892E-10</v>
      </c>
      <c r="AP103" s="134">
        <v>2.990448735859515E-14</v>
      </c>
      <c r="AQ103" s="134">
        <v>2.9459622234701165E-16</v>
      </c>
      <c r="AR103" s="134">
        <v>1.3435048559878182E-6</v>
      </c>
      <c r="AS103" s="134">
        <v>1.7095613935913092E-7</v>
      </c>
      <c r="AT103" s="134">
        <v>1.6183321905128157E-18</v>
      </c>
      <c r="AU103" s="134">
        <v>8.094948779660339E-19</v>
      </c>
      <c r="AV103" s="134">
        <v>1.474631406121972E-15</v>
      </c>
      <c r="AW103" s="134">
        <v>1.1384969869966549E-15</v>
      </c>
      <c r="AY103" s="134">
        <v>1.3435048873685552E-6</v>
      </c>
      <c r="AZ103" s="134">
        <v>1.7095614079303363E-7</v>
      </c>
      <c r="BB103">
        <v>4.2020439186499572E-3</v>
      </c>
      <c r="BC103">
        <v>9.5074745987214059E-3</v>
      </c>
      <c r="BD103">
        <v>1.2229935246497148E-2</v>
      </c>
      <c r="BE103">
        <v>1.7016569729206332E-4</v>
      </c>
      <c r="BF103">
        <v>2.6109619461160576E-2</v>
      </c>
      <c r="BG103">
        <v>3.3925573020542027E-2</v>
      </c>
      <c r="BH103">
        <v>8.8959194972868735E-3</v>
      </c>
      <c r="BI103">
        <v>1.2761194366464486E-2</v>
      </c>
      <c r="BJ103">
        <v>1.8638557215421833E-4</v>
      </c>
      <c r="BK103">
        <v>5.5769072456447605E-2</v>
      </c>
    </row>
    <row r="104" spans="1:63" x14ac:dyDescent="0.25">
      <c r="B104" s="127"/>
      <c r="C104" s="127"/>
      <c r="D104" s="127"/>
      <c r="E104" s="127"/>
      <c r="F104" s="127"/>
    </row>
    <row r="105" spans="1:63" x14ac:dyDescent="0.25">
      <c r="B105" s="127"/>
      <c r="C105" s="127"/>
      <c r="D105" s="127"/>
      <c r="E105" s="127"/>
      <c r="F105" s="127"/>
    </row>
    <row r="106" spans="1:63" x14ac:dyDescent="0.25">
      <c r="B106" s="127"/>
      <c r="C106" s="127"/>
      <c r="D106" s="127"/>
      <c r="E106" s="127"/>
      <c r="F106" s="127"/>
    </row>
    <row r="107" spans="1:63" x14ac:dyDescent="0.25">
      <c r="B107" s="127"/>
      <c r="C107" s="127"/>
      <c r="D107" s="127"/>
      <c r="E107" s="127"/>
      <c r="F107" s="127"/>
    </row>
    <row r="108" spans="1:63" x14ac:dyDescent="0.25">
      <c r="B108" s="127"/>
      <c r="C108" s="127"/>
      <c r="D108" s="127"/>
      <c r="E108" s="127"/>
      <c r="F108" s="127"/>
    </row>
  </sheetData>
  <mergeCells count="16"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BM2:BQ2"/>
    <mergeCell ref="BR2:BV2"/>
    <mergeCell ref="AR2:AS2"/>
    <mergeCell ref="AT2:AU2"/>
    <mergeCell ref="AV2:AW2"/>
    <mergeCell ref="BB2:BF2"/>
    <mergeCell ref="BG2:BK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8B0271-CC32-4AF7-A626-3686239BB193}">
  <sheetPr codeName="Hoja6"/>
  <dimension ref="A1"/>
  <sheetViews>
    <sheetView tabSelected="1" workbookViewId="0">
      <selection activeCell="F5" sqref="F5"/>
    </sheetView>
  </sheetViews>
  <sheetFormatPr baseColWidth="10"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topLeftCell="A28" zoomScaleNormal="100" workbookViewId="0">
      <selection activeCell="A10" sqref="A10"/>
    </sheetView>
  </sheetViews>
  <sheetFormatPr baseColWidth="10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5703125" customWidth="1"/>
    <col min="16" max="21" width="11.42578125" hidden="1" customWidth="1"/>
    <col min="22" max="22" width="11.42578125" customWidth="1"/>
    <col min="26" max="28" width="0" hidden="1" customWidth="1"/>
    <col min="29" max="29" width="13.42578125" customWidth="1"/>
    <col min="30" max="30" width="15.140625" customWidth="1"/>
  </cols>
  <sheetData>
    <row r="1" spans="1:33" ht="13.5" customHeight="1" x14ac:dyDescent="0.25">
      <c r="A1" s="96">
        <v>1</v>
      </c>
      <c r="B1" s="96">
        <v>2</v>
      </c>
      <c r="C1" s="96">
        <v>3</v>
      </c>
      <c r="D1" s="96">
        <v>4</v>
      </c>
      <c r="E1" s="96">
        <v>5</v>
      </c>
      <c r="F1" s="96">
        <v>6</v>
      </c>
      <c r="G1" s="96">
        <v>7</v>
      </c>
      <c r="H1" s="96">
        <v>8</v>
      </c>
      <c r="I1" s="96">
        <v>9</v>
      </c>
      <c r="J1" s="96">
        <v>10</v>
      </c>
      <c r="K1" s="96">
        <v>11</v>
      </c>
      <c r="L1" s="96">
        <v>12</v>
      </c>
      <c r="M1" s="96">
        <v>13</v>
      </c>
      <c r="N1" s="96">
        <v>14</v>
      </c>
      <c r="O1" s="96">
        <v>15</v>
      </c>
      <c r="P1" s="96">
        <v>16</v>
      </c>
      <c r="Q1" s="96">
        <v>17</v>
      </c>
      <c r="R1" s="96">
        <v>18</v>
      </c>
      <c r="S1" s="96">
        <v>19</v>
      </c>
      <c r="T1" s="96">
        <v>20</v>
      </c>
      <c r="U1" s="96">
        <v>21</v>
      </c>
      <c r="V1" s="96">
        <v>22</v>
      </c>
      <c r="W1" s="96">
        <v>23</v>
      </c>
      <c r="X1" s="96">
        <v>24</v>
      </c>
      <c r="Y1" s="96">
        <v>25</v>
      </c>
      <c r="Z1" s="96">
        <v>26</v>
      </c>
      <c r="AA1" s="96">
        <v>27</v>
      </c>
      <c r="AB1" s="96">
        <v>28</v>
      </c>
      <c r="AC1" s="96">
        <v>29</v>
      </c>
      <c r="AD1" s="96">
        <v>30</v>
      </c>
    </row>
    <row r="2" spans="1:33" s="95" customFormat="1" ht="42.75" customHeight="1" x14ac:dyDescent="0.2">
      <c r="A2" s="111" t="s">
        <v>2</v>
      </c>
      <c r="B2" s="111" t="s">
        <v>18</v>
      </c>
      <c r="C2" s="111" t="s">
        <v>109</v>
      </c>
      <c r="D2" s="111" t="s">
        <v>108</v>
      </c>
      <c r="E2" s="111" t="s">
        <v>9</v>
      </c>
      <c r="F2" s="111" t="s">
        <v>91</v>
      </c>
      <c r="G2" s="111" t="s">
        <v>19</v>
      </c>
      <c r="H2" s="112" t="s">
        <v>3</v>
      </c>
      <c r="I2" s="113" t="s">
        <v>20</v>
      </c>
      <c r="J2" s="113" t="s">
        <v>116</v>
      </c>
      <c r="K2" s="113" t="s">
        <v>117</v>
      </c>
      <c r="L2" s="113" t="s">
        <v>118</v>
      </c>
      <c r="M2" s="113" t="s">
        <v>79</v>
      </c>
      <c r="N2" s="113" t="s">
        <v>89</v>
      </c>
      <c r="O2" s="113" t="s">
        <v>88</v>
      </c>
      <c r="P2" s="113" t="s">
        <v>4</v>
      </c>
      <c r="Q2" s="113" t="s">
        <v>5</v>
      </c>
      <c r="R2" s="114" t="s">
        <v>6</v>
      </c>
      <c r="S2" s="113" t="s">
        <v>7</v>
      </c>
      <c r="T2" s="113" t="s">
        <v>8</v>
      </c>
      <c r="U2" s="113" t="s">
        <v>87</v>
      </c>
      <c r="V2" s="113" t="s">
        <v>86</v>
      </c>
      <c r="W2" s="113" t="s">
        <v>85</v>
      </c>
      <c r="X2" s="113" t="s">
        <v>84</v>
      </c>
      <c r="Y2" s="113" t="s">
        <v>83</v>
      </c>
      <c r="Z2" s="113" t="s">
        <v>82</v>
      </c>
      <c r="AA2" s="113" t="s">
        <v>81</v>
      </c>
      <c r="AB2" s="113" t="s">
        <v>80</v>
      </c>
      <c r="AC2" s="113" t="s">
        <v>79</v>
      </c>
      <c r="AD2" s="113" t="s">
        <v>78</v>
      </c>
    </row>
    <row r="3" spans="1:33" x14ac:dyDescent="0.25">
      <c r="A3" s="2"/>
      <c r="B3" s="2"/>
      <c r="C3" s="2">
        <v>400000</v>
      </c>
      <c r="D3" s="2">
        <v>4.166666666666667</v>
      </c>
      <c r="E3" s="2">
        <v>0.35</v>
      </c>
      <c r="F3" s="2">
        <v>14.477683282633681</v>
      </c>
      <c r="G3" s="99">
        <v>20.606426499042783</v>
      </c>
      <c r="H3" s="2"/>
      <c r="I3" s="2"/>
      <c r="J3" s="107">
        <v>247.97535492246899</v>
      </c>
      <c r="K3" s="107">
        <v>95.145197497056344</v>
      </c>
      <c r="L3" s="107">
        <v>13.033287292226815</v>
      </c>
      <c r="M3" s="117">
        <v>5.252822131155498E-4</v>
      </c>
      <c r="N3" s="117">
        <v>9.4804318047820508E-6</v>
      </c>
      <c r="O3" s="117">
        <v>-2.6764726513651759E-4</v>
      </c>
      <c r="P3" s="117"/>
      <c r="Q3" s="117"/>
      <c r="R3" s="117"/>
      <c r="S3" s="117"/>
      <c r="T3" s="117"/>
      <c r="U3" s="117"/>
      <c r="V3" s="10">
        <v>0.39111499193164345</v>
      </c>
      <c r="W3" s="10">
        <v>13.311695400075775</v>
      </c>
      <c r="X3" s="10">
        <v>94.866789389207383</v>
      </c>
      <c r="Y3" s="10">
        <v>4.1076606076044936E-2</v>
      </c>
      <c r="Z3" s="2"/>
      <c r="AA3" s="2"/>
      <c r="AB3" s="2"/>
      <c r="AC3" s="190">
        <v>5.252822131155498E-4</v>
      </c>
      <c r="AD3" s="190">
        <v>-2.667079170727884E-4</v>
      </c>
      <c r="AE3" s="189"/>
      <c r="AF3" s="189"/>
    </row>
    <row r="4" spans="1:33" x14ac:dyDescent="0.25">
      <c r="A4" s="2"/>
      <c r="B4" s="2"/>
      <c r="C4" s="2">
        <v>100000</v>
      </c>
      <c r="D4" s="2"/>
      <c r="E4" s="2"/>
      <c r="F4" s="2"/>
      <c r="G4" s="99">
        <v>76.965364144491105</v>
      </c>
      <c r="H4" s="2"/>
      <c r="I4" s="2"/>
      <c r="J4" s="107">
        <v>60.560452367184901</v>
      </c>
      <c r="K4" s="107">
        <v>6.9813701346120265</v>
      </c>
      <c r="L4" s="107">
        <v>-2.4091475454472069</v>
      </c>
      <c r="M4" s="117">
        <v>5.8960174460977221E-4</v>
      </c>
      <c r="N4" s="117">
        <v>-1.3371586552996166E-4</v>
      </c>
      <c r="O4" s="117">
        <v>-2.6048785421076137E-4</v>
      </c>
      <c r="P4" s="117"/>
      <c r="Q4" s="117"/>
      <c r="R4" s="117"/>
      <c r="S4" s="117"/>
      <c r="T4" s="117"/>
      <c r="U4" s="117"/>
      <c r="V4" s="117"/>
      <c r="W4" s="10">
        <v>3.9507931458586758</v>
      </c>
      <c r="X4" s="10">
        <v>0.62142944330614469</v>
      </c>
      <c r="Y4" s="10">
        <v>0.87340743385604125</v>
      </c>
      <c r="Z4" s="2"/>
      <c r="AA4" s="2"/>
      <c r="AB4" s="2"/>
      <c r="AC4" s="190">
        <v>5.8960174460977221E-4</v>
      </c>
      <c r="AD4" s="190">
        <v>-2.2967724475378543E-4</v>
      </c>
    </row>
    <row r="5" spans="1:33" x14ac:dyDescent="0.25">
      <c r="G5" s="19"/>
      <c r="W5" s="116"/>
      <c r="X5" s="116"/>
      <c r="AD5" s="190"/>
      <c r="AF5" s="347"/>
      <c r="AG5" s="347"/>
    </row>
    <row r="6" spans="1:33" x14ac:dyDescent="0.25">
      <c r="J6" s="20">
        <v>235.63836198955957</v>
      </c>
      <c r="M6" s="117">
        <v>4.9443973078327618E-4</v>
      </c>
      <c r="AC6" s="190">
        <v>4.9443973078327618E-4</v>
      </c>
      <c r="AD6" s="190">
        <v>-2.5591304825649263E-4</v>
      </c>
      <c r="AF6" s="189"/>
      <c r="AG6" s="189"/>
    </row>
    <row r="7" spans="1:33" x14ac:dyDescent="0.25">
      <c r="J7" s="20">
        <v>56.122010504145429</v>
      </c>
      <c r="M7" s="117">
        <v>5.4521732597937746E-4</v>
      </c>
      <c r="AC7" s="190">
        <v>5.4521732597937746E-4</v>
      </c>
      <c r="AD7" s="190">
        <v>-2.1414269823314726E-4</v>
      </c>
      <c r="AF7" s="189"/>
      <c r="AG7" s="189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8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8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146</v>
      </c>
      <c r="C11" s="4">
        <v>30</v>
      </c>
      <c r="D11" s="4">
        <v>250000</v>
      </c>
      <c r="E11" s="5"/>
      <c r="F11" s="14"/>
      <c r="G11" s="5">
        <v>47.635420694665108</v>
      </c>
      <c r="H11" s="138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59</v>
      </c>
      <c r="C12" s="4">
        <v>40</v>
      </c>
      <c r="D12" s="4">
        <v>100000</v>
      </c>
      <c r="E12" s="5"/>
      <c r="F12" s="14"/>
      <c r="G12" s="5">
        <v>84.293981442142282</v>
      </c>
      <c r="H12" s="138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8" t="s">
        <v>93</v>
      </c>
      <c r="D15" s="108" t="s">
        <v>94</v>
      </c>
      <c r="E15" s="108" t="s">
        <v>98</v>
      </c>
      <c r="F15" s="108" t="s">
        <v>100</v>
      </c>
    </row>
    <row r="16" spans="1:33" x14ac:dyDescent="0.25">
      <c r="C16" s="109" t="s">
        <v>92</v>
      </c>
      <c r="D16" s="109" t="s">
        <v>95</v>
      </c>
      <c r="E16" s="109" t="s">
        <v>99</v>
      </c>
      <c r="F16" s="109" t="s">
        <v>101</v>
      </c>
    </row>
    <row r="17" spans="2:9" x14ac:dyDescent="0.25">
      <c r="C17" s="110" t="s">
        <v>97</v>
      </c>
      <c r="D17" s="110" t="s">
        <v>96</v>
      </c>
      <c r="E17" s="110" t="s">
        <v>102</v>
      </c>
      <c r="F17" s="110" t="s">
        <v>103</v>
      </c>
    </row>
    <row r="18" spans="2:9" x14ac:dyDescent="0.25">
      <c r="B18" s="97" t="s">
        <v>13</v>
      </c>
      <c r="C18" s="99">
        <v>90</v>
      </c>
      <c r="D18" s="99">
        <v>18</v>
      </c>
      <c r="E18" s="99">
        <v>27.361008992002702</v>
      </c>
      <c r="F18" s="99">
        <v>79.042186697320801</v>
      </c>
    </row>
    <row r="19" spans="2:9" x14ac:dyDescent="0.25">
      <c r="B19" s="97" t="s">
        <v>12</v>
      </c>
      <c r="C19" s="99">
        <v>90</v>
      </c>
      <c r="D19" s="99">
        <v>18</v>
      </c>
      <c r="E19" s="99">
        <v>27.361008992002702</v>
      </c>
      <c r="F19" s="99">
        <v>79.042186697320801</v>
      </c>
    </row>
    <row r="20" spans="2:9" x14ac:dyDescent="0.25">
      <c r="B20" s="97" t="s">
        <v>14</v>
      </c>
      <c r="C20" s="99">
        <v>8.3929251873924979</v>
      </c>
      <c r="D20" s="99">
        <v>123.32072007574396</v>
      </c>
      <c r="E20" s="99">
        <v>125.03049553233184</v>
      </c>
      <c r="F20" s="99">
        <v>145.3673528612739</v>
      </c>
    </row>
    <row r="21" spans="2:9" x14ac:dyDescent="0.25">
      <c r="B21" s="97" t="s">
        <v>15</v>
      </c>
      <c r="C21" s="99">
        <v>8.3929251873924979</v>
      </c>
      <c r="D21" s="99">
        <v>123.32072007574396</v>
      </c>
      <c r="E21" s="99">
        <v>125.03049553233184</v>
      </c>
      <c r="F21" s="99">
        <v>145.3673528612739</v>
      </c>
    </row>
    <row r="22" spans="2:9" x14ac:dyDescent="0.25">
      <c r="B22" s="97" t="s">
        <v>16</v>
      </c>
      <c r="C22" s="99">
        <v>4.2190953492484544</v>
      </c>
      <c r="D22" s="99">
        <v>244.66303357883879</v>
      </c>
      <c r="E22" s="99">
        <v>245.52927485955814</v>
      </c>
      <c r="F22" s="99">
        <v>256.48326900188658</v>
      </c>
      <c r="I22" s="77"/>
    </row>
    <row r="23" spans="2:9" x14ac:dyDescent="0.25">
      <c r="B23" s="97" t="s">
        <v>17</v>
      </c>
      <c r="C23" s="99">
        <v>4.2190953492484544</v>
      </c>
      <c r="D23" s="99">
        <v>244.66303357883879</v>
      </c>
      <c r="E23" s="99">
        <v>245.52927485955814</v>
      </c>
      <c r="F23" s="99">
        <v>256.48326900188658</v>
      </c>
      <c r="I23" s="131"/>
    </row>
    <row r="24" spans="2:9" x14ac:dyDescent="0.25">
      <c r="C24" s="19"/>
      <c r="D24" s="19"/>
      <c r="E24" s="19"/>
      <c r="F24" s="19"/>
      <c r="I24" s="131"/>
    </row>
    <row r="25" spans="2:9" x14ac:dyDescent="0.25">
      <c r="B25" s="2"/>
      <c r="C25" s="188" t="s">
        <v>55</v>
      </c>
      <c r="D25" s="188" t="s">
        <v>67</v>
      </c>
      <c r="E25" s="188" t="s">
        <v>68</v>
      </c>
      <c r="F25" s="188" t="s">
        <v>69</v>
      </c>
      <c r="I25" s="77"/>
    </row>
    <row r="26" spans="2:9" x14ac:dyDescent="0.25">
      <c r="B26" s="97" t="s">
        <v>104</v>
      </c>
      <c r="C26" s="107">
        <v>1.2432928424115632</v>
      </c>
      <c r="D26" s="2">
        <v>0.19970040309205625</v>
      </c>
      <c r="E26" s="2">
        <v>7.5017934485538132E-2</v>
      </c>
      <c r="F26" s="2">
        <v>9.0842260377705254E-3</v>
      </c>
    </row>
    <row r="27" spans="2:9" x14ac:dyDescent="0.25">
      <c r="B27" s="97" t="s">
        <v>105</v>
      </c>
      <c r="C27" s="107">
        <v>1.2432928424115632</v>
      </c>
      <c r="D27" s="2">
        <v>0.19970040309205625</v>
      </c>
      <c r="E27" s="2">
        <v>7.5017934485538132E-2</v>
      </c>
      <c r="F27" s="2">
        <v>9.0842260377705254E-3</v>
      </c>
    </row>
    <row r="28" spans="2:9" x14ac:dyDescent="0.25">
      <c r="B28" s="97" t="s">
        <v>106</v>
      </c>
      <c r="C28" s="107">
        <v>8.5179871439562458</v>
      </c>
      <c r="D28" s="2">
        <v>1.0951924173787926E-4</v>
      </c>
      <c r="E28" s="2">
        <v>1.646758779097856E-3</v>
      </c>
      <c r="F28" s="2">
        <v>1.4175438757278469E-3</v>
      </c>
    </row>
    <row r="29" spans="2:9" x14ac:dyDescent="0.25">
      <c r="B29" s="97" t="s">
        <v>107</v>
      </c>
      <c r="C29" s="107">
        <v>8.5179871439562458</v>
      </c>
      <c r="D29" s="2">
        <v>1.0951924173787926E-4</v>
      </c>
      <c r="E29" s="2">
        <v>1.646758779097856E-3</v>
      </c>
      <c r="F29" s="2">
        <v>1.4175438757278469E-3</v>
      </c>
    </row>
    <row r="31" spans="2:9" x14ac:dyDescent="0.25">
      <c r="B31" s="97" t="s">
        <v>13</v>
      </c>
      <c r="C31" s="121">
        <v>117.76187523153708</v>
      </c>
      <c r="D31" s="121">
        <v>26.651588624944498</v>
      </c>
    </row>
    <row r="32" spans="2:9" x14ac:dyDescent="0.25">
      <c r="B32" s="97" t="s">
        <v>12</v>
      </c>
      <c r="C32" s="121">
        <v>117.76187523153708</v>
      </c>
      <c r="D32" s="121">
        <v>26.651588624944498</v>
      </c>
    </row>
    <row r="33" spans="2:9" x14ac:dyDescent="0.25">
      <c r="B33" s="97" t="s">
        <v>14</v>
      </c>
      <c r="C33" s="121">
        <v>5.5459899427781512E-2</v>
      </c>
      <c r="D33" s="121">
        <v>1.332247843095417</v>
      </c>
    </row>
    <row r="34" spans="2:9" x14ac:dyDescent="0.25">
      <c r="B34" s="97" t="s">
        <v>15</v>
      </c>
      <c r="C34" s="121">
        <v>5.5459899427781512E-2</v>
      </c>
      <c r="D34" s="121">
        <v>1.332247843095417</v>
      </c>
    </row>
    <row r="35" spans="2:9" x14ac:dyDescent="0.25">
      <c r="B35" s="97" t="s">
        <v>16</v>
      </c>
      <c r="C35" s="121">
        <v>1.8458638149430537E-3</v>
      </c>
      <c r="D35" s="121">
        <v>7.7168784032798407E-2</v>
      </c>
    </row>
    <row r="36" spans="2:9" x14ac:dyDescent="0.25">
      <c r="B36" s="97" t="s">
        <v>17</v>
      </c>
      <c r="C36" s="121">
        <v>1.8458638149430537E-3</v>
      </c>
      <c r="D36" s="121">
        <v>7.7168784032798407E-2</v>
      </c>
    </row>
    <row r="38" spans="2:9" x14ac:dyDescent="0.25">
      <c r="B38" s="106"/>
      <c r="C38" s="348" t="s">
        <v>112</v>
      </c>
      <c r="D38" s="349"/>
      <c r="E38" s="348" t="s">
        <v>113</v>
      </c>
      <c r="F38" s="349"/>
    </row>
    <row r="39" spans="2:9" x14ac:dyDescent="0.25">
      <c r="B39" s="13"/>
      <c r="C39" s="348" t="s">
        <v>111</v>
      </c>
      <c r="D39" s="349"/>
      <c r="E39" s="348" t="s">
        <v>111</v>
      </c>
      <c r="F39" s="349"/>
    </row>
    <row r="40" spans="2:9" x14ac:dyDescent="0.25">
      <c r="B40" s="103" t="s">
        <v>110</v>
      </c>
      <c r="C40" s="104">
        <v>1</v>
      </c>
      <c r="D40" s="105">
        <v>2</v>
      </c>
      <c r="E40" s="104">
        <v>1</v>
      </c>
      <c r="F40" s="105">
        <v>2</v>
      </c>
    </row>
    <row r="41" spans="2:9" x14ac:dyDescent="0.25">
      <c r="B41" s="18">
        <v>1</v>
      </c>
      <c r="C41">
        <v>46.550738602773492</v>
      </c>
      <c r="D41">
        <v>-5.2729517795134812E-3</v>
      </c>
      <c r="E41">
        <v>5.637017795715054</v>
      </c>
      <c r="F41" s="86">
        <v>-1.4585252430142164</v>
      </c>
    </row>
    <row r="42" spans="2:9" x14ac:dyDescent="0.25">
      <c r="B42" s="18">
        <v>2</v>
      </c>
      <c r="C42">
        <v>46.550738602773492</v>
      </c>
      <c r="D42">
        <v>-5.2729517795134812E-3</v>
      </c>
      <c r="E42">
        <v>5.637017795715054</v>
      </c>
      <c r="F42" s="86">
        <v>-1.4585252430142164</v>
      </c>
    </row>
    <row r="43" spans="2:9" x14ac:dyDescent="0.25">
      <c r="B43" s="18">
        <v>3</v>
      </c>
      <c r="C43">
        <v>1.0218601457546757</v>
      </c>
      <c r="D43">
        <v>2.9142593075298366</v>
      </c>
      <c r="E43">
        <v>0.87962585039835328</v>
      </c>
      <c r="F43" s="86">
        <v>0.11482744670363425</v>
      </c>
      <c r="G43" s="102"/>
      <c r="H43" s="102"/>
      <c r="I43" s="102"/>
    </row>
    <row r="44" spans="2:9" x14ac:dyDescent="0.25">
      <c r="B44" s="18">
        <v>4</v>
      </c>
      <c r="C44">
        <v>1.0218601457546757</v>
      </c>
      <c r="D44">
        <v>2.9142593075298366</v>
      </c>
      <c r="E44">
        <v>0.87962585039835328</v>
      </c>
      <c r="F44" s="86">
        <v>0.11482744670363425</v>
      </c>
    </row>
    <row r="45" spans="2:9" x14ac:dyDescent="0.25">
      <c r="B45" s="18">
        <v>5</v>
      </c>
      <c r="C45">
        <v>0</v>
      </c>
      <c r="D45">
        <v>0.58169871155569031</v>
      </c>
      <c r="E45">
        <v>0</v>
      </c>
      <c r="F45" s="86">
        <v>0.13912402358697865</v>
      </c>
    </row>
    <row r="46" spans="2:9" x14ac:dyDescent="0.25">
      <c r="B46" s="18">
        <v>6</v>
      </c>
      <c r="C46" s="100">
        <v>0</v>
      </c>
      <c r="D46" s="100">
        <v>0.58169871155569031</v>
      </c>
      <c r="E46" s="100">
        <v>0</v>
      </c>
      <c r="F46" s="101">
        <v>0.13912402358697865</v>
      </c>
    </row>
    <row r="48" spans="2:9" x14ac:dyDescent="0.25">
      <c r="B48" s="103" t="s">
        <v>147</v>
      </c>
      <c r="C48" s="135"/>
    </row>
    <row r="49" spans="2:5" x14ac:dyDescent="0.25">
      <c r="B49" s="97">
        <v>1</v>
      </c>
      <c r="C49" s="99">
        <v>20.606426499042783</v>
      </c>
      <c r="E49" s="115"/>
    </row>
    <row r="50" spans="2:5" x14ac:dyDescent="0.25">
      <c r="B50" s="97">
        <v>2</v>
      </c>
      <c r="C50" s="99">
        <v>76.96536414449109</v>
      </c>
    </row>
    <row r="51" spans="2:5" x14ac:dyDescent="0.25">
      <c r="B51" s="97">
        <v>3</v>
      </c>
      <c r="C51" s="99">
        <v>97.734962717092728</v>
      </c>
    </row>
    <row r="52" spans="2:5" x14ac:dyDescent="0.25">
      <c r="B52" s="97">
        <v>4</v>
      </c>
      <c r="C52" s="99">
        <v>97.962008553310937</v>
      </c>
    </row>
    <row r="53" spans="2:5" x14ac:dyDescent="0.25">
      <c r="B53" s="97">
        <v>5</v>
      </c>
      <c r="C53" s="99">
        <v>128.97762253051542</v>
      </c>
    </row>
    <row r="54" spans="2:5" ht="15" customHeight="1" x14ac:dyDescent="0.25">
      <c r="B54" s="97">
        <v>6</v>
      </c>
      <c r="C54" s="99"/>
    </row>
    <row r="75" spans="5:5" x14ac:dyDescent="0.25">
      <c r="E75" s="186"/>
    </row>
    <row r="76" spans="5:5" x14ac:dyDescent="0.25">
      <c r="E76" s="186"/>
    </row>
    <row r="77" spans="5:5" x14ac:dyDescent="0.25">
      <c r="E77" s="186"/>
    </row>
    <row r="78" spans="5:5" x14ac:dyDescent="0.25">
      <c r="E78" s="186"/>
    </row>
    <row r="79" spans="5:5" x14ac:dyDescent="0.25">
      <c r="E79" s="186"/>
    </row>
    <row r="80" spans="5:5" x14ac:dyDescent="0.25">
      <c r="E80" s="186"/>
    </row>
    <row r="81" spans="5:5" x14ac:dyDescent="0.25">
      <c r="E81" s="186"/>
    </row>
    <row r="82" spans="5:5" x14ac:dyDescent="0.25">
      <c r="E82" s="186"/>
    </row>
    <row r="83" spans="5:5" x14ac:dyDescent="0.25">
      <c r="E83" s="186"/>
    </row>
    <row r="84" spans="5:5" x14ac:dyDescent="0.25">
      <c r="E84" s="186"/>
    </row>
    <row r="85" spans="5:5" x14ac:dyDescent="0.25">
      <c r="E85" s="186"/>
    </row>
    <row r="86" spans="5:5" x14ac:dyDescent="0.25">
      <c r="E86" s="186"/>
    </row>
    <row r="87" spans="5:5" x14ac:dyDescent="0.25">
      <c r="E87" s="186"/>
    </row>
    <row r="88" spans="5:5" x14ac:dyDescent="0.25">
      <c r="E88" s="186"/>
    </row>
    <row r="89" spans="5:5" x14ac:dyDescent="0.25">
      <c r="E89" s="186"/>
    </row>
    <row r="90" spans="5:5" x14ac:dyDescent="0.25">
      <c r="E90" s="186"/>
    </row>
    <row r="91" spans="5:5" x14ac:dyDescent="0.25">
      <c r="E91" s="186"/>
    </row>
    <row r="92" spans="5:5" x14ac:dyDescent="0.25">
      <c r="E92" s="186"/>
    </row>
    <row r="93" spans="5:5" x14ac:dyDescent="0.25">
      <c r="E93" s="186"/>
    </row>
    <row r="94" spans="5:5" x14ac:dyDescent="0.25">
      <c r="E94" s="186"/>
    </row>
    <row r="95" spans="5:5" x14ac:dyDescent="0.25">
      <c r="E95" s="186"/>
    </row>
    <row r="96" spans="5:5" x14ac:dyDescent="0.25">
      <c r="E96" s="186"/>
    </row>
    <row r="97" spans="5:5" x14ac:dyDescent="0.25">
      <c r="E97" s="186"/>
    </row>
    <row r="98" spans="5:5" x14ac:dyDescent="0.25">
      <c r="E98" s="186"/>
    </row>
    <row r="99" spans="5:5" x14ac:dyDescent="0.25">
      <c r="E99" s="186"/>
    </row>
    <row r="100" spans="5:5" x14ac:dyDescent="0.25">
      <c r="E100" s="186"/>
    </row>
    <row r="101" spans="5:5" x14ac:dyDescent="0.25">
      <c r="E101" s="186"/>
    </row>
    <row r="102" spans="5:5" x14ac:dyDescent="0.25">
      <c r="E102" s="186"/>
    </row>
    <row r="103" spans="5:5" x14ac:dyDescent="0.25">
      <c r="E103" s="186"/>
    </row>
    <row r="104" spans="5:5" x14ac:dyDescent="0.25">
      <c r="E104" s="186"/>
    </row>
    <row r="105" spans="5:5" x14ac:dyDescent="0.25">
      <c r="E105" s="186"/>
    </row>
    <row r="106" spans="5:5" x14ac:dyDescent="0.25">
      <c r="E106" s="186"/>
    </row>
    <row r="107" spans="5:5" x14ac:dyDescent="0.25">
      <c r="E107" s="186"/>
    </row>
    <row r="108" spans="5:5" x14ac:dyDescent="0.25">
      <c r="E108" s="186"/>
    </row>
    <row r="109" spans="5:5" x14ac:dyDescent="0.25">
      <c r="E109" s="186"/>
    </row>
    <row r="110" spans="5:5" x14ac:dyDescent="0.25">
      <c r="E110" s="186"/>
    </row>
    <row r="111" spans="5:5" x14ac:dyDescent="0.25">
      <c r="E111" s="186"/>
    </row>
    <row r="112" spans="5:5" x14ac:dyDescent="0.25">
      <c r="E112" s="186"/>
    </row>
    <row r="113" spans="5:5" x14ac:dyDescent="0.25">
      <c r="E113" s="186"/>
    </row>
    <row r="114" spans="5:5" x14ac:dyDescent="0.25">
      <c r="E114" s="186"/>
    </row>
    <row r="115" spans="5:5" x14ac:dyDescent="0.25">
      <c r="E115" s="186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topLeftCell="D1" zoomScale="85" zoomScaleNormal="85" workbookViewId="0">
      <selection activeCell="C3" sqref="C3:T25"/>
    </sheetView>
  </sheetViews>
  <sheetFormatPr baseColWidth="10" defaultRowHeight="15" x14ac:dyDescent="0.25"/>
  <sheetData>
    <row r="1" spans="1:20" ht="16.5" customHeight="1" thickBot="1" x14ac:dyDescent="0.3">
      <c r="A1" s="81"/>
      <c r="B1" s="80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2"/>
      <c r="C2" s="83">
        <v>1</v>
      </c>
      <c r="D2" s="84">
        <v>2</v>
      </c>
      <c r="E2" s="84">
        <v>3</v>
      </c>
      <c r="F2" s="84">
        <v>4</v>
      </c>
      <c r="G2" s="84">
        <v>5</v>
      </c>
      <c r="H2" s="84">
        <v>6</v>
      </c>
      <c r="I2" s="84">
        <v>7</v>
      </c>
      <c r="J2" s="84">
        <v>8</v>
      </c>
      <c r="K2" s="84">
        <v>9</v>
      </c>
      <c r="L2" s="84">
        <v>10</v>
      </c>
      <c r="M2" s="84">
        <v>11</v>
      </c>
      <c r="N2" s="84">
        <v>12</v>
      </c>
      <c r="O2" s="84">
        <v>13</v>
      </c>
      <c r="P2" s="84">
        <v>14</v>
      </c>
      <c r="Q2" s="84">
        <v>15</v>
      </c>
      <c r="R2" s="84">
        <v>16</v>
      </c>
      <c r="S2" s="84">
        <v>17</v>
      </c>
      <c r="T2" s="85">
        <v>18</v>
      </c>
    </row>
    <row r="3" spans="1:20" x14ac:dyDescent="0.25">
      <c r="A3" s="67">
        <v>0</v>
      </c>
      <c r="B3" s="79">
        <v>1</v>
      </c>
      <c r="C3" s="78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2">
        <v>2</v>
      </c>
      <c r="C4" s="76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2">
        <v>3</v>
      </c>
      <c r="C5" s="76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2">
        <v>4</v>
      </c>
      <c r="C6" s="76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2">
        <v>5</v>
      </c>
      <c r="C7" s="76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2">
        <v>6</v>
      </c>
      <c r="C8" s="76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2">
        <v>7</v>
      </c>
      <c r="C9" s="76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2">
        <v>8</v>
      </c>
      <c r="C10" s="76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2">
        <v>9</v>
      </c>
      <c r="C11" s="76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2">
        <v>10</v>
      </c>
      <c r="C12" s="76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2">
        <v>11</v>
      </c>
      <c r="C13" s="76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2">
        <v>12</v>
      </c>
      <c r="C14" s="76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2">
        <v>13</v>
      </c>
      <c r="C15" s="76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2">
        <v>14</v>
      </c>
      <c r="C16" s="76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2">
        <v>15</v>
      </c>
      <c r="C17" s="76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2">
        <v>16</v>
      </c>
      <c r="C18" s="76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2">
        <v>17</v>
      </c>
      <c r="C19" s="76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2">
        <v>18</v>
      </c>
      <c r="C20" s="32">
        <v>5.7139999999999996E-2</v>
      </c>
      <c r="D20" s="1">
        <v>5.6980000000000003E-2</v>
      </c>
      <c r="E20" s="74">
        <v>5.5469999999999998E-2</v>
      </c>
      <c r="F20" s="74">
        <v>5.432E-2</v>
      </c>
      <c r="G20" s="74">
        <v>5.3510000000000002E-2</v>
      </c>
      <c r="H20" s="1">
        <v>5.219E-2</v>
      </c>
      <c r="I20" s="74">
        <v>5.1049999999999998E-2</v>
      </c>
      <c r="J20" s="75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2">
        <v>19</v>
      </c>
      <c r="C21" s="32">
        <v>4.027E-2</v>
      </c>
      <c r="D21" s="74">
        <v>3.9820000000000001E-2</v>
      </c>
      <c r="E21" s="74">
        <v>3.9210000000000002E-2</v>
      </c>
      <c r="F21" s="74">
        <v>3.8429999999999999E-2</v>
      </c>
      <c r="G21" s="74">
        <v>3.8150000000000003E-2</v>
      </c>
      <c r="H21" s="1">
        <v>3.7749999999999999E-2</v>
      </c>
      <c r="I21" s="74">
        <v>3.7010000000000001E-2</v>
      </c>
      <c r="J21" s="74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2">
        <v>20</v>
      </c>
      <c r="C22" s="32">
        <v>2.9850000000000002E-2</v>
      </c>
      <c r="D22" s="74">
        <v>2.9510000000000002E-2</v>
      </c>
      <c r="E22" s="74">
        <v>2.9020000000000001E-2</v>
      </c>
      <c r="F22" s="74">
        <v>2.8549999999999999E-2</v>
      </c>
      <c r="G22" s="74">
        <v>2.8459999999999999E-2</v>
      </c>
      <c r="H22" s="1">
        <v>2.844E-2</v>
      </c>
      <c r="I22" s="54">
        <v>2.785E-2</v>
      </c>
      <c r="J22" s="74">
        <v>2.6190000000000001E-2</v>
      </c>
      <c r="K22" s="76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2">
        <v>21</v>
      </c>
      <c r="C23" s="32">
        <v>2.298E-2</v>
      </c>
      <c r="D23" s="74">
        <v>2.273E-2</v>
      </c>
      <c r="E23" s="74">
        <v>2.2409999999999999E-2</v>
      </c>
      <c r="F23" s="74">
        <v>2.2179999999999998E-2</v>
      </c>
      <c r="G23" s="74">
        <v>2.2159999999999999E-2</v>
      </c>
      <c r="H23" s="1">
        <v>2.214E-2</v>
      </c>
      <c r="I23" s="55">
        <v>2.1680000000000001E-2</v>
      </c>
      <c r="J23" s="74">
        <v>2.061E-2</v>
      </c>
      <c r="K23" s="76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2">
        <v>22</v>
      </c>
      <c r="C24" s="32">
        <v>1.8239999999999999E-2</v>
      </c>
      <c r="D24" s="74">
        <v>1.8110000000000001E-2</v>
      </c>
      <c r="E24" s="74">
        <v>1.7829999999999999E-2</v>
      </c>
      <c r="F24" s="74">
        <v>1.7739999999999999E-2</v>
      </c>
      <c r="G24" s="74">
        <v>1.772E-2</v>
      </c>
      <c r="H24" s="1">
        <v>1.77E-2</v>
      </c>
      <c r="I24" s="55">
        <v>1.7330000000000002E-2</v>
      </c>
      <c r="J24" s="74">
        <v>1.6750000000000001E-2</v>
      </c>
      <c r="K24" s="76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9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4">
        <v>1.65E-3</v>
      </c>
      <c r="T25" s="58">
        <v>9.1E-4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topLeftCell="D1" zoomScale="85" zoomScaleNormal="85" workbookViewId="0">
      <selection activeCell="C3" sqref="C3:T25"/>
    </sheetView>
  </sheetViews>
  <sheetFormatPr baseColWidth="10" defaultRowHeight="15" x14ac:dyDescent="0.25"/>
  <sheetData>
    <row r="1" spans="1:20" x14ac:dyDescent="0.25">
      <c r="A1" t="s">
        <v>56</v>
      </c>
      <c r="B1" t="s">
        <v>57</v>
      </c>
      <c r="C1" s="67">
        <v>0</v>
      </c>
      <c r="D1" s="67">
        <v>0.2</v>
      </c>
      <c r="E1" s="67">
        <v>0.4</v>
      </c>
      <c r="F1" s="67">
        <v>0.6</v>
      </c>
      <c r="G1" s="67">
        <v>0.8</v>
      </c>
      <c r="H1" s="67">
        <v>1</v>
      </c>
      <c r="I1" s="67">
        <v>1.2</v>
      </c>
      <c r="J1" s="67">
        <v>1.5</v>
      </c>
      <c r="K1" s="67">
        <v>2</v>
      </c>
      <c r="L1" s="67">
        <v>3</v>
      </c>
      <c r="M1" s="67">
        <v>4</v>
      </c>
      <c r="N1" s="67">
        <v>5</v>
      </c>
      <c r="O1" s="67">
        <v>6</v>
      </c>
      <c r="P1" s="67">
        <v>7</v>
      </c>
      <c r="Q1" s="67">
        <v>8</v>
      </c>
      <c r="R1" s="67">
        <v>10</v>
      </c>
      <c r="S1" s="67">
        <v>12</v>
      </c>
      <c r="T1" s="67">
        <v>14</v>
      </c>
    </row>
    <row r="2" spans="1:20" ht="15.75" thickBot="1" x14ac:dyDescent="0.3">
      <c r="A2" s="73"/>
      <c r="B2" s="70"/>
      <c r="C2" s="68">
        <v>1</v>
      </c>
      <c r="D2" s="68">
        <v>2</v>
      </c>
      <c r="E2" s="68">
        <v>3</v>
      </c>
      <c r="F2" s="68">
        <v>4</v>
      </c>
      <c r="G2" s="68">
        <v>5</v>
      </c>
      <c r="H2" s="68">
        <v>6</v>
      </c>
      <c r="I2" s="68">
        <v>7</v>
      </c>
      <c r="J2" s="68">
        <v>8</v>
      </c>
      <c r="K2" s="68">
        <v>9</v>
      </c>
      <c r="L2" s="68">
        <v>10</v>
      </c>
      <c r="M2" s="68">
        <v>11</v>
      </c>
      <c r="N2" s="68">
        <v>12</v>
      </c>
      <c r="O2" s="68">
        <v>13</v>
      </c>
      <c r="P2" s="68">
        <v>14</v>
      </c>
      <c r="Q2" s="68">
        <v>15</v>
      </c>
      <c r="R2" s="68">
        <v>16</v>
      </c>
      <c r="S2" s="68">
        <v>17</v>
      </c>
      <c r="T2" s="69">
        <v>18</v>
      </c>
    </row>
    <row r="3" spans="1:20" ht="15.75" thickBot="1" x14ac:dyDescent="0.3">
      <c r="A3" s="71">
        <v>0</v>
      </c>
      <c r="B3" s="72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3">
        <v>0.1</v>
      </c>
      <c r="B4" s="65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3">
        <v>0.2</v>
      </c>
      <c r="B5" s="65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3">
        <v>0.3</v>
      </c>
      <c r="B6" s="65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3">
        <v>0.4</v>
      </c>
      <c r="B7" s="65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3">
        <v>0.5</v>
      </c>
      <c r="B8" s="65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3">
        <v>0.6</v>
      </c>
      <c r="B9" s="65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3">
        <v>0.7</v>
      </c>
      <c r="B10" s="65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3">
        <v>0.8</v>
      </c>
      <c r="B11" s="65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3">
        <v>0.9</v>
      </c>
      <c r="B12" s="65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3">
        <v>1</v>
      </c>
      <c r="B13" s="65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3">
        <v>1.2</v>
      </c>
      <c r="B14" s="65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3">
        <v>1.5</v>
      </c>
      <c r="B15" s="65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3">
        <v>2</v>
      </c>
      <c r="B16" s="65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3">
        <v>2.5</v>
      </c>
      <c r="B17" s="65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3">
        <v>3</v>
      </c>
      <c r="B18" s="65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3">
        <v>4</v>
      </c>
      <c r="B19" s="65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3">
        <v>5</v>
      </c>
      <c r="B20" s="65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3">
        <v>6</v>
      </c>
      <c r="B21" s="65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3">
        <v>7</v>
      </c>
      <c r="B22" s="65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3">
        <v>8</v>
      </c>
      <c r="B23" s="65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3">
        <v>9</v>
      </c>
      <c r="B24" s="65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4">
        <v>10</v>
      </c>
      <c r="B25" s="66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E29" sqref="E29"/>
    </sheetView>
  </sheetViews>
  <sheetFormatPr baseColWidth="10" defaultRowHeight="15" x14ac:dyDescent="0.25"/>
  <sheetData>
    <row r="1" spans="1:20" ht="20.25" thickBot="1" x14ac:dyDescent="0.3">
      <c r="A1" s="23" t="s">
        <v>56</v>
      </c>
      <c r="B1" s="36" t="s">
        <v>57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58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13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3" baseType="lpstr">
      <vt:lpstr>Tránsito</vt:lpstr>
      <vt:lpstr>Espectros de Carga</vt:lpstr>
      <vt:lpstr>Análisis Individual</vt:lpstr>
      <vt:lpstr>Análisis Espectral</vt:lpstr>
      <vt:lpstr>NuevoFormatoPav</vt:lpstr>
      <vt:lpstr>avanzado</vt:lpstr>
      <vt:lpstr>Análisis probabilista</vt:lpstr>
      <vt:lpstr>Larguillo</vt:lpstr>
      <vt:lpstr>Hoja1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2025-06-27T06:18:59Z</dcterms:modified>
</cp:coreProperties>
</file>
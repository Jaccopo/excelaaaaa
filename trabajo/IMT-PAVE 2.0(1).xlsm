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drawings/drawing2.xml" ContentType="application/vnd.openxmlformats-officedocument.drawing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activeX/activeX19.xml" ContentType="application/vnd.ms-office.activeX+xml"/>
  <Override PartName="/xl/activeX/activeX20.xml" ContentType="application/vnd.ms-office.activeX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1.xml" ContentType="application/vnd.ms-office.activeX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22.xml" ContentType="application/vnd.ms-office.activeX+xml"/>
  <Override PartName="/xl/activeX/activeX23.xml" ContentType="application/vnd.ms-office.activeX+xml"/>
  <Override PartName="/xl/ctrlProps/ctrlProp1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activeX/activeX24.xml" ContentType="application/vnd.ms-office.activeX+xml"/>
  <Override PartName="/xl/ctrlProps/ctrlProp2.xml" ContentType="application/vnd.ms-excel.controlproperties+xml"/>
  <Override PartName="/xl/drawings/drawing7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printerSettings/printerSettings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drawings/drawing11.xml" ContentType="application/vnd.openxmlformats-officedocument.drawingml.chartshap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12.xml" ContentType="application/vnd.openxmlformats-officedocument.drawing+xml"/>
  <Override PartName="/xl/charts/chart15.xml" ContentType="application/vnd.openxmlformats-officedocument.drawingml.chart+xml"/>
  <Override PartName="/xl/drawings/drawing13.xml" ContentType="application/vnd.openxmlformats-officedocument.drawingml.chartshape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827" codeName="{0730EB3F-75F1-03CD-C966-41DC9FD4AD36}"/>
  <workbookPr codeName="ThisWorkbook" showPivotChartFilter="1" defaultThemeVersion="124226"/>
  <mc:AlternateContent xmlns:mc="http://schemas.openxmlformats.org/markup-compatibility/2006">
    <mc:Choice Requires="x15">
      <x15ac:absPath xmlns:x15ac="http://schemas.microsoft.com/office/spreadsheetml/2010/11/ac" url="C:\Users\aldo_flores\Documents\excelaaaaa\trabajo\"/>
    </mc:Choice>
  </mc:AlternateContent>
  <xr:revisionPtr revIDLastSave="0" documentId="13_ncr:1_{1BA1ABC4-B199-4728-9C2C-B7E1EC138EE7}" xr6:coauthVersionLast="47" xr6:coauthVersionMax="47" xr10:uidLastSave="{00000000-0000-0000-0000-000000000000}"/>
  <bookViews>
    <workbookView xWindow="-120" yWindow="-120" windowWidth="29040" windowHeight="15720" tabRatio="903" activeTab="17" xr2:uid="{00000000-000D-0000-FFFF-FFFF00000000}"/>
  </bookViews>
  <sheets>
    <sheet name="Tránsito" sheetId="65" r:id="rId1"/>
    <sheet name="Hoja2" sheetId="68" r:id="rId2"/>
    <sheet name="Espectros de Carga" sheetId="56" r:id="rId3"/>
    <sheet name="Análisis Individual" sheetId="63" r:id="rId4"/>
    <sheet name="Análisis Espectral" sheetId="64" r:id="rId5"/>
    <sheet name="NuevoFormatoPav" sheetId="52" r:id="rId6"/>
    <sheet name="Larguillo" sheetId="61" r:id="rId7"/>
    <sheet name="avanzado" sheetId="60" r:id="rId8"/>
    <sheet name="Análisis probabilista" sheetId="66" r:id="rId9"/>
    <sheet name="Hoja1" sheetId="67" r:id="rId10"/>
    <sheet name="calculos" sheetId="58" r:id="rId11"/>
    <sheet name="Espectro Daño Deformacion" sheetId="42" state="hidden" r:id="rId12"/>
    <sheet name="Espectro Daño Fatiga" sheetId="43" state="hidden" r:id="rId13"/>
    <sheet name="Daño Acumulado Deformacion" sheetId="51" state="hidden" r:id="rId14"/>
    <sheet name="Daño Acumulado Fatiga" sheetId="38" state="hidden" r:id="rId15"/>
    <sheet name="factor_e_vert" sheetId="47" r:id="rId16"/>
    <sheet name="factor_e_rad" sheetId="49" r:id="rId17"/>
    <sheet name="factor_e_tan" sheetId="50" r:id="rId18"/>
  </sheets>
  <functionGroups builtInGroupCount="19"/>
  <externalReferences>
    <externalReference r:id="rId19"/>
    <externalReference r:id="rId20"/>
    <externalReference r:id="rId21"/>
    <externalReference r:id="rId22"/>
  </externalReferences>
  <definedNames>
    <definedName name="ADSFAFD">'[1]ANALISIS PAVIMENTO'!$DS$61:$EJ$62</definedName>
    <definedName name="AS">'[2]ANALISIS PAVIMENTO'!$DS$61:$EJ$62</definedName>
    <definedName name="e" localSheetId="0">'[3]ANALISIS PAVIMENTO'!$DS$61:$EJ$62</definedName>
    <definedName name="e">'[1]ANALISIS PAVIMENTO'!$DS$61:$EJ$62</definedName>
    <definedName name="E.RADIAL.HOR.B" localSheetId="4">#REF!</definedName>
    <definedName name="E.RADIAL.HOR.B" localSheetId="3">#REF!</definedName>
    <definedName name="E.RADIAL.HOR.B" localSheetId="10">'[4]ANALISIS PAVIMENTO'!$DS$61:$EJ$62</definedName>
    <definedName name="E.RADIAL.HOR.B" localSheetId="0">#REF!</definedName>
    <definedName name="E.RADIAL.HOR.B">#REF!</definedName>
    <definedName name="E.RADIAL.VERT.B" localSheetId="4">#REF!</definedName>
    <definedName name="E.RADIAL.VERT.B" localSheetId="3">#REF!</definedName>
    <definedName name="E.RADIAL.VERT.B" localSheetId="10">'[4]ANALISIS PAVIMENTO'!$DQ$63:$DR$85</definedName>
    <definedName name="E.RADIAL.VERT.B" localSheetId="0">#REF!</definedName>
    <definedName name="E.RADIAL.VERT.B">#REF!</definedName>
    <definedName name="E.TAN.HOR.B" localSheetId="4">#REF!</definedName>
    <definedName name="E.TAN.HOR.B" localSheetId="3">#REF!</definedName>
    <definedName name="E.TAN.HOR.B" localSheetId="10">'[4]ANALISIS PAVIMENTO'!$EN$61:$FE$62</definedName>
    <definedName name="E.TAN.HOR.B" localSheetId="0">#REF!</definedName>
    <definedName name="E.TAN.HOR.B">#REF!</definedName>
    <definedName name="E.TAN.VERT.B" localSheetId="4">#REF!</definedName>
    <definedName name="E.TAN.VERT.B" localSheetId="3">#REF!</definedName>
    <definedName name="E.TAN.VERT.B" localSheetId="10">'[4]ANALISIS PAVIMENTO'!$EL$63:$EM$85</definedName>
    <definedName name="E.TAN.VERT.B" localSheetId="0">#REF!</definedName>
    <definedName name="E.TAN.VERT.B">#REF!</definedName>
    <definedName name="E.VERT.HOR.B" localSheetId="4">#REF!</definedName>
    <definedName name="E.VERT.HOR.B" localSheetId="3">#REF!</definedName>
    <definedName name="E.VERT.HOR.B" localSheetId="10">'[4]ANALISIS PAVIMENTO'!$CX$61:$DO$62</definedName>
    <definedName name="E.VERT.HOR.B" localSheetId="0">#REF!</definedName>
    <definedName name="E.VERT.HOR.B">#REF!</definedName>
    <definedName name="E.VERT.VERT.B" localSheetId="4">#REF!</definedName>
    <definedName name="E.VERT.VERT.B" localSheetId="3">#REF!</definedName>
    <definedName name="E.VERT.VERT.B" localSheetId="10">'[4]ANALISIS PAVIMENTO'!$CV$63:$CW$85</definedName>
    <definedName name="E.VERT.VERT.B" localSheetId="0">#REF!</definedName>
    <definedName name="E.VERT.VERT.B">#REF!</definedName>
    <definedName name="FACTOR.E.RADIAL.B" localSheetId="4">#REF!</definedName>
    <definedName name="FACTOR.E.RADIAL.B" localSheetId="3">#REF!</definedName>
    <definedName name="FACTOR.E.RADIAL.B" localSheetId="10">'[4]ANALISIS PAVIMENTO'!$DS$63:$EJ$85</definedName>
    <definedName name="FACTOR.E.RADIAL.B" localSheetId="0">#REF!</definedName>
    <definedName name="FACTOR.E.RADIAL.B">#REF!</definedName>
    <definedName name="FACTOR.E.TAN.B" localSheetId="4">#REF!</definedName>
    <definedName name="FACTOR.E.TAN.B" localSheetId="3">#REF!</definedName>
    <definedName name="FACTOR.E.TAN.B" localSheetId="10">'[4]ANALISIS PAVIMENTO'!$EN$63:$FE$85</definedName>
    <definedName name="FACTOR.E.TAN.B" localSheetId="0">#REF!</definedName>
    <definedName name="FACTOR.E.TAN.B">#REF!</definedName>
    <definedName name="FACTOR.E.VERT.B" localSheetId="4">#REF!</definedName>
    <definedName name="FACTOR.E.VERT.B" localSheetId="3">#REF!</definedName>
    <definedName name="FACTOR.E.VERT.B" localSheetId="10">'[4]ANALISIS PAVIMENTO'!$CX$63:$DO$85</definedName>
    <definedName name="FACTOR.E.VERT.B" localSheetId="0">#REF!</definedName>
    <definedName name="FACTOR.E.VERT.B">#REF!</definedName>
    <definedName name="SENCILLO" localSheetId="4">'Análisis Espectral'!$F$8</definedName>
    <definedName name="SENCILLO" localSheetId="3">'Análisis Individual'!$F$8</definedName>
    <definedName name="SENCILLO">NuevoFormatoPav!$F$8</definedName>
    <definedName name="TANDEM" localSheetId="4">#REF!</definedName>
    <definedName name="TANDEM" localSheetId="3">#REF!</definedName>
    <definedName name="TANDEM" localSheetId="0">#REF!</definedName>
    <definedName name="TANDEM">#REF!</definedName>
    <definedName name="TRIDEM" localSheetId="4">'Análisis Espectral'!$F$8</definedName>
    <definedName name="TRIDEM" localSheetId="3">'Análisis Individual'!$F$8</definedName>
    <definedName name="TRIDEM">NuevoFormatoPav!$F$8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61" l="1"/>
  <c r="D1" i="61" s="1"/>
  <c r="E1" i="61" s="1"/>
  <c r="F1" i="61" s="1"/>
  <c r="G1" i="61" s="1"/>
  <c r="H1" i="61" s="1"/>
  <c r="I1" i="61" s="1"/>
  <c r="J1" i="61" s="1"/>
  <c r="K1" i="61" s="1"/>
  <c r="L1" i="61" s="1"/>
  <c r="M1" i="61" s="1"/>
  <c r="N1" i="61" s="1"/>
  <c r="O1" i="61" s="1"/>
  <c r="P1" i="61" s="1"/>
  <c r="Q1" i="61" s="1"/>
  <c r="R1" i="61" s="1"/>
  <c r="S1" i="61" s="1"/>
  <c r="T1" i="61" s="1"/>
  <c r="U1" i="61" s="1"/>
  <c r="V1" i="61" s="1"/>
  <c r="W1" i="61" s="1"/>
  <c r="X1" i="61" s="1"/>
  <c r="Y1" i="61" s="1"/>
  <c r="Z1" i="61" s="1"/>
  <c r="AA1" i="61" s="1"/>
  <c r="AB1" i="61" s="1"/>
  <c r="AC1" i="61" s="1"/>
  <c r="AD1" i="61" s="1"/>
  <c r="AE1" i="61" s="1"/>
  <c r="AF1" i="61" s="1"/>
  <c r="AG1" i="61" s="1"/>
  <c r="AH1" i="61" s="1"/>
  <c r="AI1" i="61" s="1"/>
  <c r="AJ1" i="61" s="1"/>
  <c r="AK1" i="61" s="1"/>
  <c r="AL1" i="61" s="1"/>
  <c r="AM1" i="61" s="1"/>
  <c r="AN1" i="61" s="1"/>
  <c r="AO1" i="61" s="1"/>
  <c r="AP1" i="61" s="1"/>
  <c r="AQ1" i="61" s="1"/>
  <c r="AR1" i="61" s="1"/>
  <c r="AS1" i="61" s="1"/>
  <c r="AT1" i="61" s="1"/>
  <c r="AU1" i="61" s="1"/>
  <c r="AV1" i="61" s="1"/>
  <c r="AW1" i="61" s="1"/>
  <c r="AX1" i="61" s="1"/>
  <c r="AY1" i="61" s="1"/>
  <c r="AZ1" i="61" s="1"/>
  <c r="BA1" i="61" s="1"/>
  <c r="BB1" i="61" s="1"/>
  <c r="BC1" i="61" s="1"/>
  <c r="BD1" i="61" s="1"/>
  <c r="BE1" i="61" s="1"/>
  <c r="BF1" i="61" s="1"/>
  <c r="BG1" i="61" s="1"/>
  <c r="BH1" i="61" s="1"/>
  <c r="BI1" i="61" s="1"/>
  <c r="BJ1" i="61" s="1"/>
  <c r="BK1" i="61" s="1"/>
  <c r="BL1" i="61" s="1"/>
  <c r="BM1" i="61" s="1"/>
  <c r="BN1" i="61" s="1"/>
  <c r="BO1" i="61" s="1"/>
  <c r="BP1" i="61" s="1"/>
  <c r="BQ1" i="61" s="1"/>
  <c r="BR1" i="61" s="1"/>
  <c r="BS1" i="61" s="1"/>
  <c r="BT1" i="61" s="1"/>
  <c r="BU1" i="61" s="1"/>
  <c r="BV1" i="61" s="1"/>
  <c r="B1" i="61"/>
  <c r="F128" i="67"/>
  <c r="E128" i="67"/>
  <c r="D128" i="67"/>
  <c r="F127" i="67"/>
  <c r="E127" i="67"/>
  <c r="D127" i="67"/>
  <c r="F126" i="67"/>
  <c r="E126" i="67"/>
  <c r="D126" i="67"/>
  <c r="F125" i="67"/>
  <c r="E125" i="67"/>
  <c r="D125" i="67"/>
  <c r="F124" i="67"/>
  <c r="E124" i="67"/>
  <c r="D124" i="67"/>
  <c r="F123" i="67"/>
  <c r="E123" i="67"/>
  <c r="D123" i="67"/>
  <c r="F117" i="67"/>
  <c r="D14" i="66"/>
  <c r="E14" i="66"/>
  <c r="F14" i="66"/>
  <c r="D15" i="66"/>
  <c r="E15" i="66"/>
  <c r="F15" i="66"/>
  <c r="D16" i="66"/>
  <c r="E16" i="66"/>
  <c r="F16" i="66"/>
  <c r="D17" i="66"/>
  <c r="E17" i="66"/>
  <c r="F17" i="66"/>
  <c r="D18" i="66"/>
  <c r="E18" i="66"/>
  <c r="F18" i="66"/>
  <c r="E13" i="66"/>
  <c r="F13" i="66"/>
  <c r="D13" i="66"/>
  <c r="F7" i="66"/>
  <c r="CC38" i="61" l="1"/>
  <c r="CC39" i="61" s="1"/>
  <c r="CC40" i="61" s="1"/>
  <c r="CC41" i="61" s="1"/>
  <c r="CC42" i="61" s="1"/>
  <c r="CC43" i="61" s="1"/>
  <c r="CC44" i="61" s="1"/>
  <c r="CC45" i="61" s="1"/>
  <c r="CC46" i="61" s="1"/>
  <c r="CC47" i="61" s="1"/>
  <c r="CC48" i="61" s="1"/>
  <c r="CC49" i="61" s="1"/>
  <c r="CC50" i="61" s="1"/>
  <c r="CC51" i="61" s="1"/>
  <c r="CC52" i="61" s="1"/>
  <c r="CC53" i="61" s="1"/>
  <c r="CC54" i="61" s="1"/>
  <c r="CC55" i="61" s="1"/>
  <c r="CC56" i="61" s="1"/>
  <c r="CC57" i="61" s="1"/>
  <c r="CC58" i="61" s="1"/>
  <c r="CC59" i="61" s="1"/>
  <c r="CC60" i="61" s="1"/>
  <c r="CC61" i="61" s="1"/>
  <c r="CC62" i="61" s="1"/>
  <c r="CC63" i="61" s="1"/>
  <c r="CC64" i="61" s="1"/>
  <c r="CC65" i="61" s="1"/>
  <c r="CC66" i="61" s="1"/>
  <c r="CC67" i="61" s="1"/>
  <c r="BM8" i="61" l="1"/>
  <c r="BV6" i="61"/>
  <c r="BV8" i="61" s="1"/>
  <c r="BU6" i="61"/>
  <c r="BU8" i="61" s="1"/>
  <c r="BT6" i="61"/>
  <c r="BT8" i="61" s="1"/>
  <c r="BS6" i="61"/>
  <c r="BS8" i="61" s="1"/>
  <c r="BR6" i="61"/>
  <c r="BR8" i="61" s="1"/>
  <c r="BQ6" i="61"/>
  <c r="BQ8" i="61" s="1"/>
  <c r="BP6" i="61"/>
  <c r="BP8" i="61" s="1"/>
  <c r="BO6" i="61"/>
  <c r="BO8" i="61" s="1"/>
  <c r="BN6" i="61"/>
  <c r="BN8" i="61" s="1"/>
  <c r="BM4" i="61" l="1"/>
  <c r="V9" i="58"/>
  <c r="BV4" i="61"/>
  <c r="BU4" i="61"/>
  <c r="BT4" i="61"/>
  <c r="BS4" i="61"/>
  <c r="BR4" i="61"/>
  <c r="BQ4" i="61"/>
  <c r="BP4" i="61"/>
  <c r="BO4" i="61"/>
  <c r="BN4" i="61"/>
</calcChain>
</file>

<file path=xl/sharedStrings.xml><?xml version="1.0" encoding="utf-8"?>
<sst xmlns="http://schemas.openxmlformats.org/spreadsheetml/2006/main" count="484" uniqueCount="265">
  <si>
    <t>SIMPLE</t>
  </si>
  <si>
    <t>ESTRUCTURA DEL PAVIMENTO</t>
  </si>
  <si>
    <t>No. CAPA</t>
  </si>
  <si>
    <t>CONVENCIÓN</t>
  </si>
  <si>
    <t>A</t>
  </si>
  <si>
    <t>B</t>
  </si>
  <si>
    <t>C</t>
  </si>
  <si>
    <t>D</t>
  </si>
  <si>
    <t>E</t>
  </si>
  <si>
    <t>ν</t>
  </si>
  <si>
    <t>TANDEM</t>
  </si>
  <si>
    <t>TRIDEM</t>
  </si>
  <si>
    <t>LLANTA 2</t>
  </si>
  <si>
    <t>LLANTA 1</t>
  </si>
  <si>
    <t>LLANTA 3</t>
  </si>
  <si>
    <t>LLANTA 4</t>
  </si>
  <si>
    <t>LLANTA 5</t>
  </si>
  <si>
    <t>LLANTA 6</t>
  </si>
  <si>
    <t>ESPESOR (cm)</t>
  </si>
  <si>
    <t>ESPESOR PARCIAL EQUIVALENTE (cm)</t>
  </si>
  <si>
    <t>ESPESOR EQUIVALENTE DE CAPA i (cm)</t>
  </si>
  <si>
    <t>X  (cm) =</t>
  </si>
  <si>
    <t>Y  (cm) =</t>
  </si>
  <si>
    <t>S (cm) =</t>
  </si>
  <si>
    <t>D (cm) =</t>
  </si>
  <si>
    <t>Tipo de eje:</t>
  </si>
  <si>
    <t>Peso del eje (Ton) =</t>
  </si>
  <si>
    <t>CARPETA</t>
  </si>
  <si>
    <t>BASE</t>
  </si>
  <si>
    <t>SENCILLO</t>
  </si>
  <si>
    <t>CARGA PROMEDIO (Ton)</t>
  </si>
  <si>
    <t>DUAL</t>
  </si>
  <si>
    <t>C2</t>
  </si>
  <si>
    <t>C3</t>
  </si>
  <si>
    <t>T3-S2</t>
  </si>
  <si>
    <t>T3-S3</t>
  </si>
  <si>
    <t>T3-S2-R4</t>
  </si>
  <si>
    <t>CLASIFICACIÓN VEHICULAR (%)</t>
  </si>
  <si>
    <t>HORIZONTE DE PROYECTO</t>
  </si>
  <si>
    <t>Tasa crecimiento (%) =</t>
  </si>
  <si>
    <t>SENTIDO (FDS) =</t>
  </si>
  <si>
    <t>CARRIL (FDC) =</t>
  </si>
  <si>
    <t>MODELO DE DETERIORO</t>
  </si>
  <si>
    <t>TRRL, U.K.</t>
  </si>
  <si>
    <t>FATIGA:</t>
  </si>
  <si>
    <t>DEFORMACIÓN PERMANENTE:</t>
  </si>
  <si>
    <t>DUAL  (EJES/AÑO)</t>
  </si>
  <si>
    <t>TANDEM  (EJES/AÑO)</t>
  </si>
  <si>
    <t>TRIDEM  (EJES/AÑO)</t>
  </si>
  <si>
    <t>RESPUESTA EJE DUAL</t>
  </si>
  <si>
    <t>RESPUESTA EJE TANDEM</t>
  </si>
  <si>
    <t>RESPUESTA EJE TRIDEM</t>
  </si>
  <si>
    <t>W1</t>
  </si>
  <si>
    <t>W2</t>
  </si>
  <si>
    <t>W3</t>
  </si>
  <si>
    <t>r/a</t>
  </si>
  <si>
    <t>z/a</t>
  </si>
  <si>
    <t>H</t>
  </si>
  <si>
    <t>V</t>
  </si>
  <si>
    <t>T.N.</t>
  </si>
  <si>
    <t>ESPECTRO DE REPETICIONES ESPERADAS (n)</t>
  </si>
  <si>
    <t>DEFORMACIÓN</t>
  </si>
  <si>
    <t>FATIGA</t>
  </si>
  <si>
    <t>PERSONALIZADO</t>
  </si>
  <si>
    <t>SIMPLE  (EJES/AÑO)</t>
  </si>
  <si>
    <t>RESPUESTA EJE SIMPLE</t>
  </si>
  <si>
    <t>FACTOR</t>
  </si>
  <si>
    <t>PARÁMETROS DE DISTRIBUCIÓN DE CARGA</t>
  </si>
  <si>
    <t>Factor E. Vertical</t>
  </si>
  <si>
    <t>Factor E. Radial</t>
  </si>
  <si>
    <t>Factor E Tangencial</t>
  </si>
  <si>
    <t>TODOS</t>
  </si>
  <si>
    <t>CONDICIONES DE CARGA (CC)</t>
  </si>
  <si>
    <t>Presión de inflado (psi)</t>
  </si>
  <si>
    <t>NIVEL DE CARGA</t>
  </si>
  <si>
    <t>Es</t>
  </si>
  <si>
    <t>LEGAL</t>
  </si>
  <si>
    <t>Espesor (cm)</t>
  </si>
  <si>
    <t>BAJA</t>
  </si>
  <si>
    <r>
      <t>DEFORMACIÓN POR TENSIÓN         ε</t>
    </r>
    <r>
      <rPr>
        <vertAlign val="subscript"/>
        <sz val="10"/>
        <rFont val="Calibri"/>
        <family val="2"/>
        <scheme val="minor"/>
      </rPr>
      <t>t</t>
    </r>
    <r>
      <rPr>
        <sz val="10"/>
        <rFont val="Calibri"/>
        <family val="2"/>
        <scheme val="minor"/>
      </rPr>
      <t xml:space="preserve"> </t>
    </r>
  </si>
  <si>
    <r>
      <t>DEFORMACIÓN VERTICAL     ε</t>
    </r>
    <r>
      <rPr>
        <vertAlign val="subscript"/>
        <sz val="10"/>
        <rFont val="Calibri"/>
        <family val="2"/>
        <scheme val="minor"/>
      </rPr>
      <t>z</t>
    </r>
    <r>
      <rPr>
        <sz val="10"/>
        <rFont val="Calibri"/>
        <family val="2"/>
        <scheme val="minor"/>
      </rPr>
      <t xml:space="preserve"> </t>
    </r>
  </si>
  <si>
    <r>
      <t>ESFUERZO CORTANTE xz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</si>
  <si>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CORTANTE yz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</si>
  <si>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CORTANTE rz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</si>
  <si>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CORTANTE xy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</si>
  <si>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NORMAL y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</si>
  <si>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NORMAL x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</si>
  <si>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DEFLEXIÓN TOTAL d</t>
    </r>
    <r>
      <rPr>
        <vertAlign val="subscript"/>
        <sz val="10"/>
        <rFont val="Calibri"/>
        <family val="2"/>
        <scheme val="minor"/>
      </rPr>
      <t>z</t>
    </r>
    <r>
      <rPr>
        <sz val="10"/>
        <rFont val="Calibri"/>
        <family val="2"/>
        <scheme val="minor"/>
      </rPr>
      <t xml:space="preserve"> (mm)</t>
    </r>
  </si>
  <si>
    <r>
      <t>Iésima DEFLEXIÓN d</t>
    </r>
    <r>
      <rPr>
        <vertAlign val="subscript"/>
        <sz val="10"/>
        <rFont val="Calibri"/>
        <family val="2"/>
        <scheme val="minor"/>
      </rPr>
      <t>zi</t>
    </r>
    <r>
      <rPr>
        <sz val="10"/>
        <rFont val="Calibri"/>
        <family val="2"/>
        <scheme val="minor"/>
      </rPr>
      <t xml:space="preserve"> (mm)</t>
    </r>
  </si>
  <si>
    <r>
      <t>DEFORMACIÓN TANGENCIAL         ε</t>
    </r>
    <r>
      <rPr>
        <vertAlign val="subscript"/>
        <sz val="10"/>
        <rFont val="Calibri"/>
        <family val="2"/>
        <scheme val="minor"/>
      </rPr>
      <t>θ</t>
    </r>
  </si>
  <si>
    <r>
      <t>DEFORMACIÓN RADIAL         ε</t>
    </r>
    <r>
      <rPr>
        <vertAlign val="subscript"/>
        <sz val="10"/>
        <rFont val="Calibri"/>
        <family val="2"/>
        <scheme val="minor"/>
      </rPr>
      <t>r</t>
    </r>
    <r>
      <rPr>
        <sz val="10"/>
        <rFont val="Calibri"/>
        <family val="2"/>
        <scheme val="minor"/>
      </rPr>
      <t xml:space="preserve"> </t>
    </r>
  </si>
  <si>
    <t xml:space="preserve">Numero de capas:  </t>
  </si>
  <si>
    <t>RCC</t>
  </si>
  <si>
    <t>punto analizado</t>
  </si>
  <si>
    <t xml:space="preserve">Ángulos hztales entre </t>
  </si>
  <si>
    <t>Distancia hztal</t>
  </si>
  <si>
    <t>"r" entre punto y</t>
  </si>
  <si>
    <t>llantas</t>
  </si>
  <si>
    <t>y llantas</t>
  </si>
  <si>
    <t>Distancia radial</t>
  </si>
  <si>
    <t xml:space="preserve">"R" entre punto y </t>
  </si>
  <si>
    <t xml:space="preserve">Distancia radial </t>
  </si>
  <si>
    <t>"R" entre punto y</t>
  </si>
  <si>
    <t>llantas (carpeta)</t>
  </si>
  <si>
    <t>llantas (subrasante)</t>
  </si>
  <si>
    <t>F_E_Vertical_ra_11</t>
  </si>
  <si>
    <t>F_E_Vertical_ra_12</t>
  </si>
  <si>
    <t>F_E_Vertical_ra_13</t>
  </si>
  <si>
    <t>F_E_Vertical_ra_14</t>
  </si>
  <si>
    <t>Peso Neum</t>
  </si>
  <si>
    <t>Módulo Elástico</t>
  </si>
  <si>
    <t>LLANTA</t>
  </si>
  <si>
    <t>INTERFAZ</t>
  </si>
  <si>
    <r>
      <t xml:space="preserve"> σ</t>
    </r>
    <r>
      <rPr>
        <b/>
        <vertAlign val="subscript"/>
        <sz val="10"/>
        <color theme="1"/>
        <rFont val="Calibri"/>
        <family val="2"/>
        <scheme val="minor"/>
      </rPr>
      <t>r</t>
    </r>
    <r>
      <rPr>
        <b/>
        <sz val="10"/>
        <color theme="1"/>
        <rFont val="Calibri"/>
        <family val="2"/>
        <scheme val="minor"/>
      </rPr>
      <t xml:space="preserve"> (Kpa) NEUMÁTICO</t>
    </r>
  </si>
  <si>
    <r>
      <t xml:space="preserve"> σ</t>
    </r>
    <r>
      <rPr>
        <b/>
        <vertAlign val="subscript"/>
        <sz val="10"/>
        <color theme="1"/>
        <rFont val="Calibri"/>
        <family val="2"/>
      </rPr>
      <t>θ</t>
    </r>
    <r>
      <rPr>
        <b/>
        <sz val="10"/>
        <color theme="1"/>
        <rFont val="Calibri"/>
        <family val="2"/>
        <scheme val="minor"/>
      </rPr>
      <t xml:space="preserve"> (Kpa) NEUMÁTICO</t>
    </r>
  </si>
  <si>
    <t>Relación de Poisson, general:</t>
  </si>
  <si>
    <t>SENCILLO DUAL</t>
  </si>
  <si>
    <r>
      <t>ESFUERZO VERTICAL σ</t>
    </r>
    <r>
      <rPr>
        <vertAlign val="subscript"/>
        <sz val="10"/>
        <rFont val="Calibri"/>
        <family val="2"/>
        <scheme val="minor"/>
      </rPr>
      <t xml:space="preserve">z  </t>
    </r>
    <r>
      <rPr>
        <sz val="10"/>
        <rFont val="Calibri"/>
        <family val="2"/>
        <scheme val="minor"/>
      </rPr>
      <t>(Kpa)</t>
    </r>
  </si>
  <si>
    <r>
      <t>ESFUERZO RADIAL     σ</t>
    </r>
    <r>
      <rPr>
        <vertAlign val="subscript"/>
        <sz val="10"/>
        <rFont val="Calibri"/>
        <family val="2"/>
        <scheme val="minor"/>
      </rPr>
      <t xml:space="preserve">r  </t>
    </r>
    <r>
      <rPr>
        <sz val="10"/>
        <rFont val="Calibri"/>
        <family val="2"/>
        <scheme val="minor"/>
      </rPr>
      <t>(Kpa)</t>
    </r>
  </si>
  <si>
    <r>
      <t>ESFUERZO TANGENCIAL σ</t>
    </r>
    <r>
      <rPr>
        <vertAlign val="subscript"/>
        <sz val="11"/>
        <rFont val="Calibri"/>
        <family val="2"/>
        <scheme val="minor"/>
      </rPr>
      <t xml:space="preserve">θ 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</si>
  <si>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t xml:space="preserve"> σz              CAPA 1   (Kpa)</t>
  </si>
  <si>
    <t xml:space="preserve"> σz TERRACERÍA  (Kpa)</t>
  </si>
  <si>
    <t>εz         TERRACERÍA</t>
  </si>
  <si>
    <t>εt         CAPA 1</t>
  </si>
  <si>
    <t>DEFLEXIÓN VERTICAL dz (mm)</t>
  </si>
  <si>
    <t>M1</t>
  </si>
  <si>
    <t>M2</t>
  </si>
  <si>
    <t>M3</t>
  </si>
  <si>
    <t>S1</t>
  </si>
  <si>
    <t>S2</t>
  </si>
  <si>
    <t>S3</t>
  </si>
  <si>
    <t>SOBRE-CARGA</t>
  </si>
  <si>
    <t>ALTA SOBRE-CARGA</t>
  </si>
  <si>
    <r>
      <t xml:space="preserve"> </t>
    </r>
    <r>
      <rPr>
        <sz val="12"/>
        <color theme="0"/>
        <rFont val="Calibri"/>
        <family val="2"/>
        <scheme val="minor"/>
      </rPr>
      <t>σ</t>
    </r>
    <r>
      <rPr>
        <vertAlign val="subscript"/>
        <sz val="12"/>
        <color theme="0"/>
        <rFont val="Calibri"/>
        <family val="2"/>
        <scheme val="minor"/>
      </rPr>
      <t>z</t>
    </r>
    <r>
      <rPr>
        <sz val="12"/>
        <color theme="0"/>
        <rFont val="Calibri"/>
        <family val="2"/>
        <scheme val="minor"/>
      </rPr>
      <t xml:space="preserve"> capa 1   (Kpa)</t>
    </r>
  </si>
  <si>
    <t>εt   CAPA 1</t>
  </si>
  <si>
    <t>Volumen de tránsito para el horizonte de proyecto</t>
  </si>
  <si>
    <t>Porcentaje representativo %</t>
  </si>
  <si>
    <t>Num de repeticiones promedio (Ejes/Año)</t>
  </si>
  <si>
    <t>Vida (años) =</t>
  </si>
  <si>
    <t>Suma</t>
  </si>
  <si>
    <t>B3</t>
  </si>
  <si>
    <t xml:space="preserve"> Deformación (n/Nd)</t>
  </si>
  <si>
    <t xml:space="preserve"> Fatiga (n/Nf)</t>
  </si>
  <si>
    <t xml:space="preserve"> Deformación (Nd)</t>
  </si>
  <si>
    <t xml:space="preserve"> Fatiga (Nf)</t>
  </si>
  <si>
    <t>DEFORMACIÓN TODOS</t>
  </si>
  <si>
    <t>FATIGA TODOS</t>
  </si>
  <si>
    <t>SUBBASE</t>
  </si>
  <si>
    <t>NumCapa</t>
  </si>
  <si>
    <t>No. Capa</t>
  </si>
  <si>
    <t>Nombre Capa</t>
  </si>
  <si>
    <t>vida por fatiga (años)</t>
  </si>
  <si>
    <t>vida por deformación (años)</t>
  </si>
  <si>
    <t>MODELO DETERIORO FATIGA</t>
  </si>
  <si>
    <t>MOD. DETERIORO DEF. PERMANENTE</t>
  </si>
  <si>
    <t>ASPHALT INSTITUTE</t>
  </si>
  <si>
    <t>SHELL</t>
  </si>
  <si>
    <t>SHELL 50%</t>
  </si>
  <si>
    <t>ILLINOIS DOT, USA</t>
  </si>
  <si>
    <t>SHELL 85%</t>
  </si>
  <si>
    <t>SHELL 95%</t>
  </si>
  <si>
    <t>BRRC, BÉLGICA</t>
  </si>
  <si>
    <t>presión inflado (psi)</t>
  </si>
  <si>
    <t>Dato</t>
  </si>
  <si>
    <t>FACTOR DE DISTRIBUCIÓN POR:</t>
  </si>
  <si>
    <t>Módulo (KPa)</t>
  </si>
  <si>
    <t>Deflexión (mm)</t>
  </si>
  <si>
    <t>Dimensiones</t>
  </si>
  <si>
    <t>Punto de análisis</t>
  </si>
  <si>
    <t>↓</t>
  </si>
  <si>
    <t>↔</t>
  </si>
  <si>
    <t>Carpeta</t>
  </si>
  <si>
    <t>Base</t>
  </si>
  <si>
    <t>Sub-base</t>
  </si>
  <si>
    <t xml:space="preserve">Terreno Natural </t>
  </si>
  <si>
    <t>Δv</t>
  </si>
  <si>
    <t>Módulo de Poisson Global</t>
  </si>
  <si>
    <t>B2</t>
  </si>
  <si>
    <t>Módulo (MPa)</t>
  </si>
  <si>
    <t>Sactivo</t>
  </si>
  <si>
    <t>Tactivo</t>
  </si>
  <si>
    <t>Tractivo</t>
  </si>
  <si>
    <t>SDactivo</t>
  </si>
  <si>
    <t>Legal activo</t>
  </si>
  <si>
    <t>TDPA</t>
  </si>
  <si>
    <t>FDS</t>
  </si>
  <si>
    <t>FDC</t>
  </si>
  <si>
    <t>TASA</t>
  </si>
  <si>
    <t>AÑOS</t>
  </si>
  <si>
    <t>T3S2</t>
  </si>
  <si>
    <t>T3S3</t>
  </si>
  <si>
    <t>T3S2R4</t>
  </si>
  <si>
    <t>TDPA (veh/dia)</t>
  </si>
  <si>
    <t>0.5</t>
  </si>
  <si>
    <t>Otros</t>
  </si>
  <si>
    <t xml:space="preserve">Def. tensión  εt </t>
  </si>
  <si>
    <t xml:space="preserve">Def. compresión  εc </t>
  </si>
  <si>
    <t>base</t>
  </si>
  <si>
    <t>σt (kpa)</t>
  </si>
  <si>
    <t>σz (kpa)</t>
  </si>
  <si>
    <t xml:space="preserve"> </t>
  </si>
  <si>
    <t>Espectral</t>
  </si>
  <si>
    <t>Subbase</t>
  </si>
  <si>
    <t>0.18</t>
  </si>
  <si>
    <t>0.21</t>
  </si>
  <si>
    <t>0.29</t>
  </si>
  <si>
    <t>0.31</t>
  </si>
  <si>
    <t>3.0990</t>
  </si>
  <si>
    <t>0.0265</t>
  </si>
  <si>
    <t>0.36</t>
  </si>
  <si>
    <t>0.02</t>
  </si>
  <si>
    <t>3.412</t>
  </si>
  <si>
    <t>3.5382</t>
  </si>
  <si>
    <t>3.4904</t>
  </si>
  <si>
    <t>0.0680</t>
  </si>
  <si>
    <t>0.0007</t>
  </si>
  <si>
    <t>0.0165</t>
  </si>
  <si>
    <t>0.62</t>
  </si>
  <si>
    <t>0.50</t>
  </si>
  <si>
    <t>0.32</t>
  </si>
  <si>
    <t>1.7851</t>
  </si>
  <si>
    <t>1.7739</t>
  </si>
  <si>
    <t>1.6700</t>
  </si>
  <si>
    <t>0.0469</t>
  </si>
  <si>
    <t>0.0000</t>
  </si>
  <si>
    <t>0.1668</t>
  </si>
  <si>
    <t>2.000</t>
  </si>
  <si>
    <t>2.2942</t>
  </si>
  <si>
    <t>2.4042</t>
  </si>
  <si>
    <t>0.000</t>
  </si>
  <si>
    <t>0.1220</t>
  </si>
  <si>
    <t>0.0321</t>
  </si>
  <si>
    <t>0.12</t>
  </si>
  <si>
    <t>0.57</t>
  </si>
  <si>
    <t>4.7158</t>
  </si>
  <si>
    <t>2.9961</t>
  </si>
  <si>
    <t>1.6072</t>
  </si>
  <si>
    <t>0.0817</t>
  </si>
  <si>
    <t>carpeta</t>
  </si>
  <si>
    <t>E1</t>
  </si>
  <si>
    <t>E2</t>
  </si>
  <si>
    <t>E3</t>
  </si>
  <si>
    <t>E4</t>
  </si>
  <si>
    <t>E5</t>
  </si>
  <si>
    <t>E6</t>
  </si>
  <si>
    <t>Vf</t>
  </si>
  <si>
    <t>Vd</t>
  </si>
  <si>
    <t>Vf^2</t>
  </si>
  <si>
    <t>V^2</t>
  </si>
  <si>
    <t>Coef. de variación,%</t>
  </si>
  <si>
    <t>Confiabilidad</t>
  </si>
  <si>
    <t>CONFIABILIDAD</t>
  </si>
  <si>
    <t xml:space="preserve">20		</t>
  </si>
  <si>
    <t xml:space="preserve">0,5			</t>
  </si>
  <si>
    <t>0,000000000166</t>
  </si>
  <si>
    <t>4,32</t>
  </si>
  <si>
    <t xml:space="preserve"> &gt; 20</t>
  </si>
  <si>
    <r>
      <t xml:space="preserve">Def. tensión  </t>
    </r>
    <r>
      <rPr>
        <sz val="13"/>
        <rFont val="Calibri"/>
        <family val="2"/>
        <scheme val="minor"/>
      </rPr>
      <t>ε</t>
    </r>
    <r>
      <rPr>
        <vertAlign val="subscript"/>
        <sz val="11"/>
        <rFont val="Calibri"/>
        <family val="2"/>
        <scheme val="minor"/>
      </rPr>
      <t>t</t>
    </r>
    <r>
      <rPr>
        <sz val="11"/>
        <rFont val="Calibri"/>
        <family val="2"/>
        <scheme val="minor"/>
      </rPr>
      <t xml:space="preserve"> </t>
    </r>
  </si>
  <si>
    <r>
      <t xml:space="preserve">Def. compresión  </t>
    </r>
    <r>
      <rPr>
        <sz val="13"/>
        <rFont val="Calibri"/>
        <family val="2"/>
        <scheme val="minor"/>
      </rPr>
      <t>ε</t>
    </r>
    <r>
      <rPr>
        <vertAlign val="subscript"/>
        <sz val="11"/>
        <rFont val="Calibri"/>
        <family val="2"/>
        <scheme val="minor"/>
      </rPr>
      <t>c</t>
    </r>
    <r>
      <rPr>
        <sz val="11"/>
        <rFont val="Calibri"/>
        <family val="2"/>
        <scheme val="minor"/>
      </rPr>
      <t xml:space="preserve"> </t>
    </r>
  </si>
  <si>
    <r>
      <t>σ</t>
    </r>
    <r>
      <rPr>
        <vertAlign val="subscript"/>
        <sz val="11"/>
        <rFont val="Calibri"/>
        <family val="2"/>
      </rPr>
      <t xml:space="preserve">t </t>
    </r>
    <r>
      <rPr>
        <sz val="11"/>
        <rFont val="Calibri"/>
        <family val="2"/>
      </rPr>
      <t>(kpa)</t>
    </r>
  </si>
  <si>
    <r>
      <t>σ</t>
    </r>
    <r>
      <rPr>
        <vertAlign val="subscript"/>
        <sz val="11"/>
        <rFont val="Calibri"/>
        <family val="2"/>
      </rPr>
      <t xml:space="preserve">z </t>
    </r>
    <r>
      <rPr>
        <sz val="11"/>
        <rFont val="Calibri"/>
        <family val="2"/>
      </rPr>
      <t>(kpa)</t>
    </r>
  </si>
  <si>
    <t>espectral</t>
  </si>
  <si>
    <t>ESPECTRAL</t>
  </si>
  <si>
    <t xml:space="preserve">500	</t>
  </si>
  <si>
    <t>Sencillo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</si>
</sst>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* #,##0.00_);_(* \(#,##0.00\);_(* &quot;-&quot;??_);_(@_)"/>
    <numFmt numFmtId="165" formatCode="0.0000"/>
    <numFmt numFmtId="166" formatCode="0.00000"/>
    <numFmt numFmtId="167" formatCode="0.000"/>
    <numFmt numFmtId="168" formatCode="0.0"/>
    <numFmt numFmtId="169" formatCode="0.000E+00"/>
    <numFmt numFmtId="170" formatCode="_-* #,##0_-;\-* #,##0_-;_-* &quot;-&quot;??_-;_-@_-"/>
    <numFmt numFmtId="171" formatCode="000\ E+00"/>
  </numFmts>
  <fonts count="68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Simplified Arabic Fixed"/>
      <family val="3"/>
      <charset val="178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.5"/>
      <color theme="1"/>
      <name val="Arial Narrow"/>
      <family val="2"/>
    </font>
    <font>
      <sz val="10"/>
      <color theme="1"/>
      <name val="Simplified Arabic Fixed"/>
      <family val="3"/>
      <charset val="178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FF0000"/>
      <name val="Simplified Arabic Fixed"/>
      <family val="3"/>
      <charset val="178"/>
    </font>
    <font>
      <sz val="11"/>
      <color theme="3"/>
      <name val="Simplified Arabic Fixed"/>
      <family val="3"/>
      <charset val="178"/>
    </font>
    <font>
      <sz val="11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name val="Calibri"/>
      <family val="2"/>
      <scheme val="minor"/>
    </font>
    <font>
      <sz val="11"/>
      <name val="Simplified Arabic Fixed"/>
      <family val="3"/>
      <charset val="178"/>
    </font>
    <font>
      <sz val="10"/>
      <name val="Arial"/>
      <family val="2"/>
    </font>
    <font>
      <sz val="10"/>
      <color indexed="12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3"/>
      <name val="Simplified Arabic Fixed"/>
      <family val="3"/>
      <charset val="178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name val="Calibri"/>
      <family val="2"/>
      <scheme val="minor"/>
    </font>
    <font>
      <b/>
      <sz val="15"/>
      <color rgb="FFFF0000"/>
      <name val="Calibri"/>
      <family val="2"/>
      <scheme val="minor"/>
    </font>
    <font>
      <b/>
      <sz val="15"/>
      <color rgb="FF00B050"/>
      <name val="Calibri"/>
      <family val="2"/>
      <scheme val="minor"/>
    </font>
    <font>
      <b/>
      <sz val="15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vertAlign val="subscript"/>
      <sz val="10"/>
      <name val="Calibri"/>
      <family val="2"/>
      <scheme val="minor"/>
    </font>
    <font>
      <sz val="8"/>
      <color theme="5" tint="-0.249977111117893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vertAlign val="subscript"/>
      <sz val="10"/>
      <color theme="1"/>
      <name val="Calibri"/>
      <family val="2"/>
      <scheme val="minor"/>
    </font>
    <font>
      <b/>
      <vertAlign val="subscript"/>
      <sz val="10"/>
      <color theme="1"/>
      <name val="Calibri"/>
      <family val="2"/>
    </font>
    <font>
      <vertAlign val="subscript"/>
      <sz val="11"/>
      <name val="Calibri"/>
      <family val="2"/>
      <scheme val="minor"/>
    </font>
    <font>
      <sz val="12"/>
      <color theme="0"/>
      <name val="Calibri"/>
      <family val="2"/>
      <scheme val="minor"/>
    </font>
    <font>
      <vertAlign val="subscript"/>
      <sz val="12"/>
      <color theme="0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0"/>
      <color theme="0"/>
      <name val="Arial Narrow"/>
      <family val="2"/>
    </font>
    <font>
      <sz val="10"/>
      <color rgb="FFFF0000"/>
      <name val="Simplified Arabic Fixed"/>
      <family val="3"/>
      <charset val="178"/>
    </font>
    <font>
      <b/>
      <sz val="10"/>
      <name val="Arial Narrow"/>
      <family val="2"/>
    </font>
    <font>
      <b/>
      <sz val="11"/>
      <color theme="9" tint="-0.249977111117893"/>
      <name val="Calibri"/>
      <family val="2"/>
      <scheme val="minor"/>
    </font>
    <font>
      <b/>
      <sz val="12"/>
      <color theme="9" tint="-0.249977111117893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</font>
    <font>
      <sz val="11"/>
      <color theme="2" tint="-0.499984740745262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b/>
      <sz val="14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4" tint="0.79998168889431442"/>
      <name val="Calibri"/>
      <family val="2"/>
      <scheme val="minor"/>
    </font>
    <font>
      <b/>
      <sz val="11"/>
      <name val="Calibri"/>
      <family val="2"/>
    </font>
    <font>
      <sz val="14"/>
      <name val="Calibri"/>
      <family val="2"/>
      <scheme val="minor"/>
    </font>
    <font>
      <sz val="13"/>
      <name val="Calibri"/>
      <family val="2"/>
      <scheme val="minor"/>
    </font>
    <font>
      <b/>
      <sz val="11"/>
      <name val="Arial Narrow"/>
      <family val="2"/>
    </font>
    <font>
      <sz val="11"/>
      <name val="Calibri"/>
      <family val="2"/>
    </font>
    <font>
      <vertAlign val="subscript"/>
      <sz val="11"/>
      <name val="Calibri"/>
      <family val="2"/>
    </font>
    <font>
      <sz val="11"/>
      <name val="Tahoma"/>
      <family val="2"/>
    </font>
    <font>
      <b/>
      <sz val="10.5"/>
      <name val="Arial Narrow"/>
      <family val="2"/>
    </font>
    <font>
      <b/>
      <sz val="10.5"/>
      <name val="Tahoma"/>
      <family val="2"/>
    </font>
    <font>
      <sz val="10"/>
      <name val="Simplified Arabic Fixed"/>
      <family val="3"/>
      <charset val="178"/>
    </font>
    <font>
      <sz val="15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F6FABE"/>
        <bgColor indexed="64"/>
      </patternFill>
    </fill>
    <fill>
      <patternFill patternType="solid">
        <fgColor rgb="FF7EC234"/>
        <bgColor indexed="64"/>
      </patternFill>
    </fill>
    <fill>
      <patternFill patternType="solid">
        <fgColor rgb="FFF5E14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7F3BF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888888"/>
        <bgColor indexed="64"/>
      </patternFill>
    </fill>
    <fill>
      <patternFill patternType="solid">
        <fgColor rgb="FFC5AB63"/>
        <bgColor indexed="64"/>
      </patternFill>
    </fill>
    <fill>
      <patternFill patternType="solid">
        <fgColor rgb="FF8C6B28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888888"/>
      </left>
      <right style="thin">
        <color rgb="FF888888"/>
      </right>
      <top style="thin">
        <color rgb="FF888888"/>
      </top>
      <bottom style="thin">
        <color rgb="FF888888"/>
      </bottom>
      <diagonal/>
    </border>
    <border>
      <left style="thin">
        <color rgb="FF888888"/>
      </left>
      <right style="thin">
        <color rgb="FF888888"/>
      </right>
      <top/>
      <bottom style="thin">
        <color rgb="FF888888"/>
      </bottom>
      <diagonal/>
    </border>
    <border>
      <left/>
      <right style="thin">
        <color rgb="FF888888"/>
      </right>
      <top style="thin">
        <color rgb="FF888888"/>
      </top>
      <bottom style="thin">
        <color rgb="FF888888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0" fontId="15" fillId="0" borderId="0"/>
    <xf numFmtId="9" fontId="55" fillId="0" borderId="0" applyFont="0" applyFill="0" applyBorder="0" applyAlignment="0" applyProtection="0"/>
  </cellStyleXfs>
  <cellXfs count="387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1" xfId="0" applyBorder="1"/>
    <xf numFmtId="167" fontId="2" fillId="0" borderId="0" xfId="0" applyNumberFormat="1" applyFont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2" fontId="10" fillId="0" borderId="1" xfId="0" applyNumberFormat="1" applyFont="1" applyBorder="1" applyAlignment="1">
      <alignment horizontal="center" vertical="center"/>
    </xf>
    <xf numFmtId="167" fontId="10" fillId="0" borderId="1" xfId="0" applyNumberFormat="1" applyFont="1" applyBorder="1" applyAlignment="1">
      <alignment horizontal="center" vertical="center"/>
    </xf>
    <xf numFmtId="166" fontId="10" fillId="0" borderId="1" xfId="0" applyNumberFormat="1" applyFont="1" applyBorder="1" applyAlignment="1">
      <alignment horizontal="center" vertical="center"/>
    </xf>
    <xf numFmtId="167" fontId="10" fillId="0" borderId="4" xfId="0" applyNumberFormat="1" applyFont="1" applyBorder="1" applyAlignment="1">
      <alignment horizontal="center" vertical="center"/>
    </xf>
    <xf numFmtId="167" fontId="9" fillId="0" borderId="4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/>
    </xf>
    <xf numFmtId="0" fontId="3" fillId="0" borderId="0" xfId="0" applyFont="1"/>
    <xf numFmtId="169" fontId="10" fillId="0" borderId="1" xfId="0" applyNumberFormat="1" applyFont="1" applyBorder="1" applyAlignment="1">
      <alignment horizontal="center" vertical="center"/>
    </xf>
    <xf numFmtId="0" fontId="0" fillId="0" borderId="8" xfId="0" applyBorder="1"/>
    <xf numFmtId="0" fontId="6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 vertical="center"/>
    </xf>
    <xf numFmtId="0" fontId="17" fillId="6" borderId="6" xfId="0" applyFont="1" applyFill="1" applyBorder="1" applyAlignment="1">
      <alignment horizontal="center" vertical="center" wrapText="1"/>
    </xf>
    <xf numFmtId="0" fontId="17" fillId="6" borderId="3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165" fontId="0" fillId="0" borderId="0" xfId="0" applyNumberFormat="1"/>
    <xf numFmtId="2" fontId="0" fillId="0" borderId="0" xfId="0" applyNumberFormat="1"/>
    <xf numFmtId="167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17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0" fillId="2" borderId="23" xfId="0" applyFill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6" fillId="0" borderId="26" xfId="0" applyFont="1" applyBorder="1" applyAlignment="1">
      <alignment horizontal="center" vertical="center"/>
    </xf>
    <xf numFmtId="0" fontId="26" fillId="0" borderId="27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66" fontId="0" fillId="0" borderId="3" xfId="0" applyNumberFormat="1" applyBorder="1" applyAlignment="1">
      <alignment horizontal="center" vertical="center"/>
    </xf>
    <xf numFmtId="0" fontId="0" fillId="9" borderId="3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166" fontId="0" fillId="5" borderId="3" xfId="0" applyNumberFormat="1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0" fillId="8" borderId="19" xfId="0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1" fillId="10" borderId="11" xfId="0" applyFont="1" applyFill="1" applyBorder="1" applyAlignment="1">
      <alignment horizontal="center" vertical="center"/>
    </xf>
    <xf numFmtId="0" fontId="0" fillId="10" borderId="29" xfId="0" applyFill="1" applyBorder="1" applyAlignment="1">
      <alignment horizontal="center" vertical="center"/>
    </xf>
    <xf numFmtId="0" fontId="1" fillId="0" borderId="34" xfId="0" applyFont="1" applyBorder="1" applyAlignment="1">
      <alignment horizontal="center" vertical="center"/>
    </xf>
    <xf numFmtId="0" fontId="1" fillId="0" borderId="35" xfId="0" applyFont="1" applyBorder="1" applyAlignment="1">
      <alignment horizontal="center" vertical="center"/>
    </xf>
    <xf numFmtId="0" fontId="21" fillId="0" borderId="20" xfId="0" applyFont="1" applyBorder="1" applyAlignment="1">
      <alignment horizontal="center" vertical="center"/>
    </xf>
    <xf numFmtId="0" fontId="21" fillId="0" borderId="21" xfId="0" applyFont="1" applyBorder="1" applyAlignment="1">
      <alignment horizontal="center" vertical="center"/>
    </xf>
    <xf numFmtId="0" fontId="1" fillId="0" borderId="36" xfId="0" applyFont="1" applyBorder="1" applyAlignment="1">
      <alignment horizontal="center" vertical="center"/>
    </xf>
    <xf numFmtId="0" fontId="21" fillId="0" borderId="37" xfId="0" applyFont="1" applyBorder="1" applyAlignment="1">
      <alignment horizontal="center" vertical="center"/>
    </xf>
    <xf numFmtId="0" fontId="21" fillId="0" borderId="38" xfId="0" applyFont="1" applyBorder="1" applyAlignment="1">
      <alignment horizontal="center" vertical="center"/>
    </xf>
    <xf numFmtId="0" fontId="21" fillId="0" borderId="39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21" fillId="0" borderId="18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0" borderId="13" xfId="0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40" xfId="0" applyBorder="1" applyAlignment="1">
      <alignment horizontal="center" vertical="center"/>
    </xf>
    <xf numFmtId="0" fontId="21" fillId="0" borderId="36" xfId="0" applyFont="1" applyBorder="1" applyAlignment="1">
      <alignment horizontal="center" vertical="center"/>
    </xf>
    <xf numFmtId="0" fontId="24" fillId="0" borderId="26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1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0" fillId="0" borderId="16" xfId="0" applyBorder="1"/>
    <xf numFmtId="168" fontId="16" fillId="0" borderId="0" xfId="1" applyNumberFormat="1" applyFont="1" applyAlignment="1">
      <alignment horizontal="center" vertical="center"/>
    </xf>
    <xf numFmtId="0" fontId="18" fillId="0" borderId="0" xfId="0" applyFont="1" applyAlignment="1">
      <alignment horizontal="center"/>
    </xf>
    <xf numFmtId="0" fontId="0" fillId="4" borderId="0" xfId="0" applyFill="1"/>
    <xf numFmtId="0" fontId="12" fillId="0" borderId="0" xfId="0" applyFont="1"/>
    <xf numFmtId="0" fontId="28" fillId="0" borderId="0" xfId="0" applyFont="1" applyAlignment="1">
      <alignment vertical="center"/>
    </xf>
    <xf numFmtId="0" fontId="30" fillId="0" borderId="0" xfId="0" applyFont="1"/>
    <xf numFmtId="0" fontId="33" fillId="0" borderId="0" xfId="0" applyFont="1" applyAlignment="1">
      <alignment horizontal="center"/>
    </xf>
    <xf numFmtId="0" fontId="0" fillId="13" borderId="1" xfId="0" applyFill="1" applyBorder="1" applyAlignment="1">
      <alignment horizontal="center"/>
    </xf>
    <xf numFmtId="0" fontId="14" fillId="0" borderId="0" xfId="0" applyFont="1" applyAlignment="1">
      <alignment horizontal="center" vertical="center"/>
    </xf>
    <xf numFmtId="165" fontId="0" fillId="0" borderId="1" xfId="0" applyNumberFormat="1" applyBorder="1"/>
    <xf numFmtId="0" fontId="0" fillId="0" borderId="7" xfId="0" applyBorder="1"/>
    <xf numFmtId="0" fontId="0" fillId="0" borderId="13" xfId="0" applyBorder="1"/>
    <xf numFmtId="0" fontId="30" fillId="0" borderId="0" xfId="0" applyFont="1" applyAlignment="1">
      <alignment vertical="center"/>
    </xf>
    <xf numFmtId="0" fontId="20" fillId="13" borderId="1" xfId="0" applyFont="1" applyFill="1" applyBorder="1" applyAlignment="1">
      <alignment horizontal="center"/>
    </xf>
    <xf numFmtId="0" fontId="35" fillId="2" borderId="4" xfId="0" applyFont="1" applyFill="1" applyBorder="1" applyAlignment="1">
      <alignment horizontal="center" vertical="center"/>
    </xf>
    <xf numFmtId="0" fontId="35" fillId="2" borderId="2" xfId="0" applyFont="1" applyFill="1" applyBorder="1" applyAlignment="1">
      <alignment horizontal="center" vertical="center"/>
    </xf>
    <xf numFmtId="0" fontId="0" fillId="0" borderId="14" xfId="0" applyBorder="1"/>
    <xf numFmtId="167" fontId="0" fillId="0" borderId="1" xfId="0" applyNumberFormat="1" applyBorder="1"/>
    <xf numFmtId="0" fontId="34" fillId="14" borderId="41" xfId="0" applyFont="1" applyFill="1" applyBorder="1" applyAlignment="1">
      <alignment horizontal="center"/>
    </xf>
    <xf numFmtId="0" fontId="34" fillId="14" borderId="9" xfId="0" applyFont="1" applyFill="1" applyBorder="1" applyAlignment="1">
      <alignment horizontal="center"/>
    </xf>
    <xf numFmtId="0" fontId="34" fillId="14" borderId="3" xfId="0" applyFont="1" applyFill="1" applyBorder="1" applyAlignment="1">
      <alignment horizontal="center"/>
    </xf>
    <xf numFmtId="0" fontId="30" fillId="14" borderId="1" xfId="0" applyFont="1" applyFill="1" applyBorder="1" applyAlignment="1">
      <alignment horizontal="center" vertical="center" wrapText="1"/>
    </xf>
    <xf numFmtId="0" fontId="30" fillId="14" borderId="1" xfId="0" applyFont="1" applyFill="1" applyBorder="1" applyAlignment="1">
      <alignment horizontal="left" vertical="center" wrapText="1"/>
    </xf>
    <xf numFmtId="0" fontId="31" fillId="14" borderId="1" xfId="0" applyFont="1" applyFill="1" applyBorder="1" applyAlignment="1">
      <alignment horizontal="center" vertical="center" wrapText="1"/>
    </xf>
    <xf numFmtId="0" fontId="31" fillId="14" borderId="1" xfId="0" applyFont="1" applyFill="1" applyBorder="1" applyAlignment="1">
      <alignment horizontal="center" vertical="center"/>
    </xf>
    <xf numFmtId="0" fontId="4" fillId="0" borderId="0" xfId="0" quotePrefix="1" applyFont="1"/>
    <xf numFmtId="167" fontId="0" fillId="0" borderId="0" xfId="0" applyNumberFormat="1" applyAlignment="1">
      <alignment horizontal="center"/>
    </xf>
    <xf numFmtId="169" fontId="3" fillId="0" borderId="1" xfId="0" applyNumberFormat="1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66" fontId="0" fillId="0" borderId="1" xfId="0" applyNumberFormat="1" applyBorder="1"/>
    <xf numFmtId="0" fontId="12" fillId="6" borderId="1" xfId="0" applyFont="1" applyFill="1" applyBorder="1" applyAlignment="1">
      <alignment horizontal="center" vertical="center" wrapText="1"/>
    </xf>
    <xf numFmtId="0" fontId="12" fillId="11" borderId="1" xfId="0" applyFont="1" applyFill="1" applyBorder="1" applyAlignment="1">
      <alignment horizontal="center" vertical="center" wrapText="1"/>
    </xf>
    <xf numFmtId="0" fontId="12" fillId="7" borderId="1" xfId="0" applyFont="1" applyFill="1" applyBorder="1" applyAlignment="1">
      <alignment horizontal="center" vertical="center" wrapText="1"/>
    </xf>
    <xf numFmtId="0" fontId="17" fillId="6" borderId="1" xfId="0" applyFont="1" applyFill="1" applyBorder="1" applyAlignment="1">
      <alignment horizontal="center" vertical="center" wrapText="1"/>
    </xf>
    <xf numFmtId="168" fontId="0" fillId="0" borderId="0" xfId="0" applyNumberFormat="1"/>
    <xf numFmtId="0" fontId="12" fillId="6" borderId="6" xfId="0" applyFont="1" applyFill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center" wrapText="1"/>
    </xf>
    <xf numFmtId="165" fontId="0" fillId="0" borderId="0" xfId="0" applyNumberFormat="1" applyAlignment="1">
      <alignment horizontal="left"/>
    </xf>
    <xf numFmtId="0" fontId="8" fillId="0" borderId="0" xfId="0" applyFont="1" applyAlignment="1">
      <alignment horizontal="center" vertical="center"/>
    </xf>
    <xf numFmtId="0" fontId="17" fillId="11" borderId="1" xfId="0" applyFont="1" applyFill="1" applyBorder="1" applyAlignment="1">
      <alignment horizontal="center" vertical="center" wrapText="1"/>
    </xf>
    <xf numFmtId="169" fontId="0" fillId="0" borderId="0" xfId="0" applyNumberFormat="1"/>
    <xf numFmtId="0" fontId="34" fillId="14" borderId="1" xfId="0" applyFont="1" applyFill="1" applyBorder="1" applyAlignment="1">
      <alignment horizontal="center"/>
    </xf>
    <xf numFmtId="0" fontId="29" fillId="12" borderId="4" xfId="0" applyFont="1" applyFill="1" applyBorder="1" applyAlignment="1">
      <alignment horizontal="center" vertical="center"/>
    </xf>
    <xf numFmtId="2" fontId="6" fillId="0" borderId="1" xfId="0" applyNumberFormat="1" applyFont="1" applyBorder="1" applyAlignment="1">
      <alignment horizont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center"/>
    </xf>
    <xf numFmtId="0" fontId="29" fillId="0" borderId="0" xfId="0" applyFont="1" applyAlignment="1">
      <alignment vertical="center"/>
    </xf>
    <xf numFmtId="0" fontId="29" fillId="0" borderId="0" xfId="0" applyFont="1" applyAlignment="1">
      <alignment horizontal="center" vertical="center"/>
    </xf>
    <xf numFmtId="170" fontId="43" fillId="0" borderId="0" xfId="1" applyNumberFormat="1" applyFont="1" applyAlignment="1">
      <alignment vertical="center"/>
    </xf>
    <xf numFmtId="168" fontId="43" fillId="0" borderId="0" xfId="1" applyNumberFormat="1" applyFont="1" applyAlignment="1">
      <alignment vertical="center"/>
    </xf>
    <xf numFmtId="0" fontId="8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3" fillId="0" borderId="42" xfId="1" applyNumberFormat="1" applyFont="1" applyBorder="1" applyAlignment="1">
      <alignment horizontal="center" vertical="center"/>
    </xf>
    <xf numFmtId="164" fontId="3" fillId="0" borderId="43" xfId="1" applyNumberFormat="1" applyFont="1" applyBorder="1" applyAlignment="1">
      <alignment horizontal="center" vertical="center"/>
    </xf>
    <xf numFmtId="0" fontId="0" fillId="0" borderId="46" xfId="0" applyBorder="1"/>
    <xf numFmtId="0" fontId="0" fillId="0" borderId="45" xfId="0" applyBorder="1"/>
    <xf numFmtId="168" fontId="0" fillId="0" borderId="0" xfId="0" applyNumberFormat="1" applyAlignment="1">
      <alignment horizontal="center"/>
    </xf>
    <xf numFmtId="0" fontId="5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49" fillId="0" borderId="0" xfId="0" applyFont="1"/>
    <xf numFmtId="1" fontId="0" fillId="0" borderId="0" xfId="0" applyNumberFormat="1"/>
    <xf numFmtId="0" fontId="35" fillId="14" borderId="1" xfId="0" applyFont="1" applyFill="1" applyBorder="1" applyAlignment="1">
      <alignment horizontal="center"/>
    </xf>
    <xf numFmtId="171" fontId="0" fillId="0" borderId="0" xfId="0" applyNumberFormat="1" applyAlignment="1">
      <alignment readingOrder="1"/>
    </xf>
    <xf numFmtId="171" fontId="0" fillId="0" borderId="1" xfId="0" applyNumberFormat="1" applyBorder="1" applyAlignment="1">
      <alignment readingOrder="1"/>
    </xf>
    <xf numFmtId="168" fontId="0" fillId="0" borderId="1" xfId="0" applyNumberFormat="1" applyBorder="1" applyAlignment="1">
      <alignment horizontal="center"/>
    </xf>
    <xf numFmtId="0" fontId="12" fillId="0" borderId="0" xfId="0" applyFont="1" applyAlignment="1">
      <alignment horizontal="center" vertical="center"/>
    </xf>
    <xf numFmtId="168" fontId="11" fillId="0" borderId="0" xfId="0" applyNumberFormat="1" applyFont="1" applyAlignment="1">
      <alignment horizontal="right" vertical="center"/>
    </xf>
    <xf numFmtId="168" fontId="0" fillId="0" borderId="1" xfId="0" applyNumberFormat="1" applyBorder="1"/>
    <xf numFmtId="168" fontId="0" fillId="0" borderId="14" xfId="0" applyNumberFormat="1" applyBorder="1"/>
    <xf numFmtId="168" fontId="0" fillId="0" borderId="47" xfId="0" applyNumberFormat="1" applyBorder="1"/>
    <xf numFmtId="168" fontId="0" fillId="0" borderId="15" xfId="0" applyNumberFormat="1" applyBorder="1"/>
    <xf numFmtId="0" fontId="52" fillId="18" borderId="8" xfId="0" applyFont="1" applyFill="1" applyBorder="1" applyAlignment="1">
      <alignment horizontal="center"/>
    </xf>
    <xf numFmtId="0" fontId="52" fillId="18" borderId="0" xfId="0" applyFont="1" applyFill="1" applyAlignment="1">
      <alignment horizontal="center"/>
    </xf>
    <xf numFmtId="0" fontId="52" fillId="18" borderId="16" xfId="0" applyFont="1" applyFill="1" applyBorder="1" applyAlignment="1">
      <alignment horizontal="center"/>
    </xf>
    <xf numFmtId="2" fontId="0" fillId="0" borderId="8" xfId="0" applyNumberFormat="1" applyBorder="1"/>
    <xf numFmtId="2" fontId="0" fillId="0" borderId="16" xfId="0" applyNumberFormat="1" applyBorder="1"/>
    <xf numFmtId="0" fontId="0" fillId="0" borderId="8" xfId="0" applyBorder="1" applyAlignment="1">
      <alignment horizontal="right"/>
    </xf>
    <xf numFmtId="0" fontId="52" fillId="18" borderId="6" xfId="0" applyFont="1" applyFill="1" applyBorder="1" applyAlignment="1">
      <alignment horizontal="center"/>
    </xf>
    <xf numFmtId="0" fontId="28" fillId="22" borderId="0" xfId="0" applyFont="1" applyFill="1" applyAlignment="1">
      <alignment vertical="center"/>
    </xf>
    <xf numFmtId="0" fontId="27" fillId="22" borderId="0" xfId="0" applyFont="1" applyFill="1" applyAlignment="1">
      <alignment vertical="center"/>
    </xf>
    <xf numFmtId="0" fontId="41" fillId="2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44" fillId="0" borderId="7" xfId="0" applyFont="1" applyBorder="1" applyAlignment="1">
      <alignment vertical="center"/>
    </xf>
    <xf numFmtId="0" fontId="3" fillId="22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 applyProtection="1">
      <alignment horizontal="center" vertical="center"/>
      <protection locked="0"/>
    </xf>
    <xf numFmtId="0" fontId="29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/>
    </xf>
    <xf numFmtId="0" fontId="51" fillId="0" borderId="0" xfId="0" applyFont="1" applyAlignment="1">
      <alignment horizontal="center"/>
    </xf>
    <xf numFmtId="168" fontId="29" fillId="0" borderId="0" xfId="0" applyNumberFormat="1" applyFont="1" applyAlignment="1">
      <alignment horizontal="center"/>
    </xf>
    <xf numFmtId="0" fontId="3" fillId="20" borderId="1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0" fontId="0" fillId="0" borderId="47" xfId="0" applyBorder="1" applyAlignment="1">
      <alignment vertical="center"/>
    </xf>
    <xf numFmtId="0" fontId="3" fillId="0" borderId="0" xfId="0" applyFont="1" applyAlignment="1">
      <alignment horizontal="center"/>
    </xf>
    <xf numFmtId="0" fontId="3" fillId="19" borderId="1" xfId="0" applyFont="1" applyFill="1" applyBorder="1" applyAlignment="1">
      <alignment horizontal="center" vertical="center" wrapText="1"/>
    </xf>
    <xf numFmtId="0" fontId="22" fillId="20" borderId="1" xfId="0" applyFont="1" applyFill="1" applyBorder="1" applyAlignment="1">
      <alignment horizontal="center" vertical="center"/>
    </xf>
    <xf numFmtId="168" fontId="3" fillId="0" borderId="0" xfId="0" applyNumberFormat="1" applyFont="1"/>
    <xf numFmtId="0" fontId="51" fillId="0" borderId="0" xfId="0" applyFont="1"/>
    <xf numFmtId="0" fontId="12" fillId="4" borderId="0" xfId="0" applyFont="1" applyFill="1" applyProtection="1">
      <protection locked="0"/>
    </xf>
    <xf numFmtId="0" fontId="0" fillId="4" borderId="0" xfId="0" applyFill="1" applyProtection="1">
      <protection locked="0"/>
    </xf>
    <xf numFmtId="0" fontId="0" fillId="0" borderId="0" xfId="0" applyProtection="1">
      <protection locked="0"/>
    </xf>
    <xf numFmtId="0" fontId="54" fillId="4" borderId="0" xfId="0" applyFont="1" applyFill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56" fillId="4" borderId="0" xfId="0" applyFont="1" applyFill="1" applyAlignment="1" applyProtection="1">
      <alignment horizontal="right" vertical="center"/>
      <protection locked="0"/>
    </xf>
    <xf numFmtId="9" fontId="56" fillId="4" borderId="0" xfId="2" applyFont="1" applyFill="1" applyBorder="1" applyAlignment="1" applyProtection="1">
      <alignment horizontal="center" vertical="center"/>
      <protection locked="0"/>
    </xf>
    <xf numFmtId="0" fontId="54" fillId="21" borderId="48" xfId="0" applyFont="1" applyFill="1" applyBorder="1" applyProtection="1">
      <protection locked="0"/>
    </xf>
    <xf numFmtId="0" fontId="54" fillId="21" borderId="49" xfId="0" applyFont="1" applyFill="1" applyBorder="1" applyProtection="1">
      <protection locked="0"/>
    </xf>
    <xf numFmtId="0" fontId="0" fillId="21" borderId="49" xfId="0" applyFill="1" applyBorder="1" applyProtection="1">
      <protection locked="0"/>
    </xf>
    <xf numFmtId="0" fontId="0" fillId="21" borderId="49" xfId="0" applyFill="1" applyBorder="1" applyAlignment="1" applyProtection="1">
      <alignment horizontal="center"/>
      <protection locked="0"/>
    </xf>
    <xf numFmtId="0" fontId="0" fillId="21" borderId="50" xfId="0" applyFill="1" applyBorder="1" applyProtection="1">
      <protection locked="0"/>
    </xf>
    <xf numFmtId="0" fontId="4" fillId="4" borderId="0" xfId="0" applyFont="1" applyFill="1" applyProtection="1">
      <protection locked="0"/>
    </xf>
    <xf numFmtId="0" fontId="51" fillId="0" borderId="0" xfId="0" applyFont="1" applyAlignment="1" applyProtection="1">
      <alignment horizontal="center"/>
      <protection locked="0"/>
    </xf>
    <xf numFmtId="168" fontId="0" fillId="0" borderId="0" xfId="0" applyNumberFormat="1" applyProtection="1">
      <protection locked="0"/>
    </xf>
    <xf numFmtId="2" fontId="0" fillId="0" borderId="0" xfId="0" applyNumberFormat="1" applyProtection="1">
      <protection locked="0"/>
    </xf>
    <xf numFmtId="168" fontId="11" fillId="0" borderId="0" xfId="0" applyNumberFormat="1" applyFont="1" applyAlignment="1" applyProtection="1">
      <alignment horizontal="right" vertical="center"/>
      <protection locked="0"/>
    </xf>
    <xf numFmtId="168" fontId="7" fillId="13" borderId="1" xfId="0" applyNumberFormat="1" applyFont="1" applyFill="1" applyBorder="1" applyAlignment="1" applyProtection="1">
      <alignment horizontal="center"/>
      <protection locked="0"/>
    </xf>
    <xf numFmtId="0" fontId="51" fillId="0" borderId="0" xfId="0" applyFont="1" applyProtection="1">
      <protection locked="0"/>
    </xf>
    <xf numFmtId="0" fontId="5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left"/>
      <protection locked="0"/>
    </xf>
    <xf numFmtId="2" fontId="9" fillId="0" borderId="0" xfId="0" applyNumberFormat="1" applyFont="1" applyAlignment="1" applyProtection="1">
      <alignment horizontal="center" vertical="center"/>
      <protection locked="0"/>
    </xf>
    <xf numFmtId="0" fontId="45" fillId="0" borderId="0" xfId="0" applyFont="1" applyAlignment="1" applyProtection="1">
      <alignment horizontal="center"/>
      <protection locked="0"/>
    </xf>
    <xf numFmtId="0" fontId="3" fillId="0" borderId="0" xfId="0" applyFont="1" applyProtection="1">
      <protection locked="0"/>
    </xf>
    <xf numFmtId="0" fontId="28" fillId="0" borderId="0" xfId="0" applyFont="1" applyAlignment="1" applyProtection="1">
      <alignment vertical="center"/>
      <protection locked="0"/>
    </xf>
    <xf numFmtId="0" fontId="12" fillId="16" borderId="0" xfId="0" applyFont="1" applyFill="1" applyProtection="1">
      <protection locked="0"/>
    </xf>
    <xf numFmtId="0" fontId="14" fillId="0" borderId="0" xfId="0" applyFont="1" applyAlignment="1" applyProtection="1">
      <alignment horizontal="center" vertical="center"/>
      <protection locked="0"/>
    </xf>
    <xf numFmtId="0" fontId="12" fillId="0" borderId="0" xfId="0" applyFont="1" applyProtection="1">
      <protection locked="0"/>
    </xf>
    <xf numFmtId="0" fontId="29" fillId="22" borderId="1" xfId="0" applyFont="1" applyFill="1" applyBorder="1" applyAlignment="1">
      <alignment horizontal="center" vertical="center" wrapText="1"/>
    </xf>
    <xf numFmtId="0" fontId="3" fillId="16" borderId="0" xfId="0" applyFont="1" applyFill="1" applyAlignment="1">
      <alignment horizontal="center" vertical="center" wrapText="1"/>
    </xf>
    <xf numFmtId="0" fontId="3" fillId="16" borderId="0" xfId="0" applyFont="1" applyFill="1"/>
    <xf numFmtId="0" fontId="3" fillId="0" borderId="41" xfId="0" applyFont="1" applyBorder="1"/>
    <xf numFmtId="0" fontId="3" fillId="0" borderId="3" xfId="0" applyFont="1" applyBorder="1"/>
    <xf numFmtId="0" fontId="57" fillId="0" borderId="0" xfId="0" applyFont="1"/>
    <xf numFmtId="0" fontId="3" fillId="0" borderId="0" xfId="0" applyFont="1" applyAlignment="1">
      <alignment horizontal="left" vertical="center"/>
    </xf>
    <xf numFmtId="11" fontId="3" fillId="0" borderId="0" xfId="0" applyNumberFormat="1" applyFont="1" applyAlignment="1">
      <alignment horizontal="center"/>
    </xf>
    <xf numFmtId="0" fontId="61" fillId="0" borderId="0" xfId="0" applyFont="1"/>
    <xf numFmtId="0" fontId="22" fillId="0" borderId="0" xfId="0" applyFont="1"/>
    <xf numFmtId="0" fontId="22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/>
    </xf>
    <xf numFmtId="0" fontId="22" fillId="0" borderId="39" xfId="0" applyFont="1" applyBorder="1" applyAlignment="1">
      <alignment horizontal="center"/>
    </xf>
    <xf numFmtId="0" fontId="3" fillId="0" borderId="39" xfId="0" applyFont="1" applyBorder="1"/>
    <xf numFmtId="0" fontId="3" fillId="0" borderId="2" xfId="0" applyFont="1" applyBorder="1" applyAlignment="1">
      <alignment horizontal="center"/>
    </xf>
    <xf numFmtId="0" fontId="3" fillId="23" borderId="0" xfId="0" applyFont="1" applyFill="1"/>
    <xf numFmtId="0" fontId="22" fillId="23" borderId="0" xfId="0" applyFont="1" applyFill="1" applyAlignment="1">
      <alignment horizontal="center"/>
    </xf>
    <xf numFmtId="0" fontId="3" fillId="0" borderId="2" xfId="0" applyFont="1" applyBorder="1"/>
    <xf numFmtId="0" fontId="63" fillId="0" borderId="0" xfId="0" applyFont="1" applyAlignment="1">
      <alignment horizontal="left" vertical="center"/>
    </xf>
    <xf numFmtId="0" fontId="3" fillId="0" borderId="0" xfId="0" applyFont="1" applyAlignment="1">
      <alignment vertical="center"/>
    </xf>
    <xf numFmtId="0" fontId="3" fillId="0" borderId="39" xfId="0" applyFont="1" applyBorder="1" applyAlignment="1">
      <alignment vertical="center"/>
    </xf>
    <xf numFmtId="0" fontId="3" fillId="23" borderId="39" xfId="0" applyFont="1" applyFill="1" applyBorder="1"/>
    <xf numFmtId="0" fontId="57" fillId="23" borderId="0" xfId="0" applyFont="1" applyFill="1" applyAlignment="1">
      <alignment horizontal="center"/>
    </xf>
    <xf numFmtId="0" fontId="3" fillId="0" borderId="2" xfId="0" applyFont="1" applyBorder="1" applyAlignment="1">
      <alignment horizontal="left"/>
    </xf>
    <xf numFmtId="0" fontId="63" fillId="0" borderId="0" xfId="0" applyFont="1"/>
    <xf numFmtId="11" fontId="3" fillId="0" borderId="0" xfId="0" applyNumberFormat="1" applyFont="1"/>
    <xf numFmtId="0" fontId="3" fillId="24" borderId="0" xfId="0" applyFont="1" applyFill="1"/>
    <xf numFmtId="0" fontId="22" fillId="24" borderId="0" xfId="0" applyFont="1" applyFill="1" applyAlignment="1">
      <alignment horizontal="center"/>
    </xf>
    <xf numFmtId="0" fontId="63" fillId="0" borderId="0" xfId="0" applyFont="1" applyAlignment="1">
      <alignment horizontal="left"/>
    </xf>
    <xf numFmtId="2" fontId="3" fillId="0" borderId="2" xfId="0" applyNumberFormat="1" applyFont="1" applyBorder="1" applyAlignment="1">
      <alignment horizontal="left"/>
    </xf>
    <xf numFmtId="0" fontId="3" fillId="24" borderId="39" xfId="0" applyFont="1" applyFill="1" applyBorder="1"/>
    <xf numFmtId="0" fontId="57" fillId="24" borderId="0" xfId="0" applyFont="1" applyFill="1" applyAlignment="1">
      <alignment horizontal="center"/>
    </xf>
    <xf numFmtId="0" fontId="64" fillId="0" borderId="0" xfId="0" applyFont="1" applyAlignment="1">
      <alignment vertical="center"/>
    </xf>
    <xf numFmtId="0" fontId="65" fillId="0" borderId="0" xfId="0" applyFont="1" applyAlignment="1">
      <alignment vertical="center"/>
    </xf>
    <xf numFmtId="0" fontId="3" fillId="25" borderId="0" xfId="0" applyFont="1" applyFill="1"/>
    <xf numFmtId="0" fontId="22" fillId="25" borderId="0" xfId="0" applyFont="1" applyFill="1" applyAlignment="1">
      <alignment horizontal="center"/>
    </xf>
    <xf numFmtId="1" fontId="3" fillId="0" borderId="0" xfId="0" applyNumberFormat="1" applyFont="1" applyAlignment="1">
      <alignment horizontal="center"/>
    </xf>
    <xf numFmtId="0" fontId="57" fillId="25" borderId="0" xfId="0" applyFont="1" applyFill="1" applyAlignment="1">
      <alignment horizontal="center"/>
    </xf>
    <xf numFmtId="0" fontId="3" fillId="16" borderId="0" xfId="0" applyFont="1" applyFill="1" applyAlignment="1">
      <alignment horizontal="center"/>
    </xf>
    <xf numFmtId="0" fontId="53" fillId="16" borderId="0" xfId="0" applyFont="1" applyFill="1" applyAlignment="1">
      <alignment vertical="center"/>
    </xf>
    <xf numFmtId="0" fontId="3" fillId="16" borderId="1" xfId="0" applyFont="1" applyFill="1" applyBorder="1" applyAlignment="1">
      <alignment horizontal="center" vertical="center"/>
    </xf>
    <xf numFmtId="0" fontId="29" fillId="16" borderId="0" xfId="0" applyFont="1" applyFill="1" applyAlignment="1">
      <alignment vertical="center"/>
    </xf>
    <xf numFmtId="0" fontId="22" fillId="16" borderId="0" xfId="0" applyFont="1" applyFill="1"/>
    <xf numFmtId="0" fontId="3" fillId="16" borderId="1" xfId="0" applyFont="1" applyFill="1" applyBorder="1" applyAlignment="1">
      <alignment horizontal="center" vertical="center" wrapText="1"/>
    </xf>
    <xf numFmtId="0" fontId="67" fillId="16" borderId="0" xfId="0" applyFont="1" applyFill="1" applyAlignment="1">
      <alignment horizontal="center" vertical="center" wrapText="1"/>
    </xf>
    <xf numFmtId="0" fontId="22" fillId="16" borderId="1" xfId="0" applyFont="1" applyFill="1" applyBorder="1" applyAlignment="1">
      <alignment horizontal="center" vertical="center"/>
    </xf>
    <xf numFmtId="2" fontId="3" fillId="16" borderId="0" xfId="0" applyNumberFormat="1" applyFont="1" applyFill="1" applyAlignment="1">
      <alignment horizontal="center" vertical="center"/>
    </xf>
    <xf numFmtId="2" fontId="3" fillId="16" borderId="0" xfId="0" applyNumberFormat="1" applyFont="1" applyFill="1" applyAlignment="1">
      <alignment horizontal="center"/>
    </xf>
    <xf numFmtId="1" fontId="3" fillId="16" borderId="0" xfId="0" applyNumberFormat="1" applyFont="1" applyFill="1" applyAlignment="1">
      <alignment horizontal="center"/>
    </xf>
    <xf numFmtId="11" fontId="3" fillId="16" borderId="0" xfId="0" applyNumberFormat="1" applyFont="1" applyFill="1" applyAlignment="1">
      <alignment horizontal="center"/>
    </xf>
    <xf numFmtId="167" fontId="3" fillId="16" borderId="0" xfId="0" applyNumberFormat="1" applyFont="1" applyFill="1" applyAlignment="1">
      <alignment horizontal="center"/>
    </xf>
    <xf numFmtId="166" fontId="3" fillId="16" borderId="0" xfId="0" applyNumberFormat="1" applyFont="1" applyFill="1" applyAlignment="1">
      <alignment horizontal="center"/>
    </xf>
    <xf numFmtId="2" fontId="14" fillId="16" borderId="0" xfId="0" applyNumberFormat="1" applyFont="1" applyFill="1" applyAlignment="1">
      <alignment horizontal="center" vertical="center"/>
    </xf>
    <xf numFmtId="0" fontId="66" fillId="16" borderId="0" xfId="0" applyFont="1" applyFill="1" applyAlignment="1">
      <alignment horizontal="center"/>
    </xf>
    <xf numFmtId="0" fontId="64" fillId="16" borderId="0" xfId="0" applyFont="1" applyFill="1" applyAlignment="1">
      <alignment vertical="center"/>
    </xf>
    <xf numFmtId="167" fontId="3" fillId="16" borderId="0" xfId="0" applyNumberFormat="1" applyFont="1" applyFill="1" applyAlignment="1">
      <alignment horizontal="center" vertical="center"/>
    </xf>
    <xf numFmtId="0" fontId="14" fillId="16" borderId="0" xfId="0" applyFont="1" applyFill="1" applyAlignment="1">
      <alignment horizontal="center" vertical="center"/>
    </xf>
    <xf numFmtId="1" fontId="3" fillId="13" borderId="1" xfId="0" applyNumberFormat="1" applyFont="1" applyFill="1" applyBorder="1"/>
    <xf numFmtId="2" fontId="3" fillId="13" borderId="1" xfId="0" applyNumberFormat="1" applyFont="1" applyFill="1" applyBorder="1"/>
    <xf numFmtId="0" fontId="64" fillId="0" borderId="0" xfId="0" applyFont="1" applyAlignment="1">
      <alignment horizontal="right" vertical="center"/>
    </xf>
    <xf numFmtId="0" fontId="22" fillId="0" borderId="0" xfId="0" applyFont="1" applyAlignment="1">
      <alignment vertical="center"/>
    </xf>
    <xf numFmtId="11" fontId="3" fillId="0" borderId="0" xfId="0" applyNumberFormat="1" applyFont="1" applyAlignment="1">
      <alignment horizontal="center" vertical="center"/>
    </xf>
    <xf numFmtId="0" fontId="3" fillId="4" borderId="0" xfId="0" applyFont="1" applyFill="1" applyProtection="1">
      <protection locked="0"/>
    </xf>
    <xf numFmtId="0" fontId="3" fillId="4" borderId="0" xfId="0" applyFont="1" applyFill="1" applyAlignment="1" applyProtection="1">
      <alignment horizontal="center"/>
      <protection locked="0"/>
    </xf>
    <xf numFmtId="0" fontId="46" fillId="0" borderId="7" xfId="0" applyFont="1" applyBorder="1" applyAlignment="1">
      <alignment vertical="center"/>
    </xf>
    <xf numFmtId="168" fontId="29" fillId="13" borderId="1" xfId="0" applyNumberFormat="1" applyFont="1" applyFill="1" applyBorder="1" applyAlignment="1" applyProtection="1">
      <alignment horizontal="center"/>
      <protection locked="0"/>
    </xf>
    <xf numFmtId="2" fontId="14" fillId="0" borderId="0" xfId="0" applyNumberFormat="1" applyFont="1" applyAlignment="1" applyProtection="1">
      <alignment horizontal="center" vertical="center"/>
      <protection locked="0"/>
    </xf>
    <xf numFmtId="0" fontId="66" fillId="0" borderId="0" xfId="0" applyFont="1" applyAlignment="1" applyProtection="1">
      <alignment horizontal="center"/>
      <protection locked="0"/>
    </xf>
    <xf numFmtId="0" fontId="53" fillId="0" borderId="0" xfId="0" applyFont="1" applyAlignment="1" applyProtection="1">
      <alignment vertical="center"/>
      <protection locked="0"/>
    </xf>
    <xf numFmtId="0" fontId="3" fillId="16" borderId="0" xfId="0" applyFont="1" applyFill="1" applyProtection="1">
      <protection locked="0"/>
    </xf>
    <xf numFmtId="0" fontId="3" fillId="4" borderId="1" xfId="0" applyFont="1" applyFill="1" applyBorder="1" applyProtection="1">
      <protection locked="0"/>
    </xf>
    <xf numFmtId="0" fontId="3" fillId="0" borderId="1" xfId="0" applyFont="1" applyBorder="1" applyProtection="1">
      <protection locked="0"/>
    </xf>
    <xf numFmtId="0" fontId="3" fillId="4" borderId="1" xfId="0" applyFont="1" applyFill="1" applyBorder="1" applyAlignment="1" applyProtection="1">
      <alignment horizontal="center"/>
      <protection locked="0"/>
    </xf>
    <xf numFmtId="0" fontId="29" fillId="4" borderId="1" xfId="0" applyFont="1" applyFill="1" applyBorder="1" applyAlignment="1" applyProtection="1">
      <alignment horizontal="right" vertical="center"/>
      <protection locked="0"/>
    </xf>
    <xf numFmtId="9" fontId="29" fillId="4" borderId="1" xfId="2" applyFont="1" applyFill="1" applyBorder="1" applyAlignment="1" applyProtection="1">
      <alignment horizontal="center" vertical="center"/>
      <protection locked="0"/>
    </xf>
    <xf numFmtId="0" fontId="3" fillId="21" borderId="1" xfId="0" applyFont="1" applyFill="1" applyBorder="1" applyProtection="1">
      <protection locked="0"/>
    </xf>
    <xf numFmtId="0" fontId="3" fillId="21" borderId="1" xfId="0" applyFont="1" applyFill="1" applyBorder="1" applyAlignment="1" applyProtection="1">
      <alignment horizontal="center"/>
      <protection locked="0"/>
    </xf>
    <xf numFmtId="0" fontId="3" fillId="0" borderId="1" xfId="0" applyFont="1" applyBorder="1"/>
    <xf numFmtId="0" fontId="29" fillId="0" borderId="1" xfId="0" applyFont="1" applyBorder="1" applyAlignment="1">
      <alignment vertical="center" wrapText="1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 applyProtection="1">
      <alignment horizontal="center"/>
      <protection locked="0"/>
    </xf>
    <xf numFmtId="0" fontId="3" fillId="0" borderId="1" xfId="0" applyFont="1" applyBorder="1" applyAlignment="1">
      <alignment horizontal="center" vertical="center" wrapText="1"/>
    </xf>
    <xf numFmtId="168" fontId="29" fillId="0" borderId="1" xfId="0" applyNumberFormat="1" applyFont="1" applyBorder="1" applyAlignment="1">
      <alignment horizontal="center"/>
    </xf>
    <xf numFmtId="168" fontId="3" fillId="0" borderId="1" xfId="0" applyNumberFormat="1" applyFont="1" applyBorder="1"/>
    <xf numFmtId="168" fontId="3" fillId="0" borderId="1" xfId="0" applyNumberFormat="1" applyFont="1" applyBorder="1" applyProtection="1">
      <protection locked="0"/>
    </xf>
    <xf numFmtId="2" fontId="3" fillId="0" borderId="1" xfId="0" applyNumberFormat="1" applyFont="1" applyBorder="1" applyProtection="1">
      <protection locked="0"/>
    </xf>
    <xf numFmtId="0" fontId="53" fillId="0" borderId="1" xfId="0" applyFont="1" applyBorder="1" applyAlignment="1">
      <alignment vertical="center"/>
    </xf>
    <xf numFmtId="168" fontId="3" fillId="0" borderId="1" xfId="0" applyNumberFormat="1" applyFont="1" applyBorder="1" applyAlignment="1" applyProtection="1">
      <alignment horizontal="right" vertical="center"/>
      <protection locked="0"/>
    </xf>
    <xf numFmtId="0" fontId="3" fillId="0" borderId="1" xfId="0" applyFont="1" applyBorder="1" applyAlignment="1">
      <alignment vertical="center"/>
    </xf>
    <xf numFmtId="0" fontId="46" fillId="0" borderId="1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3" fillId="0" borderId="1" xfId="0" applyFont="1" applyBorder="1" applyAlignment="1" applyProtection="1">
      <alignment horizontal="right"/>
      <protection locked="0"/>
    </xf>
    <xf numFmtId="0" fontId="3" fillId="0" borderId="1" xfId="0" applyFont="1" applyBorder="1" applyAlignment="1" applyProtection="1">
      <alignment horizontal="left"/>
      <protection locked="0"/>
    </xf>
    <xf numFmtId="0" fontId="3" fillId="8" borderId="1" xfId="0" applyFont="1" applyFill="1" applyBorder="1"/>
    <xf numFmtId="0" fontId="53" fillId="22" borderId="1" xfId="0" applyFont="1" applyFill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58" fillId="0" borderId="1" xfId="0" applyFont="1" applyBorder="1" applyAlignment="1">
      <alignment horizontal="center"/>
    </xf>
    <xf numFmtId="0" fontId="3" fillId="16" borderId="1" xfId="0" applyFont="1" applyFill="1" applyBorder="1"/>
    <xf numFmtId="0" fontId="22" fillId="16" borderId="1" xfId="0" applyFont="1" applyFill="1" applyBorder="1" applyAlignment="1">
      <alignment horizontal="center"/>
    </xf>
    <xf numFmtId="0" fontId="57" fillId="16" borderId="1" xfId="0" applyFont="1" applyFill="1" applyBorder="1" applyAlignment="1">
      <alignment horizontal="center"/>
    </xf>
    <xf numFmtId="167" fontId="15" fillId="16" borderId="1" xfId="1" applyNumberFormat="1" applyFill="1" applyBorder="1" applyAlignment="1">
      <alignment horizontal="center" vertical="center"/>
    </xf>
    <xf numFmtId="0" fontId="0" fillId="0" borderId="6" xfId="0" applyBorder="1"/>
    <xf numFmtId="0" fontId="41" fillId="22" borderId="0" xfId="0" applyFont="1" applyFill="1" applyAlignment="1">
      <alignment horizontal="center" vertical="center"/>
    </xf>
    <xf numFmtId="168" fontId="15" fillId="0" borderId="0" xfId="1" applyNumberFormat="1" applyAlignment="1">
      <alignment horizontal="center" vertical="center"/>
    </xf>
    <xf numFmtId="168" fontId="48" fillId="17" borderId="0" xfId="1" applyNumberFormat="1" applyFont="1" applyFill="1" applyAlignment="1">
      <alignment horizontal="center" vertical="center"/>
    </xf>
    <xf numFmtId="0" fontId="8" fillId="22" borderId="44" xfId="0" applyFont="1" applyFill="1" applyBorder="1" applyAlignment="1">
      <alignment horizontal="center" vertical="center" wrapText="1"/>
    </xf>
    <xf numFmtId="0" fontId="8" fillId="22" borderId="42" xfId="0" applyFont="1" applyFill="1" applyBorder="1" applyAlignment="1">
      <alignment horizontal="center" vertical="center" wrapText="1"/>
    </xf>
    <xf numFmtId="168" fontId="47" fillId="17" borderId="42" xfId="1" applyNumberFormat="1" applyFont="1" applyFill="1" applyBorder="1" applyAlignment="1">
      <alignment horizontal="center" vertical="center"/>
    </xf>
    <xf numFmtId="3" fontId="47" fillId="17" borderId="42" xfId="1" applyNumberFormat="1" applyFont="1" applyFill="1" applyBorder="1" applyAlignment="1">
      <alignment horizontal="center" vertical="center"/>
    </xf>
    <xf numFmtId="0" fontId="7" fillId="22" borderId="0" xfId="0" applyFont="1" applyFill="1" applyAlignment="1">
      <alignment horizontal="center" vertical="center"/>
    </xf>
    <xf numFmtId="0" fontId="28" fillId="22" borderId="0" xfId="0" applyFont="1" applyFill="1" applyAlignment="1">
      <alignment horizontal="center" vertical="center"/>
    </xf>
    <xf numFmtId="0" fontId="3" fillId="16" borderId="1" xfId="0" applyFont="1" applyFill="1" applyBorder="1" applyAlignment="1">
      <alignment horizontal="center" vertical="center" textRotation="90" wrapText="1"/>
    </xf>
    <xf numFmtId="0" fontId="3" fillId="16" borderId="1" xfId="0" applyFont="1" applyFill="1" applyBorder="1" applyAlignment="1">
      <alignment horizontal="center" vertical="center"/>
    </xf>
    <xf numFmtId="0" fontId="3" fillId="16" borderId="1" xfId="0" applyFont="1" applyFill="1" applyBorder="1"/>
    <xf numFmtId="171" fontId="3" fillId="0" borderId="0" xfId="0" applyNumberFormat="1" applyFont="1" applyAlignment="1">
      <alignment horizontal="center" readingOrder="1"/>
    </xf>
    <xf numFmtId="0" fontId="3" fillId="0" borderId="0" xfId="0" applyFont="1" applyAlignment="1">
      <alignment horizontal="center"/>
    </xf>
    <xf numFmtId="167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29" fillId="0" borderId="0" xfId="0" applyFont="1" applyAlignment="1">
      <alignment horizontal="center" vertical="center"/>
    </xf>
    <xf numFmtId="168" fontId="22" fillId="0" borderId="0" xfId="0" applyNumberFormat="1" applyFont="1" applyAlignment="1">
      <alignment horizontal="center"/>
    </xf>
    <xf numFmtId="0" fontId="60" fillId="0" borderId="0" xfId="0" applyFont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46" fillId="0" borderId="0" xfId="0" applyFont="1" applyAlignment="1">
      <alignment horizontal="right" vertical="center"/>
    </xf>
    <xf numFmtId="0" fontId="20" fillId="0" borderId="0" xfId="0" applyFont="1" applyAlignment="1" applyProtection="1">
      <alignment horizontal="center"/>
      <protection locked="0"/>
    </xf>
    <xf numFmtId="0" fontId="29" fillId="22" borderId="4" xfId="0" applyFont="1" applyFill="1" applyBorder="1" applyAlignment="1">
      <alignment horizontal="center" vertical="center"/>
    </xf>
    <xf numFmtId="0" fontId="29" fillId="22" borderId="5" xfId="0" applyFont="1" applyFill="1" applyBorder="1" applyAlignment="1">
      <alignment horizontal="center" vertical="center"/>
    </xf>
    <xf numFmtId="0" fontId="29" fillId="22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28" fillId="22" borderId="4" xfId="0" applyFont="1" applyFill="1" applyBorder="1" applyAlignment="1">
      <alignment horizontal="center" vertical="center"/>
    </xf>
    <xf numFmtId="0" fontId="28" fillId="22" borderId="5" xfId="0" applyFont="1" applyFill="1" applyBorder="1" applyAlignment="1">
      <alignment horizontal="center" vertical="center"/>
    </xf>
    <xf numFmtId="0" fontId="28" fillId="22" borderId="2" xfId="0" applyFont="1" applyFill="1" applyBorder="1" applyAlignment="1">
      <alignment horizontal="center" vertical="center"/>
    </xf>
    <xf numFmtId="0" fontId="29" fillId="22" borderId="1" xfId="0" applyFont="1" applyFill="1" applyBorder="1" applyAlignment="1">
      <alignment horizontal="center" vertical="center" wrapText="1"/>
    </xf>
    <xf numFmtId="0" fontId="53" fillId="16" borderId="4" xfId="0" applyFont="1" applyFill="1" applyBorder="1" applyAlignment="1">
      <alignment horizontal="center" vertical="center"/>
    </xf>
    <xf numFmtId="0" fontId="53" fillId="16" borderId="5" xfId="0" applyFont="1" applyFill="1" applyBorder="1" applyAlignment="1">
      <alignment horizontal="center" vertical="center"/>
    </xf>
    <xf numFmtId="0" fontId="53" fillId="16" borderId="2" xfId="0" applyFont="1" applyFill="1" applyBorder="1" applyAlignment="1">
      <alignment horizontal="center" vertical="center"/>
    </xf>
    <xf numFmtId="0" fontId="29" fillId="16" borderId="0" xfId="0" applyFont="1" applyFill="1" applyAlignment="1">
      <alignment horizontal="center" vertical="center" wrapText="1"/>
    </xf>
    <xf numFmtId="0" fontId="46" fillId="16" borderId="1" xfId="0" applyFont="1" applyFill="1" applyBorder="1" applyAlignment="1">
      <alignment horizontal="right" vertical="center"/>
    </xf>
    <xf numFmtId="0" fontId="12" fillId="6" borderId="4" xfId="0" applyFont="1" applyFill="1" applyBorder="1" applyAlignment="1">
      <alignment horizontal="center" vertical="center" wrapText="1"/>
    </xf>
    <xf numFmtId="0" fontId="12" fillId="6" borderId="5" xfId="0" applyFont="1" applyFill="1" applyBorder="1" applyAlignment="1">
      <alignment horizontal="center" vertical="center" wrapText="1"/>
    </xf>
    <xf numFmtId="0" fontId="12" fillId="6" borderId="2" xfId="0" applyFont="1" applyFill="1" applyBorder="1" applyAlignment="1">
      <alignment horizontal="center" vertical="center" wrapText="1"/>
    </xf>
    <xf numFmtId="0" fontId="12" fillId="11" borderId="4" xfId="0" applyFont="1" applyFill="1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17" fillId="7" borderId="4" xfId="0" applyFont="1" applyFill="1" applyBorder="1" applyAlignment="1">
      <alignment horizontal="center" vertical="center"/>
    </xf>
    <xf numFmtId="0" fontId="17" fillId="7" borderId="2" xfId="0" applyFont="1" applyFill="1" applyBorder="1" applyAlignment="1">
      <alignment horizontal="center" vertical="center"/>
    </xf>
    <xf numFmtId="0" fontId="17" fillId="6" borderId="4" xfId="0" applyFont="1" applyFill="1" applyBorder="1" applyAlignment="1">
      <alignment horizontal="center" vertical="center"/>
    </xf>
    <xf numFmtId="0" fontId="17" fillId="6" borderId="2" xfId="0" applyFont="1" applyFill="1" applyBorder="1" applyAlignment="1">
      <alignment horizontal="center" vertical="center"/>
    </xf>
    <xf numFmtId="0" fontId="17" fillId="7" borderId="5" xfId="0" applyFont="1" applyFill="1" applyBorder="1" applyAlignment="1">
      <alignment horizontal="center" vertical="center"/>
    </xf>
    <xf numFmtId="0" fontId="17" fillId="6" borderId="5" xfId="0" applyFont="1" applyFill="1" applyBorder="1" applyAlignment="1">
      <alignment horizontal="center" vertical="center"/>
    </xf>
    <xf numFmtId="0" fontId="17" fillId="11" borderId="4" xfId="0" applyFont="1" applyFill="1" applyBorder="1" applyAlignment="1">
      <alignment horizontal="center" vertical="center"/>
    </xf>
    <xf numFmtId="0" fontId="17" fillId="11" borderId="5" xfId="0" applyFont="1" applyFill="1" applyBorder="1" applyAlignment="1">
      <alignment horizontal="center" vertical="center"/>
    </xf>
    <xf numFmtId="0" fontId="17" fillId="11" borderId="2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/>
    </xf>
    <xf numFmtId="0" fontId="29" fillId="19" borderId="1" xfId="0" applyFont="1" applyFill="1" applyBorder="1" applyAlignment="1">
      <alignment horizontal="center" vertical="center"/>
    </xf>
    <xf numFmtId="0" fontId="29" fillId="19" borderId="1" xfId="0" applyFont="1" applyFill="1" applyBorder="1" applyAlignment="1">
      <alignment horizontal="center" vertical="center" wrapText="1"/>
    </xf>
    <xf numFmtId="0" fontId="28" fillId="19" borderId="4" xfId="0" applyFont="1" applyFill="1" applyBorder="1" applyAlignment="1">
      <alignment horizontal="center" vertical="center"/>
    </xf>
    <xf numFmtId="0" fontId="28" fillId="19" borderId="5" xfId="0" applyFont="1" applyFill="1" applyBorder="1" applyAlignment="1">
      <alignment horizontal="center" vertical="center"/>
    </xf>
    <xf numFmtId="0" fontId="28" fillId="19" borderId="2" xfId="0" applyFont="1" applyFill="1" applyBorder="1" applyAlignment="1">
      <alignment horizontal="center" vertical="center"/>
    </xf>
    <xf numFmtId="0" fontId="22" fillId="19" borderId="41" xfId="0" applyFont="1" applyFill="1" applyBorder="1" applyAlignment="1">
      <alignment horizontal="center" vertical="center" wrapText="1"/>
    </xf>
    <xf numFmtId="0" fontId="22" fillId="19" borderId="3" xfId="0" applyFont="1" applyFill="1" applyBorder="1" applyAlignment="1">
      <alignment horizontal="center" vertical="center" wrapText="1"/>
    </xf>
    <xf numFmtId="0" fontId="22" fillId="0" borderId="0" xfId="0" applyFont="1" applyAlignment="1" applyProtection="1">
      <alignment horizontal="center"/>
      <protection locked="0"/>
    </xf>
    <xf numFmtId="0" fontId="2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53" fillId="22" borderId="4" xfId="0" applyFont="1" applyFill="1" applyBorder="1" applyAlignment="1">
      <alignment horizontal="center" vertical="center"/>
    </xf>
    <xf numFmtId="0" fontId="53" fillId="22" borderId="5" xfId="0" applyFont="1" applyFill="1" applyBorder="1" applyAlignment="1">
      <alignment horizontal="center" vertical="center"/>
    </xf>
    <xf numFmtId="0" fontId="53" fillId="22" borderId="2" xfId="0" applyFont="1" applyFill="1" applyBorder="1" applyAlignment="1">
      <alignment horizontal="center" vertical="center"/>
    </xf>
    <xf numFmtId="0" fontId="53" fillId="19" borderId="1" xfId="0" applyFont="1" applyFill="1" applyBorder="1" applyAlignment="1">
      <alignment horizontal="center" vertical="center"/>
    </xf>
    <xf numFmtId="0" fontId="22" fillId="19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35" fillId="2" borderId="4" xfId="0" applyFont="1" applyFill="1" applyBorder="1" applyAlignment="1">
      <alignment horizontal="center" vertical="center"/>
    </xf>
    <xf numFmtId="0" fontId="35" fillId="2" borderId="2" xfId="0" applyFont="1" applyFill="1" applyBorder="1" applyAlignment="1">
      <alignment horizontal="center" vertical="center"/>
    </xf>
  </cellXfs>
  <cellStyles count="3">
    <cellStyle name="Normal" xfId="0" builtinId="0"/>
    <cellStyle name="Normal_Copia de E123_COYAME.2001" xfId="1" xr:uid="{00000000-0005-0000-0000-000001000000}"/>
    <cellStyle name="Porcentaje" xfId="2" builtinId="5"/>
  </cellStyles>
  <dxfs count="0"/>
  <tableStyles count="0" defaultTableStyle="TableStyleMedium9" defaultPivotStyle="PivotStyleLight16"/>
  <colors>
    <mruColors>
      <color rgb="FFF2F2F2"/>
      <color rgb="FFECECEC"/>
      <color rgb="FFD06422"/>
      <color rgb="FF1CCA52"/>
      <color rgb="FF888888"/>
      <color rgb="FFC1B663"/>
      <color rgb="FF756337"/>
      <color rgb="FFA5501B"/>
      <color rgb="FF8C6B28"/>
      <color rgb="FFC5AB6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hartsheet" Target="chartsheets/sheet2.xml"/><Relationship Id="rId18" Type="http://schemas.openxmlformats.org/officeDocument/2006/relationships/worksheet" Target="worksheets/sheet14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3.xml"/><Relationship Id="rId7" Type="http://schemas.openxmlformats.org/officeDocument/2006/relationships/worksheet" Target="worksheets/sheet7.xml"/><Relationship Id="rId12" Type="http://schemas.openxmlformats.org/officeDocument/2006/relationships/chartsheet" Target="chartsheets/sheet1.xml"/><Relationship Id="rId17" Type="http://schemas.openxmlformats.org/officeDocument/2006/relationships/worksheet" Target="worksheets/sheet13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2.xml"/><Relationship Id="rId20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hartsheet" Target="chartsheets/sheet4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hartsheet" Target="chartsheets/sheet3.xml"/><Relationship Id="rId22" Type="http://schemas.openxmlformats.org/officeDocument/2006/relationships/externalLink" Target="externalLinks/externalLink4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png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png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9665802537756381"/>
        </c:manualLayout>
      </c:layout>
      <c:scatterChart>
        <c:scatterStyle val="smoothMarker"/>
        <c:varyColors val="0"/>
        <c:ser>
          <c:idx val="2"/>
          <c:order val="0"/>
          <c:tx>
            <c:v>Tridem</c:v>
          </c:tx>
          <c:spPr>
            <a:ln>
              <a:solidFill>
                <a:srgbClr val="CE5918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Larguillo!$F$4:$F$103</c:f>
              <c:numCache>
                <c:formatCode>0.00</c:formatCode>
                <c:ptCount val="100"/>
                <c:pt idx="0">
                  <c:v>8.5252516765114435E-22</c:v>
                </c:pt>
                <c:pt idx="1">
                  <c:v>5.4006824644427748E-12</c:v>
                </c:pt>
                <c:pt idx="2">
                  <c:v>1.3779738281604328E-7</c:v>
                </c:pt>
                <c:pt idx="3">
                  <c:v>4.6982827389923032E-5</c:v>
                </c:pt>
                <c:pt idx="4">
                  <c:v>1.9811532134729488E-3</c:v>
                </c:pt>
                <c:pt idx="5">
                  <c:v>2.5375932759074831E-2</c:v>
                </c:pt>
                <c:pt idx="6">
                  <c:v>0.15356978312281128</c:v>
                </c:pt>
                <c:pt idx="7">
                  <c:v>0.56127901579448958</c:v>
                </c:pt>
                <c:pt idx="8">
                  <c:v>1.4371331427806828</c:v>
                </c:pt>
                <c:pt idx="9">
                  <c:v>2.8360908575745523</c:v>
                </c:pt>
                <c:pt idx="10">
                  <c:v>4.6005961638268582</c:v>
                </c:pt>
                <c:pt idx="11">
                  <c:v>6.417533728388328</c:v>
                </c:pt>
                <c:pt idx="12">
                  <c:v>7.9530714027212888</c:v>
                </c:pt>
                <c:pt idx="13">
                  <c:v>8.9704133886096074</c:v>
                </c:pt>
                <c:pt idx="14">
                  <c:v>9.3794720740400344</c:v>
                </c:pt>
                <c:pt idx="15">
                  <c:v>9.2224827512362495</c:v>
                </c:pt>
                <c:pt idx="16">
                  <c:v>8.626084092552615</c:v>
                </c:pt>
                <c:pt idx="17">
                  <c:v>7.7493685333882869</c:v>
                </c:pt>
                <c:pt idx="18">
                  <c:v>6.7446534916635397</c:v>
                </c:pt>
                <c:pt idx="19">
                  <c:v>5.7354512001992388</c:v>
                </c:pt>
                <c:pt idx="20">
                  <c:v>4.8089186580673582</c:v>
                </c:pt>
                <c:pt idx="21">
                  <c:v>4.0176346847176445</c:v>
                </c:pt>
                <c:pt idx="22">
                  <c:v>3.3859343996022568</c:v>
                </c:pt>
                <c:pt idx="23">
                  <c:v>2.9174785067098048</c:v>
                </c:pt>
                <c:pt idx="24">
                  <c:v>2.6022101294387161</c:v>
                </c:pt>
                <c:pt idx="25">
                  <c:v>2.4219403085840896</c:v>
                </c:pt>
                <c:pt idx="26">
                  <c:v>2.3544522739805238</c:v>
                </c:pt>
                <c:pt idx="27">
                  <c:v>2.3763230089739515</c:v>
                </c:pt>
                <c:pt idx="28">
                  <c:v>2.4647557948575578</c:v>
                </c:pt>
                <c:pt idx="29">
                  <c:v>2.5987028926129114</c:v>
                </c:pt>
                <c:pt idx="30">
                  <c:v>2.7595008093802607</c:v>
                </c:pt>
                <c:pt idx="31">
                  <c:v>2.9311784620574812</c:v>
                </c:pt>
                <c:pt idx="32">
                  <c:v>3.1005469146686027</c:v>
                </c:pt>
                <c:pt idx="33">
                  <c:v>3.2571422624513979</c:v>
                </c:pt>
                <c:pt idx="34">
                  <c:v>3.3930690851438619</c:v>
                </c:pt>
                <c:pt idx="35">
                  <c:v>3.502777246429706</c:v>
                </c:pt>
                <c:pt idx="36">
                  <c:v>3.5827962508479958</c:v>
                </c:pt>
                <c:pt idx="37">
                  <c:v>3.6314462275525967</c:v>
                </c:pt>
                <c:pt idx="38">
                  <c:v>3.648541135642859</c:v>
                </c:pt>
                <c:pt idx="39">
                  <c:v>3.6350969793431456</c:v>
                </c:pt>
                <c:pt idx="40">
                  <c:v>3.5930552194326895</c:v>
                </c:pt>
                <c:pt idx="41">
                  <c:v>3.5250290334535701</c:v>
                </c:pt>
                <c:pt idx="42">
                  <c:v>3.4340776423985022</c:v>
                </c:pt>
                <c:pt idx="43">
                  <c:v>3.3235116783685381</c:v>
                </c:pt>
                <c:pt idx="44">
                  <c:v>3.1967306088249243</c:v>
                </c:pt>
                <c:pt idx="45">
                  <c:v>3.0570916223827482</c:v>
                </c:pt>
                <c:pt idx="46">
                  <c:v>2.9078081451887603</c:v>
                </c:pt>
                <c:pt idx="47">
                  <c:v>2.7518752882985291</c:v>
                </c:pt>
                <c:pt idx="48">
                  <c:v>2.5920189919534509</c:v>
                </c:pt>
                <c:pt idx="49">
                  <c:v>2.4306653830697083</c:v>
                </c:pt>
                <c:pt idx="50">
                  <c:v>2.2699268411032776</c:v>
                </c:pt>
                <c:pt idx="51">
                  <c:v>2.1116014177891733</c:v>
                </c:pt>
                <c:pt idx="52">
                  <c:v>1.9571825253547164</c:v>
                </c:pt>
                <c:pt idx="53">
                  <c:v>1.8078761500086571</c:v>
                </c:pt>
                <c:pt idx="54">
                  <c:v>1.6646232254542541</c:v>
                </c:pt>
                <c:pt idx="55">
                  <c:v>1.5281251859654583</c:v>
                </c:pt>
                <c:pt idx="56">
                  <c:v>1.3988710891679312</c:v>
                </c:pt>
                <c:pt idx="57">
                  <c:v>1.2771650409031878</c:v>
                </c:pt>
                <c:pt idx="58">
                  <c:v>1.1631529599091144</c:v>
                </c:pt>
                <c:pt idx="59">
                  <c:v>1.0568479844592991</c:v>
                </c:pt>
                <c:pt idx="60">
                  <c:v>0.95815404582755703</c:v>
                </c:pt>
                <c:pt idx="61">
                  <c:v>0.86688731608781033</c:v>
                </c:pt>
                <c:pt idx="62">
                  <c:v>0.78279538345756572</c:v>
                </c:pt>
                <c:pt idx="63">
                  <c:v>0.70557412116418672</c:v>
                </c:pt>
                <c:pt idx="64">
                  <c:v>0.63488230006962576</c:v>
                </c:pt>
                <c:pt idx="65">
                  <c:v>0.57035405548326068</c:v>
                </c:pt>
                <c:pt idx="66">
                  <c:v>0.51160935897387205</c:v>
                </c:pt>
                <c:pt idx="67">
                  <c:v>0.4582626704556324</c:v>
                </c:pt>
                <c:pt idx="68">
                  <c:v>0.40992995782653463</c:v>
                </c:pt>
                <c:pt idx="69">
                  <c:v>0.36623427396727448</c:v>
                </c:pt>
                <c:pt idx="70">
                  <c:v>0.32681007648231236</c:v>
                </c:pt>
                <c:pt idx="71">
                  <c:v>0.29130646625854012</c:v>
                </c:pt>
                <c:pt idx="72">
                  <c:v>0.25938950840440855</c:v>
                </c:pt>
                <c:pt idx="73">
                  <c:v>0.23074378473264207</c:v>
                </c:pt>
                <c:pt idx="74">
                  <c:v>0.205073311676466</c:v>
                </c:pt>
                <c:pt idx="75">
                  <c:v>0.18210194213983608</c:v>
                </c:pt>
                <c:pt idx="76">
                  <c:v>0.16157335482193211</c:v>
                </c:pt>
                <c:pt idx="77">
                  <c:v>0.14325072040005818</c:v>
                </c:pt>
                <c:pt idx="78">
                  <c:v>0.1269161208425911</c:v>
                </c:pt>
                <c:pt idx="79">
                  <c:v>0.11236978618996554</c:v>
                </c:pt>
                <c:pt idx="80">
                  <c:v>9.9429202442825299E-2</c:v>
                </c:pt>
                <c:pt idx="81">
                  <c:v>8.7928134730749785E-2</c:v>
                </c:pt>
                <c:pt idx="82">
                  <c:v>7.7715601659602548E-2</c:v>
                </c:pt>
                <c:pt idx="83">
                  <c:v>6.8654829580478277E-2</c:v>
                </c:pt>
                <c:pt idx="84">
                  <c:v>6.0622209401463983E-2</c:v>
                </c:pt>
                <c:pt idx="85">
                  <c:v>5.3506273378940372E-2</c:v>
                </c:pt>
                <c:pt idx="86">
                  <c:v>4.7206704979035265E-2</c:v>
                </c:pt>
                <c:pt idx="87">
                  <c:v>4.1633391294259157E-2</c:v>
                </c:pt>
                <c:pt idx="88">
                  <c:v>3.6705524541774573E-2</c:v>
                </c:pt>
                <c:pt idx="89">
                  <c:v>3.2350756770644619E-2</c:v>
                </c:pt>
                <c:pt idx="90">
                  <c:v>2.8504409985487238E-2</c:v>
                </c:pt>
                <c:pt idx="91">
                  <c:v>2.5108742380702851E-2</c:v>
                </c:pt>
                <c:pt idx="92">
                  <c:v>2.2112270208144314E-2</c:v>
                </c:pt>
                <c:pt idx="93">
                  <c:v>1.9469143914789832E-2</c:v>
                </c:pt>
                <c:pt idx="94">
                  <c:v>1.7138576535906606E-2</c:v>
                </c:pt>
                <c:pt idx="95">
                  <c:v>1.5084321870406701E-2</c:v>
                </c:pt>
                <c:pt idx="96">
                  <c:v>1.3274199661789476E-2</c:v>
                </c:pt>
                <c:pt idx="97">
                  <c:v>1.167966482897391E-2</c:v>
                </c:pt>
                <c:pt idx="98">
                  <c:v>1.027541771012697E-2</c:v>
                </c:pt>
                <c:pt idx="99">
                  <c:v>9.039052277273885E-3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783-47DB-A4F8-028BA47EB4E8}"/>
            </c:ext>
          </c:extLst>
        </c:ser>
        <c:ser>
          <c:idx val="1"/>
          <c:order val="1"/>
          <c:tx>
            <c:v>Tandem</c:v>
          </c:tx>
          <c:spPr>
            <a:ln>
              <a:solidFill>
                <a:srgbClr val="D2AD46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Larguillo!$E$4:$E$103</c:f>
              <c:numCache>
                <c:formatCode>0.00</c:formatCode>
                <c:ptCount val="100"/>
                <c:pt idx="0">
                  <c:v>8.5407161728488038E-28</c:v>
                </c:pt>
                <c:pt idx="1">
                  <c:v>1.1518602379413251E-17</c:v>
                </c:pt>
                <c:pt idx="2">
                  <c:v>8.1706943664492289E-13</c:v>
                </c:pt>
                <c:pt idx="3">
                  <c:v>7.462460255090954E-10</c:v>
                </c:pt>
                <c:pt idx="4">
                  <c:v>7.8396525076159917E-8</c:v>
                </c:pt>
                <c:pt idx="5">
                  <c:v>2.3310444024516957E-6</c:v>
                </c:pt>
                <c:pt idx="6">
                  <c:v>3.0762799231936703E-5</c:v>
                </c:pt>
                <c:pt idx="7">
                  <c:v>2.3224213888854456E-4</c:v>
                </c:pt>
                <c:pt idx="8">
                  <c:v>1.1719211148581939E-3</c:v>
                </c:pt>
                <c:pt idx="9">
                  <c:v>4.3751226145860873E-3</c:v>
                </c:pt>
                <c:pt idx="10">
                  <c:v>1.2952848538711861E-2</c:v>
                </c:pt>
                <c:pt idx="11">
                  <c:v>3.1951856677164679E-2</c:v>
                </c:pt>
                <c:pt idx="12">
                  <c:v>6.8369040158435826E-2</c:v>
                </c:pt>
                <c:pt idx="13">
                  <c:v>0.13623583054636232</c:v>
                </c:pt>
                <c:pt idx="14">
                  <c:v>0.308826582256154</c:v>
                </c:pt>
                <c:pt idx="15">
                  <c:v>0.91864316621265674</c:v>
                </c:pt>
                <c:pt idx="16">
                  <c:v>2.7629451663328055</c:v>
                </c:pt>
                <c:pt idx="17">
                  <c:v>6.5698663182311812</c:v>
                </c:pt>
                <c:pt idx="18">
                  <c:v>11.657983344546572</c:v>
                </c:pt>
                <c:pt idx="19">
                  <c:v>15.695384460750638</c:v>
                </c:pt>
                <c:pt idx="20">
                  <c:v>16.597682660217377</c:v>
                </c:pt>
                <c:pt idx="21">
                  <c:v>14.345995464860826</c:v>
                </c:pt>
                <c:pt idx="22">
                  <c:v>10.620459722505704</c:v>
                </c:pt>
                <c:pt idx="23">
                  <c:v>7.1707153203028815</c:v>
                </c:pt>
                <c:pt idx="24">
                  <c:v>4.8173656153628732</c:v>
                </c:pt>
                <c:pt idx="25">
                  <c:v>3.5354139557454416</c:v>
                </c:pt>
                <c:pt idx="26">
                  <c:v>2.958475293660292</c:v>
                </c:pt>
                <c:pt idx="27">
                  <c:v>2.7387237445283161</c:v>
                </c:pt>
                <c:pt idx="28">
                  <c:v>2.6595395446581591</c:v>
                </c:pt>
                <c:pt idx="29">
                  <c:v>2.6158203113958129</c:v>
                </c:pt>
                <c:pt idx="30">
                  <c:v>2.5665869926661933</c:v>
                </c:pt>
                <c:pt idx="31">
                  <c:v>2.5008535184472982</c:v>
                </c:pt>
                <c:pt idx="32">
                  <c:v>2.4203797680535222</c:v>
                </c:pt>
                <c:pt idx="33">
                  <c:v>2.3327697591210503</c:v>
                </c:pt>
                <c:pt idx="34">
                  <c:v>2.249215543471164</c:v>
                </c:pt>
                <c:pt idx="35">
                  <c:v>2.1836929797264517</c:v>
                </c:pt>
                <c:pt idx="36">
                  <c:v>2.1520674895670204</c:v>
                </c:pt>
                <c:pt idx="37">
                  <c:v>2.1704521772610423</c:v>
                </c:pt>
                <c:pt idx="38">
                  <c:v>2.2527236741715386</c:v>
                </c:pt>
                <c:pt idx="39">
                  <c:v>2.4075515561085687</c:v>
                </c:pt>
                <c:pt idx="40">
                  <c:v>2.6356235426559018</c:v>
                </c:pt>
                <c:pt idx="41">
                  <c:v>2.9278595510366321</c:v>
                </c:pt>
                <c:pt idx="42">
                  <c:v>3.2652495089338025</c:v>
                </c:pt>
                <c:pt idx="43">
                  <c:v>3.6205640658357776</c:v>
                </c:pt>
                <c:pt idx="44">
                  <c:v>3.9617028346333396</c:v>
                </c:pt>
                <c:pt idx="45">
                  <c:v>4.2560242518403335</c:v>
                </c:pt>
                <c:pt idx="46">
                  <c:v>4.4747752660921787</c:v>
                </c:pt>
                <c:pt idx="47">
                  <c:v>4.5967609430296275</c:v>
                </c:pt>
                <c:pt idx="48">
                  <c:v>4.6106306402231656</c:v>
                </c:pt>
                <c:pt idx="49">
                  <c:v>4.5155146497131575</c:v>
                </c:pt>
                <c:pt idx="50">
                  <c:v>4.3201101989560229</c:v>
                </c:pt>
                <c:pt idx="51">
                  <c:v>4.0405957380857727</c:v>
                </c:pt>
                <c:pt idx="52">
                  <c:v>3.6978980024054762</c:v>
                </c:pt>
                <c:pt idx="53">
                  <c:v>3.3148444128781893</c:v>
                </c:pt>
                <c:pt idx="54">
                  <c:v>2.9136357879069346</c:v>
                </c:pt>
                <c:pt idx="55">
                  <c:v>2.5139194055656287</c:v>
                </c:pt>
                <c:pt idx="56">
                  <c:v>2.1315777454341274</c:v>
                </c:pt>
                <c:pt idx="57">
                  <c:v>1.7782091355436767</c:v>
                </c:pt>
                <c:pt idx="58">
                  <c:v>1.4611818245322767</c:v>
                </c:pt>
                <c:pt idx="59">
                  <c:v>1.1840961973920168</c:v>
                </c:pt>
                <c:pt idx="60">
                  <c:v>0.9474837236767033</c:v>
                </c:pt>
                <c:pt idx="61">
                  <c:v>0.74959319415188153</c:v>
                </c:pt>
                <c:pt idx="62">
                  <c:v>0.58715151406177668</c:v>
                </c:pt>
                <c:pt idx="63">
                  <c:v>0.4560266229124238</c:v>
                </c:pt>
                <c:pt idx="64">
                  <c:v>0.35175637175545349</c:v>
                </c:pt>
                <c:pt idx="65">
                  <c:v>0.26993536799040663</c:v>
                </c:pt>
                <c:pt idx="66">
                  <c:v>0.20647075612740856</c:v>
                </c:pt>
                <c:pt idx="67">
                  <c:v>0.15772843505770448</c:v>
                </c:pt>
                <c:pt idx="68">
                  <c:v>0.1205951151244806</c:v>
                </c:pt>
                <c:pt idx="69">
                  <c:v>9.2480971517541324E-2</c:v>
                </c:pt>
                <c:pt idx="70">
                  <c:v>7.1284356347112693E-2</c:v>
                </c:pt>
                <c:pt idx="71">
                  <c:v>5.5335585814944209E-2</c:v>
                </c:pt>
                <c:pt idx="72">
                  <c:v>4.3332251816976891E-2</c:v>
                </c:pt>
                <c:pt idx="73">
                  <c:v>3.4274429768631577E-2</c:v>
                </c:pt>
                <c:pt idx="74">
                  <c:v>2.7404850453781781E-2</c:v>
                </c:pt>
                <c:pt idx="75">
                  <c:v>2.2156633674208313E-2</c:v>
                </c:pt>
                <c:pt idx="76">
                  <c:v>1.8109473133206277E-2</c:v>
                </c:pt>
                <c:pt idx="77">
                  <c:v>1.4954079750479209E-2</c:v>
                </c:pt>
                <c:pt idx="78">
                  <c:v>1.2464082425495836E-2</c:v>
                </c:pt>
                <c:pt idx="79">
                  <c:v>1.0474310134137179E-2</c:v>
                </c:pt>
                <c:pt idx="80">
                  <c:v>8.8643203318840898E-3</c:v>
                </c:pt>
                <c:pt idx="81">
                  <c:v>7.5461069456297658E-3</c:v>
                </c:pt>
                <c:pt idx="82">
                  <c:v>6.4550537530684128E-3</c:v>
                </c:pt>
                <c:pt idx="83">
                  <c:v>5.5433542325018167E-3</c:v>
                </c:pt>
                <c:pt idx="84">
                  <c:v>4.7752720228031453E-3</c:v>
                </c:pt>
                <c:pt idx="85">
                  <c:v>4.1237536375567452E-3</c:v>
                </c:pt>
                <c:pt idx="86">
                  <c:v>3.5680214199863662E-3</c:v>
                </c:pt>
                <c:pt idx="87">
                  <c:v>3.0918690114667695E-3</c:v>
                </c:pt>
                <c:pt idx="88">
                  <c:v>2.6824555308151213E-3</c:v>
                </c:pt>
                <c:pt idx="89">
                  <c:v>2.3294511022795214E-3</c:v>
                </c:pt>
                <c:pt idx="90">
                  <c:v>2.0244285252440639E-3</c:v>
                </c:pt>
                <c:pt idx="91">
                  <c:v>1.7604267843418376E-3</c:v>
                </c:pt>
                <c:pt idx="92">
                  <c:v>1.5316343990380847E-3</c:v>
                </c:pt>
                <c:pt idx="93">
                  <c:v>1.3331564833103404E-3</c:v>
                </c:pt>
                <c:pt idx="94">
                  <c:v>1.1608405489557374E-3</c:v>
                </c:pt>
                <c:pt idx="95">
                  <c:v>1.0111438578970563E-3</c:v>
                </c:pt>
                <c:pt idx="96">
                  <c:v>8.8103049382746773E-4</c:v>
                </c:pt>
                <c:pt idx="97">
                  <c:v>7.67890001612799E-4</c:v>
                </c:pt>
                <c:pt idx="98">
                  <c:v>6.6947195154864125E-4</c:v>
                </c:pt>
                <c:pt idx="99">
                  <c:v>5.8383249118446317E-4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783-47DB-A4F8-028BA47EB4E8}"/>
            </c:ext>
          </c:extLst>
        </c:ser>
        <c:ser>
          <c:idx val="0"/>
          <c:order val="2"/>
          <c:tx>
            <c:v>Sencillo Dual</c:v>
          </c:tx>
          <c:spPr>
            <a:ln>
              <a:solidFill>
                <a:srgbClr val="F3E319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Larguillo!$D$4:$D$103</c:f>
              <c:numCache>
                <c:formatCode>0.00</c:formatCode>
                <c:ptCount val="100"/>
                <c:pt idx="0">
                  <c:v>8.5305356252460449E-9</c:v>
                </c:pt>
                <c:pt idx="1">
                  <c:v>4.1297764298174952E-4</c:v>
                </c:pt>
                <c:pt idx="2">
                  <c:v>4.0746343622162146E-2</c:v>
                </c:pt>
                <c:pt idx="3">
                  <c:v>0.49075036771464903</c:v>
                </c:pt>
                <c:pt idx="4">
                  <c:v>2.178634659601018</c:v>
                </c:pt>
                <c:pt idx="5">
                  <c:v>5.5363516057769244</c:v>
                </c:pt>
                <c:pt idx="6">
                  <c:v>9.9718245504490017</c:v>
                </c:pt>
                <c:pt idx="7">
                  <c:v>14.314578953336788</c:v>
                </c:pt>
                <c:pt idx="8">
                  <c:v>17.565865515052778</c:v>
                </c:pt>
                <c:pt idx="9">
                  <c:v>19.266060594461191</c:v>
                </c:pt>
                <c:pt idx="10">
                  <c:v>19.455527809074137</c:v>
                </c:pt>
                <c:pt idx="11">
                  <c:v>18.46471191903262</c:v>
                </c:pt>
                <c:pt idx="12">
                  <c:v>16.713060408387026</c:v>
                </c:pt>
                <c:pt idx="13">
                  <c:v>14.582705718506666</c:v>
                </c:pt>
                <c:pt idx="14">
                  <c:v>12.364179427567722</c:v>
                </c:pt>
                <c:pt idx="15">
                  <c:v>10.248973614116471</c:v>
                </c:pt>
                <c:pt idx="16">
                  <c:v>8.3449410129240071</c:v>
                </c:pt>
                <c:pt idx="17">
                  <c:v>6.6986818848803686</c:v>
                </c:pt>
                <c:pt idx="18">
                  <c:v>5.3166810815725398</c:v>
                </c:pt>
                <c:pt idx="19">
                  <c:v>4.1820121229287555</c:v>
                </c:pt>
                <c:pt idx="20">
                  <c:v>3.2661487009626748</c:v>
                </c:pt>
                <c:pt idx="21">
                  <c:v>2.536602926778007</c:v>
                </c:pt>
                <c:pt idx="22">
                  <c:v>1.9614370650277682</c:v>
                </c:pt>
                <c:pt idx="23">
                  <c:v>1.5116291599237726</c:v>
                </c:pt>
                <c:pt idx="24">
                  <c:v>1.1620687757699188</c:v>
                </c:pt>
                <c:pt idx="25">
                  <c:v>0.89174056475804564</c:v>
                </c:pt>
                <c:pt idx="26">
                  <c:v>0.68346933076212624</c:v>
                </c:pt>
                <c:pt idx="27">
                  <c:v>0.52346234570853711</c:v>
                </c:pt>
                <c:pt idx="28">
                  <c:v>0.40078876159534754</c:v>
                </c:pt>
                <c:pt idx="29">
                  <c:v>0.30687293878558319</c:v>
                </c:pt>
                <c:pt idx="30">
                  <c:v>0.2350391390879879</c:v>
                </c:pt>
                <c:pt idx="31">
                  <c:v>0.18012169451538307</c:v>
                </c:pt>
                <c:pt idx="32">
                  <c:v>0.13814179761661985</c:v>
                </c:pt>
                <c:pt idx="33">
                  <c:v>0.1060455217899305</c:v>
                </c:pt>
                <c:pt idx="34">
                  <c:v>8.1494948364503522E-2</c:v>
                </c:pt>
                <c:pt idx="35">
                  <c:v>6.2703676664933233E-2</c:v>
                </c:pt>
                <c:pt idx="36">
                  <c:v>4.830849280538739E-2</c:v>
                </c:pt>
                <c:pt idx="37">
                  <c:v>3.7269962773377421E-2</c:v>
                </c:pt>
                <c:pt idx="38">
                  <c:v>2.879585196944294E-2</c:v>
                </c:pt>
                <c:pt idx="39">
                  <c:v>2.2282376347756195E-2</c:v>
                </c:pt>
                <c:pt idx="40">
                  <c:v>1.7269275609139718E-2</c:v>
                </c:pt>
                <c:pt idx="41">
                  <c:v>1.3405537027750708E-2</c:v>
                </c:pt>
                <c:pt idx="42">
                  <c:v>1.0423288976519401E-2</c:v>
                </c:pt>
                <c:pt idx="43">
                  <c:v>8.1179395554629285E-3</c:v>
                </c:pt>
                <c:pt idx="44">
                  <c:v>6.3330768341147668E-3</c:v>
                </c:pt>
                <c:pt idx="45">
                  <c:v>4.9489928132918195E-3</c:v>
                </c:pt>
                <c:pt idx="46">
                  <c:v>3.8739615451535399E-3</c:v>
                </c:pt>
                <c:pt idx="47">
                  <c:v>3.0376087695804903E-3</c:v>
                </c:pt>
                <c:pt idx="48">
                  <c:v>2.3858691486936365E-3</c:v>
                </c:pt>
                <c:pt idx="49">
                  <c:v>1.8771484474706789E-3</c:v>
                </c:pt>
                <c:pt idx="50">
                  <c:v>1.4794003754795904E-3</c:v>
                </c:pt>
                <c:pt idx="51">
                  <c:v>1.1678980008801771E-3</c:v>
                </c:pt>
                <c:pt idx="52">
                  <c:v>9.2353290783241126E-4</c:v>
                </c:pt>
                <c:pt idx="53">
                  <c:v>7.3151563337425633E-4</c:v>
                </c:pt>
                <c:pt idx="54">
                  <c:v>5.8038149060250744E-4</c:v>
                </c:pt>
                <c:pt idx="55">
                  <c:v>4.6122903017162427E-4</c:v>
                </c:pt>
                <c:pt idx="56">
                  <c:v>3.671359145543913E-4</c:v>
                </c:pt>
                <c:pt idx="57">
                  <c:v>2.9271024778946972E-4</c:v>
                </c:pt>
                <c:pt idx="58">
                  <c:v>2.3374545450185699E-4</c:v>
                </c:pt>
                <c:pt idx="59">
                  <c:v>1.8695442035853192E-4</c:v>
                </c:pt>
                <c:pt idx="60">
                  <c:v>1.4976438483094232E-4</c:v>
                </c:pt>
                <c:pt idx="61">
                  <c:v>1.201584641817419E-4</c:v>
                </c:pt>
                <c:pt idx="62">
                  <c:v>9.6553016343213751E-5</c:v>
                </c:pt>
                <c:pt idx="63">
                  <c:v>7.7702595377169734E-5</c:v>
                </c:pt>
                <c:pt idx="64">
                  <c:v>6.2626174578409366E-5</c:v>
                </c:pt>
                <c:pt idx="65">
                  <c:v>5.0549789936347345E-5</c:v>
                </c:pt>
                <c:pt idx="66">
                  <c:v>4.0861879963935452E-5</c:v>
                </c:pt>
                <c:pt idx="67">
                  <c:v>3.307845736296995E-5</c:v>
                </c:pt>
                <c:pt idx="68">
                  <c:v>2.6815905886007598E-5</c:v>
                </c:pt>
                <c:pt idx="69">
                  <c:v>2.1769700043845335E-5</c:v>
                </c:pt>
                <c:pt idx="70">
                  <c:v>1.7697732398487374E-5</c:v>
                </c:pt>
                <c:pt idx="71">
                  <c:v>1.4407230734826961E-5</c:v>
                </c:pt>
                <c:pt idx="72">
                  <c:v>1.1744476460426104E-5</c:v>
                </c:pt>
                <c:pt idx="73">
                  <c:v>9.5867121664672009E-6</c:v>
                </c:pt>
                <c:pt idx="74">
                  <c:v>7.835762614037951E-6</c:v>
                </c:pt>
                <c:pt idx="75">
                  <c:v>6.412998819034079E-6</c:v>
                </c:pt>
                <c:pt idx="76">
                  <c:v>5.2553565300324873E-6</c:v>
                </c:pt>
                <c:pt idx="77">
                  <c:v>4.3121836883415221E-6</c:v>
                </c:pt>
                <c:pt idx="78">
                  <c:v>3.5427406154190065E-6</c:v>
                </c:pt>
                <c:pt idx="79">
                  <c:v>2.9142149047578055E-6</c:v>
                </c:pt>
                <c:pt idx="80">
                  <c:v>2.400142774709023E-6</c:v>
                </c:pt>
                <c:pt idx="81">
                  <c:v>1.9791518684027518E-6</c:v>
                </c:pt>
                <c:pt idx="82">
                  <c:v>1.6339586340183969E-6</c:v>
                </c:pt>
                <c:pt idx="83">
                  <c:v>1.3505676158865248E-6</c:v>
                </c:pt>
                <c:pt idx="84">
                  <c:v>1.1176311101105123E-6</c:v>
                </c:pt>
                <c:pt idx="85">
                  <c:v>9.2593636574373028E-7</c:v>
                </c:pt>
                <c:pt idx="86">
                  <c:v>7.6799436991757661E-7</c:v>
                </c:pt>
                <c:pt idx="87">
                  <c:v>6.37709651035417E-7</c:v>
                </c:pt>
                <c:pt idx="88">
                  <c:v>5.3011478577859964E-7</c:v>
                </c:pt>
                <c:pt idx="89">
                  <c:v>4.4115665050177505E-7</c:v>
                </c:pt>
                <c:pt idx="90">
                  <c:v>3.6752410847453483E-7</c:v>
                </c:pt>
                <c:pt idx="91">
                  <c:v>3.0650892195881193E-7</c:v>
                </c:pt>
                <c:pt idx="92">
                  <c:v>2.5589334007523753E-7</c:v>
                </c:pt>
                <c:pt idx="93">
                  <c:v>2.1385913204398723E-7</c:v>
                </c:pt>
                <c:pt idx="94">
                  <c:v>1.7891388301968135E-7</c:v>
                </c:pt>
                <c:pt idx="95">
                  <c:v>1.4983120317972981E-7</c:v>
                </c:pt>
                <c:pt idx="96">
                  <c:v>1.25602164640151E-7</c:v>
                </c:pt>
                <c:pt idx="97">
                  <c:v>1.0539581033623035E-7</c:v>
                </c:pt>
                <c:pt idx="98">
                  <c:v>8.8527001952902417E-8</c:v>
                </c:pt>
                <c:pt idx="99">
                  <c:v>7.4430212219406415E-8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783-47DB-A4F8-028BA47EB4E8}"/>
            </c:ext>
          </c:extLst>
        </c:ser>
        <c:ser>
          <c:idx val="3"/>
          <c:order val="3"/>
          <c:tx>
            <c:v>Sencillo</c:v>
          </c:tx>
          <c:spPr>
            <a:ln>
              <a:solidFill>
                <a:srgbClr val="1CCA52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Larguillo!$C$4:$C$103</c:f>
              <c:numCache>
                <c:formatCode>0.00</c:formatCode>
                <c:ptCount val="100"/>
                <c:pt idx="0">
                  <c:v>1.0110045112736447E-4</c:v>
                </c:pt>
                <c:pt idx="1">
                  <c:v>0.31934053328052636</c:v>
                </c:pt>
                <c:pt idx="2">
                  <c:v>5.7771608833961974</c:v>
                </c:pt>
                <c:pt idx="3">
                  <c:v>19.972095289182327</c:v>
                </c:pt>
                <c:pt idx="4">
                  <c:v>32.826251977169122</c:v>
                </c:pt>
                <c:pt idx="5">
                  <c:v>36.433346807019589</c:v>
                </c:pt>
                <c:pt idx="6">
                  <c:v>32.198756240991251</c:v>
                </c:pt>
                <c:pt idx="7">
                  <c:v>24.732148373171594</c:v>
                </c:pt>
                <c:pt idx="8">
                  <c:v>17.367074133946065</c:v>
                </c:pt>
                <c:pt idx="9">
                  <c:v>11.500303185486164</c:v>
                </c:pt>
                <c:pt idx="10">
                  <c:v>7.3259697526529637</c:v>
                </c:pt>
                <c:pt idx="11">
                  <c:v>4.5493809445334197</c:v>
                </c:pt>
                <c:pt idx="12">
                  <c:v>2.7791264220493628</c:v>
                </c:pt>
                <c:pt idx="13">
                  <c:v>1.6806773415264196</c:v>
                </c:pt>
                <c:pt idx="14">
                  <c:v>1.0107306444274524</c:v>
                </c:pt>
                <c:pt idx="15">
                  <c:v>0.60641325785716615</c:v>
                </c:pt>
                <c:pt idx="16">
                  <c:v>0.3638364884260587</c:v>
                </c:pt>
                <c:pt idx="17">
                  <c:v>0.21867287610841205</c:v>
                </c:pt>
                <c:pt idx="18">
                  <c:v>0.13182007004262689</c:v>
                </c:pt>
                <c:pt idx="19">
                  <c:v>7.9774834435544395E-2</c:v>
                </c:pt>
                <c:pt idx="20">
                  <c:v>4.8499637236258782E-2</c:v>
                </c:pt>
                <c:pt idx="21">
                  <c:v>2.9635187369113847E-2</c:v>
                </c:pt>
                <c:pt idx="22">
                  <c:v>1.8206222364111842E-2</c:v>
                </c:pt>
                <c:pt idx="23">
                  <c:v>1.1247970563587192E-2</c:v>
                </c:pt>
                <c:pt idx="24">
                  <c:v>6.9893017855030349E-3</c:v>
                </c:pt>
                <c:pt idx="25">
                  <c:v>4.3685187415609264E-3</c:v>
                </c:pt>
                <c:pt idx="26">
                  <c:v>2.746563737673938E-3</c:v>
                </c:pt>
                <c:pt idx="27">
                  <c:v>1.7369936243790973E-3</c:v>
                </c:pt>
                <c:pt idx="28">
                  <c:v>1.1049569374177457E-3</c:v>
                </c:pt>
                <c:pt idx="29">
                  <c:v>7.0697991766523974E-4</c:v>
                </c:pt>
                <c:pt idx="30">
                  <c:v>4.5493799292717623E-4</c:v>
                </c:pt>
                <c:pt idx="31">
                  <c:v>2.9440430919613192E-4</c:v>
                </c:pt>
                <c:pt idx="32">
                  <c:v>1.9157657203389543E-4</c:v>
                </c:pt>
                <c:pt idx="33">
                  <c:v>1.2534399286555335E-4</c:v>
                </c:pt>
                <c:pt idx="34">
                  <c:v>8.2448393330531008E-5</c:v>
                </c:pt>
                <c:pt idx="35">
                  <c:v>5.4516982097750608E-5</c:v>
                </c:pt>
                <c:pt idx="36">
                  <c:v>3.6233062091893961E-5</c:v>
                </c:pt>
                <c:pt idx="37">
                  <c:v>2.4202169709192039E-5</c:v>
                </c:pt>
                <c:pt idx="38">
                  <c:v>1.6245462275469062E-5</c:v>
                </c:pt>
                <c:pt idx="39">
                  <c:v>1.0956987436690861E-5</c:v>
                </c:pt>
                <c:pt idx="40">
                  <c:v>7.4248027457524445E-6</c:v>
                </c:pt>
                <c:pt idx="41">
                  <c:v>5.054374204406671E-6</c:v>
                </c:pt>
                <c:pt idx="42">
                  <c:v>3.4561568789551759E-6</c:v>
                </c:pt>
                <c:pt idx="43">
                  <c:v>2.3736619286178769E-6</c:v>
                </c:pt>
                <c:pt idx="44">
                  <c:v>1.6371949461751938E-6</c:v>
                </c:pt>
                <c:pt idx="45">
                  <c:v>1.1339549835821426E-6</c:v>
                </c:pt>
                <c:pt idx="46">
                  <c:v>7.8861301898841043E-7</c:v>
                </c:pt>
                <c:pt idx="47">
                  <c:v>5.506360847713136E-7</c:v>
                </c:pt>
                <c:pt idx="48">
                  <c:v>3.8597480108420847E-7</c:v>
                </c:pt>
                <c:pt idx="49">
                  <c:v>2.7158690278083494E-7</c:v>
                </c:pt>
                <c:pt idx="50">
                  <c:v>1.9181270508546093E-7</c:v>
                </c:pt>
                <c:pt idx="51">
                  <c:v>1.3596550303513534E-7</c:v>
                </c:pt>
                <c:pt idx="52">
                  <c:v>9.6722626698470732E-8</c:v>
                </c:pt>
                <c:pt idx="53">
                  <c:v>6.9046488078788535E-8</c:v>
                </c:pt>
                <c:pt idx="54">
                  <c:v>4.9457986872646788E-8</c:v>
                </c:pt>
                <c:pt idx="55">
                  <c:v>3.5545181342800917E-8</c:v>
                </c:pt>
                <c:pt idx="56">
                  <c:v>2.5629702090279795E-8</c:v>
                </c:pt>
                <c:pt idx="57">
                  <c:v>1.8539366262839398E-8</c:v>
                </c:pt>
                <c:pt idx="58">
                  <c:v>1.3452579758900682E-8</c:v>
                </c:pt>
                <c:pt idx="59">
                  <c:v>9.7914577032337287E-9</c:v>
                </c:pt>
                <c:pt idx="60">
                  <c:v>7.1481353304894041E-9</c:v>
                </c:pt>
                <c:pt idx="61">
                  <c:v>5.2337765146231104E-9</c:v>
                </c:pt>
                <c:pt idx="62">
                  <c:v>3.8431621783706916E-9</c:v>
                </c:pt>
                <c:pt idx="63">
                  <c:v>2.8300119404171767E-9</c:v>
                </c:pt>
                <c:pt idx="64">
                  <c:v>2.0897265455890161E-9</c:v>
                </c:pt>
                <c:pt idx="65">
                  <c:v>1.5472789146013586E-9</c:v>
                </c:pt>
                <c:pt idx="66">
                  <c:v>1.1486896593573764E-9</c:v>
                </c:pt>
                <c:pt idx="67">
                  <c:v>8.5500652567720466E-10</c:v>
                </c:pt>
                <c:pt idx="68">
                  <c:v>6.3803874530386862E-10</c:v>
                </c:pt>
                <c:pt idx="69">
                  <c:v>4.7732533288633531E-10</c:v>
                </c:pt>
                <c:pt idx="70">
                  <c:v>3.5797378196975236E-10</c:v>
                </c:pt>
                <c:pt idx="71">
                  <c:v>2.6911464140587664E-10</c:v>
                </c:pt>
                <c:pt idx="72">
                  <c:v>2.0279321554633339E-10</c:v>
                </c:pt>
                <c:pt idx="73">
                  <c:v>1.5317244879478787E-10</c:v>
                </c:pt>
                <c:pt idx="74">
                  <c:v>1.1595799389022605E-10</c:v>
                </c:pt>
                <c:pt idx="75">
                  <c:v>8.7982378082512228E-11</c:v>
                </c:pt>
                <c:pt idx="76">
                  <c:v>6.6903418035850607E-11</c:v>
                </c:pt>
                <c:pt idx="77">
                  <c:v>5.0984906491278563E-11</c:v>
                </c:pt>
                <c:pt idx="78">
                  <c:v>3.893670637883868E-11</c:v>
                </c:pt>
                <c:pt idx="79">
                  <c:v>2.9797858011377825E-11</c:v>
                </c:pt>
                <c:pt idx="80">
                  <c:v>2.2850911754793562E-11</c:v>
                </c:pt>
                <c:pt idx="81">
                  <c:v>1.7558987918586076E-11</c:v>
                </c:pt>
                <c:pt idx="82">
                  <c:v>1.3519420775686371E-11</c:v>
                </c:pt>
                <c:pt idx="83">
                  <c:v>1.0429534487160752E-11</c:v>
                </c:pt>
                <c:pt idx="84">
                  <c:v>8.0613158843452606E-12</c:v>
                </c:pt>
                <c:pt idx="85">
                  <c:v>6.2426275466839757E-12</c:v>
                </c:pt>
                <c:pt idx="86">
                  <c:v>4.8432402855673834E-12</c:v>
                </c:pt>
                <c:pt idx="87">
                  <c:v>3.7644252815713704E-12</c:v>
                </c:pt>
                <c:pt idx="88">
                  <c:v>2.9311814794537881E-12</c:v>
                </c:pt>
                <c:pt idx="89">
                  <c:v>2.2864183272947833E-12</c:v>
                </c:pt>
                <c:pt idx="90">
                  <c:v>1.7865926078701759E-12</c:v>
                </c:pt>
                <c:pt idx="91">
                  <c:v>1.398428981486493E-12</c:v>
                </c:pt>
                <c:pt idx="92">
                  <c:v>1.0964499471370086E-12</c:v>
                </c:pt>
                <c:pt idx="93">
                  <c:v>8.6111163969626034E-13</c:v>
                </c:pt>
                <c:pt idx="94">
                  <c:v>6.7739403441086221E-13</c:v>
                </c:pt>
                <c:pt idx="95">
                  <c:v>5.3373268178504371E-13</c:v>
                </c:pt>
                <c:pt idx="96">
                  <c:v>4.2120765574335262E-13</c:v>
                </c:pt>
                <c:pt idx="97">
                  <c:v>3.3292660100570509E-13</c:v>
                </c:pt>
                <c:pt idx="98">
                  <c:v>2.6355454031103348E-13</c:v>
                </c:pt>
                <c:pt idx="99">
                  <c:v>2.0895486271267467E-13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783-47DB-A4F8-028BA47EB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162048"/>
        <c:axId val="162583680"/>
      </c:scatterChart>
      <c:valAx>
        <c:axId val="172162048"/>
        <c:scaling>
          <c:orientation val="minMax"/>
          <c:max val="40"/>
          <c:min val="0"/>
        </c:scaling>
        <c:delete val="0"/>
        <c:axPos val="b"/>
        <c:majorGridlines>
          <c:spPr>
            <a:ln>
              <a:solidFill>
                <a:schemeClr val="bg1">
                  <a:lumMod val="50000"/>
                  <a:alpha val="50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sz="1400"/>
                </a:pPr>
                <a:r>
                  <a:rPr lang="es-MX" sz="14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2583680"/>
        <c:crossesAt val="0"/>
        <c:crossBetween val="midCat"/>
        <c:majorUnit val="5"/>
      </c:valAx>
      <c:valAx>
        <c:axId val="162583680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C00000">
                  <a:alpha val="50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s-MX" sz="1400"/>
                  <a:t>Porcentaje ,</a:t>
                </a:r>
                <a:r>
                  <a:rPr lang="es-MX" sz="1400" baseline="0"/>
                  <a:t> %</a:t>
                </a:r>
                <a:endParaRPr lang="es-MX" sz="1400"/>
              </a:p>
            </c:rich>
          </c:tx>
          <c:layout>
            <c:manualLayout>
              <c:xMode val="edge"/>
              <c:yMode val="edge"/>
              <c:x val="4.3921566457480075E-3"/>
              <c:y val="0.37827475043315878"/>
            </c:manualLayout>
          </c:layout>
          <c:overlay val="0"/>
        </c:title>
        <c:numFmt formatCode="0&quot;%&quot;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72162048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0.70167518723460065"/>
          <c:y val="6.2700871646777734E-2"/>
          <c:w val="0.23449632535285048"/>
          <c:h val="0.35903034841482556"/>
        </c:manualLayout>
      </c:layout>
      <c:overlay val="0"/>
      <c:spPr>
        <a:solidFill>
          <a:schemeClr val="bg1"/>
        </a:solidFill>
        <a:effectLst>
          <a:outerShdw blurRad="50800" dist="38100" algn="l" rotWithShape="0">
            <a:prstClr val="black">
              <a:alpha val="40000"/>
            </a:prstClr>
          </a:outerShdw>
        </a:effectLst>
      </c:spPr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432" l="0.70000000000000062" r="0.70000000000000062" t="0.7500000000000143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77"/>
          <c:h val="0.35616420332967708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48-4893-9946-C790A61DB0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41984"/>
        <c:axId val="163243904"/>
      </c:scatterChart>
      <c:valAx>
        <c:axId val="163241984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3243904"/>
        <c:crossesAt val="0"/>
        <c:crossBetween val="midCat"/>
        <c:majorUnit val="122"/>
      </c:valAx>
      <c:valAx>
        <c:axId val="163243904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3241984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s-MX" sz="1400"/>
              <a:t>Punto</a:t>
            </a:r>
            <a:r>
              <a:rPr lang="es-MX" sz="1400" baseline="0"/>
              <a:t> de análisis</a:t>
            </a:r>
            <a:endParaRPr lang="es-MX" sz="1400"/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55"/>
          <c:h val="0.35616420332967685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50-4537-9D0C-0E729AE78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11552"/>
        <c:axId val="161913088"/>
      </c:scatterChart>
      <c:valAx>
        <c:axId val="161911552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1913088"/>
        <c:crossesAt val="0"/>
        <c:crossBetween val="midCat"/>
        <c:majorUnit val="122"/>
      </c:valAx>
      <c:valAx>
        <c:axId val="161913088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1911552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9525">
      <a:noFill/>
    </a:ln>
  </c:spPr>
  <c:printSettings>
    <c:headerFooter/>
    <c:pageMargins b="0.75000000000001388" l="0.70000000000000062" r="0.70000000000000062" t="0.7500000000000138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99"/>
          <c:h val="0.35616420332967735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57-46B8-BA68-77CB153BE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73344"/>
        <c:axId val="163291904"/>
      </c:scatterChart>
      <c:valAx>
        <c:axId val="163273344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3291904"/>
        <c:crossesAt val="0"/>
        <c:crossBetween val="midCat"/>
        <c:majorUnit val="122"/>
      </c:valAx>
      <c:valAx>
        <c:axId val="163291904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3273344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32" l="0.70000000000000062" r="0.70000000000000062" t="0.7500000000000143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77"/>
          <c:h val="0.35616420332967708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67-4451-AAB6-B0F7794244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886208"/>
        <c:axId val="161888128"/>
      </c:scatterChart>
      <c:valAx>
        <c:axId val="161886208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1888128"/>
        <c:crossesAt val="0"/>
        <c:crossBetween val="midCat"/>
        <c:majorUnit val="122"/>
      </c:valAx>
      <c:valAx>
        <c:axId val="161888128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1886208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77"/>
          <c:h val="0.35616420332967708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19-4F41-87CB-3B1C60857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63616"/>
        <c:axId val="163265536"/>
      </c:scatterChart>
      <c:valAx>
        <c:axId val="163263616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3265536"/>
        <c:crossesAt val="0"/>
        <c:crossBetween val="midCat"/>
        <c:majorUnit val="122"/>
      </c:valAx>
      <c:valAx>
        <c:axId val="163265536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3263616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2000"/>
              <a:t>Espectros de daño por</a:t>
            </a:r>
            <a:r>
              <a:rPr lang="es-MX" sz="2000" baseline="0"/>
              <a:t> DEFORMACIÓN PERMANENTE</a:t>
            </a:r>
            <a:endParaRPr lang="es-MX" sz="20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67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Larguillo!$AP$2</c:f>
              <c:strCache>
                <c:ptCount val="1"/>
                <c:pt idx="0">
                  <c:v>SIMPLE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Larguillo!$AP$4:$AP$103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BA-4E36-932F-B77769812399}"/>
            </c:ext>
          </c:extLst>
        </c:ser>
        <c:ser>
          <c:idx val="1"/>
          <c:order val="1"/>
          <c:tx>
            <c:strRef>
              <c:f>Larguillo!$AR$2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Larguillo!$AR$4:$AR$103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BA-4E36-932F-B77769812399}"/>
            </c:ext>
          </c:extLst>
        </c:ser>
        <c:ser>
          <c:idx val="2"/>
          <c:order val="2"/>
          <c:tx>
            <c:strRef>
              <c:f>Larguillo!$AT$2</c:f>
              <c:strCache>
                <c:ptCount val="1"/>
                <c:pt idx="0">
                  <c:v>TANDEM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Larguillo!$AT$4:$AT$103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BA-4E36-932F-B77769812399}"/>
            </c:ext>
          </c:extLst>
        </c:ser>
        <c:ser>
          <c:idx val="3"/>
          <c:order val="3"/>
          <c:tx>
            <c:strRef>
              <c:f>Larguillo!$AV$2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Larguillo!$AV$4:$AV$103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5BA-4E36-932F-B77769812399}"/>
            </c:ext>
          </c:extLst>
        </c:ser>
        <c:ser>
          <c:idx val="4"/>
          <c:order val="4"/>
          <c:tx>
            <c:v>TOTAL</c:v>
          </c:tx>
          <c:spPr>
            <a:ln cap="rnd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Larguillo!$AY$4:$AY$103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5BA-4E36-932F-B77769812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285824"/>
        <c:axId val="164292096"/>
      </c:scatterChart>
      <c:valAx>
        <c:axId val="164285824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292096"/>
        <c:crossesAt val="0"/>
        <c:crossBetween val="midCat"/>
        <c:majorUnit val="5"/>
      </c:valAx>
      <c:valAx>
        <c:axId val="164292096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C00000">
                  <a:alpha val="50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4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285824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6.2383034332372543E-2"/>
          <c:y val="0.8916097172487053"/>
          <c:w val="0.78494894377278668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2000"/>
              <a:t>Espectros de daño por</a:t>
            </a:r>
            <a:r>
              <a:rPr lang="es-MX" sz="2000" baseline="0"/>
              <a:t> FATIGA</a:t>
            </a:r>
            <a:endParaRPr lang="es-MX" sz="20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69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Larguillo!$AP$2</c:f>
              <c:strCache>
                <c:ptCount val="1"/>
                <c:pt idx="0">
                  <c:v>SIMPLE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Larguillo!$AQ$4:$AQ$103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06-4C28-A1FA-5E6CAA45508D}"/>
            </c:ext>
          </c:extLst>
        </c:ser>
        <c:ser>
          <c:idx val="1"/>
          <c:order val="1"/>
          <c:tx>
            <c:strRef>
              <c:f>Larguillo!$AR$2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Larguillo!$AS$4:$AS$103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006-4C28-A1FA-5E6CAA45508D}"/>
            </c:ext>
          </c:extLst>
        </c:ser>
        <c:ser>
          <c:idx val="2"/>
          <c:order val="2"/>
          <c:tx>
            <c:strRef>
              <c:f>Larguillo!$AT$2</c:f>
              <c:strCache>
                <c:ptCount val="1"/>
                <c:pt idx="0">
                  <c:v>TANDEM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Larguillo!$AU$4:$AU$103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006-4C28-A1FA-5E6CAA45508D}"/>
            </c:ext>
          </c:extLst>
        </c:ser>
        <c:ser>
          <c:idx val="3"/>
          <c:order val="3"/>
          <c:tx>
            <c:strRef>
              <c:f>Larguillo!$AV$2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Larguillo!$AW$4:$AW$103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006-4C28-A1FA-5E6CAA45508D}"/>
            </c:ext>
          </c:extLst>
        </c:ser>
        <c:ser>
          <c:idx val="4"/>
          <c:order val="4"/>
          <c:tx>
            <c:v>TODOS</c:v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Larguillo!$AZ$4:$AZ$103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006-4C28-A1FA-5E6CAA4550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509184"/>
        <c:axId val="164511104"/>
      </c:scatterChart>
      <c:valAx>
        <c:axId val="164509184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srgbClr val="4F81BD"/>
            </a:solidFill>
          </a:ln>
        </c:spPr>
        <c:txPr>
          <a:bodyPr/>
          <a:lstStyle/>
          <a:p>
            <a:pPr>
              <a:defRPr sz="1200"/>
            </a:pPr>
            <a:endParaRPr lang="es-ES"/>
          </a:p>
        </c:txPr>
        <c:crossAx val="164511104"/>
        <c:crossesAt val="0"/>
        <c:crossBetween val="midCat"/>
        <c:majorUnit val="5"/>
      </c:valAx>
      <c:valAx>
        <c:axId val="164511104"/>
        <c:scaling>
          <c:orientation val="minMax"/>
          <c:min val="0"/>
        </c:scaling>
        <c:delete val="0"/>
        <c:axPos val="l"/>
        <c:majorGridlines>
          <c:spPr>
            <a:ln w="9525">
              <a:solidFill>
                <a:srgbClr val="C00000">
                  <a:alpha val="50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5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>
            <a:solidFill>
              <a:schemeClr val="accent1"/>
            </a:solidFill>
          </a:ln>
        </c:spPr>
        <c:txPr>
          <a:bodyPr/>
          <a:lstStyle/>
          <a:p>
            <a:pPr>
              <a:defRPr sz="1200"/>
            </a:pPr>
            <a:endParaRPr lang="es-ES"/>
          </a:p>
        </c:txPr>
        <c:crossAx val="164509184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8.5807869776361748E-2"/>
          <c:y val="0.88959169936810478"/>
          <c:w val="0.76525732619798092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1900"/>
              <a:t>Distribución</a:t>
            </a:r>
            <a:r>
              <a:rPr lang="es-MX" sz="1900" baseline="0"/>
              <a:t> acumulada de daño por DEFORMACIÓN PERMANENTE</a:t>
            </a:r>
            <a:endParaRPr lang="es-MX" sz="19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898"/>
        </c:manualLayout>
      </c:layout>
      <c:scatterChart>
        <c:scatterStyle val="smoothMarker"/>
        <c:varyColors val="0"/>
        <c:ser>
          <c:idx val="6"/>
          <c:order val="0"/>
          <c:tx>
            <c:strRef>
              <c:f>Larguillo!$BB$3</c:f>
              <c:strCache>
                <c:ptCount val="1"/>
                <c:pt idx="0">
                  <c:v>SIMPLE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Larguillo!$BB$4:$BB$103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0A-4A99-9AA3-5EE95BF0A2E7}"/>
            </c:ext>
          </c:extLst>
        </c:ser>
        <c:ser>
          <c:idx val="1"/>
          <c:order val="1"/>
          <c:tx>
            <c:strRef>
              <c:f>Larguillo!$BC$3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Larguillo!$BC$4:$BC$103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0A-4A99-9AA3-5EE95BF0A2E7}"/>
            </c:ext>
          </c:extLst>
        </c:ser>
        <c:ser>
          <c:idx val="2"/>
          <c:order val="2"/>
          <c:tx>
            <c:strRef>
              <c:f>Larguillo!$BD$3</c:f>
              <c:strCache>
                <c:ptCount val="1"/>
                <c:pt idx="0">
                  <c:v>TANDEM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Larguillo!$BD$4:$BD$103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0A-4A99-9AA3-5EE95BF0A2E7}"/>
            </c:ext>
          </c:extLst>
        </c:ser>
        <c:ser>
          <c:idx val="3"/>
          <c:order val="3"/>
          <c:tx>
            <c:strRef>
              <c:f>Larguillo!$BE$3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Larguillo!$BE$4:$BE$103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40A-4A99-9AA3-5EE95BF0A2E7}"/>
            </c:ext>
          </c:extLst>
        </c:ser>
        <c:ser>
          <c:idx val="0"/>
          <c:order val="4"/>
          <c:tx>
            <c:v>TODOS</c:v>
          </c:tx>
          <c:spPr>
            <a:ln>
              <a:solidFill>
                <a:prstClr val="black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Larguillo!$BF$4:$BF$103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40A-4A99-9AA3-5EE95BF0A2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60320"/>
        <c:axId val="161962240"/>
      </c:scatterChart>
      <c:valAx>
        <c:axId val="161960320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1962240"/>
        <c:crossesAt val="0"/>
        <c:crossBetween val="midCat"/>
        <c:majorUnit val="5"/>
      </c:valAx>
      <c:valAx>
        <c:axId val="161962240"/>
        <c:scaling>
          <c:orientation val="minMax"/>
          <c:min val="0"/>
        </c:scaling>
        <c:delete val="0"/>
        <c:axPos val="l"/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81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1960320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7.1167347623866312E-2"/>
          <c:y val="0.89564575300989135"/>
          <c:w val="0.82350320258540965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</c:spPr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1"/>
          <c:y val="0.70833479148439771"/>
          <c:w val="3.1884043417077082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A7C46E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BE-4821-AE42-B5C2C7A5255C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Larguillo!$BO$8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BE-4821-AE42-B5C2C7A5255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374400"/>
        <c:axId val="164381440"/>
      </c:lineChart>
      <c:catAx>
        <c:axId val="16437440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4381440"/>
        <c:crosses val="autoZero"/>
        <c:auto val="1"/>
        <c:lblAlgn val="ctr"/>
        <c:lblOffset val="100"/>
        <c:noMultiLvlLbl val="0"/>
      </c:catAx>
      <c:valAx>
        <c:axId val="164381440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437440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289"/>
          <c:y val="0.70833479148439771"/>
          <c:w val="3.188404341707703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D06422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B05-4EA9-9F2F-2E2A7708210C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Larguillo!$BN$8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05-4EA9-9F2F-2E2A770821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391936"/>
        <c:axId val="164411264"/>
      </c:lineChart>
      <c:catAx>
        <c:axId val="16439193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4411264"/>
        <c:crosses val="autoZero"/>
        <c:auto val="1"/>
        <c:lblAlgn val="ctr"/>
        <c:lblOffset val="100"/>
        <c:noMultiLvlLbl val="0"/>
      </c:catAx>
      <c:valAx>
        <c:axId val="164411264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4391936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1"/>
          <c:y val="0.70833479148439771"/>
          <c:w val="3.1884043417077082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60A-4833-85A6-D307C44FBC10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Larguillo!$BP$8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0A-4833-85A6-D307C44FBC1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093760"/>
        <c:axId val="165096448"/>
      </c:lineChart>
      <c:catAx>
        <c:axId val="165093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096448"/>
        <c:crosses val="autoZero"/>
        <c:auto val="1"/>
        <c:lblAlgn val="ctr"/>
        <c:lblOffset val="100"/>
        <c:noMultiLvlLbl val="0"/>
      </c:catAx>
      <c:valAx>
        <c:axId val="165096448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09376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24637532973863"/>
          <c:y val="0.70833479148439771"/>
          <c:w val="3.1884043417077061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F11-426C-8354-28496AB1F8F2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Larguillo!$BM$8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11-426C-8354-28496AB1F8F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127680"/>
        <c:axId val="165130624"/>
      </c:lineChart>
      <c:catAx>
        <c:axId val="16512768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130624"/>
        <c:crosses val="autoZero"/>
        <c:auto val="1"/>
        <c:lblAlgn val="ctr"/>
        <c:lblOffset val="100"/>
        <c:noMultiLvlLbl val="0"/>
      </c:catAx>
      <c:valAx>
        <c:axId val="165130624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12768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1"/>
          <c:y val="0.70833479148439771"/>
          <c:w val="3.1884043417077082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1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CBE-4A48-A923-C2AD19EF9710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Larguillo!$BQ$8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BE-4A48-A923-C2AD19EF971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141120"/>
        <c:axId val="165160448"/>
      </c:lineChart>
      <c:catAx>
        <c:axId val="16514112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160448"/>
        <c:crosses val="autoZero"/>
        <c:auto val="1"/>
        <c:lblAlgn val="ctr"/>
        <c:lblOffset val="100"/>
        <c:noMultiLvlLbl val="0"/>
      </c:catAx>
      <c:valAx>
        <c:axId val="165160448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14112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1900"/>
              <a:t>Distribución</a:t>
            </a:r>
            <a:r>
              <a:rPr lang="es-MX" sz="1900" baseline="0"/>
              <a:t> acumulada de daño por FATIGA</a:t>
            </a:r>
            <a:endParaRPr lang="es-MX" sz="19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876"/>
        </c:manualLayout>
      </c:layout>
      <c:scatterChart>
        <c:scatterStyle val="smoothMarker"/>
        <c:varyColors val="0"/>
        <c:ser>
          <c:idx val="4"/>
          <c:order val="0"/>
          <c:tx>
            <c:strRef>
              <c:f>Larguillo!$BG$3</c:f>
              <c:strCache>
                <c:ptCount val="1"/>
                <c:pt idx="0">
                  <c:v>SIMPLE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Larguillo!$BG$4:$BG$103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E7-4634-87E2-A31D356BE4C9}"/>
            </c:ext>
          </c:extLst>
        </c:ser>
        <c:ser>
          <c:idx val="1"/>
          <c:order val="1"/>
          <c:tx>
            <c:strRef>
              <c:f>Larguillo!$BH$3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Larguillo!$BH$4:$BH$103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0E7-4634-87E2-A31D356BE4C9}"/>
            </c:ext>
          </c:extLst>
        </c:ser>
        <c:ser>
          <c:idx val="2"/>
          <c:order val="2"/>
          <c:tx>
            <c:strRef>
              <c:f>Larguillo!$BI$3</c:f>
              <c:strCache>
                <c:ptCount val="1"/>
                <c:pt idx="0">
                  <c:v>TANDEM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Larguillo!$BI$4:$BI$103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0E7-4634-87E2-A31D356BE4C9}"/>
            </c:ext>
          </c:extLst>
        </c:ser>
        <c:ser>
          <c:idx val="3"/>
          <c:order val="3"/>
          <c:tx>
            <c:strRef>
              <c:f>Larguillo!$BJ$3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Larguillo!$BJ$4:$BJ$103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0E7-4634-87E2-A31D356BE4C9}"/>
            </c:ext>
          </c:extLst>
        </c:ser>
        <c:ser>
          <c:idx val="0"/>
          <c:order val="4"/>
          <c:tx>
            <c:v>TODOS</c:v>
          </c:tx>
          <c:spPr>
            <a:ln>
              <a:solidFill>
                <a:prstClr val="black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Larguillo!$BK$4:$BK$103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0E7-4634-87E2-A31D356BE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848768"/>
        <c:axId val="164850688"/>
      </c:scatterChart>
      <c:valAx>
        <c:axId val="164848768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850688"/>
        <c:crossesAt val="0"/>
        <c:crossBetween val="midCat"/>
        <c:majorUnit val="5"/>
      </c:valAx>
      <c:valAx>
        <c:axId val="164850688"/>
        <c:scaling>
          <c:orientation val="minMax"/>
          <c:min val="0"/>
        </c:scaling>
        <c:delete val="0"/>
        <c:axPos val="l"/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78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848768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4.0422251103630534E-2"/>
          <c:y val="0.89564575300989135"/>
          <c:w val="0.82350320258540965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27"/>
          <c:y val="0.70833479148439771"/>
          <c:w val="3.188404341707710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1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C2D-4FEA-B9DA-089B1B61F4FE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Larguillo!$BV$8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2D-4FEA-B9DA-089B1B61F4F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981376"/>
        <c:axId val="164988416"/>
      </c:lineChart>
      <c:catAx>
        <c:axId val="16498137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4988416"/>
        <c:crosses val="autoZero"/>
        <c:auto val="1"/>
        <c:lblAlgn val="ctr"/>
        <c:lblOffset val="100"/>
        <c:noMultiLvlLbl val="0"/>
      </c:catAx>
      <c:valAx>
        <c:axId val="164988416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4981376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27"/>
          <c:y val="0.70833479148439771"/>
          <c:w val="3.188404341707710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A7C46E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A68-439E-BBE6-D058557CFE60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Larguillo!$BT$8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68-439E-BBE6-D058557CFE6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212160"/>
        <c:axId val="165214848"/>
      </c:lineChart>
      <c:catAx>
        <c:axId val="1652121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214848"/>
        <c:crosses val="autoZero"/>
        <c:auto val="1"/>
        <c:lblAlgn val="ctr"/>
        <c:lblOffset val="100"/>
        <c:noMultiLvlLbl val="0"/>
      </c:catAx>
      <c:valAx>
        <c:axId val="165214848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21216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6"/>
          <c:y val="0.70833479148439771"/>
          <c:w val="3.1884043417077089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A6A-4648-8FC6-C254C6179275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Larguillo!$BR$8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6A-4648-8FC6-C254C617927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041280"/>
        <c:axId val="165048320"/>
      </c:lineChart>
      <c:catAx>
        <c:axId val="16504128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048320"/>
        <c:crosses val="autoZero"/>
        <c:auto val="1"/>
        <c:lblAlgn val="ctr"/>
        <c:lblOffset val="100"/>
        <c:noMultiLvlLbl val="0"/>
      </c:catAx>
      <c:valAx>
        <c:axId val="165048320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04128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05"/>
          <c:y val="0.70833479148439771"/>
          <c:w val="3.1884043417077075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D06422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6CE-4C52-9DE2-96564674E043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Larguillo!$BS$8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CE-4C52-9DE2-96564674E04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062912"/>
        <c:axId val="165082240"/>
      </c:lineChart>
      <c:catAx>
        <c:axId val="16506291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082240"/>
        <c:crosses val="autoZero"/>
        <c:auto val="1"/>
        <c:lblAlgn val="ctr"/>
        <c:lblOffset val="100"/>
        <c:noMultiLvlLbl val="0"/>
      </c:catAx>
      <c:valAx>
        <c:axId val="165082240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062912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27"/>
          <c:y val="0.70833479148439771"/>
          <c:w val="3.188404341707710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5.3778922776038021E-4"/>
                  <c:y val="-0.1239378066423833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67F-4FDD-AFD5-BF6D1D970AC1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Larguillo!$BU$8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7F-4FDD-AFD5-BF6D1D970AC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621120"/>
        <c:axId val="165636352"/>
      </c:lineChart>
      <c:catAx>
        <c:axId val="16562112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636352"/>
        <c:crosses val="autoZero"/>
        <c:auto val="1"/>
        <c:lblAlgn val="ctr"/>
        <c:lblOffset val="100"/>
        <c:noMultiLvlLbl val="0"/>
      </c:catAx>
      <c:valAx>
        <c:axId val="165636352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62112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.bin"/></Relationships>
</file>

<file path=xl/chart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.bin"/></Relationships>
</file>

<file path=xl/chart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.bin"/></Relationships>
</file>

<file path=xl/chart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 codeName="Gráfico12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hartsheets/sheet2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A00-000000000000}">
  <sheetPr codeName="Gráfico15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hartsheets/sheet3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B00-000000000000}">
  <sheetPr codeName="Gráfico19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hartsheets/sheet4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C00-000000000000}">
  <sheetPr codeName="Gráfico17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png"/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13" Type="http://schemas.openxmlformats.org/officeDocument/2006/relationships/image" Target="../media/image2.emf"/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12" Type="http://schemas.openxmlformats.org/officeDocument/2006/relationships/image" Target="../media/image3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11" Type="http://schemas.openxmlformats.org/officeDocument/2006/relationships/image" Target="../media/image4.emf"/><Relationship Id="rId5" Type="http://schemas.openxmlformats.org/officeDocument/2006/relationships/image" Target="../media/image10.emf"/><Relationship Id="rId10" Type="http://schemas.openxmlformats.org/officeDocument/2006/relationships/image" Target="../media/image5.emf"/><Relationship Id="rId4" Type="http://schemas.openxmlformats.org/officeDocument/2006/relationships/image" Target="../media/image11.emf"/><Relationship Id="rId9" Type="http://schemas.openxmlformats.org/officeDocument/2006/relationships/image" Target="../media/image6.emf"/><Relationship Id="rId1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5.emf"/><Relationship Id="rId1" Type="http://schemas.openxmlformats.org/officeDocument/2006/relationships/image" Target="../media/image24.emf"/><Relationship Id="rId6" Type="http://schemas.openxmlformats.org/officeDocument/2006/relationships/image" Target="../media/image28.emf"/><Relationship Id="rId5" Type="http://schemas.openxmlformats.org/officeDocument/2006/relationships/image" Target="../media/image23.emf"/><Relationship Id="rId4" Type="http://schemas.openxmlformats.org/officeDocument/2006/relationships/image" Target="../media/image2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295274</xdr:colOff>
      <xdr:row>4</xdr:row>
      <xdr:rowOff>133350</xdr:rowOff>
    </xdr:from>
    <xdr:ext cx="843757" cy="3409950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 rot="16200000">
          <a:off x="-987822" y="2178446"/>
          <a:ext cx="3409950" cy="8437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es-MX" sz="48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3</xdr:col>
      <xdr:colOff>9525</xdr:colOff>
      <xdr:row>0</xdr:row>
      <xdr:rowOff>161925</xdr:rowOff>
    </xdr:from>
    <xdr:ext cx="1487715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295525" y="161925"/>
          <a:ext cx="148771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TRÁNSITO</a:t>
          </a:r>
        </a:p>
      </xdr:txBody>
    </xdr:sp>
    <xdr:clientData/>
  </xdr:oneCellAnchor>
  <xdr:twoCellAnchor editAs="oneCell">
    <xdr:from>
      <xdr:col>12</xdr:col>
      <xdr:colOff>9523</xdr:colOff>
      <xdr:row>5</xdr:row>
      <xdr:rowOff>180170</xdr:rowOff>
    </xdr:from>
    <xdr:to>
      <xdr:col>13</xdr:col>
      <xdr:colOff>704850</xdr:colOff>
      <xdr:row>7</xdr:row>
      <xdr:rowOff>108594</xdr:rowOff>
    </xdr:to>
    <xdr:pic>
      <xdr:nvPicPr>
        <xdr:cNvPr id="9" name="8 Imagen" descr="B2.png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 flipH="1">
          <a:off x="9515473" y="1266020"/>
          <a:ext cx="876302" cy="318949"/>
        </a:xfrm>
        <a:prstGeom prst="rect">
          <a:avLst/>
        </a:prstGeom>
      </xdr:spPr>
    </xdr:pic>
    <xdr:clientData/>
  </xdr:twoCellAnchor>
  <xdr:twoCellAnchor editAs="oneCell">
    <xdr:from>
      <xdr:col>12</xdr:col>
      <xdr:colOff>16651</xdr:colOff>
      <xdr:row>8</xdr:row>
      <xdr:rowOff>35700</xdr:rowOff>
    </xdr:from>
    <xdr:to>
      <xdr:col>13</xdr:col>
      <xdr:colOff>742950</xdr:colOff>
      <xdr:row>9</xdr:row>
      <xdr:rowOff>93312</xdr:rowOff>
    </xdr:to>
    <xdr:pic>
      <xdr:nvPicPr>
        <xdr:cNvPr id="10" name="9 Imagen" descr="B3.png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 flipH="1">
          <a:off x="9522601" y="1750200"/>
          <a:ext cx="907274" cy="276687"/>
        </a:xfrm>
        <a:prstGeom prst="rect">
          <a:avLst/>
        </a:prstGeom>
      </xdr:spPr>
    </xdr:pic>
    <xdr:clientData/>
  </xdr:twoCellAnchor>
  <xdr:twoCellAnchor editAs="oneCell">
    <xdr:from>
      <xdr:col>12</xdr:col>
      <xdr:colOff>33301</xdr:colOff>
      <xdr:row>4</xdr:row>
      <xdr:rowOff>90452</xdr:rowOff>
    </xdr:from>
    <xdr:to>
      <xdr:col>13</xdr:col>
      <xdr:colOff>400050</xdr:colOff>
      <xdr:row>5</xdr:row>
      <xdr:rowOff>127672</xdr:rowOff>
    </xdr:to>
    <xdr:pic>
      <xdr:nvPicPr>
        <xdr:cNvPr id="11" name="10 Imagen" descr="vehiculo.png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 flipH="1">
          <a:off x="9539251" y="909602"/>
          <a:ext cx="547724" cy="30392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47626</xdr:colOff>
      <xdr:row>9</xdr:row>
      <xdr:rowOff>230100</xdr:rowOff>
    </xdr:from>
    <xdr:to>
      <xdr:col>13</xdr:col>
      <xdr:colOff>523875</xdr:colOff>
      <xdr:row>11</xdr:row>
      <xdr:rowOff>100002</xdr:rowOff>
    </xdr:to>
    <xdr:pic>
      <xdr:nvPicPr>
        <xdr:cNvPr id="12" name="11 Imagen" descr="c2.png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 flipH="1">
          <a:off x="9553576" y="2163675"/>
          <a:ext cx="657224" cy="336627"/>
        </a:xfrm>
        <a:prstGeom prst="rect">
          <a:avLst/>
        </a:prstGeom>
      </xdr:spPr>
    </xdr:pic>
    <xdr:clientData/>
  </xdr:twoCellAnchor>
  <xdr:twoCellAnchor editAs="oneCell">
    <xdr:from>
      <xdr:col>12</xdr:col>
      <xdr:colOff>45226</xdr:colOff>
      <xdr:row>12</xdr:row>
      <xdr:rowOff>10817</xdr:rowOff>
    </xdr:from>
    <xdr:to>
      <xdr:col>13</xdr:col>
      <xdr:colOff>581025</xdr:colOff>
      <xdr:row>13</xdr:row>
      <xdr:rowOff>102247</xdr:rowOff>
    </xdr:to>
    <xdr:pic>
      <xdr:nvPicPr>
        <xdr:cNvPr id="13" name="12 Imagen" descr="c3.png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 flipH="1">
          <a:off x="9551176" y="2601617"/>
          <a:ext cx="716774" cy="310505"/>
        </a:xfrm>
        <a:prstGeom prst="rect">
          <a:avLst/>
        </a:prstGeom>
      </xdr:spPr>
    </xdr:pic>
    <xdr:clientData/>
  </xdr:twoCellAnchor>
  <xdr:twoCellAnchor editAs="oneCell">
    <xdr:from>
      <xdr:col>12</xdr:col>
      <xdr:colOff>52351</xdr:colOff>
      <xdr:row>13</xdr:row>
      <xdr:rowOff>229911</xdr:rowOff>
    </xdr:from>
    <xdr:to>
      <xdr:col>14</xdr:col>
      <xdr:colOff>352425</xdr:colOff>
      <xdr:row>15</xdr:row>
      <xdr:rowOff>99837</xdr:rowOff>
    </xdr:to>
    <xdr:pic>
      <xdr:nvPicPr>
        <xdr:cNvPr id="14" name="13 Imagen" descr="t3s2.png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 flipH="1">
          <a:off x="9558301" y="3039786"/>
          <a:ext cx="1243049" cy="384276"/>
        </a:xfrm>
        <a:prstGeom prst="rect">
          <a:avLst/>
        </a:prstGeom>
      </xdr:spPr>
    </xdr:pic>
    <xdr:clientData/>
  </xdr:twoCellAnchor>
  <xdr:twoCellAnchor editAs="oneCell">
    <xdr:from>
      <xdr:col>12</xdr:col>
      <xdr:colOff>88050</xdr:colOff>
      <xdr:row>17</xdr:row>
      <xdr:rowOff>189995</xdr:rowOff>
    </xdr:from>
    <xdr:to>
      <xdr:col>15</xdr:col>
      <xdr:colOff>381000</xdr:colOff>
      <xdr:row>19</xdr:row>
      <xdr:rowOff>126013</xdr:rowOff>
    </xdr:to>
    <xdr:pic>
      <xdr:nvPicPr>
        <xdr:cNvPr id="15" name="14 Imagen" descr="t3s2r4.png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 flipH="1">
          <a:off x="9594000" y="3895220"/>
          <a:ext cx="1997925" cy="355118"/>
        </a:xfrm>
        <a:prstGeom prst="rect">
          <a:avLst/>
        </a:prstGeom>
      </xdr:spPr>
    </xdr:pic>
    <xdr:clientData/>
  </xdr:twoCellAnchor>
  <xdr:twoCellAnchor editAs="oneCell">
    <xdr:from>
      <xdr:col>12</xdr:col>
      <xdr:colOff>85650</xdr:colOff>
      <xdr:row>15</xdr:row>
      <xdr:rowOff>162952</xdr:rowOff>
    </xdr:from>
    <xdr:to>
      <xdr:col>14</xdr:col>
      <xdr:colOff>342899</xdr:colOff>
      <xdr:row>17</xdr:row>
      <xdr:rowOff>147646</xdr:rowOff>
    </xdr:to>
    <xdr:pic>
      <xdr:nvPicPr>
        <xdr:cNvPr id="16" name="15 Imagen" descr="t3s3.png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 flipH="1">
          <a:off x="9591600" y="3487177"/>
          <a:ext cx="1200224" cy="3656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733425</xdr:colOff>
          <xdr:row>7</xdr:row>
          <xdr:rowOff>228600</xdr:rowOff>
        </xdr:from>
        <xdr:to>
          <xdr:col>5</xdr:col>
          <xdr:colOff>666750</xdr:colOff>
          <xdr:row>9</xdr:row>
          <xdr:rowOff>19050</xdr:rowOff>
        </xdr:to>
        <xdr:sp macro="" textlink="">
          <xdr:nvSpPr>
            <xdr:cNvPr id="115714" name="FDS1" hidden="1">
              <a:extLst>
                <a:ext uri="{63B3BB69-23CF-44E3-9099-C40C66FF867C}">
                  <a14:compatExt spid="_x0000_s115714"/>
                </a:ext>
                <a:ext uri="{FF2B5EF4-FFF2-40B4-BE49-F238E27FC236}">
                  <a16:creationId xmlns:a16="http://schemas.microsoft.com/office/drawing/2014/main" id="{00000000-0008-0000-0000-00000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733425</xdr:colOff>
          <xdr:row>9</xdr:row>
          <xdr:rowOff>0</xdr:rowOff>
        </xdr:from>
        <xdr:to>
          <xdr:col>5</xdr:col>
          <xdr:colOff>666750</xdr:colOff>
          <xdr:row>9</xdr:row>
          <xdr:rowOff>257175</xdr:rowOff>
        </xdr:to>
        <xdr:sp macro="" textlink="">
          <xdr:nvSpPr>
            <xdr:cNvPr id="115715" name="FDC1" hidden="1">
              <a:extLst>
                <a:ext uri="{63B3BB69-23CF-44E3-9099-C40C66FF867C}">
                  <a14:compatExt spid="_x0000_s115715"/>
                </a:ext>
                <a:ext uri="{FF2B5EF4-FFF2-40B4-BE49-F238E27FC236}">
                  <a16:creationId xmlns:a16="http://schemas.microsoft.com/office/drawing/2014/main" id="{00000000-0008-0000-0000-000003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12</xdr:row>
          <xdr:rowOff>19050</xdr:rowOff>
        </xdr:from>
        <xdr:to>
          <xdr:col>5</xdr:col>
          <xdr:colOff>723900</xdr:colOff>
          <xdr:row>13</xdr:row>
          <xdr:rowOff>38100</xdr:rowOff>
        </xdr:to>
        <xdr:sp macro="" textlink="">
          <xdr:nvSpPr>
            <xdr:cNvPr id="115716" name="años1" hidden="1">
              <a:extLst>
                <a:ext uri="{63B3BB69-23CF-44E3-9099-C40C66FF867C}">
                  <a14:compatExt spid="_x0000_s115716"/>
                </a:ext>
                <a:ext uri="{FF2B5EF4-FFF2-40B4-BE49-F238E27FC236}">
                  <a16:creationId xmlns:a16="http://schemas.microsoft.com/office/drawing/2014/main" id="{00000000-0008-0000-0000-000004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13</xdr:row>
          <xdr:rowOff>38100</xdr:rowOff>
        </xdr:from>
        <xdr:to>
          <xdr:col>5</xdr:col>
          <xdr:colOff>714375</xdr:colOff>
          <xdr:row>13</xdr:row>
          <xdr:rowOff>257175</xdr:rowOff>
        </xdr:to>
        <xdr:sp macro="" textlink="">
          <xdr:nvSpPr>
            <xdr:cNvPr id="115717" name="Tasa1" hidden="1">
              <a:extLst>
                <a:ext uri="{63B3BB69-23CF-44E3-9099-C40C66FF867C}">
                  <a14:compatExt spid="_x0000_s115717"/>
                </a:ext>
                <a:ext uri="{FF2B5EF4-FFF2-40B4-BE49-F238E27FC236}">
                  <a16:creationId xmlns:a16="http://schemas.microsoft.com/office/drawing/2014/main" id="{00000000-0008-0000-0000-00000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4</xdr:row>
          <xdr:rowOff>123825</xdr:rowOff>
        </xdr:from>
        <xdr:to>
          <xdr:col>11</xdr:col>
          <xdr:colOff>600075</xdr:colOff>
          <xdr:row>5</xdr:row>
          <xdr:rowOff>104775</xdr:rowOff>
        </xdr:to>
        <xdr:sp macro="" textlink="">
          <xdr:nvSpPr>
            <xdr:cNvPr id="115718" name="vehiculoA" hidden="1">
              <a:extLst>
                <a:ext uri="{63B3BB69-23CF-44E3-9099-C40C66FF867C}">
                  <a14:compatExt spid="_x0000_s115718"/>
                </a:ext>
                <a:ext uri="{FF2B5EF4-FFF2-40B4-BE49-F238E27FC236}">
                  <a16:creationId xmlns:a16="http://schemas.microsoft.com/office/drawing/2014/main" id="{00000000-0008-0000-0000-000006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6</xdr:row>
          <xdr:rowOff>47625</xdr:rowOff>
        </xdr:from>
        <xdr:to>
          <xdr:col>11</xdr:col>
          <xdr:colOff>600075</xdr:colOff>
          <xdr:row>7</xdr:row>
          <xdr:rowOff>171450</xdr:rowOff>
        </xdr:to>
        <xdr:sp macro="" textlink="">
          <xdr:nvSpPr>
            <xdr:cNvPr id="115719" name="VehiculoB2" hidden="1">
              <a:extLst>
                <a:ext uri="{63B3BB69-23CF-44E3-9099-C40C66FF867C}">
                  <a14:compatExt spid="_x0000_s115719"/>
                </a:ext>
                <a:ext uri="{FF2B5EF4-FFF2-40B4-BE49-F238E27FC236}">
                  <a16:creationId xmlns:a16="http://schemas.microsoft.com/office/drawing/2014/main" id="{00000000-0008-0000-0000-000007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8</xdr:row>
          <xdr:rowOff>38100</xdr:rowOff>
        </xdr:from>
        <xdr:to>
          <xdr:col>11</xdr:col>
          <xdr:colOff>600075</xdr:colOff>
          <xdr:row>9</xdr:row>
          <xdr:rowOff>85725</xdr:rowOff>
        </xdr:to>
        <xdr:sp macro="" textlink="">
          <xdr:nvSpPr>
            <xdr:cNvPr id="115720" name="VehiculoB3" hidden="1">
              <a:extLst>
                <a:ext uri="{63B3BB69-23CF-44E3-9099-C40C66FF867C}">
                  <a14:compatExt spid="_x0000_s115720"/>
                </a:ext>
                <a:ext uri="{FF2B5EF4-FFF2-40B4-BE49-F238E27FC236}">
                  <a16:creationId xmlns:a16="http://schemas.microsoft.com/office/drawing/2014/main" id="{00000000-0008-0000-0000-000008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10</xdr:row>
          <xdr:rowOff>38100</xdr:rowOff>
        </xdr:from>
        <xdr:to>
          <xdr:col>11</xdr:col>
          <xdr:colOff>600075</xdr:colOff>
          <xdr:row>11</xdr:row>
          <xdr:rowOff>104775</xdr:rowOff>
        </xdr:to>
        <xdr:sp macro="" textlink="">
          <xdr:nvSpPr>
            <xdr:cNvPr id="115721" name="VehiculoC2" hidden="1">
              <a:extLst>
                <a:ext uri="{63B3BB69-23CF-44E3-9099-C40C66FF867C}">
                  <a14:compatExt spid="_x0000_s115721"/>
                </a:ext>
                <a:ext uri="{FF2B5EF4-FFF2-40B4-BE49-F238E27FC236}">
                  <a16:creationId xmlns:a16="http://schemas.microsoft.com/office/drawing/2014/main" id="{00000000-0008-0000-0000-000009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12</xdr:row>
          <xdr:rowOff>66675</xdr:rowOff>
        </xdr:from>
        <xdr:to>
          <xdr:col>11</xdr:col>
          <xdr:colOff>590550</xdr:colOff>
          <xdr:row>13</xdr:row>
          <xdr:rowOff>95250</xdr:rowOff>
        </xdr:to>
        <xdr:sp macro="" textlink="">
          <xdr:nvSpPr>
            <xdr:cNvPr id="115722" name="vehiculoC3" hidden="1">
              <a:extLst>
                <a:ext uri="{63B3BB69-23CF-44E3-9099-C40C66FF867C}">
                  <a14:compatExt spid="_x0000_s115722"/>
                </a:ext>
                <a:ext uri="{FF2B5EF4-FFF2-40B4-BE49-F238E27FC236}">
                  <a16:creationId xmlns:a16="http://schemas.microsoft.com/office/drawing/2014/main" id="{00000000-0008-0000-0000-00000A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14</xdr:row>
          <xdr:rowOff>38100</xdr:rowOff>
        </xdr:from>
        <xdr:to>
          <xdr:col>11</xdr:col>
          <xdr:colOff>581025</xdr:colOff>
          <xdr:row>15</xdr:row>
          <xdr:rowOff>47625</xdr:rowOff>
        </xdr:to>
        <xdr:sp macro="" textlink="">
          <xdr:nvSpPr>
            <xdr:cNvPr id="115723" name="VehiculoT3S2" hidden="1">
              <a:extLst>
                <a:ext uri="{63B3BB69-23CF-44E3-9099-C40C66FF867C}">
                  <a14:compatExt spid="_x0000_s115723"/>
                </a:ext>
                <a:ext uri="{FF2B5EF4-FFF2-40B4-BE49-F238E27FC236}">
                  <a16:creationId xmlns:a16="http://schemas.microsoft.com/office/drawing/2014/main" id="{00000000-0008-0000-0000-00000B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16</xdr:row>
          <xdr:rowOff>28575</xdr:rowOff>
        </xdr:from>
        <xdr:to>
          <xdr:col>11</xdr:col>
          <xdr:colOff>571500</xdr:colOff>
          <xdr:row>17</xdr:row>
          <xdr:rowOff>76200</xdr:rowOff>
        </xdr:to>
        <xdr:sp macro="" textlink="">
          <xdr:nvSpPr>
            <xdr:cNvPr id="115724" name="VehiculoT3S3" hidden="1">
              <a:extLst>
                <a:ext uri="{63B3BB69-23CF-44E3-9099-C40C66FF867C}">
                  <a14:compatExt spid="_x0000_s115724"/>
                </a:ext>
                <a:ext uri="{FF2B5EF4-FFF2-40B4-BE49-F238E27FC236}">
                  <a16:creationId xmlns:a16="http://schemas.microsoft.com/office/drawing/2014/main" id="{00000000-0008-0000-0000-00000C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18</xdr:row>
          <xdr:rowOff>47625</xdr:rowOff>
        </xdr:from>
        <xdr:to>
          <xdr:col>11</xdr:col>
          <xdr:colOff>561975</xdr:colOff>
          <xdr:row>19</xdr:row>
          <xdr:rowOff>85725</xdr:rowOff>
        </xdr:to>
        <xdr:sp macro="" textlink="">
          <xdr:nvSpPr>
            <xdr:cNvPr id="115725" name="VehiculoT3S2R4" hidden="1">
              <a:extLst>
                <a:ext uri="{63B3BB69-23CF-44E3-9099-C40C66FF867C}">
                  <a14:compatExt spid="_x0000_s115725"/>
                </a:ext>
                <a:ext uri="{FF2B5EF4-FFF2-40B4-BE49-F238E27FC236}">
                  <a16:creationId xmlns:a16="http://schemas.microsoft.com/office/drawing/2014/main" id="{00000000-0008-0000-0000-00000D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</xdr:colOff>
          <xdr:row>4</xdr:row>
          <xdr:rowOff>85725</xdr:rowOff>
        </xdr:from>
        <xdr:to>
          <xdr:col>5</xdr:col>
          <xdr:colOff>962025</xdr:colOff>
          <xdr:row>5</xdr:row>
          <xdr:rowOff>66675</xdr:rowOff>
        </xdr:to>
        <xdr:sp macro="" textlink="">
          <xdr:nvSpPr>
            <xdr:cNvPr id="115726" name="TDPA1" hidden="1">
              <a:extLst>
                <a:ext uri="{63B3BB69-23CF-44E3-9099-C40C66FF867C}">
                  <a14:compatExt spid="_x0000_s115726"/>
                </a:ext>
                <a:ext uri="{FF2B5EF4-FFF2-40B4-BE49-F238E27FC236}">
                  <a16:creationId xmlns:a16="http://schemas.microsoft.com/office/drawing/2014/main" id="{00000000-0008-0000-0000-00000E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20</xdr:row>
          <xdr:rowOff>28575</xdr:rowOff>
        </xdr:from>
        <xdr:to>
          <xdr:col>11</xdr:col>
          <xdr:colOff>581025</xdr:colOff>
          <xdr:row>21</xdr:row>
          <xdr:rowOff>95250</xdr:rowOff>
        </xdr:to>
        <xdr:sp macro="" textlink="">
          <xdr:nvSpPr>
            <xdr:cNvPr id="115727" name="otros" hidden="1">
              <a:extLst>
                <a:ext uri="{63B3BB69-23CF-44E3-9099-C40C66FF867C}">
                  <a14:compatExt spid="_x0000_s115727"/>
                </a:ext>
                <a:ext uri="{FF2B5EF4-FFF2-40B4-BE49-F238E27FC236}">
                  <a16:creationId xmlns:a16="http://schemas.microsoft.com/office/drawing/2014/main" id="{00000000-0008-0000-0000-00000F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361950</xdr:colOff>
      <xdr:row>3</xdr:row>
      <xdr:rowOff>2</xdr:rowOff>
    </xdr:from>
    <xdr:ext cx="843757" cy="3409950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 rot="16200000">
          <a:off x="-921146" y="1854598"/>
          <a:ext cx="3409950" cy="8437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es-MX" sz="48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2</xdr:col>
      <xdr:colOff>247650</xdr:colOff>
      <xdr:row>0</xdr:row>
      <xdr:rowOff>47625</xdr:rowOff>
    </xdr:from>
    <xdr:ext cx="3129446" cy="655885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1609725" y="47625"/>
          <a:ext cx="3129446" cy="6558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ESPECTROS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DE CARGA</a:t>
          </a:r>
          <a:r>
            <a:rPr lang="es-MX" sz="3600" b="1" baseline="0">
              <a:solidFill>
                <a:schemeClr val="tx2">
                  <a:lumMod val="60000"/>
                  <a:lumOff val="40000"/>
                </a:schemeClr>
              </a:solidFill>
            </a:rPr>
            <a:t> </a:t>
          </a:r>
          <a:endParaRPr lang="es-MX" sz="36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xdr:absoluteAnchor>
    <xdr:pos x="1219201" y="800100"/>
    <xdr:ext cx="7595151" cy="4305299"/>
    <xdr:graphicFrame macro="">
      <xdr:nvGraphicFramePr>
        <xdr:cNvPr id="5" name="4 Gráfico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12</xdr:row>
          <xdr:rowOff>219075</xdr:rowOff>
        </xdr:from>
        <xdr:to>
          <xdr:col>12</xdr:col>
          <xdr:colOff>133350</xdr:colOff>
          <xdr:row>14</xdr:row>
          <xdr:rowOff>28575</xdr:rowOff>
        </xdr:to>
        <xdr:sp macro="" textlink="">
          <xdr:nvSpPr>
            <xdr:cNvPr id="91144" name="Sencillo" hidden="1">
              <a:extLst>
                <a:ext uri="{63B3BB69-23CF-44E3-9099-C40C66FF867C}">
                  <a14:compatExt spid="_x0000_s91144"/>
                </a:ext>
                <a:ext uri="{FF2B5EF4-FFF2-40B4-BE49-F238E27FC236}">
                  <a16:creationId xmlns:a16="http://schemas.microsoft.com/office/drawing/2014/main" id="{00000000-0008-0000-0200-000008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14</xdr:row>
          <xdr:rowOff>19050</xdr:rowOff>
        </xdr:from>
        <xdr:to>
          <xdr:col>12</xdr:col>
          <xdr:colOff>190500</xdr:colOff>
          <xdr:row>15</xdr:row>
          <xdr:rowOff>66675</xdr:rowOff>
        </xdr:to>
        <xdr:sp macro="" textlink="">
          <xdr:nvSpPr>
            <xdr:cNvPr id="91145" name="Sencillodual" hidden="1">
              <a:extLst>
                <a:ext uri="{63B3BB69-23CF-44E3-9099-C40C66FF867C}">
                  <a14:compatExt spid="_x0000_s91145"/>
                </a:ext>
                <a:ext uri="{FF2B5EF4-FFF2-40B4-BE49-F238E27FC236}">
                  <a16:creationId xmlns:a16="http://schemas.microsoft.com/office/drawing/2014/main" id="{00000000-0008-0000-0200-000009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15</xdr:row>
          <xdr:rowOff>66675</xdr:rowOff>
        </xdr:from>
        <xdr:to>
          <xdr:col>12</xdr:col>
          <xdr:colOff>523875</xdr:colOff>
          <xdr:row>16</xdr:row>
          <xdr:rowOff>104775</xdr:rowOff>
        </xdr:to>
        <xdr:sp macro="" textlink="">
          <xdr:nvSpPr>
            <xdr:cNvPr id="91146" name="Tandem" hidden="1">
              <a:extLst>
                <a:ext uri="{63B3BB69-23CF-44E3-9099-C40C66FF867C}">
                  <a14:compatExt spid="_x0000_s91146"/>
                </a:ext>
                <a:ext uri="{FF2B5EF4-FFF2-40B4-BE49-F238E27FC236}">
                  <a16:creationId xmlns:a16="http://schemas.microsoft.com/office/drawing/2014/main" id="{00000000-0008-0000-0200-00000A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16</xdr:row>
          <xdr:rowOff>114300</xdr:rowOff>
        </xdr:from>
        <xdr:to>
          <xdr:col>12</xdr:col>
          <xdr:colOff>219075</xdr:colOff>
          <xdr:row>17</xdr:row>
          <xdr:rowOff>171450</xdr:rowOff>
        </xdr:to>
        <xdr:sp macro="" textlink="">
          <xdr:nvSpPr>
            <xdr:cNvPr id="91147" name="Tridem" hidden="1">
              <a:extLst>
                <a:ext uri="{63B3BB69-23CF-44E3-9099-C40C66FF867C}">
                  <a14:compatExt spid="_x0000_s91147"/>
                </a:ext>
                <a:ext uri="{FF2B5EF4-FFF2-40B4-BE49-F238E27FC236}">
                  <a16:creationId xmlns:a16="http://schemas.microsoft.com/office/drawing/2014/main" id="{00000000-0008-0000-0200-00000B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0</xdr:rowOff>
        </xdr:from>
        <xdr:to>
          <xdr:col>12</xdr:col>
          <xdr:colOff>114300</xdr:colOff>
          <xdr:row>21</xdr:row>
          <xdr:rowOff>95250</xdr:rowOff>
        </xdr:to>
        <xdr:sp macro="" textlink="">
          <xdr:nvSpPr>
            <xdr:cNvPr id="91151" name="Legal" hidden="1">
              <a:extLst>
                <a:ext uri="{63B3BB69-23CF-44E3-9099-C40C66FF867C}">
                  <a14:compatExt spid="_x0000_s91151"/>
                </a:ext>
                <a:ext uri="{FF2B5EF4-FFF2-40B4-BE49-F238E27FC236}">
                  <a16:creationId xmlns:a16="http://schemas.microsoft.com/office/drawing/2014/main" id="{00000000-0008-0000-0200-00000F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10</xdr:row>
          <xdr:rowOff>9525</xdr:rowOff>
        </xdr:from>
        <xdr:to>
          <xdr:col>12</xdr:col>
          <xdr:colOff>381000</xdr:colOff>
          <xdr:row>11</xdr:row>
          <xdr:rowOff>47625</xdr:rowOff>
        </xdr:to>
        <xdr:sp macro="" textlink="">
          <xdr:nvSpPr>
            <xdr:cNvPr id="91154" name="ComboBox2" hidden="1">
              <a:extLst>
                <a:ext uri="{63B3BB69-23CF-44E3-9099-C40C66FF867C}">
                  <a14:compatExt spid="_x0000_s91154"/>
                </a:ext>
                <a:ext uri="{FF2B5EF4-FFF2-40B4-BE49-F238E27FC236}">
                  <a16:creationId xmlns:a16="http://schemas.microsoft.com/office/drawing/2014/main" id="{00000000-0008-0000-0200-000012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5</xdr:row>
      <xdr:rowOff>4512</xdr:rowOff>
    </xdr:from>
    <xdr:to>
      <xdr:col>23</xdr:col>
      <xdr:colOff>209049</xdr:colOff>
      <xdr:row>12</xdr:row>
      <xdr:rowOff>181977</xdr:rowOff>
    </xdr:to>
    <xdr:graphicFrame macro="">
      <xdr:nvGraphicFramePr>
        <xdr:cNvPr id="16" name="15 Gráfico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6</xdr:col>
          <xdr:colOff>19050</xdr:colOff>
          <xdr:row>8</xdr:row>
          <xdr:rowOff>19050</xdr:rowOff>
        </xdr:to>
        <xdr:sp macro="" textlink="">
          <xdr:nvSpPr>
            <xdr:cNvPr id="106506" name="ComboBox1" hidden="1">
              <a:extLst>
                <a:ext uri="{63B3BB69-23CF-44E3-9099-C40C66FF867C}">
                  <a14:compatExt spid="_x0000_s106506"/>
                </a:ext>
                <a:ext uri="{FF2B5EF4-FFF2-40B4-BE49-F238E27FC236}">
                  <a16:creationId xmlns:a16="http://schemas.microsoft.com/office/drawing/2014/main" id="{00000000-0008-0000-0300-00000A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274570</xdr:colOff>
      <xdr:row>4</xdr:row>
      <xdr:rowOff>190172</xdr:rowOff>
    </xdr:from>
    <xdr:to>
      <xdr:col>23</xdr:col>
      <xdr:colOff>205539</xdr:colOff>
      <xdr:row>12</xdr:row>
      <xdr:rowOff>185486</xdr:rowOff>
    </xdr:to>
    <xdr:graphicFrame macro="">
      <xdr:nvGraphicFramePr>
        <xdr:cNvPr id="14" name="13 Gráfico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5</xdr:row>
      <xdr:rowOff>19050</xdr:rowOff>
    </xdr:from>
    <xdr:to>
      <xdr:col>23</xdr:col>
      <xdr:colOff>212724</xdr:colOff>
      <xdr:row>12</xdr:row>
      <xdr:rowOff>198794</xdr:rowOff>
    </xdr:to>
    <xdr:graphicFrame macro="">
      <xdr:nvGraphicFramePr>
        <xdr:cNvPr id="8" name="7 Gráfic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271211</xdr:colOff>
      <xdr:row>5</xdr:row>
      <xdr:rowOff>2006</xdr:rowOff>
    </xdr:from>
    <xdr:to>
      <xdr:col>23</xdr:col>
      <xdr:colOff>210552</xdr:colOff>
      <xdr:row>12</xdr:row>
      <xdr:rowOff>175460</xdr:rowOff>
    </xdr:to>
    <xdr:graphicFrame macro="">
      <xdr:nvGraphicFramePr>
        <xdr:cNvPr id="15" name="14 Gráfico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5014</xdr:colOff>
      <xdr:row>5</xdr:row>
      <xdr:rowOff>4845</xdr:rowOff>
    </xdr:from>
    <xdr:to>
      <xdr:col>23</xdr:col>
      <xdr:colOff>217738</xdr:colOff>
      <xdr:row>12</xdr:row>
      <xdr:rowOff>184589</xdr:rowOff>
    </xdr:to>
    <xdr:graphicFrame macro="">
      <xdr:nvGraphicFramePr>
        <xdr:cNvPr id="17" name="16 Gráfico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8213</xdr:colOff>
      <xdr:row>13</xdr:row>
      <xdr:rowOff>19050</xdr:rowOff>
    </xdr:from>
    <xdr:ext cx="534712" cy="2162175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 rot="16200000">
          <a:off x="-805519" y="3795057"/>
          <a:ext cx="2162175" cy="534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/>
        <a:p>
          <a:r>
            <a:rPr lang="es-MX" sz="36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2</xdr:col>
      <xdr:colOff>190500</xdr:colOff>
      <xdr:row>1</xdr:row>
      <xdr:rowOff>38100</xdr:rowOff>
    </xdr:from>
    <xdr:ext cx="2830134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981075" y="228600"/>
          <a:ext cx="2830134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ANÁLISIS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ESPECTRAL</a:t>
          </a:r>
          <a:endParaRPr lang="es-MX" sz="24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685800</xdr:colOff>
          <xdr:row>10</xdr:row>
          <xdr:rowOff>142875</xdr:rowOff>
        </xdr:from>
        <xdr:to>
          <xdr:col>11</xdr:col>
          <xdr:colOff>276225</xdr:colOff>
          <xdr:row>12</xdr:row>
          <xdr:rowOff>85725</xdr:rowOff>
        </xdr:to>
        <xdr:sp macro="" textlink="">
          <xdr:nvSpPr>
            <xdr:cNvPr id="108546" name="Button 2" hidden="1">
              <a:extLst>
                <a:ext uri="{63B3BB69-23CF-44E3-9099-C40C66FF867C}">
                  <a14:compatExt spid="_x0000_s108546"/>
                </a:ext>
                <a:ext uri="{FF2B5EF4-FFF2-40B4-BE49-F238E27FC236}">
                  <a16:creationId xmlns:a16="http://schemas.microsoft.com/office/drawing/2014/main" id="{00000000-0008-0000-0400-00000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Análisis Espectral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190500</xdr:rowOff>
        </xdr:from>
        <xdr:to>
          <xdr:col>12</xdr:col>
          <xdr:colOff>28575</xdr:colOff>
          <xdr:row>7</xdr:row>
          <xdr:rowOff>9525</xdr:rowOff>
        </xdr:to>
        <xdr:sp macro="" textlink="">
          <xdr:nvSpPr>
            <xdr:cNvPr id="108556" name="ComboBoxFatiga" hidden="1">
              <a:extLst>
                <a:ext uri="{63B3BB69-23CF-44E3-9099-C40C66FF867C}">
                  <a14:compatExt spid="_x0000_s108556"/>
                </a:ext>
                <a:ext uri="{FF2B5EF4-FFF2-40B4-BE49-F238E27FC236}">
                  <a16:creationId xmlns:a16="http://schemas.microsoft.com/office/drawing/2014/main" id="{00000000-0008-0000-0400-00000C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</xdr:row>
          <xdr:rowOff>0</xdr:rowOff>
        </xdr:from>
        <xdr:to>
          <xdr:col>12</xdr:col>
          <xdr:colOff>28575</xdr:colOff>
          <xdr:row>8</xdr:row>
          <xdr:rowOff>19050</xdr:rowOff>
        </xdr:to>
        <xdr:sp macro="" textlink="">
          <xdr:nvSpPr>
            <xdr:cNvPr id="108558" name="ComboBoxDeformacion" hidden="1">
              <a:extLst>
                <a:ext uri="{63B3BB69-23CF-44E3-9099-C40C66FF867C}">
                  <a14:compatExt spid="_x0000_s108558"/>
                </a:ext>
                <a:ext uri="{FF2B5EF4-FFF2-40B4-BE49-F238E27FC236}">
                  <a16:creationId xmlns:a16="http://schemas.microsoft.com/office/drawing/2014/main" id="{00000000-0008-0000-0400-00000E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8213</xdr:colOff>
      <xdr:row>13</xdr:row>
      <xdr:rowOff>19050</xdr:rowOff>
    </xdr:from>
    <xdr:ext cx="534712" cy="2162175"/>
    <xdr:sp macro="" textlink="">
      <xdr:nvSpPr>
        <xdr:cNvPr id="4" name="3 CuadroTexto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 rot="16200000">
          <a:off x="-805519" y="3795057"/>
          <a:ext cx="2162175" cy="534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/>
        <a:p>
          <a:r>
            <a:rPr lang="es-MX" sz="3600">
              <a:solidFill>
                <a:srgbClr val="00CC00"/>
              </a:solidFill>
            </a:rPr>
            <a:t>IMT-PAVE</a:t>
          </a:r>
        </a:p>
      </xdr:txBody>
    </xdr:sp>
    <xdr:clientData/>
  </xdr:oneCellAnchor>
  <xdr:oneCellAnchor>
    <xdr:from>
      <xdr:col>2</xdr:col>
      <xdr:colOff>247650</xdr:colOff>
      <xdr:row>0</xdr:row>
      <xdr:rowOff>104775</xdr:rowOff>
    </xdr:from>
    <xdr:ext cx="1450141" cy="655885"/>
    <xdr:sp macro="" textlink="">
      <xdr:nvSpPr>
        <xdr:cNvPr id="5" name="4 CuadroText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1038225" y="104775"/>
          <a:ext cx="1450141" cy="6558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rgbClr val="00CC00"/>
              </a:solidFill>
            </a:rPr>
            <a:t>ANÁLISIS</a:t>
          </a:r>
          <a:r>
            <a:rPr lang="es-MX" sz="3600" b="1" baseline="0">
              <a:solidFill>
                <a:srgbClr val="00CC00"/>
              </a:solidFill>
            </a:rPr>
            <a:t> </a:t>
          </a:r>
          <a:endParaRPr lang="es-MX" sz="3600" b="1">
            <a:solidFill>
              <a:srgbClr val="00CC00"/>
            </a:solidFill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190500</xdr:colOff>
      <xdr:row>1</xdr:row>
      <xdr:rowOff>38100</xdr:rowOff>
    </xdr:from>
    <xdr:ext cx="3270895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1695450" y="228600"/>
          <a:ext cx="327089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ANÁLISIS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PROBABILISTA</a:t>
          </a:r>
          <a:endParaRPr lang="es-MX" sz="24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28003" name="ComboBoxConfiabilidad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08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428625</xdr:colOff>
          <xdr:row>8</xdr:row>
          <xdr:rowOff>152400</xdr:rowOff>
        </xdr:from>
        <xdr:to>
          <xdr:col>11</xdr:col>
          <xdr:colOff>352425</xdr:colOff>
          <xdr:row>11</xdr:row>
          <xdr:rowOff>152400</xdr:rowOff>
        </xdr:to>
        <xdr:sp macro="" textlink="">
          <xdr:nvSpPr>
            <xdr:cNvPr id="128004" name="Button 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08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Análisis Probabilista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9526</xdr:colOff>
      <xdr:row>5</xdr:row>
      <xdr:rowOff>190499</xdr:rowOff>
    </xdr:from>
    <xdr:to>
      <xdr:col>6</xdr:col>
      <xdr:colOff>9525</xdr:colOff>
      <xdr:row>7</xdr:row>
      <xdr:rowOff>9525</xdr:rowOff>
    </xdr:to>
    <xdr:sp macro="" textlink="">
      <xdr:nvSpPr>
        <xdr:cNvPr id="6" name="5 Rectángulo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3267076" y="1152524"/>
          <a:ext cx="742949" cy="257176"/>
        </a:xfrm>
        <a:prstGeom prst="rect">
          <a:avLst/>
        </a:prstGeom>
        <a:solidFill>
          <a:schemeClr val="bg2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8</xdr:row>
          <xdr:rowOff>171450</xdr:rowOff>
        </xdr:from>
        <xdr:to>
          <xdr:col>9</xdr:col>
          <xdr:colOff>514350</xdr:colOff>
          <xdr:row>16</xdr:row>
          <xdr:rowOff>19050</xdr:rowOff>
        </xdr:to>
        <xdr:sp macro="" textlink="">
          <xdr:nvSpPr>
            <xdr:cNvPr id="139265" name="Button 1" hidden="1">
              <a:extLst>
                <a:ext uri="{63B3BB69-23CF-44E3-9099-C40C66FF867C}">
                  <a14:compatExt spid="_x0000_s139265"/>
                </a:ext>
                <a:ext uri="{FF2B5EF4-FFF2-40B4-BE49-F238E27FC236}">
                  <a16:creationId xmlns:a16="http://schemas.microsoft.com/office/drawing/2014/main" id="{00000000-0008-0000-0900-000001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xdr:oneCellAnchor>
    <xdr:from>
      <xdr:col>12</xdr:col>
      <xdr:colOff>8213</xdr:colOff>
      <xdr:row>13</xdr:row>
      <xdr:rowOff>19050</xdr:rowOff>
    </xdr:from>
    <xdr:ext cx="534712" cy="2162175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1D9581B1-F78D-43F4-86D1-B4238F50646E}"/>
            </a:ext>
          </a:extLst>
        </xdr:cNvPr>
        <xdr:cNvSpPr txBox="1"/>
      </xdr:nvSpPr>
      <xdr:spPr>
        <a:xfrm rot="16200000">
          <a:off x="-805519" y="3633132"/>
          <a:ext cx="2162175" cy="534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/>
        <a:p>
          <a:r>
            <a:rPr lang="es-MX" sz="36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14</xdr:col>
      <xdr:colOff>190500</xdr:colOff>
      <xdr:row>1</xdr:row>
      <xdr:rowOff>38100</xdr:rowOff>
    </xdr:from>
    <xdr:ext cx="2830134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1A3D0E6D-E3BD-471A-8A7E-A144C643E05B}"/>
            </a:ext>
          </a:extLst>
        </xdr:cNvPr>
        <xdr:cNvSpPr txBox="1"/>
      </xdr:nvSpPr>
      <xdr:spPr>
        <a:xfrm>
          <a:off x="1104900" y="228600"/>
          <a:ext cx="2830134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ANÁLISIS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ESPECTRAL</a:t>
          </a:r>
          <a:endParaRPr lang="es-MX" sz="24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685800</xdr:colOff>
          <xdr:row>10</xdr:row>
          <xdr:rowOff>142875</xdr:rowOff>
        </xdr:from>
        <xdr:to>
          <xdr:col>23</xdr:col>
          <xdr:colOff>276225</xdr:colOff>
          <xdr:row>12</xdr:row>
          <xdr:rowOff>85725</xdr:rowOff>
        </xdr:to>
        <xdr:sp macro="" textlink="">
          <xdr:nvSpPr>
            <xdr:cNvPr id="139266" name="Button 2" hidden="1">
              <a:extLst>
                <a:ext uri="{63B3BB69-23CF-44E3-9099-C40C66FF867C}">
                  <a14:compatExt spid="_x0000_s139266"/>
                </a:ext>
                <a:ext uri="{FF2B5EF4-FFF2-40B4-BE49-F238E27FC236}">
                  <a16:creationId xmlns:a16="http://schemas.microsoft.com/office/drawing/2014/main" id="{00000000-0008-0000-0900-000002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Análisis Espectral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190500</xdr:colOff>
      <xdr:row>111</xdr:row>
      <xdr:rowOff>38100</xdr:rowOff>
    </xdr:from>
    <xdr:ext cx="3270895" cy="468013"/>
    <xdr:sp macro="" textlink="">
      <xdr:nvSpPr>
        <xdr:cNvPr id="4" name="2 CuadroTexto">
          <a:extLst>
            <a:ext uri="{FF2B5EF4-FFF2-40B4-BE49-F238E27FC236}">
              <a16:creationId xmlns:a16="http://schemas.microsoft.com/office/drawing/2014/main" id="{FD12A8D7-63F4-4315-AC13-428C249AD415}"/>
            </a:ext>
          </a:extLst>
        </xdr:cNvPr>
        <xdr:cNvSpPr txBox="1"/>
      </xdr:nvSpPr>
      <xdr:spPr>
        <a:xfrm>
          <a:off x="1095375" y="228600"/>
          <a:ext cx="327089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ANÁLISIS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PROBABILISTA</a:t>
          </a:r>
          <a:endParaRPr lang="es-MX" sz="24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428625</xdr:colOff>
          <xdr:row>118</xdr:row>
          <xdr:rowOff>152400</xdr:rowOff>
        </xdr:from>
        <xdr:to>
          <xdr:col>11</xdr:col>
          <xdr:colOff>352425</xdr:colOff>
          <xdr:row>121</xdr:row>
          <xdr:rowOff>152400</xdr:rowOff>
        </xdr:to>
        <xdr:sp macro="" textlink="">
          <xdr:nvSpPr>
            <xdr:cNvPr id="139267" name="Button 3" hidden="1">
              <a:extLst>
                <a:ext uri="{63B3BB69-23CF-44E3-9099-C40C66FF867C}">
                  <a14:compatExt spid="_x0000_s139267"/>
                </a:ext>
                <a:ext uri="{FF2B5EF4-FFF2-40B4-BE49-F238E27FC236}">
                  <a16:creationId xmlns:a16="http://schemas.microsoft.com/office/drawing/2014/main" id="{00000000-0008-0000-0900-000003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Análisis Probabilista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9526</xdr:colOff>
      <xdr:row>115</xdr:row>
      <xdr:rowOff>190499</xdr:rowOff>
    </xdr:from>
    <xdr:to>
      <xdr:col>6</xdr:col>
      <xdr:colOff>9525</xdr:colOff>
      <xdr:row>117</xdr:row>
      <xdr:rowOff>9525</xdr:rowOff>
    </xdr:to>
    <xdr:sp macro="" textlink="">
      <xdr:nvSpPr>
        <xdr:cNvPr id="5" name="5 Rectángulo">
          <a:extLst>
            <a:ext uri="{FF2B5EF4-FFF2-40B4-BE49-F238E27FC236}">
              <a16:creationId xmlns:a16="http://schemas.microsoft.com/office/drawing/2014/main" id="{2BA0D09B-7087-40CF-9CA5-8D5D96D5BB87}"/>
            </a:ext>
          </a:extLst>
        </xdr:cNvPr>
        <xdr:cNvSpPr/>
      </xdr:nvSpPr>
      <xdr:spPr>
        <a:xfrm>
          <a:off x="3333751" y="1162049"/>
          <a:ext cx="1200149" cy="257176"/>
        </a:xfrm>
        <a:prstGeom prst="rect">
          <a:avLst/>
        </a:prstGeom>
        <a:solidFill>
          <a:schemeClr val="bg2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695325</xdr:colOff>
          <xdr:row>46</xdr:row>
          <xdr:rowOff>76200</xdr:rowOff>
        </xdr:from>
        <xdr:to>
          <xdr:col>19</xdr:col>
          <xdr:colOff>171450</xdr:colOff>
          <xdr:row>51</xdr:row>
          <xdr:rowOff>0</xdr:rowOff>
        </xdr:to>
        <xdr:sp macro="" textlink="">
          <xdr:nvSpPr>
            <xdr:cNvPr id="139268" name="Button 4" hidden="1">
              <a:extLst>
                <a:ext uri="{63B3BB69-23CF-44E3-9099-C40C66FF867C}">
                  <a14:compatExt spid="_x0000_s139268"/>
                </a:ext>
                <a:ext uri="{FF2B5EF4-FFF2-40B4-BE49-F238E27FC236}">
                  <a16:creationId xmlns:a16="http://schemas.microsoft.com/office/drawing/2014/main" id="{00000000-0008-0000-0900-000004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4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0.15784</cdr:x>
      <cdr:y>0.07376</cdr:y>
    </cdr:from>
    <cdr:to>
      <cdr:x>0.37184</cdr:x>
      <cdr:y>0.47801</cdr:y>
    </cdr:to>
    <cdr:sp macro="" textlink="">
      <cdr:nvSpPr>
        <cdr:cNvPr id="10" name="7 CuadroTexto"/>
        <cdr:cNvSpPr txBox="1"/>
      </cdr:nvSpPr>
      <cdr:spPr>
        <a:xfrm xmlns:a="http://schemas.openxmlformats.org/drawingml/2006/main">
          <a:off x="1368134" y="464593"/>
          <a:ext cx="1854899" cy="254613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chemeClr val="tx1">
              <a:lumMod val="50000"/>
              <a:lumOff val="50000"/>
            </a:scheme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ctr"/>
          <a:r>
            <a:rPr lang="es-MX" sz="1400" b="1"/>
            <a:t>Vida</a:t>
          </a:r>
          <a:r>
            <a:rPr lang="es-MX" sz="1400" b="1" baseline="0"/>
            <a:t> remanente</a:t>
          </a:r>
        </a:p>
        <a:p xmlns:a="http://schemas.openxmlformats.org/drawingml/2006/main">
          <a:pPr algn="ctr"/>
          <a:r>
            <a:rPr lang="es-MX" sz="1400" b="1" baseline="0"/>
            <a:t>(años)</a:t>
          </a:r>
          <a:endParaRPr lang="es-MX" sz="1400" b="1"/>
        </a:p>
      </cdr:txBody>
    </cdr:sp>
  </cdr:relSizeAnchor>
  <cdr:relSizeAnchor xmlns:cdr="http://schemas.openxmlformats.org/drawingml/2006/chartDrawing">
    <cdr:from>
      <cdr:x>0.1252</cdr:x>
      <cdr:y>0.19585</cdr:y>
    </cdr:from>
    <cdr:to>
      <cdr:x>0.39757</cdr:x>
      <cdr:y>0.28477</cdr:y>
    </cdr:to>
    <cdr:graphicFrame macro="">
      <cdr:nvGraphicFramePr>
        <cdr:cNvPr id="8" name="7 Gráfico">
          <a:extLst xmlns:a="http://schemas.openxmlformats.org/drawingml/2006/main">
            <a:ext uri="{FF2B5EF4-FFF2-40B4-BE49-F238E27FC236}">
              <a16:creationId xmlns:a16="http://schemas.microsoft.com/office/drawing/2014/main" id="{C6D4AACA-6AF4-0FC5-47B6-ECBA54534614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0.12083</cdr:x>
      <cdr:y>0.14092</cdr:y>
    </cdr:from>
    <cdr:to>
      <cdr:x>0.41644</cdr:x>
      <cdr:y>0.22983</cdr:y>
    </cdr:to>
    <cdr:graphicFrame macro="">
      <cdr:nvGraphicFramePr>
        <cdr:cNvPr id="5" name="4 Gráfico">
          <a:extLst xmlns:a="http://schemas.openxmlformats.org/drawingml/2006/main">
            <a:ext uri="{FF2B5EF4-FFF2-40B4-BE49-F238E27FC236}">
              <a16:creationId xmlns:a16="http://schemas.microsoft.com/office/drawing/2014/main" id="{99A52037-2D32-B96D-020B-3BA76E3506ED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cdr:graphicFrame>
  </cdr:relSizeAnchor>
  <cdr:relSizeAnchor xmlns:cdr="http://schemas.openxmlformats.org/drawingml/2006/chartDrawing">
    <cdr:from>
      <cdr:x>0.08447</cdr:x>
      <cdr:y>0.26206</cdr:y>
    </cdr:from>
    <cdr:to>
      <cdr:x>0.47434</cdr:x>
      <cdr:y>0.35098</cdr:y>
    </cdr:to>
    <cdr:graphicFrame macro="">
      <cdr:nvGraphicFramePr>
        <cdr:cNvPr id="7" name="6 Gráfico">
          <a:extLst xmlns:a="http://schemas.openxmlformats.org/drawingml/2006/main">
            <a:ext uri="{FF2B5EF4-FFF2-40B4-BE49-F238E27FC236}">
              <a16:creationId xmlns:a16="http://schemas.microsoft.com/office/drawing/2014/main" id="{68F98D38-2E7E-675A-9AD1-21297C06386D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cdr:graphicFrame>
  </cdr:relSizeAnchor>
  <cdr:relSizeAnchor xmlns:cdr="http://schemas.openxmlformats.org/drawingml/2006/chartDrawing">
    <cdr:from>
      <cdr:x>0.13332</cdr:x>
      <cdr:y>0.11531</cdr:y>
    </cdr:from>
    <cdr:to>
      <cdr:x>0.39286</cdr:x>
      <cdr:y>0.1808</cdr:y>
    </cdr:to>
    <cdr:graphicFrame macro="">
      <cdr:nvGraphicFramePr>
        <cdr:cNvPr id="6" name="5 Gráfico">
          <a:extLst xmlns:a="http://schemas.openxmlformats.org/drawingml/2006/main">
            <a:ext uri="{FF2B5EF4-FFF2-40B4-BE49-F238E27FC236}">
              <a16:creationId xmlns:a16="http://schemas.microsoft.com/office/drawing/2014/main" id="{3B81630B-803D-9C6C-5DAF-826B89AA85B0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cdr:graphicFrame>
  </cdr:relSizeAnchor>
  <cdr:relSizeAnchor xmlns:cdr="http://schemas.openxmlformats.org/drawingml/2006/chartDrawing">
    <cdr:from>
      <cdr:x>0.117</cdr:x>
      <cdr:y>0.32836</cdr:y>
    </cdr:from>
    <cdr:to>
      <cdr:x>0.41764</cdr:x>
      <cdr:y>0.41728</cdr:y>
    </cdr:to>
    <cdr:graphicFrame macro="">
      <cdr:nvGraphicFramePr>
        <cdr:cNvPr id="9" name="8 Gráfico">
          <a:extLst xmlns:a="http://schemas.openxmlformats.org/drawingml/2006/main">
            <a:ext uri="{FF2B5EF4-FFF2-40B4-BE49-F238E27FC236}">
              <a16:creationId xmlns:a16="http://schemas.microsoft.com/office/drawing/2014/main" id="{8ED19C6C-A1D6-F1B7-DA5B-CFC325C9376D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cdr:graphicFrame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0.14961</cdr:x>
      <cdr:y>0.08324</cdr:y>
    </cdr:from>
    <cdr:to>
      <cdr:x>0.32392</cdr:x>
      <cdr:y>0.48351</cdr:y>
    </cdr:to>
    <cdr:sp macro="" textlink="">
      <cdr:nvSpPr>
        <cdr:cNvPr id="7" name="7 CuadroTexto"/>
        <cdr:cNvSpPr txBox="1"/>
      </cdr:nvSpPr>
      <cdr:spPr>
        <a:xfrm xmlns:a="http://schemas.openxmlformats.org/drawingml/2006/main">
          <a:off x="1297782" y="523875"/>
          <a:ext cx="1512094" cy="2519023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Text" lastClr="000000">
              <a:lumMod val="50000"/>
              <a:lumOff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ctr"/>
          <a:r>
            <a:rPr lang="es-MX" sz="1400" b="1"/>
            <a:t>Vida</a:t>
          </a:r>
          <a:r>
            <a:rPr lang="es-MX" sz="1400" b="1" baseline="0"/>
            <a:t> remanente (años)</a:t>
          </a:r>
          <a:endParaRPr lang="es-MX" sz="1400" b="1"/>
        </a:p>
      </cdr:txBody>
    </cdr:sp>
  </cdr:relSizeAnchor>
  <cdr:relSizeAnchor xmlns:cdr="http://schemas.openxmlformats.org/drawingml/2006/chartDrawing">
    <cdr:from>
      <cdr:x>0.10569</cdr:x>
      <cdr:y>0.38135</cdr:y>
    </cdr:from>
    <cdr:to>
      <cdr:x>0.40216</cdr:x>
      <cdr:y>0.45595</cdr:y>
    </cdr:to>
    <cdr:graphicFrame macro="">
      <cdr:nvGraphicFramePr>
        <cdr:cNvPr id="2" name="1 Gráfico">
          <a:extLst xmlns:a="http://schemas.openxmlformats.org/drawingml/2006/main">
            <a:ext uri="{FF2B5EF4-FFF2-40B4-BE49-F238E27FC236}">
              <a16:creationId xmlns:a16="http://schemas.microsoft.com/office/drawing/2014/main" id="{533E7645-0695-7CEE-D518-B1335BCDB3E5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0.11117</cdr:x>
      <cdr:y>0.23757</cdr:y>
    </cdr:from>
    <cdr:to>
      <cdr:x>0.38431</cdr:x>
      <cdr:y>0.30649</cdr:y>
    </cdr:to>
    <cdr:graphicFrame macro="">
      <cdr:nvGraphicFramePr>
        <cdr:cNvPr id="3" name="2 Gráfico">
          <a:extLst xmlns:a="http://schemas.openxmlformats.org/drawingml/2006/main">
            <a:ext uri="{FF2B5EF4-FFF2-40B4-BE49-F238E27FC236}">
              <a16:creationId xmlns:a16="http://schemas.microsoft.com/office/drawing/2014/main" id="{2D1841EC-DCBF-DA64-5272-D085D0CB1227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cdr:graphicFrame>
  </cdr:relSizeAnchor>
  <cdr:relSizeAnchor xmlns:cdr="http://schemas.openxmlformats.org/drawingml/2006/chartDrawing">
    <cdr:from>
      <cdr:x>0.1153</cdr:x>
      <cdr:y>0.12784</cdr:y>
    </cdr:from>
    <cdr:to>
      <cdr:x>0.3755</cdr:x>
      <cdr:y>0.19297</cdr:y>
    </cdr:to>
    <cdr:graphicFrame macro="">
      <cdr:nvGraphicFramePr>
        <cdr:cNvPr id="4" name="3 Gráfico">
          <a:extLst xmlns:a="http://schemas.openxmlformats.org/drawingml/2006/main">
            <a:ext uri="{FF2B5EF4-FFF2-40B4-BE49-F238E27FC236}">
              <a16:creationId xmlns:a16="http://schemas.microsoft.com/office/drawing/2014/main" id="{40FB9B07-D199-066B-8045-D36F483C2276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cdr:graphicFrame>
  </cdr:relSizeAnchor>
  <cdr:relSizeAnchor xmlns:cdr="http://schemas.openxmlformats.org/drawingml/2006/chartDrawing">
    <cdr:from>
      <cdr:x>0.10843</cdr:x>
      <cdr:y>0.1846</cdr:y>
    </cdr:from>
    <cdr:to>
      <cdr:x>0.38569</cdr:x>
      <cdr:y>0.24217</cdr:y>
    </cdr:to>
    <cdr:graphicFrame macro="">
      <cdr:nvGraphicFramePr>
        <cdr:cNvPr id="5" name="4 Gráfico">
          <a:extLst xmlns:a="http://schemas.openxmlformats.org/drawingml/2006/main">
            <a:ext uri="{FF2B5EF4-FFF2-40B4-BE49-F238E27FC236}">
              <a16:creationId xmlns:a16="http://schemas.microsoft.com/office/drawing/2014/main" id="{29C2B4FE-5A43-130A-D673-94BEF9829D16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cdr:graphicFrame>
  </cdr:relSizeAnchor>
  <cdr:relSizeAnchor xmlns:cdr="http://schemas.openxmlformats.org/drawingml/2006/chartDrawing">
    <cdr:from>
      <cdr:x>0.07</cdr:x>
      <cdr:y>0.31893</cdr:y>
    </cdr:from>
    <cdr:to>
      <cdr:x>0.47078</cdr:x>
      <cdr:y>0.38406</cdr:y>
    </cdr:to>
    <cdr:graphicFrame macro="">
      <cdr:nvGraphicFramePr>
        <cdr:cNvPr id="6" name="5 Gráfico">
          <a:extLst xmlns:a="http://schemas.openxmlformats.org/drawingml/2006/main">
            <a:ext uri="{FF2B5EF4-FFF2-40B4-BE49-F238E27FC236}">
              <a16:creationId xmlns:a16="http://schemas.microsoft.com/office/drawing/2014/main" id="{1860D3C3-83F1-0D24-8E9D-A1F0F9986152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cdr:graphicFrame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Users/Roberto/AppData/Roaming/Microsoft/Excel/1.%20OBAA-PAV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OBBA%20PAVE%20hoja%20definitiv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carpeta%20trabajo%20obaa%20pave/Users/Roberto/AppData/Roaming/Microsoft/Excel/1.%20OBAA-PAVE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OBBA%20PAVE%202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NALISIS PAVIMENTO"/>
      <sheetName val="RESULTADO ESPECTRAL"/>
      <sheetName val="RESULTADO INDIVIDUAL"/>
      <sheetName val="E. CARGA TODOS"/>
      <sheetName val="E. DAÑO DEF"/>
      <sheetName val="E. DAÑO FATIGA"/>
      <sheetName val="AC. MINER (PENDIENTE)"/>
      <sheetName val="E. CARGA DUAL"/>
      <sheetName val="E. CARGA TANDEM"/>
      <sheetName val="E. CARGA TRIDEM"/>
    </sheetNames>
    <sheetDataSet>
      <sheetData sheetId="0">
        <row r="61"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</row>
        <row r="62"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vanzado"/>
      <sheetName val="COMPARATIVA"/>
      <sheetName val="NuevoFormatoTransito"/>
      <sheetName val="NuevoEspectrosdeCarga"/>
      <sheetName val="NuevoFormatoPav"/>
      <sheetName val="GraficoEspectros"/>
      <sheetName val="Larguillo"/>
      <sheetName val="calculos"/>
      <sheetName val="ANALISIS PAVIMENTO"/>
      <sheetName val="RESULTADO INDIVIDUAL"/>
      <sheetName val="RESULTADO ESPECTRAL"/>
      <sheetName val="ESPECTROS CARGA"/>
      <sheetName val="DAÑO AC. FATIGA"/>
      <sheetName val="DAÑO AC. DEFORMACION"/>
      <sheetName val="ESPECTRO DAÑO DEFORMACION"/>
      <sheetName val="ESPECTRO DAÑO FATIGA"/>
      <sheetName val="E. CARGA SIMPLE"/>
      <sheetName val="E. CARGA DUAL"/>
      <sheetName val="E. CARGA TANDEM"/>
      <sheetName val="E. CARGA TRIDEM"/>
      <sheetName val="factor_e_vert"/>
      <sheetName val="factor_e_rad"/>
      <sheetName val="factor_e_tan"/>
      <sheetName val="Estructura de Pavimento"/>
    </sheetNames>
    <sheetDataSet>
      <sheetData sheetId="0"/>
      <sheetData sheetId="1"/>
      <sheetData sheetId="2"/>
      <sheetData sheetId="3"/>
      <sheetData sheetId="4"/>
      <sheetData sheetId="5" refreshError="1"/>
      <sheetData sheetId="6"/>
      <sheetData sheetId="7"/>
      <sheetData sheetId="8">
        <row r="61"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</row>
        <row r="62"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</row>
      </sheetData>
      <sheetData sheetId="9"/>
      <sheetData sheetId="10">
        <row r="31">
          <cell r="BO31">
            <v>1.2012019919015862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/>
      <sheetData sheetId="22"/>
      <sheetData sheetId="2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NALISIS PAVIMENTO"/>
      <sheetName val="RESULTADO ESPECTRAL"/>
      <sheetName val="RESULTADO INDIVIDUAL"/>
      <sheetName val="E. CARGA TODOS"/>
      <sheetName val="E. DAÑO DEF"/>
      <sheetName val="E. DAÑO FATIGA"/>
      <sheetName val="AC. MINER (PENDIENTE)"/>
      <sheetName val="E. CARGA DUAL"/>
      <sheetName val="E. CARGA TANDEM"/>
      <sheetName val="E. CARGA TRIDEM"/>
    </sheetNames>
    <sheetDataSet>
      <sheetData sheetId="0">
        <row r="61"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</row>
        <row r="62"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uevoFormatoPavimento"/>
      <sheetName val="calculos"/>
      <sheetName val="NuevoFormatoTransito"/>
      <sheetName val="NuevoEspectrosdeCarga"/>
      <sheetName val="NuevoFormatoModelos"/>
      <sheetName val="ANALISIS PAVIMENTO"/>
      <sheetName val="RESULTADO INDIVIDUAL"/>
      <sheetName val="RESULTADO ESPECTRAL"/>
      <sheetName val="ESPECTROS CARGA"/>
      <sheetName val="DAÑO AC. FATIGA"/>
      <sheetName val="DAÑO AC. DEFORMACION"/>
      <sheetName val="ESPECTRO DAÑO DEFORMACION"/>
      <sheetName val="ESPECTRO DAÑO FATIGA"/>
      <sheetName val="E. CARGA SIMPLE"/>
      <sheetName val="E. CARGA DUAL"/>
      <sheetName val="E. CARGA TANDEM"/>
      <sheetName val="E. CARGA TRIDEM"/>
      <sheetName val="factor_e_vert"/>
      <sheetName val="factor_e_rad"/>
      <sheetName val="factor_e_tan"/>
      <sheetName val="Estructura de Paviment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61">
          <cell r="CX61">
            <v>0</v>
          </cell>
          <cell r="CY61">
            <v>0.2</v>
          </cell>
          <cell r="CZ61">
            <v>0.4</v>
          </cell>
          <cell r="DA61">
            <v>0.6</v>
          </cell>
          <cell r="DB61">
            <v>0.8</v>
          </cell>
          <cell r="DC61">
            <v>1</v>
          </cell>
          <cell r="DD61">
            <v>1.2</v>
          </cell>
          <cell r="DE61">
            <v>1.5</v>
          </cell>
          <cell r="DF61">
            <v>2</v>
          </cell>
          <cell r="DG61">
            <v>3</v>
          </cell>
          <cell r="DH61">
            <v>4</v>
          </cell>
          <cell r="DI61">
            <v>5</v>
          </cell>
          <cell r="DJ61">
            <v>6</v>
          </cell>
          <cell r="DK61">
            <v>7</v>
          </cell>
          <cell r="DL61">
            <v>8</v>
          </cell>
          <cell r="DM61">
            <v>10</v>
          </cell>
          <cell r="DN61">
            <v>12</v>
          </cell>
          <cell r="DO61">
            <v>14</v>
          </cell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  <cell r="EN61">
            <v>0</v>
          </cell>
          <cell r="EO61">
            <v>0.2</v>
          </cell>
          <cell r="EP61">
            <v>0.4</v>
          </cell>
          <cell r="EQ61">
            <v>0.6</v>
          </cell>
          <cell r="ER61">
            <v>0.8</v>
          </cell>
          <cell r="ES61">
            <v>1</v>
          </cell>
          <cell r="ET61">
            <v>1.2</v>
          </cell>
          <cell r="EU61">
            <v>1.5</v>
          </cell>
          <cell r="EV61">
            <v>2</v>
          </cell>
          <cell r="EW61">
            <v>3</v>
          </cell>
          <cell r="EX61">
            <v>4</v>
          </cell>
          <cell r="EY61">
            <v>5</v>
          </cell>
          <cell r="EZ61">
            <v>6</v>
          </cell>
          <cell r="FA61">
            <v>7</v>
          </cell>
          <cell r="FB61">
            <v>8</v>
          </cell>
          <cell r="FC61">
            <v>10</v>
          </cell>
          <cell r="FD61">
            <v>12</v>
          </cell>
          <cell r="FE61">
            <v>14</v>
          </cell>
        </row>
        <row r="62">
          <cell r="CX62">
            <v>1</v>
          </cell>
          <cell r="CY62">
            <v>2</v>
          </cell>
          <cell r="CZ62">
            <v>3</v>
          </cell>
          <cell r="DA62">
            <v>4</v>
          </cell>
          <cell r="DB62">
            <v>5</v>
          </cell>
          <cell r="DC62">
            <v>6</v>
          </cell>
          <cell r="DD62">
            <v>7</v>
          </cell>
          <cell r="DE62">
            <v>8</v>
          </cell>
          <cell r="DF62">
            <v>9</v>
          </cell>
          <cell r="DG62">
            <v>10</v>
          </cell>
          <cell r="DH62">
            <v>11</v>
          </cell>
          <cell r="DI62">
            <v>12</v>
          </cell>
          <cell r="DJ62">
            <v>13</v>
          </cell>
          <cell r="DK62">
            <v>14</v>
          </cell>
          <cell r="DL62">
            <v>15</v>
          </cell>
          <cell r="DM62">
            <v>16</v>
          </cell>
          <cell r="DN62">
            <v>17</v>
          </cell>
          <cell r="DO62">
            <v>18</v>
          </cell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  <cell r="EN62">
            <v>1</v>
          </cell>
          <cell r="EO62">
            <v>2</v>
          </cell>
          <cell r="EP62">
            <v>3</v>
          </cell>
          <cell r="EQ62">
            <v>4</v>
          </cell>
          <cell r="ER62">
            <v>5</v>
          </cell>
          <cell r="ES62">
            <v>6</v>
          </cell>
          <cell r="ET62">
            <v>7</v>
          </cell>
          <cell r="EU62">
            <v>8</v>
          </cell>
          <cell r="EV62">
            <v>9</v>
          </cell>
          <cell r="EW62">
            <v>10</v>
          </cell>
          <cell r="EX62">
            <v>11</v>
          </cell>
          <cell r="EY62">
            <v>12</v>
          </cell>
          <cell r="EZ62">
            <v>13</v>
          </cell>
          <cell r="FA62">
            <v>14</v>
          </cell>
          <cell r="FB62">
            <v>15</v>
          </cell>
          <cell r="FC62">
            <v>16</v>
          </cell>
          <cell r="FD62">
            <v>17</v>
          </cell>
          <cell r="FE62">
            <v>18</v>
          </cell>
        </row>
        <row r="63">
          <cell r="CV63">
            <v>0</v>
          </cell>
          <cell r="CW63">
            <v>1</v>
          </cell>
          <cell r="CX63">
            <v>1</v>
          </cell>
          <cell r="CY63">
            <v>1</v>
          </cell>
          <cell r="CZ63">
            <v>1</v>
          </cell>
          <cell r="DA63">
            <v>1</v>
          </cell>
          <cell r="DB63">
            <v>1</v>
          </cell>
          <cell r="DC63">
            <v>0.5</v>
          </cell>
          <cell r="DD63">
            <v>0</v>
          </cell>
          <cell r="DE63">
            <v>0</v>
          </cell>
          <cell r="DF63">
            <v>0</v>
          </cell>
          <cell r="DG63">
            <v>0</v>
          </cell>
          <cell r="DH63">
            <v>0</v>
          </cell>
          <cell r="DI63">
            <v>0</v>
          </cell>
          <cell r="DJ63">
            <v>0</v>
          </cell>
          <cell r="DK63">
            <v>0</v>
          </cell>
          <cell r="DL63">
            <v>0</v>
          </cell>
          <cell r="DM63">
            <v>0</v>
          </cell>
          <cell r="DN63">
            <v>0</v>
          </cell>
          <cell r="DO63">
            <v>0</v>
          </cell>
          <cell r="DQ63">
            <v>0</v>
          </cell>
          <cell r="DR63">
            <v>1</v>
          </cell>
          <cell r="DS63">
            <v>0.85</v>
          </cell>
          <cell r="DT63">
            <v>0.85</v>
          </cell>
          <cell r="DU63">
            <v>0.85</v>
          </cell>
          <cell r="DV63">
            <v>0.85</v>
          </cell>
          <cell r="DW63">
            <v>0.85</v>
          </cell>
          <cell r="DX63">
            <v>0.35</v>
          </cell>
          <cell r="DY63">
            <v>-0.10416600000000001</v>
          </cell>
          <cell r="DZ63">
            <v>-6.6666000000000017E-2</v>
          </cell>
          <cell r="EA63">
            <v>-3.7500000000000006E-2</v>
          </cell>
          <cell r="EB63">
            <v>-1.6668000000000002E-2</v>
          </cell>
          <cell r="EC63">
            <v>-9.3750000000000014E-3</v>
          </cell>
          <cell r="ED63">
            <v>-6.000000000000001E-3</v>
          </cell>
          <cell r="EE63">
            <v>-4.1670000000000006E-3</v>
          </cell>
          <cell r="EF63">
            <v>-3.0600000000000007E-3</v>
          </cell>
          <cell r="EG63">
            <v>-2.3430000000000005E-3</v>
          </cell>
          <cell r="EH63">
            <v>-1.5000000000000002E-3</v>
          </cell>
          <cell r="EI63">
            <v>-1.0410000000000003E-3</v>
          </cell>
          <cell r="EJ63">
            <v>-7.6500000000000016E-4</v>
          </cell>
          <cell r="EL63">
            <v>0</v>
          </cell>
          <cell r="EM63">
            <v>1</v>
          </cell>
          <cell r="EN63">
            <v>0.85</v>
          </cell>
          <cell r="EO63">
            <v>0.85</v>
          </cell>
          <cell r="EP63">
            <v>0.85</v>
          </cell>
          <cell r="EQ63">
            <v>0.85</v>
          </cell>
          <cell r="ER63">
            <v>0.85</v>
          </cell>
          <cell r="ES63">
            <v>0.5</v>
          </cell>
          <cell r="ET63">
            <v>0.10416600000000001</v>
          </cell>
          <cell r="EU63">
            <v>6.6666000000000017E-2</v>
          </cell>
          <cell r="EV63">
            <v>3.7500000000000006E-2</v>
          </cell>
          <cell r="EW63">
            <v>1.6668000000000002E-2</v>
          </cell>
          <cell r="EX63">
            <v>9.3750000000000014E-3</v>
          </cell>
          <cell r="EY63">
            <v>6.000000000000001E-3</v>
          </cell>
          <cell r="EZ63">
            <v>4.1670000000000006E-3</v>
          </cell>
          <cell r="FA63">
            <v>3.0600000000000007E-3</v>
          </cell>
          <cell r="FB63">
            <v>2.3430000000000005E-3</v>
          </cell>
          <cell r="FC63">
            <v>1.5000000000000002E-3</v>
          </cell>
          <cell r="FD63">
            <v>1.0410000000000003E-3</v>
          </cell>
          <cell r="FE63">
            <v>7.6500000000000016E-4</v>
          </cell>
        </row>
        <row r="64">
          <cell r="CV64">
            <v>0.1</v>
          </cell>
          <cell r="CW64">
            <v>2</v>
          </cell>
          <cell r="CX64">
            <v>0.99902000000000002</v>
          </cell>
          <cell r="CY64">
            <v>0.9988800000000001</v>
          </cell>
          <cell r="CZ64">
            <v>0.99817</v>
          </cell>
          <cell r="DA64">
            <v>0.99550000000000005</v>
          </cell>
          <cell r="DB64">
            <v>0.97592999999999996</v>
          </cell>
          <cell r="DC64">
            <v>0.48402999999999996</v>
          </cell>
          <cell r="DD64">
            <v>1.7459999999999989E-2</v>
          </cell>
          <cell r="DE64">
            <v>1.1499999999999982E-3</v>
          </cell>
          <cell r="DF64">
            <v>1.1000000000000072E-4</v>
          </cell>
          <cell r="DG64">
            <v>1.0000000000000026E-5</v>
          </cell>
          <cell r="DH64">
            <v>0</v>
          </cell>
          <cell r="DI64">
            <v>0</v>
          </cell>
          <cell r="DJ64">
            <v>0</v>
          </cell>
          <cell r="DK64">
            <v>1.4999999999999999E-4</v>
          </cell>
          <cell r="DL64">
            <v>1E-4</v>
          </cell>
          <cell r="DM64">
            <v>0</v>
          </cell>
          <cell r="DN64">
            <v>0</v>
          </cell>
          <cell r="DO64">
            <v>0</v>
          </cell>
          <cell r="DQ64">
            <v>0.1</v>
          </cell>
          <cell r="DR64">
            <v>2</v>
          </cell>
          <cell r="DS64">
            <v>0.71616500000000005</v>
          </cell>
          <cell r="DT64">
            <v>0.711198</v>
          </cell>
          <cell r="DU64">
            <v>0.69366599999999989</v>
          </cell>
          <cell r="DV64">
            <v>0.65166400000000002</v>
          </cell>
          <cell r="DW64">
            <v>0.53786599999999996</v>
          </cell>
          <cell r="DX64">
            <v>0.33502599999999993</v>
          </cell>
          <cell r="DY64">
            <v>0.12518499999999999</v>
          </cell>
          <cell r="DZ64">
            <v>1.1422999999999989E-2</v>
          </cell>
          <cell r="EA64">
            <v>-1.1498000000000005E-2</v>
          </cell>
          <cell r="EB64">
            <v>-9.9460000000000034E-3</v>
          </cell>
          <cell r="EC64">
            <v>-6.6550000000000021E-3</v>
          </cell>
          <cell r="ED64">
            <v>-4.6370000000000005E-3</v>
          </cell>
          <cell r="EE64">
            <v>-3.4200000000000003E-3</v>
          </cell>
          <cell r="EF64">
            <v>-2.65E-3</v>
          </cell>
          <cell r="EG64">
            <v>-2.1250000000000002E-3</v>
          </cell>
          <cell r="EH64">
            <v>-1.4700000000000002E-3</v>
          </cell>
          <cell r="EI64">
            <v>-1.023E-3</v>
          </cell>
          <cell r="EJ64">
            <v>-7.5300000000000009E-4</v>
          </cell>
          <cell r="EL64">
            <v>0.1</v>
          </cell>
          <cell r="EM64">
            <v>2</v>
          </cell>
          <cell r="EN64">
            <v>0.71616500000000005</v>
          </cell>
          <cell r="EO64">
            <v>0.71310420000000008</v>
          </cell>
          <cell r="EP64">
            <v>0.70249699999999993</v>
          </cell>
          <cell r="EQ64">
            <v>0.67824100000000009</v>
          </cell>
          <cell r="ER64">
            <v>0.61373299999999997</v>
          </cell>
          <cell r="ES64">
            <v>0.34234899999999996</v>
          </cell>
          <cell r="ET64">
            <v>0.11777000000000001</v>
          </cell>
          <cell r="EU64">
            <v>6.2676000000000009E-2</v>
          </cell>
          <cell r="EV64">
            <v>3.4500000000000003E-2</v>
          </cell>
          <cell r="EW64">
            <v>1.5633000000000001E-2</v>
          </cell>
          <cell r="EX64">
            <v>8.9230000000000021E-3</v>
          </cell>
          <cell r="EY64">
            <v>5.7610000000000014E-3</v>
          </cell>
          <cell r="EZ64">
            <v>4.0400000000000002E-3</v>
          </cell>
          <cell r="FA64">
            <v>2.8900000000000006E-3</v>
          </cell>
          <cell r="FB64">
            <v>2.2860000000000003E-3</v>
          </cell>
          <cell r="FC64">
            <v>1.4850000000000004E-3</v>
          </cell>
          <cell r="FD64">
            <v>1.0290000000000002E-3</v>
          </cell>
          <cell r="FE64">
            <v>7.5900000000000013E-4</v>
          </cell>
        </row>
        <row r="65">
          <cell r="CV65">
            <v>0.2</v>
          </cell>
          <cell r="CW65">
            <v>3</v>
          </cell>
          <cell r="CX65">
            <v>0.99245000000000005</v>
          </cell>
          <cell r="CY65">
            <v>0.99129999999999996</v>
          </cell>
          <cell r="CZ65">
            <v>0.98655999999999999</v>
          </cell>
          <cell r="DA65">
            <v>0.97006999999999999</v>
          </cell>
          <cell r="DB65">
            <v>0.88997000000000004</v>
          </cell>
          <cell r="DC65">
            <v>0.46781999999999996</v>
          </cell>
          <cell r="DD65">
            <v>7.6739999999999989E-2</v>
          </cell>
          <cell r="DE65">
            <v>8.0300000000000024E-3</v>
          </cell>
          <cell r="DF65">
            <v>8.6999999999999925E-4</v>
          </cell>
          <cell r="DG65">
            <v>6.999999999999975E-5</v>
          </cell>
          <cell r="DH65">
            <v>1.0000000000000026E-5</v>
          </cell>
          <cell r="DI65">
            <v>0</v>
          </cell>
          <cell r="DJ65">
            <v>2.4000000000000001E-4</v>
          </cell>
          <cell r="DK65">
            <v>1.4999999999999999E-4</v>
          </cell>
          <cell r="DL65">
            <v>1E-4</v>
          </cell>
          <cell r="DM65">
            <v>0</v>
          </cell>
          <cell r="DN65">
            <v>0</v>
          </cell>
          <cell r="DO65">
            <v>0</v>
          </cell>
          <cell r="DQ65">
            <v>0.2</v>
          </cell>
          <cell r="DR65">
            <v>3</v>
          </cell>
          <cell r="DS65">
            <v>0.58900799999999998</v>
          </cell>
          <cell r="DT65">
            <v>0.5803609999999999</v>
          </cell>
          <cell r="DU65">
            <v>0.5513499999999999</v>
          </cell>
          <cell r="DV65">
            <v>0.48907999999999996</v>
          </cell>
          <cell r="DW65">
            <v>0.37422300000000003</v>
          </cell>
          <cell r="DX65">
            <v>0.308471</v>
          </cell>
          <cell r="DY65">
            <v>0.22349599999999997</v>
          </cell>
          <cell r="DZ65">
            <v>7.553399999999999E-2</v>
          </cell>
          <cell r="EA65">
            <v>1.2947E-2</v>
          </cell>
          <cell r="EB65">
            <v>-3.3570000000000023E-3</v>
          </cell>
          <cell r="EC65">
            <v>-3.9750000000000028E-3</v>
          </cell>
          <cell r="ED65">
            <v>-3.2840000000000013E-3</v>
          </cell>
          <cell r="EE65">
            <v>-2.6090000000000002E-3</v>
          </cell>
          <cell r="EF65">
            <v>-2.0830000000000006E-3</v>
          </cell>
          <cell r="EG65">
            <v>-1.6960000000000005E-3</v>
          </cell>
          <cell r="EH65">
            <v>-1.2700000000000001E-3</v>
          </cell>
          <cell r="EI65">
            <v>-1.0080000000000002E-3</v>
          </cell>
          <cell r="EJ65">
            <v>-7.4100000000000012E-4</v>
          </cell>
          <cell r="EL65">
            <v>0.2</v>
          </cell>
          <cell r="EM65">
            <v>3</v>
          </cell>
          <cell r="EN65">
            <v>0.58900799999999998</v>
          </cell>
          <cell r="EO65">
            <v>0.58337819999999996</v>
          </cell>
          <cell r="EP65">
            <v>0.56496099999999994</v>
          </cell>
          <cell r="EQ65">
            <v>0.52490099999999995</v>
          </cell>
          <cell r="ER65">
            <v>0.43718199999999996</v>
          </cell>
          <cell r="ES65">
            <v>0.256969</v>
          </cell>
          <cell r="ET65">
            <v>0.116435</v>
          </cell>
          <cell r="EU65">
            <v>5.8216000000000004E-2</v>
          </cell>
          <cell r="EV65">
            <v>3.1533000000000005E-2</v>
          </cell>
          <cell r="EW65">
            <v>1.4603000000000003E-2</v>
          </cell>
          <cell r="EX65">
            <v>8.4740000000000024E-3</v>
          </cell>
          <cell r="EY65">
            <v>5.5280000000000008E-3</v>
          </cell>
          <cell r="EZ65">
            <v>3.8920000000000001E-3</v>
          </cell>
          <cell r="FA65">
            <v>2.8930000000000002E-3</v>
          </cell>
          <cell r="FB65">
            <v>2.2260000000000001E-3</v>
          </cell>
          <cell r="FC65">
            <v>1.5370000000000002E-3</v>
          </cell>
          <cell r="FD65">
            <v>1.0200000000000001E-3</v>
          </cell>
          <cell r="FE65">
            <v>7.5300000000000009E-4</v>
          </cell>
        </row>
        <row r="66">
          <cell r="CV66">
            <v>0.3</v>
          </cell>
          <cell r="CW66">
            <v>4</v>
          </cell>
          <cell r="CX66">
            <v>0.97626999999999997</v>
          </cell>
          <cell r="CY66">
            <v>0.97304999999999997</v>
          </cell>
          <cell r="CZ66">
            <v>0.96333999999999997</v>
          </cell>
          <cell r="DA66">
            <v>0.92172999999999994</v>
          </cell>
          <cell r="DB66">
            <v>0.79337999999999997</v>
          </cell>
          <cell r="DC66">
            <v>0.45132</v>
          </cell>
          <cell r="DD66">
            <v>0.13647999999999999</v>
          </cell>
          <cell r="DE66">
            <v>2.1999999999999999E-2</v>
          </cell>
          <cell r="DF66">
            <v>2.7400000000000028E-3</v>
          </cell>
          <cell r="DG66">
            <v>2.3000000000000017E-4</v>
          </cell>
          <cell r="DH66">
            <v>5.0000000000000131E-5</v>
          </cell>
          <cell r="DI66">
            <v>1.0000000000000001E-5</v>
          </cell>
          <cell r="DJ66">
            <v>0</v>
          </cell>
          <cell r="DM66">
            <v>0</v>
          </cell>
          <cell r="DN66">
            <v>0</v>
          </cell>
          <cell r="DO66">
            <v>0</v>
          </cell>
          <cell r="DQ66">
            <v>0.3</v>
          </cell>
          <cell r="DR66">
            <v>4</v>
          </cell>
          <cell r="DS66">
            <v>0.47394399999999998</v>
          </cell>
          <cell r="DT66">
            <v>0.46406800000000004</v>
          </cell>
          <cell r="DU66">
            <v>0.43758599999999997</v>
          </cell>
          <cell r="DV66">
            <v>0.37564799999999998</v>
          </cell>
          <cell r="DW66">
            <v>0.29617599999999999</v>
          </cell>
          <cell r="DX66">
            <v>0.27962100000000001</v>
          </cell>
          <cell r="DY66">
            <v>0.24365000000000003</v>
          </cell>
          <cell r="DZ66">
            <v>0.11924899999999999</v>
          </cell>
          <cell r="EA66">
            <v>3.4529999999999991E-2</v>
          </cell>
          <cell r="EB66">
            <v>2.975999999999996E-3</v>
          </cell>
          <cell r="EC66">
            <v>-1.3280000000000019E-3</v>
          </cell>
          <cell r="ED66">
            <v>-1.870000000000001E-3</v>
          </cell>
          <cell r="EE66">
            <v>-1.9250000000000005E-3</v>
          </cell>
          <cell r="EF66">
            <v>-1.5710000000000008E-3</v>
          </cell>
          <cell r="EG66">
            <v>-1.3850000000000004E-3</v>
          </cell>
          <cell r="EH66">
            <v>-1.0050000000000003E-3</v>
          </cell>
          <cell r="EI66">
            <v>-8.2700000000000026E-4</v>
          </cell>
          <cell r="EJ66">
            <v>-7.3200000000000012E-4</v>
          </cell>
          <cell r="EL66">
            <v>0.3</v>
          </cell>
          <cell r="EM66">
            <v>4</v>
          </cell>
          <cell r="EN66">
            <v>0.47394399999999998</v>
          </cell>
          <cell r="EO66">
            <v>0.46686000000000005</v>
          </cell>
          <cell r="EP66">
            <v>0.43912899999999999</v>
          </cell>
          <cell r="EQ66">
            <v>0.39923199999999998</v>
          </cell>
          <cell r="ER66">
            <v>0.316631</v>
          </cell>
          <cell r="ES66">
            <v>0.19718399999999997</v>
          </cell>
          <cell r="ET66">
            <v>0.10490100000000001</v>
          </cell>
          <cell r="EU66">
            <v>5.3123999999999998E-2</v>
          </cell>
          <cell r="EV66">
            <v>2.8610000000000003E-2</v>
          </cell>
          <cell r="EW66">
            <v>1.0021000000000002E-2</v>
          </cell>
          <cell r="EX66">
            <v>8.0280000000000004E-3</v>
          </cell>
          <cell r="EY66">
            <v>5.3500000000000006E-3</v>
          </cell>
          <cell r="EZ66">
            <v>3.6760000000000004E-3</v>
          </cell>
          <cell r="FA66">
            <v>2.7780000000000005E-3</v>
          </cell>
          <cell r="FB66">
            <v>2.1750000000000007E-3</v>
          </cell>
          <cell r="FC66">
            <v>1.4570000000000002E-3</v>
          </cell>
          <cell r="FD66">
            <v>1.0740000000000001E-3</v>
          </cell>
          <cell r="FE66">
            <v>7.4700000000000016E-4</v>
          </cell>
        </row>
        <row r="67">
          <cell r="CV67">
            <v>0.4</v>
          </cell>
          <cell r="CW67">
            <v>5</v>
          </cell>
          <cell r="CX67">
            <v>0.62861</v>
          </cell>
          <cell r="CY67">
            <v>0.62014999999999998</v>
          </cell>
          <cell r="CZ67">
            <v>0.59240999999999999</v>
          </cell>
          <cell r="DA67">
            <v>0.53766999999999998</v>
          </cell>
          <cell r="DB67">
            <v>0.44329000000000002</v>
          </cell>
          <cell r="DC67">
            <v>0.31047999999999998</v>
          </cell>
          <cell r="DD67">
            <v>0.18709000000000001</v>
          </cell>
          <cell r="DE67">
            <v>8.5930000000000006E-2</v>
          </cell>
          <cell r="DF67">
            <v>3.1179999999999999E-2</v>
          </cell>
          <cell r="DG67">
            <v>5.2999999999999998E-4</v>
          </cell>
          <cell r="DH67">
            <v>1.05E-4</v>
          </cell>
          <cell r="DI67">
            <v>5.0000000000000002E-5</v>
          </cell>
          <cell r="DJ67">
            <v>1.0000000000000001E-5</v>
          </cell>
          <cell r="DM67">
            <v>0</v>
          </cell>
          <cell r="DN67">
            <v>0</v>
          </cell>
          <cell r="DO67">
            <v>0</v>
          </cell>
          <cell r="DQ67">
            <v>0.4</v>
          </cell>
          <cell r="DR67">
            <v>5</v>
          </cell>
          <cell r="DS67">
            <v>0.27994699999999995</v>
          </cell>
          <cell r="DT67">
            <v>0.27222499999999994</v>
          </cell>
          <cell r="DU67">
            <v>0.24949699999999997</v>
          </cell>
          <cell r="DV67">
            <v>0.21651899999999996</v>
          </cell>
          <cell r="DW67">
            <v>0.19862299999999999</v>
          </cell>
          <cell r="DX67">
            <v>0.23025599999999996</v>
          </cell>
          <cell r="DY67">
            <v>0.24110300000000001</v>
          </cell>
          <cell r="DZ67">
            <v>0.16437099999999999</v>
          </cell>
          <cell r="EA67">
            <v>7.2496000000000005E-2</v>
          </cell>
          <cell r="EB67">
            <v>2.146E-2</v>
          </cell>
          <cell r="EC67">
            <v>8.3800000000000003E-3</v>
          </cell>
          <cell r="ED67">
            <v>4.3899999999999998E-3</v>
          </cell>
          <cell r="EE67">
            <v>2.3800000000000002E-3</v>
          </cell>
          <cell r="EF67">
            <v>1.5349999999999999E-3</v>
          </cell>
          <cell r="EG67">
            <v>1.06E-3</v>
          </cell>
          <cell r="EH67">
            <v>5.4000000000000001E-4</v>
          </cell>
          <cell r="EI67">
            <v>2.8400000000000002E-4</v>
          </cell>
          <cell r="EJ67">
            <v>1E-4</v>
          </cell>
          <cell r="EL67">
            <v>0.4</v>
          </cell>
          <cell r="EM67">
            <v>5</v>
          </cell>
          <cell r="EN67">
            <v>0.27994699999999995</v>
          </cell>
          <cell r="EO67">
            <v>0.27340499999999995</v>
          </cell>
          <cell r="EP67">
            <v>0.25239699999999998</v>
          </cell>
          <cell r="EQ67">
            <v>0.21348899999999996</v>
          </cell>
          <cell r="ER67">
            <v>0.15274299999999999</v>
          </cell>
          <cell r="ES67">
            <v>8.0375999999999975E-2</v>
          </cell>
          <cell r="ET67">
            <v>2.8482999999999994E-2</v>
          </cell>
          <cell r="EU67">
            <v>1.2810000000000044E-3</v>
          </cell>
          <cell r="EV67">
            <v>-3.6240000000000022E-3</v>
          </cell>
          <cell r="EW67">
            <v>-3.2799999999999999E-3</v>
          </cell>
          <cell r="EX67">
            <v>-7.2000000000000015E-4</v>
          </cell>
          <cell r="EY67">
            <v>-4.1000000000000021E-4</v>
          </cell>
          <cell r="EZ67">
            <v>-3.2000000000000008E-4</v>
          </cell>
          <cell r="FA67">
            <v>-2.6499999999999999E-4</v>
          </cell>
          <cell r="FB67">
            <v>-1.2000000000000004E-4</v>
          </cell>
          <cell r="FC67">
            <v>-6.0000000000000022E-5</v>
          </cell>
          <cell r="FD67">
            <v>-1.6000000000000009E-5</v>
          </cell>
          <cell r="FE67">
            <v>0</v>
          </cell>
        </row>
        <row r="68">
          <cell r="CV68">
            <v>0.5</v>
          </cell>
          <cell r="CW68">
            <v>6</v>
          </cell>
          <cell r="CX68">
            <v>0.91056000000000004</v>
          </cell>
          <cell r="CY68">
            <v>0.90155000000000007</v>
          </cell>
          <cell r="CZ68">
            <v>0.86945000000000006</v>
          </cell>
          <cell r="DA68">
            <v>0.79554000000000002</v>
          </cell>
          <cell r="DB68">
            <v>0.64626000000000006</v>
          </cell>
          <cell r="DC68">
            <v>0.41747000000000001</v>
          </cell>
          <cell r="DD68">
            <v>0.20721000000000001</v>
          </cell>
          <cell r="DE68">
            <v>6.0440000000000008E-2</v>
          </cell>
          <cell r="DF68">
            <v>1.0500000000000002E-2</v>
          </cell>
          <cell r="DG68">
            <v>1.15E-3</v>
          </cell>
          <cell r="DH68">
            <v>1.8999999999999963E-4</v>
          </cell>
          <cell r="DI68">
            <v>9.9999999999999829E-5</v>
          </cell>
          <cell r="DJ68">
            <v>2.0000000000000052E-5</v>
          </cell>
          <cell r="DK68">
            <v>-1.9999999999999944E-5</v>
          </cell>
          <cell r="DL68">
            <v>3.9999999999999996E-5</v>
          </cell>
          <cell r="DM68">
            <v>0</v>
          </cell>
          <cell r="DN68">
            <v>9.9999999999999991E-6</v>
          </cell>
          <cell r="DO68">
            <v>0</v>
          </cell>
          <cell r="DQ68">
            <v>0.5</v>
          </cell>
          <cell r="DR68">
            <v>6</v>
          </cell>
          <cell r="DS68">
            <v>0.29098000000000002</v>
          </cell>
          <cell r="DT68">
            <v>0.28346199999999999</v>
          </cell>
          <cell r="DU68">
            <v>0.26105400000000001</v>
          </cell>
          <cell r="DV68">
            <v>0.23169699999999999</v>
          </cell>
          <cell r="DW68">
            <v>0.21465599999999999</v>
          </cell>
          <cell r="DX68">
            <v>0.22303299999999998</v>
          </cell>
          <cell r="DY68">
            <v>0.21835599999999999</v>
          </cell>
          <cell r="DZ68">
            <v>0.15415600000000002</v>
          </cell>
          <cell r="EA68">
            <v>6.6369999999999985E-2</v>
          </cell>
          <cell r="EB68">
            <v>1.4545999999999996E-2</v>
          </cell>
          <cell r="EC68">
            <v>3.6689999999999987E-3</v>
          </cell>
          <cell r="ED68">
            <v>6.8299999999999871E-4</v>
          </cell>
          <cell r="EE68">
            <v>-3.2600000000000077E-4</v>
          </cell>
          <cell r="EF68">
            <v>-6.140000000000004E-4</v>
          </cell>
          <cell r="EG68">
            <v>-6.9200000000000012E-4</v>
          </cell>
          <cell r="EH68">
            <v>-6.7500000000000004E-4</v>
          </cell>
          <cell r="EI68">
            <v>-5.5900000000000025E-4</v>
          </cell>
          <cell r="EJ68">
            <v>-4.6800000000000015E-4</v>
          </cell>
          <cell r="EL68">
            <v>0.5</v>
          </cell>
          <cell r="EM68">
            <v>6</v>
          </cell>
          <cell r="EN68">
            <v>0.29098000000000002</v>
          </cell>
          <cell r="EO68">
            <v>0.28387199999999996</v>
          </cell>
          <cell r="EP68">
            <v>0.26329000000000002</v>
          </cell>
          <cell r="EQ68">
            <v>0.22685900000000001</v>
          </cell>
          <cell r="ER68">
            <v>0.17561699999999997</v>
          </cell>
          <cell r="ES68">
            <v>0.11970899999999997</v>
          </cell>
          <cell r="ET68">
            <v>7.5456000000000023E-2</v>
          </cell>
          <cell r="EU68">
            <v>4.1877000000000004E-2</v>
          </cell>
          <cell r="EV68">
            <v>2.3057000000000005E-2</v>
          </cell>
          <cell r="EW68">
            <v>1.1705000000000004E-2</v>
          </cell>
          <cell r="EX68">
            <v>7.1300000000000009E-3</v>
          </cell>
          <cell r="EY68">
            <v>4.8630000000000001E-3</v>
          </cell>
          <cell r="EZ68">
            <v>3.4820000000000007E-3</v>
          </cell>
          <cell r="FA68">
            <v>2.6050000000000001E-3</v>
          </cell>
          <cell r="FB68">
            <v>2.0830000000000002E-3</v>
          </cell>
          <cell r="FC68">
            <v>1.3500000000000003E-3</v>
          </cell>
          <cell r="FD68">
            <v>9.5100000000000013E-4</v>
          </cell>
          <cell r="FE68">
            <v>7.1100000000000004E-4</v>
          </cell>
        </row>
        <row r="69">
          <cell r="CV69">
            <v>0.6</v>
          </cell>
          <cell r="CW69">
            <v>7</v>
          </cell>
          <cell r="CX69">
            <v>0.86380999999999997</v>
          </cell>
          <cell r="CY69">
            <v>0.85221999999999998</v>
          </cell>
          <cell r="CZ69">
            <v>0.81386000000000003</v>
          </cell>
          <cell r="DA69">
            <v>0.73249000000000009</v>
          </cell>
          <cell r="DB69">
            <v>0.59087000000000001</v>
          </cell>
          <cell r="DC69">
            <v>0.40027999999999997</v>
          </cell>
          <cell r="DD69">
            <v>0.22409000000000001</v>
          </cell>
          <cell r="DE69">
            <v>7.9089999999999994E-2</v>
          </cell>
          <cell r="DF69">
            <v>1.6449999999999999E-2</v>
          </cell>
          <cell r="DG69">
            <v>1.72E-3</v>
          </cell>
          <cell r="DH69">
            <v>2.9E-4</v>
          </cell>
          <cell r="DI69">
            <v>1.3999999999999999E-4</v>
          </cell>
          <cell r="DJ69">
            <v>3.4999999999999997E-5</v>
          </cell>
          <cell r="DK69">
            <v>2.0000000000000002E-5</v>
          </cell>
          <cell r="DL69">
            <v>1.0000000000000001E-5</v>
          </cell>
          <cell r="DM69">
            <v>0</v>
          </cell>
          <cell r="DN69">
            <v>0</v>
          </cell>
          <cell r="DO69">
            <v>0</v>
          </cell>
          <cell r="DQ69">
            <v>0.6</v>
          </cell>
          <cell r="DR69">
            <v>7</v>
          </cell>
          <cell r="DS69">
            <v>0.22352499999999997</v>
          </cell>
          <cell r="DT69">
            <v>0.21752900000000003</v>
          </cell>
          <cell r="DU69">
            <v>0.20718700000000001</v>
          </cell>
          <cell r="DV69">
            <v>0.18806300000000001</v>
          </cell>
          <cell r="DW69">
            <v>0.18518800000000002</v>
          </cell>
          <cell r="DX69">
            <v>0.19728000000000001</v>
          </cell>
          <cell r="DY69">
            <v>0.19836499999999999</v>
          </cell>
          <cell r="DZ69">
            <v>0.15495300000000001</v>
          </cell>
          <cell r="EA69">
            <v>7.5549999999999992E-2</v>
          </cell>
          <cell r="EB69">
            <v>1.9393000000000001E-2</v>
          </cell>
          <cell r="EC69">
            <v>6.1099999999999991E-3</v>
          </cell>
          <cell r="ED69">
            <v>1.8399999999999988E-3</v>
          </cell>
          <cell r="EE69">
            <v>5.0099999999999928E-4</v>
          </cell>
          <cell r="EF69">
            <v>-2.1600000000000005E-4</v>
          </cell>
          <cell r="EG69">
            <v>-3.8100000000000026E-4</v>
          </cell>
          <cell r="EH69">
            <v>-5.300000000000002E-4</v>
          </cell>
          <cell r="EI69">
            <v>-4.630000000000002E-4</v>
          </cell>
          <cell r="EJ69">
            <v>-3.990000000000001E-4</v>
          </cell>
          <cell r="EL69">
            <v>0.6</v>
          </cell>
          <cell r="EM69">
            <v>7</v>
          </cell>
          <cell r="EN69">
            <v>0.22352499999999997</v>
          </cell>
          <cell r="EO69">
            <v>0.21790799999999999</v>
          </cell>
          <cell r="EP69">
            <v>0.200049</v>
          </cell>
          <cell r="EQ69">
            <v>0.170986</v>
          </cell>
          <cell r="ER69">
            <v>0.132744</v>
          </cell>
          <cell r="ES69">
            <v>9.3306000000000014E-2</v>
          </cell>
          <cell r="ET69">
            <v>6.2269000000000005E-2</v>
          </cell>
          <cell r="EU69">
            <v>3.6226999999999995E-2</v>
          </cell>
          <cell r="EV69">
            <v>2.0729999999999998E-2</v>
          </cell>
          <cell r="EW69">
            <v>1.0543000000000002E-2</v>
          </cell>
          <cell r="EX69">
            <v>6.7650000000000002E-3</v>
          </cell>
          <cell r="EY69">
            <v>4.530000000000001E-3</v>
          </cell>
          <cell r="EZ69">
            <v>3.3690000000000005E-3</v>
          </cell>
          <cell r="FA69">
            <v>2.5350000000000004E-3</v>
          </cell>
          <cell r="FB69">
            <v>2.0290000000000004E-3</v>
          </cell>
          <cell r="FC69">
            <v>1.3200000000000002E-3</v>
          </cell>
          <cell r="FD69">
            <v>9.360000000000002E-4</v>
          </cell>
          <cell r="FE69">
            <v>6.9900000000000008E-4</v>
          </cell>
        </row>
        <row r="70">
          <cell r="CV70">
            <v>0.7</v>
          </cell>
          <cell r="CW70">
            <v>8</v>
          </cell>
          <cell r="CX70">
            <v>0.81140999999999996</v>
          </cell>
          <cell r="CY70">
            <v>0.79835999999999996</v>
          </cell>
          <cell r="CZ70">
            <v>0.75563000000000002</v>
          </cell>
          <cell r="DA70">
            <v>0.67357</v>
          </cell>
          <cell r="DB70">
            <v>0.54471000000000003</v>
          </cell>
          <cell r="DC70">
            <v>0.37712999999999997</v>
          </cell>
          <cell r="DD70">
            <v>0.23333000000000001</v>
          </cell>
          <cell r="DE70">
            <v>9.5259999999999997E-2</v>
          </cell>
          <cell r="DF70">
            <v>2.2290000000000001E-2</v>
          </cell>
          <cell r="DG70">
            <v>2.3400000000000001E-3</v>
          </cell>
          <cell r="DH70">
            <v>4.2999999999999999E-4</v>
          </cell>
          <cell r="DI70">
            <v>1.95E-4</v>
          </cell>
          <cell r="DJ70">
            <v>4.8999999999999998E-5</v>
          </cell>
          <cell r="DK70">
            <v>3.0000000000000001E-5</v>
          </cell>
          <cell r="DL70">
            <v>2.0000000000000002E-5</v>
          </cell>
          <cell r="DM70">
            <v>0</v>
          </cell>
          <cell r="DN70">
            <v>0</v>
          </cell>
          <cell r="DO70">
            <v>0</v>
          </cell>
          <cell r="DQ70">
            <v>0.7</v>
          </cell>
          <cell r="DR70">
            <v>8</v>
          </cell>
          <cell r="DS70">
            <v>0.17011899999999996</v>
          </cell>
          <cell r="DT70">
            <v>0.16709399999999999</v>
          </cell>
          <cell r="DU70">
            <v>0.15937499999999999</v>
          </cell>
          <cell r="DV70">
            <v>0.15423499999999996</v>
          </cell>
          <cell r="DW70">
            <v>0.15996099999999999</v>
          </cell>
          <cell r="DX70">
            <v>0.16936799999999996</v>
          </cell>
          <cell r="DY70">
            <v>0.17826</v>
          </cell>
          <cell r="DZ70">
            <v>0.14994999999999997</v>
          </cell>
          <cell r="EA70">
            <v>8.2789000000000001E-2</v>
          </cell>
          <cell r="EB70">
            <v>2.3625E-2</v>
          </cell>
          <cell r="EC70">
            <v>8.5699999999999995E-3</v>
          </cell>
          <cell r="ED70">
            <v>3.3199999999999992E-3</v>
          </cell>
          <cell r="EE70">
            <v>1.3189999999999994E-3</v>
          </cell>
          <cell r="EF70">
            <v>1.7699999999999964E-4</v>
          </cell>
          <cell r="EG70">
            <v>-8.8000000000000187E-5</v>
          </cell>
          <cell r="EH70">
            <v>-3.7500000000000012E-4</v>
          </cell>
          <cell r="EI70">
            <v>-3.7700000000000016E-4</v>
          </cell>
          <cell r="EJ70">
            <v>-3.3300000000000007E-4</v>
          </cell>
          <cell r="EL70">
            <v>0.7</v>
          </cell>
          <cell r="EM70">
            <v>8</v>
          </cell>
          <cell r="EN70">
            <v>0.17011899999999996</v>
          </cell>
          <cell r="EO70">
            <v>0.165134</v>
          </cell>
          <cell r="EP70">
            <v>0.151252</v>
          </cell>
          <cell r="EQ70">
            <v>0.12875099999999998</v>
          </cell>
          <cell r="ER70">
            <v>0.10082000000000001</v>
          </cell>
          <cell r="ES70">
            <v>6.8896999999999986E-2</v>
          </cell>
          <cell r="ET70">
            <v>5.0761000000000001E-2</v>
          </cell>
          <cell r="EU70">
            <v>3.0946000000000001E-2</v>
          </cell>
          <cell r="EV70">
            <v>1.7976999999999996E-2</v>
          </cell>
          <cell r="EW70">
            <v>9.5530000000000007E-3</v>
          </cell>
          <cell r="EX70">
            <v>6.3850000000000009E-3</v>
          </cell>
          <cell r="EY70">
            <v>4.4200000000000003E-3</v>
          </cell>
          <cell r="EZ70">
            <v>3.2160000000000001E-3</v>
          </cell>
          <cell r="FA70">
            <v>2.4670000000000004E-3</v>
          </cell>
          <cell r="FB70">
            <v>1.9720000000000002E-3</v>
          </cell>
          <cell r="FC70">
            <v>1.2900000000000001E-3</v>
          </cell>
          <cell r="FD70">
            <v>9.1800000000000009E-4</v>
          </cell>
          <cell r="FE70">
            <v>6.8700000000000011E-4</v>
          </cell>
        </row>
        <row r="71">
          <cell r="CV71">
            <v>0.8</v>
          </cell>
          <cell r="CW71">
            <v>9</v>
          </cell>
          <cell r="CX71">
            <v>0.75622</v>
          </cell>
          <cell r="CY71">
            <v>0.74239999999999995</v>
          </cell>
          <cell r="CZ71">
            <v>0.69862000000000002</v>
          </cell>
          <cell r="DA71">
            <v>0.61941999999999997</v>
          </cell>
          <cell r="DB71">
            <v>0.50360000000000005</v>
          </cell>
          <cell r="DC71">
            <v>0.36588999999999999</v>
          </cell>
          <cell r="DD71">
            <v>0.23736000000000002</v>
          </cell>
          <cell r="DE71">
            <v>0.10850000000000001</v>
          </cell>
          <cell r="DF71">
            <v>2.8219999999999999E-2</v>
          </cell>
          <cell r="DG71">
            <v>3.2499999999999999E-3</v>
          </cell>
          <cell r="DH71">
            <v>6.7000000000000002E-4</v>
          </cell>
          <cell r="DI71">
            <v>2.7999999999999998E-4</v>
          </cell>
          <cell r="DJ71">
            <v>6.7999999999999999E-5</v>
          </cell>
          <cell r="DK71">
            <v>4.0000000000000003E-5</v>
          </cell>
          <cell r="DL71">
            <v>3.0000000000000001E-5</v>
          </cell>
          <cell r="DM71">
            <v>0</v>
          </cell>
          <cell r="DN71">
            <v>0</v>
          </cell>
          <cell r="DO71">
            <v>0</v>
          </cell>
          <cell r="DQ71">
            <v>0.8</v>
          </cell>
          <cell r="DR71">
            <v>9</v>
          </cell>
          <cell r="DS71">
            <v>0.128552</v>
          </cell>
          <cell r="DT71">
            <v>0.12787500000000002</v>
          </cell>
          <cell r="DU71">
            <v>0.12529999999999999</v>
          </cell>
          <cell r="DV71">
            <v>0.12692999999999999</v>
          </cell>
          <cell r="DW71">
            <v>0.13721899999999998</v>
          </cell>
          <cell r="DX71">
            <v>0.15196099999999998</v>
          </cell>
          <cell r="DY71">
            <v>0.15909300000000001</v>
          </cell>
          <cell r="DZ71">
            <v>0.14169699999999996</v>
          </cell>
          <cell r="EA71">
            <v>8.5834999999999995E-2</v>
          </cell>
          <cell r="EB71">
            <v>2.7465000000000003E-2</v>
          </cell>
          <cell r="EC71">
            <v>1.056E-2</v>
          </cell>
          <cell r="ED71">
            <v>4.3799999999999993E-3</v>
          </cell>
          <cell r="EE71">
            <v>1.895E-3</v>
          </cell>
          <cell r="EF71">
            <v>6.2799999999999965E-4</v>
          </cell>
          <cell r="EG71">
            <v>2.2799999999999947E-4</v>
          </cell>
          <cell r="EH71">
            <v>-2.2999999999999995E-4</v>
          </cell>
          <cell r="EI71">
            <v>-2.7500000000000018E-4</v>
          </cell>
          <cell r="EJ71">
            <v>-2.8000000000000003E-4</v>
          </cell>
          <cell r="EL71">
            <v>0.8</v>
          </cell>
          <cell r="EM71">
            <v>9</v>
          </cell>
          <cell r="EN71">
            <v>0.128552</v>
          </cell>
          <cell r="EO71">
            <v>0.12420400000000001</v>
          </cell>
          <cell r="EP71">
            <v>0.11377</v>
          </cell>
          <cell r="EQ71">
            <v>9.7210999999999992E-2</v>
          </cell>
          <cell r="ER71">
            <v>7.6857999999999982E-2</v>
          </cell>
          <cell r="ES71">
            <v>5.7168000000000004E-2</v>
          </cell>
          <cell r="ET71">
            <v>4.1076000000000008E-2</v>
          </cell>
          <cell r="EU71">
            <v>2.6178E-2</v>
          </cell>
          <cell r="EV71">
            <v>1.5350000000000006E-2</v>
          </cell>
          <cell r="EW71">
            <v>8.4350000000000015E-3</v>
          </cell>
          <cell r="EX71">
            <v>5.935000000000001E-3</v>
          </cell>
          <cell r="EY71">
            <v>4.1799999999999997E-3</v>
          </cell>
          <cell r="EZ71">
            <v>3.0760000000000002E-3</v>
          </cell>
          <cell r="FA71">
            <v>2.3920000000000009E-3</v>
          </cell>
          <cell r="FB71">
            <v>1.9050000000000004E-3</v>
          </cell>
          <cell r="FC71">
            <v>1.2600000000000001E-3</v>
          </cell>
          <cell r="FD71">
            <v>9.0000000000000008E-4</v>
          </cell>
          <cell r="FE71">
            <v>6.7500000000000004E-4</v>
          </cell>
        </row>
        <row r="72">
          <cell r="CV72">
            <v>0.9</v>
          </cell>
          <cell r="CW72">
            <v>10</v>
          </cell>
          <cell r="CX72">
            <v>0.70066000000000006</v>
          </cell>
          <cell r="CY72">
            <v>0.68767</v>
          </cell>
          <cell r="CZ72">
            <v>0.64402999999999999</v>
          </cell>
          <cell r="DA72">
            <v>0.57006000000000001</v>
          </cell>
          <cell r="DB72">
            <v>0.46723000000000003</v>
          </cell>
          <cell r="DC72">
            <v>0.34892000000000001</v>
          </cell>
          <cell r="DD72">
            <v>0.23760000000000001</v>
          </cell>
          <cell r="DE72">
            <v>0.11889</v>
          </cell>
          <cell r="DF72">
            <v>3.465E-2</v>
          </cell>
          <cell r="DG72">
            <v>4.5500000000000002E-3</v>
          </cell>
          <cell r="DH72">
            <v>1.0300000000000001E-3</v>
          </cell>
          <cell r="DI72">
            <v>3.6999999999999999E-4</v>
          </cell>
          <cell r="DJ72">
            <v>1E-4</v>
          </cell>
          <cell r="DK72">
            <v>6.0000000000000002E-5</v>
          </cell>
          <cell r="DL72">
            <v>4.0000000000000003E-5</v>
          </cell>
          <cell r="DM72">
            <v>1.0000000000000001E-5</v>
          </cell>
          <cell r="DN72">
            <v>0</v>
          </cell>
          <cell r="DO72">
            <v>0</v>
          </cell>
          <cell r="DQ72">
            <v>0.9</v>
          </cell>
          <cell r="DR72">
            <v>10</v>
          </cell>
          <cell r="DS72">
            <v>9.6573999999999993E-2</v>
          </cell>
          <cell r="DT72">
            <v>9.7507999999999984E-2</v>
          </cell>
          <cell r="DU72">
            <v>9.8684000000000022E-2</v>
          </cell>
          <cell r="DV72">
            <v>0.10489299999999999</v>
          </cell>
          <cell r="DW72">
            <v>0.117536</v>
          </cell>
          <cell r="DX72">
            <v>0.13264499999999999</v>
          </cell>
          <cell r="DY72">
            <v>0.14121800000000001</v>
          </cell>
          <cell r="DZ72">
            <v>0.13181199999999998</v>
          </cell>
          <cell r="EA72">
            <v>8.6558999999999997E-2</v>
          </cell>
          <cell r="EB72">
            <v>3.0834999999999998E-2</v>
          </cell>
          <cell r="EC72">
            <v>1.2269999999999998E-2</v>
          </cell>
          <cell r="ED72">
            <v>5.4999999999999988E-3</v>
          </cell>
          <cell r="EE72">
            <v>2.4989999999999991E-3</v>
          </cell>
          <cell r="EF72">
            <v>1.1099999999999994E-3</v>
          </cell>
          <cell r="EG72">
            <v>4.9099999999999968E-4</v>
          </cell>
          <cell r="EH72">
            <v>-6.5000000000000387E-5</v>
          </cell>
          <cell r="EI72">
            <v>-1.8300000000000011E-4</v>
          </cell>
          <cell r="EJ72">
            <v>-2.2400000000000013E-4</v>
          </cell>
          <cell r="EL72">
            <v>0.9</v>
          </cell>
          <cell r="EM72">
            <v>10</v>
          </cell>
          <cell r="EN72">
            <v>9.6573999999999993E-2</v>
          </cell>
          <cell r="EO72">
            <v>9.2964999999999992E-2</v>
          </cell>
          <cell r="EP72">
            <v>8.5356000000000015E-2</v>
          </cell>
          <cell r="EQ72">
            <v>7.3135999999999993E-2</v>
          </cell>
          <cell r="ER72">
            <v>5.8698000000000021E-2</v>
          </cell>
          <cell r="ES72">
            <v>4.4607999999999974E-2</v>
          </cell>
          <cell r="ET72">
            <v>3.3012999999999987E-2</v>
          </cell>
          <cell r="EU72">
            <v>2.1835999999999998E-2</v>
          </cell>
          <cell r="EV72">
            <v>1.2954000000000004E-2</v>
          </cell>
          <cell r="EW72">
            <v>7.7650000000000028E-3</v>
          </cell>
          <cell r="EX72">
            <v>5.6450000000000016E-3</v>
          </cell>
          <cell r="EY72">
            <v>3.8700000000000006E-3</v>
          </cell>
          <cell r="EZ72">
            <v>2.9310000000000004E-3</v>
          </cell>
          <cell r="FA72">
            <v>2.2980000000000006E-3</v>
          </cell>
          <cell r="FB72">
            <v>1.8420000000000003E-3</v>
          </cell>
          <cell r="FC72">
            <v>1.2300000000000002E-3</v>
          </cell>
          <cell r="FD72">
            <v>8.8200000000000019E-4</v>
          </cell>
          <cell r="FE72">
            <v>6.5600000000000012E-4</v>
          </cell>
        </row>
        <row r="73">
          <cell r="CV73">
            <v>1</v>
          </cell>
          <cell r="CW73">
            <v>11</v>
          </cell>
          <cell r="CX73">
            <v>0.6464399999999999</v>
          </cell>
          <cell r="CY73">
            <v>0.63315999999999995</v>
          </cell>
          <cell r="CZ73">
            <v>0.59079999999999999</v>
          </cell>
          <cell r="DA73">
            <v>0.52515999999999996</v>
          </cell>
          <cell r="DB73">
            <v>0.43446000000000001</v>
          </cell>
          <cell r="DC73">
            <v>0.33223000000000003</v>
          </cell>
          <cell r="DD73">
            <v>0.23538999999999999</v>
          </cell>
          <cell r="DE73">
            <v>0.12662999999999999</v>
          </cell>
          <cell r="DF73">
            <v>4.1800000000000004E-2</v>
          </cell>
          <cell r="DG73">
            <v>6.2700000000000013E-3</v>
          </cell>
          <cell r="DH73">
            <v>1.5299999999999992E-3</v>
          </cell>
          <cell r="DI73">
            <v>4.9000000000000042E-4</v>
          </cell>
          <cell r="DJ73">
            <v>1.5999999999999999E-4</v>
          </cell>
          <cell r="DK73">
            <v>7.9999999999999993E-5</v>
          </cell>
          <cell r="DL73">
            <v>5.0000000000000023E-5</v>
          </cell>
          <cell r="DM73">
            <v>1.9999999999999998E-5</v>
          </cell>
          <cell r="DN73">
            <v>1.9999999999999998E-5</v>
          </cell>
          <cell r="DO73">
            <v>0</v>
          </cell>
          <cell r="DQ73">
            <v>1</v>
          </cell>
          <cell r="DR73">
            <v>11</v>
          </cell>
          <cell r="DS73">
            <v>7.2177999999999992E-2</v>
          </cell>
          <cell r="DT73">
            <v>7.3680999999999996E-2</v>
          </cell>
          <cell r="DU73">
            <v>7.4340000000000031E-2</v>
          </cell>
          <cell r="DV73">
            <v>8.6603999999999987E-2</v>
          </cell>
          <cell r="DW73">
            <v>0.10048599999999999</v>
          </cell>
          <cell r="DX73">
            <v>0.115414</v>
          </cell>
          <cell r="DY73">
            <v>0.12506999999999999</v>
          </cell>
          <cell r="DZ73">
            <v>0.12128499999999999</v>
          </cell>
          <cell r="EA73">
            <v>8.6484000000000005E-2</v>
          </cell>
          <cell r="EB73">
            <v>3.3472000000000002E-2</v>
          </cell>
          <cell r="EC73">
            <v>1.3883999999999999E-2</v>
          </cell>
          <cell r="ED73">
            <v>6.3839999999999991E-3</v>
          </cell>
          <cell r="EE73">
            <v>3.1189999999999989E-3</v>
          </cell>
          <cell r="EF73">
            <v>1.5879999999999996E-3</v>
          </cell>
          <cell r="EG73">
            <v>7.9799999999999966E-4</v>
          </cell>
          <cell r="EH73">
            <v>1.2999999999999991E-4</v>
          </cell>
          <cell r="EI73">
            <v>-8.7000000000000163E-5</v>
          </cell>
          <cell r="EJ73">
            <v>-1.7100000000000014E-4</v>
          </cell>
          <cell r="EL73">
            <v>1</v>
          </cell>
          <cell r="EM73">
            <v>11</v>
          </cell>
          <cell r="EN73">
            <v>7.2177999999999992E-2</v>
          </cell>
          <cell r="EO73">
            <v>6.9760000000000003E-2</v>
          </cell>
          <cell r="EP73">
            <v>6.4005000000000006E-2</v>
          </cell>
          <cell r="EQ73">
            <v>5.5054999999999993E-2</v>
          </cell>
          <cell r="ER73">
            <v>4.468999999999998E-2</v>
          </cell>
          <cell r="ES73">
            <v>3.4779000000000011E-2</v>
          </cell>
          <cell r="ET73">
            <v>2.6432999999999998E-2</v>
          </cell>
          <cell r="EU73">
            <v>1.8007999999999996E-2</v>
          </cell>
          <cell r="EV73">
            <v>1.1390999999999998E-2</v>
          </cell>
          <cell r="EW73">
            <v>7.2920000000000016E-3</v>
          </cell>
          <cell r="EX73">
            <v>5.1329999999999995E-3</v>
          </cell>
          <cell r="EY73">
            <v>3.7370000000000003E-3</v>
          </cell>
          <cell r="EZ73">
            <v>2.8130000000000004E-3</v>
          </cell>
          <cell r="FA73">
            <v>2.2030000000000001E-3</v>
          </cell>
          <cell r="FB73">
            <v>1.7680000000000005E-3</v>
          </cell>
          <cell r="FC73">
            <v>1.2000000000000001E-3</v>
          </cell>
          <cell r="FD73">
            <v>8.7400000000000021E-4</v>
          </cell>
          <cell r="FE73">
            <v>6.5700000000000014E-4</v>
          </cell>
        </row>
        <row r="74">
          <cell r="CV74">
            <v>1.2</v>
          </cell>
          <cell r="CW74">
            <v>12</v>
          </cell>
          <cell r="CX74">
            <v>0.54663000000000006</v>
          </cell>
          <cell r="CY74">
            <v>0.53525</v>
          </cell>
          <cell r="CZ74">
            <v>0.50143000000000004</v>
          </cell>
          <cell r="DA74">
            <v>0.44725999999999999</v>
          </cell>
          <cell r="DB74">
            <v>0.37739</v>
          </cell>
          <cell r="DC74">
            <v>0.30015999999999998</v>
          </cell>
          <cell r="DD74">
            <v>0.22572</v>
          </cell>
          <cell r="DE74">
            <v>0.13569999999999999</v>
          </cell>
          <cell r="DF74">
            <v>5.2830000000000002E-2</v>
          </cell>
          <cell r="DG74">
            <v>9.3999999999999986E-3</v>
          </cell>
          <cell r="DH74">
            <v>2.3900000000000006E-3</v>
          </cell>
          <cell r="DI74">
            <v>8.1000000000000039E-4</v>
          </cell>
          <cell r="DJ74">
            <v>3.3E-4</v>
          </cell>
          <cell r="DK74">
            <v>1.4999999999999996E-4</v>
          </cell>
          <cell r="DL74">
            <v>7.9999999999999993E-5</v>
          </cell>
          <cell r="DM74">
            <v>3.0000000000000001E-5</v>
          </cell>
          <cell r="DN74">
            <v>2.4000000000000001E-5</v>
          </cell>
          <cell r="DO74">
            <v>0</v>
          </cell>
          <cell r="DQ74">
            <v>1.2</v>
          </cell>
          <cell r="DR74">
            <v>12</v>
          </cell>
          <cell r="DS74">
            <v>3.9593000000000003E-2</v>
          </cell>
          <cell r="DT74">
            <v>4.247500000000002E-2</v>
          </cell>
          <cell r="DU74">
            <v>4.8343999999999984E-2</v>
          </cell>
          <cell r="DV74">
            <v>5.9946999999999993E-2</v>
          </cell>
          <cell r="DW74">
            <v>7.2950000000000001E-2</v>
          </cell>
          <cell r="DX74">
            <v>8.6966999999999989E-2</v>
          </cell>
          <cell r="DY74">
            <v>9.7279000000000004E-2</v>
          </cell>
          <cell r="DZ74">
            <v>0.100562</v>
          </cell>
          <cell r="EA74">
            <v>8.0984E-2</v>
          </cell>
          <cell r="EB74">
            <v>3.6982000000000001E-2</v>
          </cell>
          <cell r="EC74">
            <v>1.6756E-2</v>
          </cell>
          <cell r="ED74">
            <v>8.2490000000000011E-3</v>
          </cell>
          <cell r="EE74">
            <v>4.3609999999999994E-3</v>
          </cell>
          <cell r="EF74">
            <v>2.4089999999999997E-3</v>
          </cell>
          <cell r="EG74">
            <v>1.3650000000000001E-3</v>
          </cell>
          <cell r="EH74">
            <v>4.4499999999999987E-4</v>
          </cell>
          <cell r="EI74">
            <v>1.1999999999999988E-4</v>
          </cell>
          <cell r="EJ74">
            <v>-1.0600000000000008E-4</v>
          </cell>
          <cell r="EL74">
            <v>1.2</v>
          </cell>
          <cell r="EM74">
            <v>12</v>
          </cell>
          <cell r="EN74">
            <v>3.9593000000000003E-2</v>
          </cell>
          <cell r="EO74">
            <v>3.7690000000000001E-2</v>
          </cell>
          <cell r="EP74">
            <v>3.5097000000000003E-2</v>
          </cell>
          <cell r="EQ74">
            <v>3.0723000000000007E-2</v>
          </cell>
          <cell r="ER74">
            <v>2.5571999999999987E-2</v>
          </cell>
          <cell r="ES74">
            <v>2.06E-2</v>
          </cell>
          <cell r="ET74">
            <v>1.6390999999999996E-2</v>
          </cell>
          <cell r="EU74">
            <v>1.1931999999999995E-2</v>
          </cell>
          <cell r="EV74">
            <v>8.2540000000000009E-3</v>
          </cell>
          <cell r="EW74">
            <v>5.8600000000000006E-3</v>
          </cell>
          <cell r="EX74">
            <v>4.3710000000000008E-3</v>
          </cell>
          <cell r="EY74">
            <v>3.3340000000000006E-3</v>
          </cell>
          <cell r="EZ74">
            <v>2.5820000000000001E-3</v>
          </cell>
          <cell r="FA74">
            <v>2.0480000000000003E-3</v>
          </cell>
          <cell r="FB74">
            <v>1.6570000000000003E-3</v>
          </cell>
          <cell r="FC74">
            <v>1.1400000000000002E-3</v>
          </cell>
          <cell r="FD74">
            <v>8.3500000000000002E-4</v>
          </cell>
          <cell r="FE74">
            <v>6.4300000000000013E-4</v>
          </cell>
        </row>
        <row r="75">
          <cell r="CV75">
            <v>1.5</v>
          </cell>
          <cell r="CW75">
            <v>13</v>
          </cell>
          <cell r="CX75">
            <v>0.42397000000000001</v>
          </cell>
          <cell r="CY75">
            <v>0.41576999999999997</v>
          </cell>
          <cell r="CZ75">
            <v>0.39215</v>
          </cell>
          <cell r="DA75">
            <v>0.35498000000000002</v>
          </cell>
          <cell r="DB75">
            <v>0.30803999999999998</v>
          </cell>
          <cell r="DC75">
            <v>0.25624000000000002</v>
          </cell>
          <cell r="DD75">
            <v>0.20489000000000002</v>
          </cell>
          <cell r="DE75">
            <v>0.13793</v>
          </cell>
          <cell r="DF75">
            <v>6.5009999999999998E-2</v>
          </cell>
          <cell r="DG75">
            <v>1.4730000000000002E-2</v>
          </cell>
          <cell r="DH75">
            <v>4.13E-3</v>
          </cell>
          <cell r="DI75">
            <v>1.47E-3</v>
          </cell>
          <cell r="DJ75">
            <v>5.9999999999999984E-4</v>
          </cell>
          <cell r="DK75">
            <v>2.8999999999999989E-4</v>
          </cell>
          <cell r="DL75">
            <v>1.4999999999999996E-4</v>
          </cell>
          <cell r="DM75">
            <v>4.9999999999999914E-5</v>
          </cell>
          <cell r="DN75">
            <v>2.999999999999997E-5</v>
          </cell>
          <cell r="DO75">
            <v>1.0000000000000026E-5</v>
          </cell>
          <cell r="DQ75">
            <v>1.5</v>
          </cell>
          <cell r="DR75">
            <v>13</v>
          </cell>
          <cell r="DS75">
            <v>1.4748999999999981E-2</v>
          </cell>
          <cell r="DT75">
            <v>1.7681999999999996E-2</v>
          </cell>
          <cell r="DU75">
            <v>2.3285999999999991E-2</v>
          </cell>
          <cell r="DV75">
            <v>3.2932000000000003E-2</v>
          </cell>
          <cell r="DW75">
            <v>4.4698999999999996E-2</v>
          </cell>
          <cell r="DX75">
            <v>5.6416000000000001E-2</v>
          </cell>
          <cell r="DY75">
            <v>6.6110000000000002E-2</v>
          </cell>
          <cell r="DZ75">
            <v>7.3746999999999993E-2</v>
          </cell>
          <cell r="EA75">
            <v>6.8590999999999999E-2</v>
          </cell>
          <cell r="EB75">
            <v>3.8876999999999995E-2</v>
          </cell>
          <cell r="EC75">
            <v>1.9805999999999997E-2</v>
          </cell>
          <cell r="ED75">
            <v>1.0555999999999999E-2</v>
          </cell>
          <cell r="EE75">
            <v>5.9559999999999995E-3</v>
          </cell>
          <cell r="EF75">
            <v>3.5419999999999991E-3</v>
          </cell>
          <cell r="EG75">
            <v>2.1619999999999999E-3</v>
          </cell>
          <cell r="EH75">
            <v>8.619999999999997E-4</v>
          </cell>
          <cell r="EI75">
            <v>3.48E-4</v>
          </cell>
          <cell r="EJ75">
            <v>-2.400000000000015E-5</v>
          </cell>
          <cell r="EL75">
            <v>1.5</v>
          </cell>
          <cell r="EM75">
            <v>13</v>
          </cell>
          <cell r="EN75">
            <v>1.4748999999999981E-2</v>
          </cell>
          <cell r="EO75">
            <v>1.3392000000000012E-2</v>
          </cell>
          <cell r="EP75">
            <v>1.3245999999999983E-2</v>
          </cell>
          <cell r="EQ75">
            <v>1.1793000000000008E-2</v>
          </cell>
          <cell r="ER75">
            <v>1.0033000000000004E-2</v>
          </cell>
          <cell r="ES75">
            <v>8.4280000000000015E-3</v>
          </cell>
          <cell r="ET75">
            <v>6.9950000000000012E-3</v>
          </cell>
          <cell r="EU75">
            <v>5.6189999999999921E-3</v>
          </cell>
          <cell r="EV75">
            <v>4.5310000000000003E-3</v>
          </cell>
          <cell r="EW75">
            <v>4.1730000000000014E-3</v>
          </cell>
          <cell r="EX75">
            <v>3.4149999999999996E-3</v>
          </cell>
          <cell r="EY75">
            <v>2.7729999999999999E-3</v>
          </cell>
          <cell r="EZ75">
            <v>2.2219999999999996E-3</v>
          </cell>
          <cell r="FA75">
            <v>1.8379999999999996E-3</v>
          </cell>
          <cell r="FB75">
            <v>1.4950000000000005E-3</v>
          </cell>
          <cell r="FC75">
            <v>1.0560000000000003E-3</v>
          </cell>
          <cell r="FD75">
            <v>7.8300000000000017E-4</v>
          </cell>
          <cell r="FE75">
            <v>6.0300000000000002E-4</v>
          </cell>
        </row>
        <row r="76">
          <cell r="CV76">
            <v>2</v>
          </cell>
          <cell r="CW76">
            <v>14</v>
          </cell>
          <cell r="CX76">
            <v>0.28445999999999999</v>
          </cell>
          <cell r="CY76">
            <v>0.28597</v>
          </cell>
          <cell r="CZ76">
            <v>0.26784000000000002</v>
          </cell>
          <cell r="DA76">
            <v>0.24845</v>
          </cell>
          <cell r="DB76">
            <v>0.22386</v>
          </cell>
          <cell r="DC76">
            <v>0.19600000000000001</v>
          </cell>
          <cell r="DD76">
            <v>0.16725000000000001</v>
          </cell>
          <cell r="DE76">
            <v>0.12646000000000002</v>
          </cell>
          <cell r="DF76">
            <v>7.3319999999999996E-2</v>
          </cell>
          <cell r="DG76">
            <v>2.249E-2</v>
          </cell>
          <cell r="DH76">
            <v>7.4999999999999989E-3</v>
          </cell>
          <cell r="DI76">
            <v>2.8800000000000002E-3</v>
          </cell>
          <cell r="DJ76">
            <v>1.2099999999999997E-3</v>
          </cell>
          <cell r="DK76">
            <v>6.1999999999999989E-4</v>
          </cell>
          <cell r="DL76">
            <v>3.1999999999999997E-4</v>
          </cell>
          <cell r="DM76">
            <v>9.9999999999999937E-5</v>
          </cell>
          <cell r="DN76">
            <v>5.9999999999999941E-5</v>
          </cell>
          <cell r="DO76">
            <v>3.0000000000000024E-5</v>
          </cell>
          <cell r="DQ76">
            <v>2</v>
          </cell>
          <cell r="DR76">
            <v>14</v>
          </cell>
          <cell r="DS76">
            <v>2.9599999999998725E-4</v>
          </cell>
          <cell r="DT76">
            <v>4.3050000000000033E-3</v>
          </cell>
          <cell r="DU76">
            <v>6.2020000000000061E-3</v>
          </cell>
          <cell r="DV76">
            <v>1.2120999999999988E-2</v>
          </cell>
          <cell r="DW76">
            <v>1.9962999999999998E-2</v>
          </cell>
          <cell r="DX76">
            <v>2.7222E-2</v>
          </cell>
          <cell r="DY76">
            <v>3.4513999999999996E-2</v>
          </cell>
          <cell r="DZ76">
            <v>4.2695999999999998E-2</v>
          </cell>
          <cell r="EA76">
            <v>4.7271000000000001E-2</v>
          </cell>
          <cell r="EB76">
            <v>3.5680000000000003E-2</v>
          </cell>
          <cell r="EC76">
            <v>2.1752000000000001E-2</v>
          </cell>
          <cell r="ED76">
            <v>1.2975999999999998E-2</v>
          </cell>
          <cell r="EE76">
            <v>7.9109999999999996E-3</v>
          </cell>
          <cell r="EF76">
            <v>5.0459999999999993E-3</v>
          </cell>
          <cell r="EG76">
            <v>3.2999999999999991E-3</v>
          </cell>
          <cell r="EH76">
            <v>1.5269999999999997E-3</v>
          </cell>
          <cell r="EI76">
            <v>7.629999999999999E-4</v>
          </cell>
          <cell r="EJ76">
            <v>3.9299999999999979E-4</v>
          </cell>
          <cell r="EL76">
            <v>2</v>
          </cell>
          <cell r="EM76">
            <v>14</v>
          </cell>
          <cell r="EN76">
            <v>2.9599999999998725E-4</v>
          </cell>
          <cell r="EO76">
            <v>-2.3140000000000036E-3</v>
          </cell>
          <cell r="EP76">
            <v>-2.6199999999998967E-4</v>
          </cell>
          <cell r="EQ76">
            <v>-9.9000000000003599E-5</v>
          </cell>
          <cell r="ER76">
            <v>-5.1300000000000477E-4</v>
          </cell>
          <cell r="ES76">
            <v>3.799999999999637E-5</v>
          </cell>
          <cell r="ET76">
            <v>-3.6999999999997105E-5</v>
          </cell>
          <cell r="EU76">
            <v>2.6899999999999667E-4</v>
          </cell>
          <cell r="EV76">
            <v>8.0400000000000436E-4</v>
          </cell>
          <cell r="EW76">
            <v>1.7970000000000026E-3</v>
          </cell>
          <cell r="EX76">
            <v>2.0679999999999995E-3</v>
          </cell>
          <cell r="EY76">
            <v>1.9270000000000003E-3</v>
          </cell>
          <cell r="EZ76">
            <v>1.6419999999999998E-3</v>
          </cell>
          <cell r="FA76">
            <v>1.4620000000000002E-3</v>
          </cell>
          <cell r="FB76">
            <v>1.2400000000000002E-3</v>
          </cell>
          <cell r="FC76">
            <v>9.1100000000000003E-4</v>
          </cell>
          <cell r="FD76">
            <v>7.0200000000000015E-4</v>
          </cell>
          <cell r="FE76">
            <v>5.4900000000000012E-4</v>
          </cell>
        </row>
        <row r="77">
          <cell r="CV77">
            <v>2.5</v>
          </cell>
          <cell r="CW77">
            <v>15</v>
          </cell>
          <cell r="CX77">
            <v>0.19958999999999999</v>
          </cell>
          <cell r="CY77">
            <v>0.19730999999999999</v>
          </cell>
          <cell r="CZ77">
            <v>0.19073000000000001</v>
          </cell>
          <cell r="DA77">
            <v>0.18024999999999999</v>
          </cell>
          <cell r="DB77">
            <v>0.16671</v>
          </cell>
          <cell r="DC77">
            <v>0.15104000000000001</v>
          </cell>
          <cell r="DD77">
            <v>0.13424</v>
          </cell>
          <cell r="DE77">
            <v>0.10902000000000001</v>
          </cell>
          <cell r="DF77">
            <v>7.2160000000000002E-2</v>
          </cell>
          <cell r="DG77">
            <v>2.8040000000000002E-2</v>
          </cell>
          <cell r="DH77">
            <v>1.091E-2</v>
          </cell>
          <cell r="DI77">
            <v>4.6099999999999995E-3</v>
          </cell>
          <cell r="DJ77">
            <v>2.1299999999999995E-3</v>
          </cell>
          <cell r="DK77">
            <v>1.0699999999999998E-3</v>
          </cell>
          <cell r="DL77">
            <v>5.8E-4</v>
          </cell>
          <cell r="DM77">
            <v>2.1000000000000001E-4</v>
          </cell>
          <cell r="DN77">
            <v>9.0000000000000019E-5</v>
          </cell>
          <cell r="DO77">
            <v>3.9999999999999996E-5</v>
          </cell>
          <cell r="DQ77">
            <v>2.5</v>
          </cell>
          <cell r="DR77">
            <v>15</v>
          </cell>
          <cell r="DS77">
            <v>-3.2380000000000048E-3</v>
          </cell>
          <cell r="DT77">
            <v>2.5000000000004186E-5</v>
          </cell>
          <cell r="DU77">
            <v>6.160000000000037E-4</v>
          </cell>
          <cell r="DV77">
            <v>4.0850000000000001E-3</v>
          </cell>
          <cell r="DW77">
            <v>8.4329999999999891E-3</v>
          </cell>
          <cell r="DX77">
            <v>1.4054000000000004E-2</v>
          </cell>
          <cell r="DY77">
            <v>1.8102999999999998E-2</v>
          </cell>
          <cell r="DZ77">
            <v>2.4581000000000006E-2</v>
          </cell>
          <cell r="EA77">
            <v>3.1102999999999999E-2</v>
          </cell>
          <cell r="EB77">
            <v>2.9434999999999999E-2</v>
          </cell>
          <cell r="EC77">
            <v>2.1008999999999996E-2</v>
          </cell>
          <cell r="ED77">
            <v>1.3902000000000001E-2</v>
          </cell>
          <cell r="EE77">
            <v>9.1529999999999979E-3</v>
          </cell>
          <cell r="EF77">
            <v>6.1180000000000002E-3</v>
          </cell>
          <cell r="EG77">
            <v>4.1919999999999995E-3</v>
          </cell>
          <cell r="EH77">
            <v>2.1059999999999998E-3</v>
          </cell>
          <cell r="EI77">
            <v>1.1320000000000002E-3</v>
          </cell>
          <cell r="EJ77">
            <v>6.3299999999999999E-4</v>
          </cell>
          <cell r="EL77">
            <v>2.5</v>
          </cell>
          <cell r="EM77">
            <v>15</v>
          </cell>
          <cell r="EN77">
            <v>-3.2380000000000048E-3</v>
          </cell>
          <cell r="EO77">
            <v>-5.6859999999999983E-3</v>
          </cell>
          <cell r="EP77">
            <v>-3.7439999999999939E-3</v>
          </cell>
          <cell r="EQ77">
            <v>-3.488999999999999E-3</v>
          </cell>
          <cell r="ER77">
            <v>-3.0790000000000105E-3</v>
          </cell>
          <cell r="ES77">
            <v>-3.7989999999999986E-3</v>
          </cell>
          <cell r="ET77">
            <v>-2.3550000000000012E-3</v>
          </cell>
          <cell r="EU77">
            <v>-1.8409999999999919E-3</v>
          </cell>
          <cell r="EV77">
            <v>-1.0139999999999984E-3</v>
          </cell>
          <cell r="EW77">
            <v>3.8600000000000179E-4</v>
          </cell>
          <cell r="EX77">
            <v>1.0579999999999999E-3</v>
          </cell>
          <cell r="EY77">
            <v>1.242E-3</v>
          </cell>
          <cell r="EZ77">
            <v>1.2209999999999999E-3</v>
          </cell>
          <cell r="FA77">
            <v>1.1180000000000005E-3</v>
          </cell>
          <cell r="FB77">
            <v>1.0060000000000002E-3</v>
          </cell>
          <cell r="FC77">
            <v>7.890000000000002E-4</v>
          </cell>
          <cell r="FD77">
            <v>6.2399999999999999E-4</v>
          </cell>
          <cell r="FE77">
            <v>4.9100000000000001E-4</v>
          </cell>
        </row>
        <row r="78">
          <cell r="CV78">
            <v>3</v>
          </cell>
          <cell r="CW78">
            <v>16</v>
          </cell>
          <cell r="CX78">
            <v>0.14618999999999999</v>
          </cell>
          <cell r="CY78">
            <v>0.14495</v>
          </cell>
          <cell r="CZ78">
            <v>0.14121</v>
          </cell>
          <cell r="DA78">
            <v>0.13521</v>
          </cell>
          <cell r="DB78">
            <v>0.12740000000000001</v>
          </cell>
          <cell r="DC78">
            <v>0.11812</v>
          </cell>
          <cell r="DD78">
            <v>0.10792</v>
          </cell>
          <cell r="DE78">
            <v>9.1929999999999998E-2</v>
          </cell>
          <cell r="DF78">
            <v>6.6610000000000003E-2</v>
          </cell>
          <cell r="DG78">
            <v>3.0920000000000003E-2</v>
          </cell>
          <cell r="DH78">
            <v>1.3770000000000001E-2</v>
          </cell>
          <cell r="DI78">
            <v>6.3600000000000002E-3</v>
          </cell>
          <cell r="DJ78">
            <v>3.13E-3</v>
          </cell>
          <cell r="DK78">
            <v>1.67E-3</v>
          </cell>
          <cell r="DL78">
            <v>9.0999999999999978E-4</v>
          </cell>
          <cell r="DM78">
            <v>3.3E-4</v>
          </cell>
          <cell r="DN78">
            <v>1.4000000000000004E-4</v>
          </cell>
          <cell r="DO78">
            <v>5.0000000000000023E-5</v>
          </cell>
          <cell r="DQ78">
            <v>3</v>
          </cell>
          <cell r="DR78">
            <v>16</v>
          </cell>
          <cell r="DS78">
            <v>-3.8180000000000045E-3</v>
          </cell>
          <cell r="DT78">
            <v>-2.1350000000000041E-3</v>
          </cell>
          <cell r="DU78">
            <v>-1.4709999999999992E-3</v>
          </cell>
          <cell r="DV78">
            <v>4.9699999999999397E-4</v>
          </cell>
          <cell r="DW78">
            <v>3.3179999999999998E-3</v>
          </cell>
          <cell r="DX78">
            <v>6.3999999999999986E-3</v>
          </cell>
          <cell r="DY78">
            <v>9.5500000000000012E-3</v>
          </cell>
          <cell r="DZ78">
            <v>1.4262E-2</v>
          </cell>
          <cell r="EA78">
            <v>2.0202000000000001E-2</v>
          </cell>
          <cell r="EB78">
            <v>2.2968000000000002E-2</v>
          </cell>
          <cell r="EC78">
            <v>1.8810000000000004E-2</v>
          </cell>
          <cell r="ED78">
            <v>1.3694000000000001E-2</v>
          </cell>
          <cell r="EE78">
            <v>9.6509999999999999E-3</v>
          </cell>
          <cell r="EF78">
            <v>6.8089999999999991E-3</v>
          </cell>
          <cell r="EG78">
            <v>4.8249999999999994E-3</v>
          </cell>
          <cell r="EH78">
            <v>2.5749999999999996E-3</v>
          </cell>
          <cell r="EI78">
            <v>1.454E-3</v>
          </cell>
          <cell r="EJ78">
            <v>8.6699999999999993E-4</v>
          </cell>
          <cell r="EL78">
            <v>3</v>
          </cell>
          <cell r="EM78">
            <v>16</v>
          </cell>
          <cell r="EN78">
            <v>-3.8180000000000045E-3</v>
          </cell>
          <cell r="EO78">
            <v>-5.0760000000000041E-3</v>
          </cell>
          <cell r="EP78">
            <v>-5.0360000000000049E-3</v>
          </cell>
          <cell r="EQ78">
            <v>-3.805000000000002E-3</v>
          </cell>
          <cell r="ER78">
            <v>-3.6289999999999977E-3</v>
          </cell>
          <cell r="ES78">
            <v>-3.3740000000000003E-3</v>
          </cell>
          <cell r="ET78">
            <v>-2.9529999999999956E-3</v>
          </cell>
          <cell r="EU78">
            <v>-2.5390000000000031E-3</v>
          </cell>
          <cell r="EV78">
            <v>-1.7589999999999975E-3</v>
          </cell>
          <cell r="EW78">
            <v>-4.2500000000000003E-4</v>
          </cell>
          <cell r="EX78">
            <v>3.6000000000000094E-4</v>
          </cell>
          <cell r="EY78">
            <v>7.2600000000000008E-4</v>
          </cell>
          <cell r="EZ78">
            <v>8.5400000000000016E-4</v>
          </cell>
          <cell r="FA78">
            <v>8.6300000000000005E-4</v>
          </cell>
          <cell r="FB78">
            <v>7.8899999999999999E-4</v>
          </cell>
          <cell r="FC78">
            <v>6.5900000000000008E-4</v>
          </cell>
          <cell r="FD78">
            <v>5.4200000000000006E-4</v>
          </cell>
          <cell r="FE78">
            <v>4.4000000000000018E-4</v>
          </cell>
        </row>
        <row r="79">
          <cell r="CV79">
            <v>4</v>
          </cell>
          <cell r="CW79">
            <v>17</v>
          </cell>
          <cell r="CX79">
            <v>8.6930000000000007E-2</v>
          </cell>
          <cell r="CY79">
            <v>8.6419999999999997E-2</v>
          </cell>
          <cell r="CZ79">
            <v>8.4690000000000001E-2</v>
          </cell>
          <cell r="DA79">
            <v>8.1850000000000006E-2</v>
          </cell>
          <cell r="DB79">
            <v>7.9770000000000008E-2</v>
          </cell>
          <cell r="DC79">
            <v>7.5220000000000009E-2</v>
          </cell>
          <cell r="DD79">
            <v>7.1830000000000005E-2</v>
          </cell>
          <cell r="DE79">
            <v>6.4849999999999991E-2</v>
          </cell>
          <cell r="DF79">
            <v>5.2589999999999998E-2</v>
          </cell>
          <cell r="DG79">
            <v>3.107E-2</v>
          </cell>
          <cell r="DH79">
            <v>1.704E-2</v>
          </cell>
          <cell r="DI79">
            <v>9.2300000000000004E-3</v>
          </cell>
          <cell r="DJ79">
            <v>5.0699999999999999E-3</v>
          </cell>
          <cell r="DK79">
            <v>2.9000000000000002E-3</v>
          </cell>
          <cell r="DL79">
            <v>1.73E-3</v>
          </cell>
          <cell r="DM79">
            <v>6.600000000000001E-4</v>
          </cell>
          <cell r="DN79">
            <v>3.0999999999999995E-4</v>
          </cell>
          <cell r="DO79">
            <v>1.4999999999999996E-4</v>
          </cell>
          <cell r="DQ79">
            <v>4</v>
          </cell>
          <cell r="DR79">
            <v>17</v>
          </cell>
          <cell r="DS79">
            <v>-3.1589999999999977E-3</v>
          </cell>
          <cell r="DT79">
            <v>-1.9299999999999977E-3</v>
          </cell>
          <cell r="DU79">
            <v>-1.0350000000000003E-3</v>
          </cell>
          <cell r="DV79">
            <v>-2.4590000000000011E-3</v>
          </cell>
          <cell r="DW79">
            <v>-2.2799999999999643E-4</v>
          </cell>
          <cell r="DX79">
            <v>2.1160000000000007E-3</v>
          </cell>
          <cell r="DY79">
            <v>2.6849999999999964E-3</v>
          </cell>
          <cell r="DZ79">
            <v>4.971999999999999E-3</v>
          </cell>
          <cell r="EA79">
            <v>8.5269999999999999E-3</v>
          </cell>
          <cell r="EB79">
            <v>1.3048000000000001E-2</v>
          </cell>
          <cell r="EC79">
            <v>1.3310000000000001E-2</v>
          </cell>
          <cell r="ED79">
            <v>1.1474E-2</v>
          </cell>
          <cell r="EE79">
            <v>9.1339999999999998E-3</v>
          </cell>
          <cell r="EF79">
            <v>7.0669999999999995E-3</v>
          </cell>
          <cell r="EG79">
            <v>5.4199999999999995E-3</v>
          </cell>
          <cell r="EH79">
            <v>3.2009999999999999E-3</v>
          </cell>
          <cell r="EI79">
            <v>1.9620000000000002E-3</v>
          </cell>
          <cell r="EJ79">
            <v>1.2449999999999998E-3</v>
          </cell>
          <cell r="EL79">
            <v>4</v>
          </cell>
          <cell r="EM79">
            <v>17</v>
          </cell>
          <cell r="EN79">
            <v>-3.1589999999999977E-3</v>
          </cell>
          <cell r="EO79">
            <v>-4.0920000000000002E-3</v>
          </cell>
          <cell r="EP79">
            <v>-5.1260000000000012E-3</v>
          </cell>
          <cell r="EQ79">
            <v>-3.7880000000000014E-3</v>
          </cell>
          <cell r="ER79">
            <v>-3.0779999999999983E-3</v>
          </cell>
          <cell r="ES79">
            <v>-3.1130000000000012E-3</v>
          </cell>
          <cell r="ET79">
            <v>-2.9380000000000031E-3</v>
          </cell>
          <cell r="EU79">
            <v>-2.5820000000000027E-3</v>
          </cell>
          <cell r="EV79">
            <v>-1.9060000000000001E-3</v>
          </cell>
          <cell r="EW79">
            <v>-1.1240000000000009E-3</v>
          </cell>
          <cell r="EX79">
            <v>-4.0700000000000024E-4</v>
          </cell>
          <cell r="EY79">
            <v>3.199999999999991E-5</v>
          </cell>
          <cell r="EZ79">
            <v>2.580000000000002E-4</v>
          </cell>
          <cell r="FA79">
            <v>4.010000000000001E-4</v>
          </cell>
          <cell r="FB79">
            <v>4.6700000000000018E-4</v>
          </cell>
          <cell r="FC79">
            <v>4.5899999999999999E-4</v>
          </cell>
          <cell r="FD79">
            <v>4.0400000000000006E-4</v>
          </cell>
          <cell r="FE79">
            <v>3.6000000000000013E-4</v>
          </cell>
        </row>
        <row r="80">
          <cell r="CV80">
            <v>5</v>
          </cell>
          <cell r="CW80">
            <v>18</v>
          </cell>
          <cell r="CX80">
            <v>5.7139999999999996E-2</v>
          </cell>
          <cell r="CY80">
            <v>5.6980000000000003E-2</v>
          </cell>
          <cell r="CZ80">
            <v>5.5469999999999998E-2</v>
          </cell>
          <cell r="DA80">
            <v>5.432E-2</v>
          </cell>
          <cell r="DB80">
            <v>5.3510000000000002E-2</v>
          </cell>
          <cell r="DC80">
            <v>5.219E-2</v>
          </cell>
          <cell r="DD80">
            <v>5.1049999999999998E-2</v>
          </cell>
          <cell r="DE80">
            <v>4.6449999999999998E-2</v>
          </cell>
          <cell r="DF80">
            <v>4.0470000000000006E-2</v>
          </cell>
          <cell r="DG80">
            <v>2.7709999999999999E-2</v>
          </cell>
          <cell r="DH80">
            <v>1.7590000000000001E-2</v>
          </cell>
          <cell r="DI80">
            <v>1.0790000000000001E-2</v>
          </cell>
          <cell r="DJ80">
            <v>6.5900000000000004E-3</v>
          </cell>
          <cell r="DK80">
            <v>4.0699999999999998E-3</v>
          </cell>
          <cell r="DL80">
            <v>2.5500000000000002E-3</v>
          </cell>
          <cell r="DM80">
            <v>1.0899999999999998E-3</v>
          </cell>
          <cell r="DN80">
            <v>5.1999999999999995E-4</v>
          </cell>
          <cell r="DO80">
            <v>2.6000000000000003E-4</v>
          </cell>
          <cell r="DQ80">
            <v>5</v>
          </cell>
          <cell r="DR80">
            <v>18</v>
          </cell>
          <cell r="DS80">
            <v>-2.3529999999999996E-3</v>
          </cell>
          <cell r="DT80">
            <v>-1.5010000000000015E-3</v>
          </cell>
          <cell r="DU80">
            <v>-1.3250000000000002E-3</v>
          </cell>
          <cell r="DV80">
            <v>-8.7399999999999934E-4</v>
          </cell>
          <cell r="DW80">
            <v>-3.8300000000000139E-4</v>
          </cell>
          <cell r="DX80">
            <v>-1.1999999999999815E-4</v>
          </cell>
          <cell r="DY80">
            <v>2.0450000000000021E-3</v>
          </cell>
          <cell r="DZ80">
            <v>3.4750000000000015E-3</v>
          </cell>
          <cell r="EA80">
            <v>3.7209999999999995E-3</v>
          </cell>
          <cell r="EB80">
            <v>7.2379999999999988E-3</v>
          </cell>
          <cell r="EC80">
            <v>6.1939999999999999E-3</v>
          </cell>
          <cell r="ED80">
            <v>8.633E-3</v>
          </cell>
          <cell r="EE80">
            <v>7.6920000000000001E-3</v>
          </cell>
          <cell r="EF80">
            <v>6.4679999999999998E-3</v>
          </cell>
          <cell r="EG80">
            <v>5.2979999999999989E-3</v>
          </cell>
          <cell r="EH80">
            <v>3.4649999999999998E-3</v>
          </cell>
          <cell r="EI80">
            <v>2.264E-3</v>
          </cell>
          <cell r="EJ80">
            <v>1.516E-3</v>
          </cell>
          <cell r="EL80">
            <v>5</v>
          </cell>
          <cell r="EM80">
            <v>18</v>
          </cell>
          <cell r="EN80">
            <v>-2.3529999999999996E-3</v>
          </cell>
          <cell r="EO80">
            <v>-3.1529999999999996E-3</v>
          </cell>
          <cell r="EP80">
            <v>-3.6799999999999988E-3</v>
          </cell>
          <cell r="EQ80">
            <v>-3.1989999999999992E-3</v>
          </cell>
          <cell r="ER80">
            <v>-2.9880000000000006E-3</v>
          </cell>
          <cell r="ES80">
            <v>-2.5279999999999981E-3</v>
          </cell>
          <cell r="ET80">
            <v>-1.7779999999999996E-3</v>
          </cell>
          <cell r="EU80">
            <v>-1.2519999999999992E-3</v>
          </cell>
          <cell r="EV80">
            <v>-1.7200000000000006E-3</v>
          </cell>
          <cell r="EW80">
            <v>-1.2350000000000009E-3</v>
          </cell>
          <cell r="EX80">
            <v>-7.2800000000000078E-4</v>
          </cell>
          <cell r="EY80">
            <v>-3.0699999999999955E-4</v>
          </cell>
          <cell r="EZ80">
            <v>-5.5999999999999843E-5</v>
          </cell>
          <cell r="FA80">
            <v>1.1300000000000004E-4</v>
          </cell>
          <cell r="FB80">
            <v>1.879999999999998E-4</v>
          </cell>
          <cell r="FC80">
            <v>2.7799999999999993E-4</v>
          </cell>
          <cell r="FD80">
            <v>2.9E-4</v>
          </cell>
          <cell r="FE80">
            <v>2.5900000000000012E-4</v>
          </cell>
        </row>
        <row r="81">
          <cell r="CV81">
            <v>6</v>
          </cell>
          <cell r="CW81">
            <v>19</v>
          </cell>
          <cell r="CX81">
            <v>4.027E-2</v>
          </cell>
          <cell r="CY81">
            <v>3.9820000000000001E-2</v>
          </cell>
          <cell r="CZ81">
            <v>3.9210000000000002E-2</v>
          </cell>
          <cell r="DA81">
            <v>3.8429999999999999E-2</v>
          </cell>
          <cell r="DB81">
            <v>3.8150000000000003E-2</v>
          </cell>
          <cell r="DC81">
            <v>3.7749999999999999E-2</v>
          </cell>
          <cell r="DD81">
            <v>3.7010000000000001E-2</v>
          </cell>
          <cell r="DE81">
            <v>3.4509999999999999E-2</v>
          </cell>
          <cell r="DF81">
            <v>3.1359999999999999E-2</v>
          </cell>
          <cell r="DG81">
            <v>2.3629999999999998E-2</v>
          </cell>
          <cell r="DH81">
            <v>1.6620000000000003E-2</v>
          </cell>
          <cell r="DI81">
            <v>1.124E-2</v>
          </cell>
          <cell r="DJ81">
            <v>7.4599999999999996E-3</v>
          </cell>
          <cell r="DK81">
            <v>4.9399999999999999E-3</v>
          </cell>
          <cell r="DL81">
            <v>3.2699999999999999E-3</v>
          </cell>
          <cell r="DM81">
            <v>1.5100000000000001E-3</v>
          </cell>
          <cell r="DN81">
            <v>7.7000000000000007E-4</v>
          </cell>
          <cell r="DO81">
            <v>3.9000000000000005E-4</v>
          </cell>
          <cell r="DQ81">
            <v>6</v>
          </cell>
          <cell r="DR81">
            <v>19</v>
          </cell>
          <cell r="DS81">
            <v>-1.7630000000000007E-3</v>
          </cell>
          <cell r="DT81">
            <v>-1.4780000000000006E-3</v>
          </cell>
          <cell r="DU81">
            <v>-1.0720000000000009E-3</v>
          </cell>
          <cell r="DV81">
            <v>-7.3600000000000011E-4</v>
          </cell>
          <cell r="DW81">
            <v>-3.8799999999999946E-4</v>
          </cell>
          <cell r="DX81">
            <v>-6.00000000000123E-6</v>
          </cell>
          <cell r="DY81">
            <v>8.8999999999999973E-4</v>
          </cell>
          <cell r="DZ81">
            <v>1.4340000000000012E-3</v>
          </cell>
          <cell r="EA81">
            <v>1.6000000000000003E-3</v>
          </cell>
          <cell r="EB81">
            <v>4.0580000000000008E-3</v>
          </cell>
          <cell r="EC81">
            <v>5.6089999999999994E-3</v>
          </cell>
          <cell r="ED81">
            <v>6.1960000000000001E-3</v>
          </cell>
          <cell r="EE81">
            <v>6.0479999999999996E-3</v>
          </cell>
          <cell r="EF81">
            <v>5.4979999999999994E-3</v>
          </cell>
          <cell r="EG81">
            <v>4.7829999999999999E-3</v>
          </cell>
          <cell r="EH81">
            <v>3.4269999999999999E-3</v>
          </cell>
          <cell r="EI81">
            <v>2.4000000000000002E-3</v>
          </cell>
          <cell r="EJ81">
            <v>1.6779999999999998E-3</v>
          </cell>
          <cell r="EL81">
            <v>6</v>
          </cell>
          <cell r="EM81">
            <v>19</v>
          </cell>
          <cell r="EN81">
            <v>-1.7630000000000007E-3</v>
          </cell>
          <cell r="EO81">
            <v>-3.7250000000000017E-3</v>
          </cell>
          <cell r="EP81">
            <v>-5.3659999999999992E-3</v>
          </cell>
          <cell r="EQ81">
            <v>-4.1370000000000001E-3</v>
          </cell>
          <cell r="ER81">
            <v>-3.3660000000000009E-3</v>
          </cell>
          <cell r="ES81">
            <v>-2.4650000000000002E-3</v>
          </cell>
          <cell r="ET81">
            <v>-1.8755000000000004E-3</v>
          </cell>
          <cell r="EU81">
            <v>-1.4129999999999998E-3</v>
          </cell>
          <cell r="EV81">
            <v>-1.4270000000000008E-3</v>
          </cell>
          <cell r="EW81">
            <v>-1.1569999999999992E-3</v>
          </cell>
          <cell r="EX81">
            <v>-7.6399999999999992E-4</v>
          </cell>
          <cell r="EY81">
            <v>-4.8300000000000036E-4</v>
          </cell>
          <cell r="EZ81">
            <v>-2.2400000000000002E-4</v>
          </cell>
          <cell r="FA81">
            <v>-5.9999999999999941E-5</v>
          </cell>
          <cell r="FB81">
            <v>9.9999999999998094E-6</v>
          </cell>
          <cell r="FC81">
            <v>1.3899999999999991E-4</v>
          </cell>
          <cell r="FD81">
            <v>2.0400000000000008E-4</v>
          </cell>
          <cell r="FE81">
            <v>1.9000000000000006E-4</v>
          </cell>
        </row>
        <row r="82">
          <cell r="CV82">
            <v>7</v>
          </cell>
          <cell r="CW82">
            <v>20</v>
          </cell>
          <cell r="CX82">
            <v>2.9850000000000002E-2</v>
          </cell>
          <cell r="CY82">
            <v>2.9510000000000002E-2</v>
          </cell>
          <cell r="CZ82">
            <v>2.9020000000000001E-2</v>
          </cell>
          <cell r="DA82">
            <v>2.8549999999999999E-2</v>
          </cell>
          <cell r="DB82">
            <v>2.8459999999999999E-2</v>
          </cell>
          <cell r="DC82">
            <v>2.844E-2</v>
          </cell>
          <cell r="DD82">
            <v>2.785E-2</v>
          </cell>
          <cell r="DE82">
            <v>2.6190000000000001E-2</v>
          </cell>
          <cell r="DF82">
            <v>2.4709999999999999E-2</v>
          </cell>
          <cell r="DG82">
            <v>1.9880000000000002E-2</v>
          </cell>
          <cell r="DH82">
            <v>1.5030000000000002E-2</v>
          </cell>
          <cell r="DI82">
            <v>1.095E-2</v>
          </cell>
          <cell r="DJ82">
            <v>7.77E-3</v>
          </cell>
          <cell r="DK82">
            <v>5.45E-3</v>
          </cell>
          <cell r="DL82">
            <v>3.8399999999999997E-3</v>
          </cell>
          <cell r="DM82">
            <v>1.91E-3</v>
          </cell>
          <cell r="DN82">
            <v>1.01E-3</v>
          </cell>
          <cell r="DO82">
            <v>5.4000000000000001E-4</v>
          </cell>
          <cell r="DQ82">
            <v>7</v>
          </cell>
          <cell r="DR82">
            <v>20</v>
          </cell>
          <cell r="DS82">
            <v>-1.3560000000000011E-3</v>
          </cell>
          <cell r="DT82">
            <v>-1.2030000000000009E-3</v>
          </cell>
          <cell r="DU82">
            <v>-1.0469999999999998E-3</v>
          </cell>
          <cell r="DV82">
            <v>-9.1799999999999955E-4</v>
          </cell>
          <cell r="DW82">
            <v>-7.720000000000012E-4</v>
          </cell>
          <cell r="DX82">
            <v>-7.3900000000000051E-4</v>
          </cell>
          <cell r="DY82">
            <v>3.3500000000000023E-4</v>
          </cell>
          <cell r="DZ82">
            <v>5.5099999999999962E-4</v>
          </cell>
          <cell r="EA82">
            <v>7.6200000000000031E-4</v>
          </cell>
          <cell r="EB82">
            <v>2.3559999999999996E-3</v>
          </cell>
          <cell r="EC82">
            <v>3.601E-3</v>
          </cell>
          <cell r="ED82">
            <v>4.3299999999999996E-3</v>
          </cell>
          <cell r="EE82">
            <v>4.5869999999999999E-3</v>
          </cell>
          <cell r="EF82">
            <v>4.4520000000000002E-3</v>
          </cell>
          <cell r="EG82">
            <v>4.1180000000000001E-3</v>
          </cell>
          <cell r="EH82">
            <v>3.2209999999999999E-3</v>
          </cell>
          <cell r="EI82">
            <v>2.3970000000000003E-3</v>
          </cell>
          <cell r="EJ82">
            <v>1.7700000000000001E-3</v>
          </cell>
          <cell r="EL82">
            <v>7</v>
          </cell>
          <cell r="EM82">
            <v>20</v>
          </cell>
          <cell r="EN82">
            <v>-1.3560000000000011E-3</v>
          </cell>
          <cell r="EO82">
            <v>-1.7600000000000014E-3</v>
          </cell>
          <cell r="EP82">
            <v>-2.6549999999999994E-3</v>
          </cell>
          <cell r="EQ82">
            <v>-2.0610000000000012E-3</v>
          </cell>
          <cell r="ER82">
            <v>-1.4330000000000005E-3</v>
          </cell>
          <cell r="ES82">
            <v>-1.3490000000000004E-3</v>
          </cell>
          <cell r="ET82">
            <v>-1.1990000000000006E-3</v>
          </cell>
          <cell r="EU82">
            <v>-1.2500000000000002E-3</v>
          </cell>
          <cell r="EV82">
            <v>-1.3339999999999999E-3</v>
          </cell>
          <cell r="EW82">
            <v>-1.0680000000000002E-3</v>
          </cell>
          <cell r="EX82">
            <v>-7.8099999999999979E-4</v>
          </cell>
          <cell r="EY82">
            <v>-4.7400000000000046E-4</v>
          </cell>
          <cell r="EZ82">
            <v>-3.4500000000000004E-4</v>
          </cell>
          <cell r="FA82">
            <v>-1.9200000000000011E-4</v>
          </cell>
          <cell r="FB82">
            <v>-9.1000000000000044E-5</v>
          </cell>
          <cell r="FC82">
            <v>6.9999999999999967E-5</v>
          </cell>
          <cell r="FD82">
            <v>1.2600000000000003E-4</v>
          </cell>
          <cell r="FE82">
            <v>1.3700000000000002E-4</v>
          </cell>
        </row>
        <row r="83">
          <cell r="CV83">
            <v>8</v>
          </cell>
          <cell r="CW83">
            <v>21</v>
          </cell>
          <cell r="CX83">
            <v>2.298E-2</v>
          </cell>
          <cell r="CY83">
            <v>2.273E-2</v>
          </cell>
          <cell r="CZ83">
            <v>2.2409999999999999E-2</v>
          </cell>
          <cell r="DA83">
            <v>2.2179999999999998E-2</v>
          </cell>
          <cell r="DB83">
            <v>2.2159999999999999E-2</v>
          </cell>
          <cell r="DC83">
            <v>2.214E-2</v>
          </cell>
          <cell r="DD83">
            <v>2.1680000000000001E-2</v>
          </cell>
          <cell r="DE83">
            <v>2.061E-2</v>
          </cell>
          <cell r="DF83">
            <v>1.9819999999999997E-2</v>
          </cell>
          <cell r="DG83">
            <v>1.669E-2</v>
          </cell>
          <cell r="DH83">
            <v>1.333E-2</v>
          </cell>
          <cell r="DI83">
            <v>1.026E-2</v>
          </cell>
          <cell r="DJ83">
            <v>7.7000000000000002E-3</v>
          </cell>
          <cell r="DK83">
            <v>5.6800000000000002E-3</v>
          </cell>
          <cell r="DL83">
            <v>4.1700000000000001E-3</v>
          </cell>
          <cell r="DM83">
            <v>2.2399999999999998E-3</v>
          </cell>
          <cell r="DN83">
            <v>1.2600000000000001E-3</v>
          </cell>
          <cell r="DO83">
            <v>6.8999999999999997E-4</v>
          </cell>
          <cell r="DQ83">
            <v>8</v>
          </cell>
          <cell r="DR83">
            <v>21</v>
          </cell>
          <cell r="DS83">
            <v>-1.0679999999999995E-3</v>
          </cell>
          <cell r="DT83">
            <v>-9.419999999999997E-4</v>
          </cell>
          <cell r="DU83">
            <v>-8.7700000000000018E-4</v>
          </cell>
          <cell r="DV83">
            <v>-7.8100000000000001E-4</v>
          </cell>
          <cell r="DW83">
            <v>-6.8799999999999959E-4</v>
          </cell>
          <cell r="DX83">
            <v>-5.6499999999999975E-4</v>
          </cell>
          <cell r="DY83">
            <v>-1.7499999999999937E-4</v>
          </cell>
          <cell r="DZ83">
            <v>1.9699999999999926E-4</v>
          </cell>
          <cell r="EA83">
            <v>4.5099999999999958E-4</v>
          </cell>
          <cell r="EB83">
            <v>1.387999999999999E-3</v>
          </cell>
          <cell r="EC83">
            <v>2.3149999999999998E-3</v>
          </cell>
          <cell r="ED83">
            <v>3.0560000000000006E-3</v>
          </cell>
          <cell r="EE83">
            <v>3.4509999999999996E-3</v>
          </cell>
          <cell r="EF83">
            <v>3.5299999999999997E-3</v>
          </cell>
          <cell r="EG83">
            <v>3.4159999999999998E-3</v>
          </cell>
          <cell r="EH83">
            <v>2.9019999999999996E-3</v>
          </cell>
          <cell r="EI83">
            <v>2.3079999999999997E-3</v>
          </cell>
          <cell r="EJ83">
            <v>1.7589999999999999E-3</v>
          </cell>
          <cell r="EL83">
            <v>8</v>
          </cell>
          <cell r="EM83">
            <v>21</v>
          </cell>
          <cell r="EN83">
            <v>-1.0679999999999995E-3</v>
          </cell>
          <cell r="EO83">
            <v>-8.0699999999999999E-4</v>
          </cell>
          <cell r="EP83">
            <v>-2.1090000000000011E-3</v>
          </cell>
          <cell r="EQ83">
            <v>-1.4499999999999999E-3</v>
          </cell>
          <cell r="ER83">
            <v>-1.274E-3</v>
          </cell>
          <cell r="ES83">
            <v>-1.1740000000000006E-3</v>
          </cell>
          <cell r="ET83">
            <v>-1.1839999999999995E-3</v>
          </cell>
          <cell r="EU83">
            <v>-1.1700000000000005E-3</v>
          </cell>
          <cell r="EV83">
            <v>-1.287000000000001E-3</v>
          </cell>
          <cell r="EW83">
            <v>-9.3300000000000045E-4</v>
          </cell>
          <cell r="EX83">
            <v>-6.8700000000000022E-4</v>
          </cell>
          <cell r="EY83">
            <v>-5.7499999999999977E-4</v>
          </cell>
          <cell r="EZ83">
            <v>-4.1500000000000022E-4</v>
          </cell>
          <cell r="FA83">
            <v>-2.4600000000000023E-4</v>
          </cell>
          <cell r="FB83">
            <v>-1.3400000000000011E-4</v>
          </cell>
          <cell r="FC83">
            <v>-4.1999999999999937E-5</v>
          </cell>
          <cell r="FD83">
            <v>9.2999999999999984E-5</v>
          </cell>
          <cell r="FE83">
            <v>7.9000000000000023E-5</v>
          </cell>
        </row>
        <row r="84">
          <cell r="CV84">
            <v>9</v>
          </cell>
          <cell r="CW84">
            <v>22</v>
          </cell>
          <cell r="CX84">
            <v>1.8239999999999999E-2</v>
          </cell>
          <cell r="CY84">
            <v>1.8110000000000001E-2</v>
          </cell>
          <cell r="CZ84">
            <v>1.7829999999999999E-2</v>
          </cell>
          <cell r="DA84">
            <v>1.7739999999999999E-2</v>
          </cell>
          <cell r="DB84">
            <v>1.772E-2</v>
          </cell>
          <cell r="DC84">
            <v>1.77E-2</v>
          </cell>
          <cell r="DD84">
            <v>1.7330000000000002E-2</v>
          </cell>
          <cell r="DE84">
            <v>1.6750000000000001E-2</v>
          </cell>
          <cell r="DF84">
            <v>1.6199999999999999E-2</v>
          </cell>
          <cell r="DG84">
            <v>1.4080000000000001E-2</v>
          </cell>
          <cell r="DH84">
            <v>1.171E-2</v>
          </cell>
          <cell r="DI84">
            <v>9.4199999999999996E-3</v>
          </cell>
          <cell r="DJ84">
            <v>7.3900000000000007E-3</v>
          </cell>
          <cell r="DK84">
            <v>5.6600000000000001E-3</v>
          </cell>
          <cell r="DL84">
            <v>4.3400000000000001E-3</v>
          </cell>
          <cell r="DM84">
            <v>2.5000000000000001E-3</v>
          </cell>
          <cell r="DN84">
            <v>1.4500000000000001E-3</v>
          </cell>
          <cell r="DO84">
            <v>8.4000000000000003E-4</v>
          </cell>
          <cell r="DQ84">
            <v>9</v>
          </cell>
          <cell r="DR84">
            <v>22</v>
          </cell>
          <cell r="DS84">
            <v>-6.3699999999999998E-4</v>
          </cell>
          <cell r="DT84">
            <v>-2.8000000000000052E-4</v>
          </cell>
          <cell r="DU84">
            <v>9.9999999999999612E-5</v>
          </cell>
          <cell r="DV84">
            <v>4.7600000000000051E-4</v>
          </cell>
          <cell r="DW84">
            <v>7.4200000000000004E-4</v>
          </cell>
          <cell r="DX84">
            <v>1.0919999999999997E-3</v>
          </cell>
          <cell r="DY84">
            <v>9.9700000000000006E-4</v>
          </cell>
          <cell r="DZ84">
            <v>9.2500000000000004E-4</v>
          </cell>
          <cell r="EA84">
            <v>3.1500000000000061E-4</v>
          </cell>
          <cell r="EB84">
            <v>8.5099999999999954E-4</v>
          </cell>
          <cell r="EC84">
            <v>1.5209999999999998E-3</v>
          </cell>
          <cell r="ED84">
            <v>2.1719999999999995E-3</v>
          </cell>
          <cell r="EE84">
            <v>2.5730000000000002E-3</v>
          </cell>
          <cell r="EF84">
            <v>2.7439999999999999E-3</v>
          </cell>
          <cell r="EG84">
            <v>2.7979999999999997E-3</v>
          </cell>
          <cell r="EH84">
            <v>2.588E-3</v>
          </cell>
          <cell r="EI84">
            <v>2.1360000000000003E-3</v>
          </cell>
          <cell r="EJ84">
            <v>1.7150000000000002E-3</v>
          </cell>
          <cell r="EL84">
            <v>9</v>
          </cell>
          <cell r="EM84">
            <v>22</v>
          </cell>
          <cell r="EN84">
            <v>-8.6800000000000017E-4</v>
          </cell>
          <cell r="EO84">
            <v>-1.353E-3</v>
          </cell>
          <cell r="EP84">
            <v>-3.0270000000000002E-3</v>
          </cell>
          <cell r="EQ84">
            <v>-2.677999999999999E-3</v>
          </cell>
          <cell r="ER84">
            <v>-2.6859999999999996E-3</v>
          </cell>
          <cell r="ES84">
            <v>-2.5789999999999997E-3</v>
          </cell>
          <cell r="ET84">
            <v>-2.1280000000000001E-3</v>
          </cell>
          <cell r="EU84">
            <v>-1.6889999999999995E-3</v>
          </cell>
          <cell r="EV84">
            <v>-1.2229999999999993E-3</v>
          </cell>
          <cell r="EW84">
            <v>-8.7100000000000003E-4</v>
          </cell>
          <cell r="EX84">
            <v>-6.4600000000000042E-4</v>
          </cell>
          <cell r="EY84">
            <v>-5.4900000000000033E-4</v>
          </cell>
          <cell r="EZ84">
            <v>-4.2199999999999963E-4</v>
          </cell>
          <cell r="FA84">
            <v>-2.8700000000000015E-4</v>
          </cell>
          <cell r="FB84">
            <v>-2.2599999999999975E-4</v>
          </cell>
          <cell r="FC84">
            <v>-9.2999999999999984E-5</v>
          </cell>
          <cell r="FD84">
            <v>1.8000000000000004E-5</v>
          </cell>
          <cell r="FE84">
            <v>3.0000000000000024E-5</v>
          </cell>
        </row>
        <row r="85">
          <cell r="CV85">
            <v>10</v>
          </cell>
          <cell r="CW85">
            <v>23</v>
          </cell>
          <cell r="CX85">
            <v>1.515E-2</v>
          </cell>
          <cell r="CY85">
            <v>1.4919999999999999E-2</v>
          </cell>
          <cell r="CZ85">
            <v>1.478E-2</v>
          </cell>
          <cell r="DA85">
            <v>1.4710000000000001E-2</v>
          </cell>
          <cell r="DB85">
            <v>1.4630000000000001E-2</v>
          </cell>
          <cell r="DC85">
            <v>1.4579999999999999E-2</v>
          </cell>
          <cell r="DD85">
            <v>1.435E-2</v>
          </cell>
          <cell r="DE85">
            <v>1.401E-2</v>
          </cell>
          <cell r="DF85">
            <v>1.3439999999999999E-2</v>
          </cell>
          <cell r="DG85">
            <v>1.2019999999999999E-2</v>
          </cell>
          <cell r="DH85">
            <v>1.0279999999999999E-2</v>
          </cell>
          <cell r="DI85">
            <v>8.5299999999999994E-3</v>
          </cell>
          <cell r="DJ85">
            <v>7.0799999999999995E-3</v>
          </cell>
          <cell r="DK85">
            <v>5.5399999999999998E-3</v>
          </cell>
          <cell r="DL85">
            <v>4.3999999999999994E-3</v>
          </cell>
          <cell r="DM85">
            <v>2.7000000000000001E-3</v>
          </cell>
          <cell r="DN85">
            <v>1.65E-3</v>
          </cell>
          <cell r="DO85">
            <v>9.1E-4</v>
          </cell>
          <cell r="DQ85">
            <v>10</v>
          </cell>
          <cell r="DR85">
            <v>23</v>
          </cell>
          <cell r="DS85">
            <v>-2.8899999999999998E-4</v>
          </cell>
          <cell r="DT85">
            <v>-1.699999999999998E-4</v>
          </cell>
          <cell r="DU85">
            <v>-9.9999999999999612E-5</v>
          </cell>
          <cell r="DV85">
            <v>1.199999999999975E-5</v>
          </cell>
          <cell r="DW85">
            <v>1.5400000000000049E-4</v>
          </cell>
          <cell r="DX85">
            <v>1.8099999999999974E-4</v>
          </cell>
          <cell r="DY85">
            <v>1.929999999999997E-4</v>
          </cell>
          <cell r="DZ85">
            <v>3.3000000000000011E-4</v>
          </cell>
          <cell r="EA85">
            <v>2.6299999999999989E-4</v>
          </cell>
          <cell r="EB85">
            <v>5.6500000000000018E-4</v>
          </cell>
          <cell r="EC85">
            <v>9.7699999999999957E-4</v>
          </cell>
          <cell r="ED85">
            <v>1.5410000000000003E-3</v>
          </cell>
          <cell r="EE85">
            <v>2.0299999999999997E-3</v>
          </cell>
          <cell r="EF85">
            <v>2.4870000000000001E-3</v>
          </cell>
          <cell r="EG85">
            <v>2.297E-3</v>
          </cell>
          <cell r="EH85">
            <v>2.2759999999999998E-3</v>
          </cell>
          <cell r="EI85">
            <v>1.804E-3</v>
          </cell>
          <cell r="EJ85">
            <v>1.4620000000000002E-3</v>
          </cell>
          <cell r="EL85">
            <v>10</v>
          </cell>
          <cell r="EM85">
            <v>23</v>
          </cell>
          <cell r="EN85">
            <v>-1.5629999999999997E-3</v>
          </cell>
          <cell r="EO85">
            <v>-1.9550000000000001E-3</v>
          </cell>
          <cell r="EP85">
            <v>-3.1849999999999999E-3</v>
          </cell>
          <cell r="EQ85">
            <v>-2.8230000000000004E-3</v>
          </cell>
          <cell r="ER85">
            <v>-2.4009999999999995E-3</v>
          </cell>
          <cell r="ES85">
            <v>-1.8529999999999998E-3</v>
          </cell>
          <cell r="ET85">
            <v>-1.5990000000000002E-3</v>
          </cell>
          <cell r="EU85">
            <v>-1.4510000000000005E-3</v>
          </cell>
          <cell r="EV85">
            <v>-1.1450000000000006E-3</v>
          </cell>
          <cell r="EW85">
            <v>-7.5899999999999948E-4</v>
          </cell>
          <cell r="EX85">
            <v>-5.380000000000005E-4</v>
          </cell>
          <cell r="EY85">
            <v>-5.669999999999998E-4</v>
          </cell>
          <cell r="EZ85">
            <v>-3.0800000000000033E-4</v>
          </cell>
          <cell r="FA85">
            <v>-3.2600000000000012E-4</v>
          </cell>
          <cell r="FB85">
            <v>-1.9000000000000039E-4</v>
          </cell>
          <cell r="FC85">
            <v>-2.1999999999999884E-5</v>
          </cell>
          <cell r="FD85">
            <v>-7.5000000000000143E-5</v>
          </cell>
          <cell r="FE85">
            <v>-6.6999999999999894E-5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26" Type="http://schemas.openxmlformats.org/officeDocument/2006/relationships/image" Target="../media/image12.emf"/><Relationship Id="rId3" Type="http://schemas.openxmlformats.org/officeDocument/2006/relationships/control" Target="../activeX/activeX1.xml"/><Relationship Id="rId21" Type="http://schemas.openxmlformats.org/officeDocument/2006/relationships/control" Target="../activeX/activeX10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20" Type="http://schemas.openxmlformats.org/officeDocument/2006/relationships/image" Target="../media/image9.emf"/><Relationship Id="rId29" Type="http://schemas.openxmlformats.org/officeDocument/2006/relationships/control" Target="../activeX/activeX14.x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24" Type="http://schemas.openxmlformats.org/officeDocument/2006/relationships/image" Target="../media/image11.emf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3.emf"/><Relationship Id="rId10" Type="http://schemas.openxmlformats.org/officeDocument/2006/relationships/image" Target="../media/image4.emf"/><Relationship Id="rId19" Type="http://schemas.openxmlformats.org/officeDocument/2006/relationships/control" Target="../activeX/activeX9.xml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Relationship Id="rId22" Type="http://schemas.openxmlformats.org/officeDocument/2006/relationships/image" Target="../media/image10.emf"/><Relationship Id="rId27" Type="http://schemas.openxmlformats.org/officeDocument/2006/relationships/control" Target="../activeX/activeX13.xml"/><Relationship Id="rId30" Type="http://schemas.openxmlformats.org/officeDocument/2006/relationships/image" Target="../media/image14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13" Type="http://schemas.openxmlformats.org/officeDocument/2006/relationships/control" Target="../activeX/activeX20.xml"/><Relationship Id="rId3" Type="http://schemas.openxmlformats.org/officeDocument/2006/relationships/control" Target="../activeX/activeX15.xml"/><Relationship Id="rId7" Type="http://schemas.openxmlformats.org/officeDocument/2006/relationships/control" Target="../activeX/activeX17.xml"/><Relationship Id="rId12" Type="http://schemas.openxmlformats.org/officeDocument/2006/relationships/image" Target="../media/image27.emf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24.emf"/><Relationship Id="rId11" Type="http://schemas.openxmlformats.org/officeDocument/2006/relationships/control" Target="../activeX/activeX19.xml"/><Relationship Id="rId5" Type="http://schemas.openxmlformats.org/officeDocument/2006/relationships/control" Target="../activeX/activeX16.xml"/><Relationship Id="rId10" Type="http://schemas.openxmlformats.org/officeDocument/2006/relationships/image" Target="../media/image26.emf"/><Relationship Id="rId4" Type="http://schemas.openxmlformats.org/officeDocument/2006/relationships/image" Target="../media/image23.emf"/><Relationship Id="rId9" Type="http://schemas.openxmlformats.org/officeDocument/2006/relationships/control" Target="../activeX/activeX18.xml"/><Relationship Id="rId14" Type="http://schemas.openxmlformats.org/officeDocument/2006/relationships/image" Target="../media/image28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29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2.xml"/><Relationship Id="rId7" Type="http://schemas.openxmlformats.org/officeDocument/2006/relationships/ctrlProp" Target="../ctrlProps/ctrlProp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36.emf"/><Relationship Id="rId5" Type="http://schemas.openxmlformats.org/officeDocument/2006/relationships/control" Target="../activeX/activeX23.xml"/><Relationship Id="rId4" Type="http://schemas.openxmlformats.org/officeDocument/2006/relationships/image" Target="../media/image35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2.xml"/><Relationship Id="rId4" Type="http://schemas.openxmlformats.org/officeDocument/2006/relationships/image" Target="../media/image37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>
    <tabColor rgb="FF0070C0"/>
  </sheetPr>
  <dimension ref="A1:U39"/>
  <sheetViews>
    <sheetView showGridLines="0" showRowColHeaders="0" zoomScaleNormal="100" workbookViewId="0">
      <selection activeCell="I30" sqref="I30"/>
    </sheetView>
  </sheetViews>
  <sheetFormatPr baseColWidth="10" defaultColWidth="11.5703125" defaultRowHeight="15" x14ac:dyDescent="0.25"/>
  <cols>
    <col min="1" max="2" width="8" customWidth="1"/>
    <col min="4" max="4" width="12.42578125" customWidth="1"/>
    <col min="5" max="5" width="13" customWidth="1"/>
    <col min="6" max="6" width="15.28515625" customWidth="1"/>
    <col min="7" max="7" width="11.7109375" customWidth="1"/>
    <col min="8" max="8" width="13" customWidth="1"/>
    <col min="9" max="9" width="14" customWidth="1"/>
    <col min="10" max="10" width="14.28515625" customWidth="1"/>
    <col min="11" max="12" width="10.7109375" customWidth="1"/>
    <col min="13" max="13" width="2.7109375" customWidth="1"/>
  </cols>
  <sheetData>
    <row r="1" spans="1:21" x14ac:dyDescent="0.25">
      <c r="A1" s="88"/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</row>
    <row r="2" spans="1:2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</row>
    <row r="3" spans="1:2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</row>
    <row r="4" spans="1:21" ht="19.5" customHeight="1" x14ac:dyDescent="0.25">
      <c r="A4" s="88"/>
      <c r="B4" s="88"/>
      <c r="D4" s="87"/>
      <c r="E4" s="87"/>
      <c r="F4" s="87"/>
      <c r="G4" s="87"/>
      <c r="H4" s="87"/>
      <c r="I4" s="87"/>
      <c r="J4" s="324" t="s">
        <v>37</v>
      </c>
      <c r="K4" s="324"/>
      <c r="L4" s="324"/>
      <c r="M4" s="168"/>
      <c r="T4" s="148" t="s">
        <v>184</v>
      </c>
      <c r="U4" s="148" t="s">
        <v>263</v>
      </c>
    </row>
    <row r="5" spans="1:21" ht="21" customHeight="1" x14ac:dyDescent="0.25">
      <c r="A5" s="88"/>
      <c r="B5" s="88"/>
      <c r="D5" s="325" t="s">
        <v>192</v>
      </c>
      <c r="E5" s="325"/>
      <c r="F5" s="167"/>
      <c r="G5" s="147"/>
      <c r="H5" s="147"/>
      <c r="I5" s="147"/>
      <c r="J5" s="317" t="s">
        <v>4</v>
      </c>
      <c r="K5" s="318">
        <v>78</v>
      </c>
      <c r="L5" s="318"/>
      <c r="N5" s="146"/>
      <c r="T5" s="148" t="s">
        <v>185</v>
      </c>
      <c r="U5" s="148">
        <v>1</v>
      </c>
    </row>
    <row r="6" spans="1:21" ht="15" customHeight="1" x14ac:dyDescent="0.25">
      <c r="A6" s="88"/>
      <c r="B6" s="88"/>
      <c r="D6" s="325"/>
      <c r="E6" s="325"/>
      <c r="F6" s="167"/>
      <c r="G6" s="90"/>
      <c r="H6" s="90"/>
      <c r="J6" s="317"/>
      <c r="K6" s="318"/>
      <c r="L6" s="318"/>
      <c r="N6" s="146"/>
      <c r="T6" s="148" t="s">
        <v>186</v>
      </c>
      <c r="U6" s="148" t="s">
        <v>253</v>
      </c>
    </row>
    <row r="7" spans="1:21" ht="15.75" customHeight="1" x14ac:dyDescent="0.25">
      <c r="A7" s="88"/>
      <c r="B7" s="88"/>
      <c r="G7" s="90"/>
      <c r="H7" s="90"/>
      <c r="J7" s="317" t="s">
        <v>177</v>
      </c>
      <c r="K7" s="318">
        <v>0</v>
      </c>
      <c r="L7" s="318"/>
      <c r="T7" s="148" t="s">
        <v>187</v>
      </c>
      <c r="U7" s="148">
        <v>10</v>
      </c>
    </row>
    <row r="8" spans="1:21" ht="18.75" customHeight="1" x14ac:dyDescent="0.25">
      <c r="A8" s="88"/>
      <c r="B8" s="88"/>
      <c r="D8" s="324" t="s">
        <v>164</v>
      </c>
      <c r="E8" s="324"/>
      <c r="F8" s="324"/>
      <c r="J8" s="317"/>
      <c r="K8" s="318"/>
      <c r="L8" s="318"/>
      <c r="T8" s="148" t="s">
        <v>188</v>
      </c>
      <c r="U8" s="148" t="s">
        <v>252</v>
      </c>
    </row>
    <row r="9" spans="1:21" ht="17.25" customHeight="1" x14ac:dyDescent="0.25">
      <c r="A9" s="88"/>
      <c r="B9" s="88"/>
      <c r="D9" s="324" t="s">
        <v>40</v>
      </c>
      <c r="E9" s="324"/>
      <c r="F9" s="167"/>
      <c r="J9" s="317" t="s">
        <v>140</v>
      </c>
      <c r="K9" s="318">
        <v>0</v>
      </c>
      <c r="L9" s="318"/>
      <c r="T9" s="148" t="s">
        <v>4</v>
      </c>
      <c r="U9" s="148">
        <v>20</v>
      </c>
    </row>
    <row r="10" spans="1:21" ht="21.75" customHeight="1" x14ac:dyDescent="0.25">
      <c r="A10" s="88"/>
      <c r="B10" s="88"/>
      <c r="D10" s="324" t="s">
        <v>41</v>
      </c>
      <c r="E10" s="324"/>
      <c r="F10" s="167"/>
      <c r="J10" s="317"/>
      <c r="K10" s="318"/>
      <c r="L10" s="318"/>
      <c r="T10" s="148" t="s">
        <v>177</v>
      </c>
      <c r="U10" s="148">
        <v>20</v>
      </c>
    </row>
    <row r="11" spans="1:21" ht="15" customHeight="1" x14ac:dyDescent="0.25">
      <c r="A11" s="88"/>
      <c r="B11" s="88"/>
      <c r="J11" s="317" t="s">
        <v>32</v>
      </c>
      <c r="K11" s="318">
        <v>5</v>
      </c>
      <c r="L11" s="318"/>
      <c r="M11" s="86"/>
      <c r="T11" s="148" t="s">
        <v>140</v>
      </c>
      <c r="U11" s="148">
        <v>1</v>
      </c>
    </row>
    <row r="12" spans="1:21" ht="15" customHeight="1" x14ac:dyDescent="0.25">
      <c r="A12" s="88"/>
      <c r="B12" s="88"/>
      <c r="D12" s="324" t="s">
        <v>38</v>
      </c>
      <c r="E12" s="324"/>
      <c r="F12" s="324"/>
      <c r="J12" s="317"/>
      <c r="K12" s="318"/>
      <c r="L12" s="318"/>
      <c r="M12" s="86"/>
      <c r="T12" s="148" t="s">
        <v>32</v>
      </c>
      <c r="U12" s="148">
        <v>9</v>
      </c>
    </row>
    <row r="13" spans="1:21" ht="17.25" customHeight="1" x14ac:dyDescent="0.25">
      <c r="A13" s="88"/>
      <c r="B13" s="88"/>
      <c r="D13" s="324" t="s">
        <v>138</v>
      </c>
      <c r="E13" s="324"/>
      <c r="F13" s="167"/>
      <c r="J13" s="317" t="s">
        <v>33</v>
      </c>
      <c r="K13" s="318">
        <v>5</v>
      </c>
      <c r="L13" s="318"/>
      <c r="T13" s="148" t="s">
        <v>33</v>
      </c>
      <c r="U13" s="148">
        <v>10</v>
      </c>
    </row>
    <row r="14" spans="1:21" ht="21.75" customHeight="1" x14ac:dyDescent="0.25">
      <c r="A14" s="88"/>
      <c r="B14" s="88"/>
      <c r="D14" s="324" t="s">
        <v>39</v>
      </c>
      <c r="E14" s="324"/>
      <c r="F14" s="167"/>
      <c r="J14" s="317"/>
      <c r="K14" s="318"/>
      <c r="L14" s="318"/>
      <c r="T14" s="148" t="s">
        <v>189</v>
      </c>
      <c r="U14" s="148">
        <v>6</v>
      </c>
    </row>
    <row r="15" spans="1:21" ht="18.75" customHeight="1" x14ac:dyDescent="0.25">
      <c r="A15" s="88"/>
      <c r="B15" s="88"/>
      <c r="D15" s="139"/>
      <c r="J15" s="317" t="s">
        <v>34</v>
      </c>
      <c r="K15" s="318">
        <v>7</v>
      </c>
      <c r="L15" s="318"/>
      <c r="T15" s="148" t="s">
        <v>190</v>
      </c>
      <c r="U15" s="148">
        <v>13</v>
      </c>
    </row>
    <row r="16" spans="1:21" ht="15" customHeight="1" x14ac:dyDescent="0.25">
      <c r="A16" s="88"/>
      <c r="B16" s="88"/>
      <c r="J16" s="317"/>
      <c r="K16" s="318"/>
      <c r="L16" s="318"/>
      <c r="T16" s="148" t="s">
        <v>191</v>
      </c>
      <c r="U16" s="148">
        <v>10</v>
      </c>
    </row>
    <row r="17" spans="1:21" ht="15" customHeight="1" x14ac:dyDescent="0.25">
      <c r="A17" s="88"/>
      <c r="B17" s="88"/>
      <c r="D17" s="142"/>
      <c r="E17" s="320" t="s">
        <v>135</v>
      </c>
      <c r="F17" s="321"/>
      <c r="G17" s="321"/>
      <c r="H17" s="321"/>
      <c r="J17" s="317" t="s">
        <v>35</v>
      </c>
      <c r="K17" s="318">
        <v>4</v>
      </c>
      <c r="L17" s="318"/>
      <c r="T17" s="148" t="s">
        <v>194</v>
      </c>
      <c r="U17" s="148">
        <v>11</v>
      </c>
    </row>
    <row r="18" spans="1:21" ht="15" customHeight="1" x14ac:dyDescent="0.25">
      <c r="A18" s="88"/>
      <c r="B18" s="88"/>
      <c r="C18" s="137"/>
      <c r="D18" s="142"/>
      <c r="E18" s="320" t="s">
        <v>136</v>
      </c>
      <c r="F18" s="321"/>
      <c r="G18" s="321" t="s">
        <v>137</v>
      </c>
      <c r="H18" s="321"/>
      <c r="J18" s="317"/>
      <c r="K18" s="318"/>
      <c r="L18" s="318"/>
    </row>
    <row r="19" spans="1:21" ht="18" customHeight="1" x14ac:dyDescent="0.25">
      <c r="A19" s="88"/>
      <c r="B19" s="88"/>
      <c r="C19" s="137"/>
      <c r="D19" s="143"/>
      <c r="E19" s="320"/>
      <c r="F19" s="321"/>
      <c r="G19" s="321"/>
      <c r="H19" s="321"/>
      <c r="J19" s="317" t="s">
        <v>36</v>
      </c>
      <c r="K19" s="318">
        <v>1</v>
      </c>
      <c r="L19" s="318"/>
    </row>
    <row r="20" spans="1:21" ht="18.75" customHeight="1" x14ac:dyDescent="0.25">
      <c r="A20" s="88"/>
      <c r="B20" s="88"/>
      <c r="C20" s="137"/>
      <c r="D20" s="141" t="s">
        <v>29</v>
      </c>
      <c r="E20" s="322">
        <v>36.898395721925134</v>
      </c>
      <c r="F20" s="322"/>
      <c r="G20" s="323">
        <v>180308.85777970689</v>
      </c>
      <c r="H20" s="323"/>
      <c r="J20" s="317"/>
      <c r="K20" s="318"/>
      <c r="L20" s="318"/>
    </row>
    <row r="21" spans="1:21" ht="15" customHeight="1" x14ac:dyDescent="0.25">
      <c r="A21" s="88"/>
      <c r="B21" s="88"/>
      <c r="C21" s="137"/>
      <c r="D21" s="140" t="s">
        <v>31</v>
      </c>
      <c r="E21" s="322">
        <v>15.50802139037433</v>
      </c>
      <c r="F21" s="322"/>
      <c r="G21" s="323">
        <v>75781.983704514481</v>
      </c>
      <c r="H21" s="323"/>
      <c r="I21" s="138"/>
      <c r="J21" s="317" t="s">
        <v>194</v>
      </c>
    </row>
    <row r="22" spans="1:21" ht="18.75" customHeight="1" x14ac:dyDescent="0.25">
      <c r="A22" s="88"/>
      <c r="B22" s="88"/>
      <c r="C22" s="137"/>
      <c r="D22" s="140" t="s">
        <v>10</v>
      </c>
      <c r="E22" s="322">
        <v>40.641711229946523</v>
      </c>
      <c r="F22" s="322"/>
      <c r="G22" s="323">
        <v>198601.06074286555</v>
      </c>
      <c r="H22" s="323"/>
      <c r="I22" s="133"/>
      <c r="J22" s="317"/>
      <c r="K22" s="133"/>
    </row>
    <row r="23" spans="1:21" ht="15.75" customHeight="1" x14ac:dyDescent="0.25">
      <c r="A23" s="88"/>
      <c r="B23" s="88"/>
      <c r="C23" s="137"/>
      <c r="D23" s="140" t="s">
        <v>11</v>
      </c>
      <c r="E23" s="322">
        <v>6.9518716577540109</v>
      </c>
      <c r="F23" s="322"/>
      <c r="G23" s="323">
        <v>33971.234074437532</v>
      </c>
      <c r="H23" s="323"/>
      <c r="J23" s="169" t="s">
        <v>139</v>
      </c>
      <c r="K23" s="319">
        <v>100</v>
      </c>
      <c r="L23" s="319"/>
    </row>
    <row r="24" spans="1:21" ht="15.75" x14ac:dyDescent="0.25">
      <c r="A24" s="88"/>
      <c r="B24" s="88"/>
      <c r="E24" s="125"/>
      <c r="F24" s="125"/>
      <c r="G24" s="125"/>
      <c r="L24" s="11"/>
    </row>
    <row r="25" spans="1:21" ht="15.75" x14ac:dyDescent="0.25">
      <c r="A25" s="88"/>
      <c r="B25" s="88"/>
      <c r="E25" s="125"/>
      <c r="F25" s="125"/>
      <c r="G25" s="125"/>
      <c r="L25" s="11"/>
    </row>
    <row r="26" spans="1:21" x14ac:dyDescent="0.25">
      <c r="A26" s="88"/>
      <c r="B26" s="88"/>
      <c r="I26" s="11"/>
      <c r="J26" s="11"/>
      <c r="K26" s="11"/>
      <c r="L26" s="11"/>
    </row>
    <row r="27" spans="1:21" x14ac:dyDescent="0.25">
      <c r="A27" s="88"/>
      <c r="B27" s="88"/>
      <c r="F27" s="136"/>
      <c r="G27" s="135"/>
      <c r="I27" s="135"/>
    </row>
    <row r="28" spans="1:21" x14ac:dyDescent="0.25">
      <c r="F28" s="136"/>
      <c r="G28" s="135"/>
      <c r="I28" s="135"/>
    </row>
    <row r="29" spans="1:21" x14ac:dyDescent="0.25">
      <c r="F29" s="136"/>
      <c r="G29" s="135"/>
      <c r="I29" s="135"/>
    </row>
    <row r="30" spans="1:21" x14ac:dyDescent="0.25">
      <c r="F30" s="136"/>
      <c r="G30" s="135"/>
      <c r="I30" s="135"/>
    </row>
    <row r="31" spans="1:21" ht="14.25" customHeight="1" x14ac:dyDescent="0.25"/>
    <row r="32" spans="1:21" ht="14.25" customHeight="1" x14ac:dyDescent="0.25"/>
    <row r="33" ht="14.25" customHeight="1" x14ac:dyDescent="0.25"/>
    <row r="37" ht="15.75" customHeight="1" x14ac:dyDescent="0.25"/>
    <row r="38" ht="15" customHeight="1" x14ac:dyDescent="0.25"/>
    <row r="39" ht="15" customHeight="1" x14ac:dyDescent="0.25"/>
  </sheetData>
  <mergeCells count="37">
    <mergeCell ref="D13:E13"/>
    <mergeCell ref="D14:E14"/>
    <mergeCell ref="D9:E9"/>
    <mergeCell ref="D10:E10"/>
    <mergeCell ref="D12:F12"/>
    <mergeCell ref="J4:L4"/>
    <mergeCell ref="J5:J6"/>
    <mergeCell ref="K5:L6"/>
    <mergeCell ref="D5:E6"/>
    <mergeCell ref="D8:F8"/>
    <mergeCell ref="J7:J8"/>
    <mergeCell ref="K7:L8"/>
    <mergeCell ref="K23:L23"/>
    <mergeCell ref="J17:J18"/>
    <mergeCell ref="K17:L18"/>
    <mergeCell ref="E17:H17"/>
    <mergeCell ref="E20:F20"/>
    <mergeCell ref="E21:F21"/>
    <mergeCell ref="E18:F19"/>
    <mergeCell ref="G18:H19"/>
    <mergeCell ref="J21:J22"/>
    <mergeCell ref="E23:F23"/>
    <mergeCell ref="G20:H20"/>
    <mergeCell ref="G21:H21"/>
    <mergeCell ref="G22:H22"/>
    <mergeCell ref="G23:H23"/>
    <mergeCell ref="E22:F22"/>
    <mergeCell ref="J15:J16"/>
    <mergeCell ref="K15:L16"/>
    <mergeCell ref="J19:J20"/>
    <mergeCell ref="K19:L20"/>
    <mergeCell ref="J9:J10"/>
    <mergeCell ref="K9:L10"/>
    <mergeCell ref="J11:J12"/>
    <mergeCell ref="K11:L12"/>
    <mergeCell ref="J13:J14"/>
    <mergeCell ref="K13:L1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5727" r:id="rId3" name="otros">
          <controlPr defaultSize="0" autoLine="0" autoPict="0" r:id="rId4">
            <anchor moveWithCells="1">
              <from>
                <xdr:col>10</xdr:col>
                <xdr:colOff>114300</xdr:colOff>
                <xdr:row>20</xdr:row>
                <xdr:rowOff>28575</xdr:rowOff>
              </from>
              <to>
                <xdr:col>11</xdr:col>
                <xdr:colOff>581025</xdr:colOff>
                <xdr:row>21</xdr:row>
                <xdr:rowOff>95250</xdr:rowOff>
              </to>
            </anchor>
          </controlPr>
        </control>
      </mc:Choice>
      <mc:Fallback>
        <control shapeId="115727" r:id="rId3" name="otros"/>
      </mc:Fallback>
    </mc:AlternateContent>
    <mc:AlternateContent xmlns:mc="http://schemas.openxmlformats.org/markup-compatibility/2006">
      <mc:Choice Requires="x14">
        <control shapeId="115726" r:id="rId5" name="TDPA1">
          <controlPr defaultSize="0" autoLine="0" autoPict="0" r:id="rId6">
            <anchor moveWithCells="1">
              <from>
                <xdr:col>5</xdr:col>
                <xdr:colOff>123825</xdr:colOff>
                <xdr:row>4</xdr:row>
                <xdr:rowOff>85725</xdr:rowOff>
              </from>
              <to>
                <xdr:col>5</xdr:col>
                <xdr:colOff>962025</xdr:colOff>
                <xdr:row>5</xdr:row>
                <xdr:rowOff>66675</xdr:rowOff>
              </to>
            </anchor>
          </controlPr>
        </control>
      </mc:Choice>
      <mc:Fallback>
        <control shapeId="115726" r:id="rId5" name="TDPA1"/>
      </mc:Fallback>
    </mc:AlternateContent>
    <mc:AlternateContent xmlns:mc="http://schemas.openxmlformats.org/markup-compatibility/2006">
      <mc:Choice Requires="x14">
        <control shapeId="115725" r:id="rId7" name="VehiculoT3S2R4">
          <controlPr defaultSize="0" autoLine="0" r:id="rId8">
            <anchor moveWithCells="1">
              <from>
                <xdr:col>10</xdr:col>
                <xdr:colOff>114300</xdr:colOff>
                <xdr:row>18</xdr:row>
                <xdr:rowOff>47625</xdr:rowOff>
              </from>
              <to>
                <xdr:col>11</xdr:col>
                <xdr:colOff>561975</xdr:colOff>
                <xdr:row>19</xdr:row>
                <xdr:rowOff>85725</xdr:rowOff>
              </to>
            </anchor>
          </controlPr>
        </control>
      </mc:Choice>
      <mc:Fallback>
        <control shapeId="115725" r:id="rId7" name="VehiculoT3S2R4"/>
      </mc:Fallback>
    </mc:AlternateContent>
    <mc:AlternateContent xmlns:mc="http://schemas.openxmlformats.org/markup-compatibility/2006">
      <mc:Choice Requires="x14">
        <control shapeId="115724" r:id="rId9" name="VehiculoT3S3">
          <controlPr defaultSize="0" autoLine="0" r:id="rId10">
            <anchor moveWithCells="1">
              <from>
                <xdr:col>10</xdr:col>
                <xdr:colOff>114300</xdr:colOff>
                <xdr:row>16</xdr:row>
                <xdr:rowOff>28575</xdr:rowOff>
              </from>
              <to>
                <xdr:col>11</xdr:col>
                <xdr:colOff>571500</xdr:colOff>
                <xdr:row>17</xdr:row>
                <xdr:rowOff>76200</xdr:rowOff>
              </to>
            </anchor>
          </controlPr>
        </control>
      </mc:Choice>
      <mc:Fallback>
        <control shapeId="115724" r:id="rId9" name="VehiculoT3S3"/>
      </mc:Fallback>
    </mc:AlternateContent>
    <mc:AlternateContent xmlns:mc="http://schemas.openxmlformats.org/markup-compatibility/2006">
      <mc:Choice Requires="x14">
        <control shapeId="115723" r:id="rId11" name="VehiculoT3S2">
          <controlPr defaultSize="0" autoLine="0" r:id="rId12">
            <anchor moveWithCells="1">
              <from>
                <xdr:col>10</xdr:col>
                <xdr:colOff>114300</xdr:colOff>
                <xdr:row>14</xdr:row>
                <xdr:rowOff>38100</xdr:rowOff>
              </from>
              <to>
                <xdr:col>11</xdr:col>
                <xdr:colOff>581025</xdr:colOff>
                <xdr:row>15</xdr:row>
                <xdr:rowOff>47625</xdr:rowOff>
              </to>
            </anchor>
          </controlPr>
        </control>
      </mc:Choice>
      <mc:Fallback>
        <control shapeId="115723" r:id="rId11" name="VehiculoT3S2"/>
      </mc:Fallback>
    </mc:AlternateContent>
    <mc:AlternateContent xmlns:mc="http://schemas.openxmlformats.org/markup-compatibility/2006">
      <mc:Choice Requires="x14">
        <control shapeId="115722" r:id="rId13" name="vehiculoC3">
          <controlPr defaultSize="0" autoLine="0" r:id="rId14">
            <anchor moveWithCells="1">
              <from>
                <xdr:col>10</xdr:col>
                <xdr:colOff>114300</xdr:colOff>
                <xdr:row>12</xdr:row>
                <xdr:rowOff>66675</xdr:rowOff>
              </from>
              <to>
                <xdr:col>11</xdr:col>
                <xdr:colOff>590550</xdr:colOff>
                <xdr:row>13</xdr:row>
                <xdr:rowOff>95250</xdr:rowOff>
              </to>
            </anchor>
          </controlPr>
        </control>
      </mc:Choice>
      <mc:Fallback>
        <control shapeId="115722" r:id="rId13" name="vehiculoC3"/>
      </mc:Fallback>
    </mc:AlternateContent>
    <mc:AlternateContent xmlns:mc="http://schemas.openxmlformats.org/markup-compatibility/2006">
      <mc:Choice Requires="x14">
        <control shapeId="115721" r:id="rId15" name="VehiculoC2">
          <controlPr defaultSize="0" autoLine="0" r:id="rId16">
            <anchor moveWithCells="1">
              <from>
                <xdr:col>10</xdr:col>
                <xdr:colOff>114300</xdr:colOff>
                <xdr:row>10</xdr:row>
                <xdr:rowOff>38100</xdr:rowOff>
              </from>
              <to>
                <xdr:col>11</xdr:col>
                <xdr:colOff>600075</xdr:colOff>
                <xdr:row>11</xdr:row>
                <xdr:rowOff>104775</xdr:rowOff>
              </to>
            </anchor>
          </controlPr>
        </control>
      </mc:Choice>
      <mc:Fallback>
        <control shapeId="115721" r:id="rId15" name="VehiculoC2"/>
      </mc:Fallback>
    </mc:AlternateContent>
    <mc:AlternateContent xmlns:mc="http://schemas.openxmlformats.org/markup-compatibility/2006">
      <mc:Choice Requires="x14">
        <control shapeId="115720" r:id="rId17" name="VehiculoB3">
          <controlPr defaultSize="0" autoLine="0" r:id="rId18">
            <anchor moveWithCells="1">
              <from>
                <xdr:col>10</xdr:col>
                <xdr:colOff>114300</xdr:colOff>
                <xdr:row>8</xdr:row>
                <xdr:rowOff>38100</xdr:rowOff>
              </from>
              <to>
                <xdr:col>11</xdr:col>
                <xdr:colOff>600075</xdr:colOff>
                <xdr:row>9</xdr:row>
                <xdr:rowOff>85725</xdr:rowOff>
              </to>
            </anchor>
          </controlPr>
        </control>
      </mc:Choice>
      <mc:Fallback>
        <control shapeId="115720" r:id="rId17" name="VehiculoB3"/>
      </mc:Fallback>
    </mc:AlternateContent>
    <mc:AlternateContent xmlns:mc="http://schemas.openxmlformats.org/markup-compatibility/2006">
      <mc:Choice Requires="x14">
        <control shapeId="115719" r:id="rId19" name="VehiculoB2">
          <controlPr defaultSize="0" autoLine="0" autoPict="0" r:id="rId20">
            <anchor moveWithCells="1">
              <from>
                <xdr:col>10</xdr:col>
                <xdr:colOff>114300</xdr:colOff>
                <xdr:row>6</xdr:row>
                <xdr:rowOff>47625</xdr:rowOff>
              </from>
              <to>
                <xdr:col>11</xdr:col>
                <xdr:colOff>600075</xdr:colOff>
                <xdr:row>7</xdr:row>
                <xdr:rowOff>171450</xdr:rowOff>
              </to>
            </anchor>
          </controlPr>
        </control>
      </mc:Choice>
      <mc:Fallback>
        <control shapeId="115719" r:id="rId19" name="VehiculoB2"/>
      </mc:Fallback>
    </mc:AlternateContent>
    <mc:AlternateContent xmlns:mc="http://schemas.openxmlformats.org/markup-compatibility/2006">
      <mc:Choice Requires="x14">
        <control shapeId="115718" r:id="rId21" name="vehiculoA">
          <controlPr defaultSize="0" autoLine="0" r:id="rId22">
            <anchor moveWithCells="1">
              <from>
                <xdr:col>10</xdr:col>
                <xdr:colOff>114300</xdr:colOff>
                <xdr:row>4</xdr:row>
                <xdr:rowOff>123825</xdr:rowOff>
              </from>
              <to>
                <xdr:col>11</xdr:col>
                <xdr:colOff>600075</xdr:colOff>
                <xdr:row>5</xdr:row>
                <xdr:rowOff>104775</xdr:rowOff>
              </to>
            </anchor>
          </controlPr>
        </control>
      </mc:Choice>
      <mc:Fallback>
        <control shapeId="115718" r:id="rId21" name="vehiculoA"/>
      </mc:Fallback>
    </mc:AlternateContent>
    <mc:AlternateContent xmlns:mc="http://schemas.openxmlformats.org/markup-compatibility/2006">
      <mc:Choice Requires="x14">
        <control shapeId="115717" r:id="rId23" name="Tasa1">
          <controlPr defaultSize="0" autoLine="0" r:id="rId24">
            <anchor moveWithCells="1">
              <from>
                <xdr:col>4</xdr:col>
                <xdr:colOff>781050</xdr:colOff>
                <xdr:row>13</xdr:row>
                <xdr:rowOff>38100</xdr:rowOff>
              </from>
              <to>
                <xdr:col>5</xdr:col>
                <xdr:colOff>714375</xdr:colOff>
                <xdr:row>13</xdr:row>
                <xdr:rowOff>257175</xdr:rowOff>
              </to>
            </anchor>
          </controlPr>
        </control>
      </mc:Choice>
      <mc:Fallback>
        <control shapeId="115717" r:id="rId23" name="Tasa1"/>
      </mc:Fallback>
    </mc:AlternateContent>
    <mc:AlternateContent xmlns:mc="http://schemas.openxmlformats.org/markup-compatibility/2006">
      <mc:Choice Requires="x14">
        <control shapeId="115716" r:id="rId25" name="años1">
          <controlPr defaultSize="0" autoLine="0" r:id="rId26">
            <anchor moveWithCells="1">
              <from>
                <xdr:col>4</xdr:col>
                <xdr:colOff>781050</xdr:colOff>
                <xdr:row>12</xdr:row>
                <xdr:rowOff>19050</xdr:rowOff>
              </from>
              <to>
                <xdr:col>5</xdr:col>
                <xdr:colOff>723900</xdr:colOff>
                <xdr:row>13</xdr:row>
                <xdr:rowOff>38100</xdr:rowOff>
              </to>
            </anchor>
          </controlPr>
        </control>
      </mc:Choice>
      <mc:Fallback>
        <control shapeId="115716" r:id="rId25" name="años1"/>
      </mc:Fallback>
    </mc:AlternateContent>
    <mc:AlternateContent xmlns:mc="http://schemas.openxmlformats.org/markup-compatibility/2006">
      <mc:Choice Requires="x14">
        <control shapeId="115715" r:id="rId27" name="FDC1">
          <controlPr defaultSize="0" autoLine="0" r:id="rId28">
            <anchor moveWithCells="1">
              <from>
                <xdr:col>4</xdr:col>
                <xdr:colOff>733425</xdr:colOff>
                <xdr:row>9</xdr:row>
                <xdr:rowOff>0</xdr:rowOff>
              </from>
              <to>
                <xdr:col>5</xdr:col>
                <xdr:colOff>666750</xdr:colOff>
                <xdr:row>9</xdr:row>
                <xdr:rowOff>257175</xdr:rowOff>
              </to>
            </anchor>
          </controlPr>
        </control>
      </mc:Choice>
      <mc:Fallback>
        <control shapeId="115715" r:id="rId27" name="FDC1"/>
      </mc:Fallback>
    </mc:AlternateContent>
    <mc:AlternateContent xmlns:mc="http://schemas.openxmlformats.org/markup-compatibility/2006">
      <mc:Choice Requires="x14">
        <control shapeId="115714" r:id="rId29" name="FDS1">
          <controlPr defaultSize="0" autoLine="0" r:id="rId30">
            <anchor moveWithCells="1">
              <from>
                <xdr:col>4</xdr:col>
                <xdr:colOff>733425</xdr:colOff>
                <xdr:row>7</xdr:row>
                <xdr:rowOff>228600</xdr:rowOff>
              </from>
              <to>
                <xdr:col>5</xdr:col>
                <xdr:colOff>666750</xdr:colOff>
                <xdr:row>9</xdr:row>
                <xdr:rowOff>19050</xdr:rowOff>
              </to>
            </anchor>
          </controlPr>
        </control>
      </mc:Choice>
      <mc:Fallback>
        <control shapeId="115714" r:id="rId29" name="FDS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CEC8D-9712-4CBF-AE1D-F4746C9AD9D9}">
  <sheetPr codeName="Hoja12">
    <tabColor rgb="FF0070C0"/>
  </sheetPr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1">
    <tabColor rgb="FF0070C0"/>
  </sheetPr>
  <dimension ref="A1:AF74"/>
  <sheetViews>
    <sheetView showGridLines="0" showRowColHeaders="0" topLeftCell="A7" zoomScaleNormal="100" workbookViewId="0">
      <selection activeCell="K53" sqref="K53"/>
    </sheetView>
  </sheetViews>
  <sheetFormatPr baseColWidth="10" defaultColWidth="11.5703125" defaultRowHeight="15" x14ac:dyDescent="0.25"/>
  <cols>
    <col min="1" max="1" width="9.7109375" customWidth="1"/>
    <col min="2" max="2" width="10.7109375" customWidth="1"/>
    <col min="3" max="10" width="13.140625" customWidth="1"/>
    <col min="11" max="11" width="9.28515625" customWidth="1"/>
    <col min="12" max="12" width="23.28515625" customWidth="1"/>
    <col min="13" max="13" width="12.140625" customWidth="1"/>
    <col min="21" max="21" width="14" customWidth="1"/>
  </cols>
  <sheetData>
    <row r="1" spans="1:32" x14ac:dyDescent="0.25">
      <c r="A1" s="312"/>
      <c r="B1" s="312"/>
      <c r="C1" s="312"/>
      <c r="D1" s="312"/>
      <c r="E1" s="312"/>
      <c r="F1" s="312"/>
      <c r="G1" s="312"/>
      <c r="H1" s="312"/>
      <c r="I1" s="312"/>
      <c r="J1" s="312"/>
      <c r="K1" s="312"/>
      <c r="L1" s="312"/>
      <c r="M1" s="312"/>
      <c r="N1" s="312"/>
      <c r="O1" s="312"/>
      <c r="P1" s="312"/>
      <c r="Q1" s="292"/>
      <c r="R1" s="292"/>
      <c r="S1" s="292"/>
      <c r="T1" s="292"/>
      <c r="U1" s="292"/>
      <c r="V1" s="292"/>
      <c r="W1" s="292"/>
      <c r="X1" s="292"/>
      <c r="Y1" s="292"/>
      <c r="Z1" s="292"/>
      <c r="AA1" s="292"/>
      <c r="AB1" s="292"/>
      <c r="AC1" s="292"/>
      <c r="AD1" s="292"/>
      <c r="AE1" s="308"/>
      <c r="AF1" s="292"/>
    </row>
    <row r="2" spans="1:32" x14ac:dyDescent="0.25">
      <c r="A2" s="312"/>
      <c r="B2" s="312"/>
      <c r="C2" s="312"/>
      <c r="D2" s="312"/>
      <c r="E2" s="312"/>
      <c r="F2" s="312"/>
      <c r="G2" s="312"/>
      <c r="H2" s="312"/>
      <c r="I2" s="312"/>
      <c r="J2" s="312"/>
      <c r="K2" s="312"/>
      <c r="L2" s="312"/>
      <c r="M2" s="312"/>
      <c r="N2" s="312"/>
      <c r="O2" s="312"/>
      <c r="P2" s="312"/>
      <c r="Q2" s="292"/>
      <c r="R2" s="292"/>
      <c r="S2" s="292"/>
      <c r="T2" s="292" t="s">
        <v>183</v>
      </c>
      <c r="U2" s="292">
        <v>0</v>
      </c>
      <c r="V2" s="292"/>
      <c r="W2" s="292"/>
      <c r="X2" s="292"/>
      <c r="Y2" s="292"/>
      <c r="Z2" s="292"/>
      <c r="AA2" s="292"/>
      <c r="AB2" s="292"/>
      <c r="AC2" s="292"/>
      <c r="AD2" s="292"/>
      <c r="AE2" s="308"/>
      <c r="AF2" s="292"/>
    </row>
    <row r="3" spans="1:32" x14ac:dyDescent="0.25">
      <c r="A3" s="312"/>
      <c r="B3" s="312"/>
      <c r="C3" s="312"/>
      <c r="D3" s="312"/>
      <c r="E3" s="312"/>
      <c r="F3" s="312"/>
      <c r="G3" s="312"/>
      <c r="H3" s="312"/>
      <c r="I3" s="312"/>
      <c r="J3" s="312"/>
      <c r="K3" s="312"/>
      <c r="L3" s="312"/>
      <c r="M3" s="312"/>
      <c r="N3" s="312"/>
      <c r="O3" s="312"/>
      <c r="P3" s="312"/>
      <c r="Q3" s="292"/>
      <c r="R3" s="292"/>
      <c r="S3" s="292"/>
      <c r="T3" s="292" t="s">
        <v>179</v>
      </c>
      <c r="U3" s="292" t="b">
        <v>1</v>
      </c>
      <c r="V3" s="292">
        <v>6.5</v>
      </c>
      <c r="W3" s="292">
        <v>0</v>
      </c>
      <c r="X3" s="292"/>
      <c r="Y3" s="292"/>
      <c r="Z3" s="292"/>
      <c r="AA3" s="292"/>
      <c r="AB3" s="292"/>
      <c r="AC3" s="292"/>
      <c r="AD3" s="292"/>
      <c r="AE3" s="308"/>
      <c r="AF3" s="292"/>
    </row>
    <row r="4" spans="1:32" x14ac:dyDescent="0.25">
      <c r="A4" s="312"/>
      <c r="B4" s="312"/>
      <c r="C4" s="312"/>
      <c r="D4" s="312"/>
      <c r="E4" s="312"/>
      <c r="F4" s="312"/>
      <c r="G4" s="312"/>
      <c r="H4" s="312"/>
      <c r="I4" s="312"/>
      <c r="J4" s="312"/>
      <c r="K4" s="312"/>
      <c r="L4" s="312"/>
      <c r="M4" s="312"/>
      <c r="N4" s="312"/>
      <c r="O4" s="312"/>
      <c r="P4" s="312"/>
      <c r="Q4" s="292"/>
      <c r="R4" s="292"/>
      <c r="S4" s="292"/>
      <c r="T4" s="292" t="s">
        <v>182</v>
      </c>
      <c r="U4" s="292" t="b">
        <v>1</v>
      </c>
      <c r="V4" s="292">
        <v>6.5</v>
      </c>
      <c r="W4" s="292">
        <v>25</v>
      </c>
      <c r="X4" s="292"/>
      <c r="Y4" s="292"/>
      <c r="Z4" s="292"/>
      <c r="AA4" s="292"/>
      <c r="AB4" s="292"/>
      <c r="AC4" s="292"/>
      <c r="AD4" s="292"/>
      <c r="AE4" s="308"/>
      <c r="AF4" s="292"/>
    </row>
    <row r="5" spans="1:32" x14ac:dyDescent="0.25">
      <c r="A5" s="312"/>
      <c r="B5" s="312"/>
      <c r="C5" s="312"/>
      <c r="D5" s="312"/>
      <c r="E5" s="312"/>
      <c r="F5" s="292"/>
      <c r="G5" s="292"/>
      <c r="H5" s="292"/>
      <c r="I5" s="292"/>
      <c r="J5" s="292"/>
      <c r="K5" s="292"/>
      <c r="L5" s="292"/>
      <c r="M5" s="292"/>
      <c r="N5" s="292"/>
      <c r="O5" s="292"/>
      <c r="P5" s="292"/>
      <c r="Q5" s="292"/>
      <c r="R5" s="292"/>
      <c r="S5" s="292"/>
      <c r="T5" s="292" t="s">
        <v>180</v>
      </c>
      <c r="U5" s="292" t="b">
        <v>1</v>
      </c>
      <c r="V5" s="292">
        <v>11</v>
      </c>
      <c r="W5" s="292">
        <v>0</v>
      </c>
      <c r="X5" s="292"/>
      <c r="Y5" s="292"/>
      <c r="Z5" s="292"/>
      <c r="AA5" s="292"/>
      <c r="AB5" s="292"/>
      <c r="AC5" s="292"/>
      <c r="AD5" s="292"/>
      <c r="AE5" s="308"/>
      <c r="AF5" s="292"/>
    </row>
    <row r="6" spans="1:32" x14ac:dyDescent="0.25">
      <c r="A6" s="312"/>
      <c r="B6" s="312"/>
      <c r="C6" s="312"/>
      <c r="D6" s="312" t="s">
        <v>200</v>
      </c>
      <c r="E6" s="312"/>
      <c r="F6" s="292"/>
      <c r="G6" s="292"/>
      <c r="H6" s="292"/>
      <c r="I6" s="292"/>
      <c r="J6" s="292"/>
      <c r="K6" s="292"/>
      <c r="L6" s="292"/>
      <c r="M6" s="292"/>
      <c r="N6" s="292"/>
      <c r="O6" s="292"/>
      <c r="P6" s="292"/>
      <c r="Q6" s="292"/>
      <c r="R6" s="292"/>
      <c r="S6" s="292"/>
      <c r="T6" s="292" t="s">
        <v>181</v>
      </c>
      <c r="U6" s="292" t="b">
        <v>1</v>
      </c>
      <c r="V6" s="292">
        <v>11</v>
      </c>
      <c r="W6" s="292">
        <v>25</v>
      </c>
      <c r="X6" s="292"/>
      <c r="Y6" s="292"/>
      <c r="Z6" s="292"/>
      <c r="AA6" s="292"/>
      <c r="AB6" s="292"/>
      <c r="AC6" s="292"/>
      <c r="AD6" s="292"/>
      <c r="AE6" s="308"/>
      <c r="AF6" s="292"/>
    </row>
    <row r="7" spans="1:32" ht="15.75" x14ac:dyDescent="0.25">
      <c r="A7" s="312"/>
      <c r="B7" s="312"/>
      <c r="C7" s="312"/>
      <c r="D7" s="312"/>
      <c r="E7" s="312"/>
      <c r="F7" s="292"/>
      <c r="G7" s="292"/>
      <c r="H7" s="292"/>
      <c r="I7" s="292"/>
      <c r="J7" s="292"/>
      <c r="K7" s="292"/>
      <c r="L7" s="215"/>
      <c r="M7" s="292"/>
      <c r="N7" s="292"/>
      <c r="O7" s="292"/>
      <c r="P7" s="292"/>
      <c r="Q7" s="292"/>
      <c r="R7" s="292"/>
      <c r="S7" s="292"/>
      <c r="T7" s="292"/>
      <c r="U7" s="292"/>
      <c r="V7" s="292">
        <v>18</v>
      </c>
      <c r="W7" s="292">
        <v>0</v>
      </c>
      <c r="X7" s="292"/>
      <c r="Y7" s="292"/>
      <c r="Z7" s="292"/>
      <c r="AA7" s="292"/>
      <c r="AB7" s="292"/>
      <c r="AC7" s="292"/>
      <c r="AD7" s="292"/>
      <c r="AE7" s="308"/>
      <c r="AF7" s="292"/>
    </row>
    <row r="8" spans="1:32" ht="18.75" x14ac:dyDescent="0.25">
      <c r="A8" s="312"/>
      <c r="B8" s="312"/>
      <c r="C8" s="312"/>
      <c r="D8" s="312"/>
      <c r="E8" s="312"/>
      <c r="F8" s="292"/>
      <c r="G8" s="292"/>
      <c r="H8" s="292"/>
      <c r="I8" s="292"/>
      <c r="J8" s="292"/>
      <c r="K8" s="292"/>
      <c r="L8" s="309" t="s">
        <v>74</v>
      </c>
      <c r="M8" s="292"/>
      <c r="N8" s="292"/>
      <c r="O8" s="292"/>
      <c r="P8" s="292"/>
      <c r="Q8" s="292"/>
      <c r="R8" s="292"/>
      <c r="S8" s="292"/>
      <c r="T8" s="292">
        <v>4</v>
      </c>
      <c r="U8" s="292">
        <v>4</v>
      </c>
      <c r="V8" s="292">
        <v>18</v>
      </c>
      <c r="W8" s="292">
        <v>25</v>
      </c>
      <c r="X8" s="292"/>
      <c r="Y8" s="292"/>
      <c r="Z8" s="292"/>
      <c r="AA8" s="292"/>
      <c r="AB8" s="292"/>
      <c r="AC8" s="292"/>
      <c r="AD8" s="292"/>
      <c r="AE8" s="308"/>
      <c r="AF8" s="292"/>
    </row>
    <row r="9" spans="1:32" ht="15.75" customHeight="1" x14ac:dyDescent="0.25">
      <c r="A9" s="312"/>
      <c r="B9" s="312"/>
      <c r="C9" s="312"/>
      <c r="D9" s="312"/>
      <c r="E9" s="312"/>
      <c r="F9" s="292"/>
      <c r="G9" s="292"/>
      <c r="H9" s="292"/>
      <c r="I9" s="292"/>
      <c r="J9" s="292"/>
      <c r="K9" s="292"/>
      <c r="L9" s="215"/>
      <c r="M9" s="292"/>
      <c r="N9" s="292"/>
      <c r="O9" s="292"/>
      <c r="P9" s="292"/>
      <c r="Q9" s="292"/>
      <c r="R9" s="292"/>
      <c r="S9" s="292"/>
      <c r="T9" s="292">
        <v>3</v>
      </c>
      <c r="U9" s="292"/>
      <c r="V9" s="292">
        <v>23</v>
      </c>
      <c r="W9" s="292">
        <v>0</v>
      </c>
      <c r="X9" s="292"/>
      <c r="Y9" s="292"/>
      <c r="Z9" s="292"/>
      <c r="AA9" s="292"/>
      <c r="AB9" s="292"/>
      <c r="AC9" s="292"/>
      <c r="AD9" s="292"/>
      <c r="AE9" s="308"/>
      <c r="AF9" s="292"/>
    </row>
    <row r="10" spans="1:32" ht="15.75" customHeight="1" x14ac:dyDescent="0.25">
      <c r="A10" s="312"/>
      <c r="B10" s="312"/>
      <c r="C10" s="312"/>
      <c r="D10" s="312"/>
      <c r="E10" s="312"/>
      <c r="F10" s="292"/>
      <c r="G10" s="292"/>
      <c r="H10" s="292"/>
      <c r="I10" s="292"/>
      <c r="J10" s="292"/>
      <c r="K10" s="292"/>
      <c r="L10" s="310"/>
      <c r="M10" s="292"/>
      <c r="N10" s="292"/>
      <c r="O10" s="292"/>
      <c r="P10" s="292"/>
      <c r="Q10" s="292"/>
      <c r="R10" s="292"/>
      <c r="S10" s="292"/>
      <c r="T10" s="292">
        <v>2</v>
      </c>
      <c r="U10" s="292"/>
      <c r="V10" s="292">
        <v>23</v>
      </c>
      <c r="W10" s="292">
        <v>25</v>
      </c>
      <c r="X10" s="292"/>
      <c r="Y10" s="292"/>
      <c r="Z10" s="292"/>
      <c r="AA10" s="292"/>
      <c r="AB10" s="292"/>
      <c r="AC10" s="292"/>
      <c r="AD10" s="292"/>
      <c r="AE10" s="308"/>
      <c r="AF10" s="292"/>
    </row>
    <row r="11" spans="1:32" ht="18.75" x14ac:dyDescent="0.3">
      <c r="A11" s="312"/>
      <c r="B11" s="312"/>
      <c r="C11" s="312"/>
      <c r="D11" s="312"/>
      <c r="E11" s="312" t="s">
        <v>75</v>
      </c>
      <c r="F11" s="292"/>
      <c r="G11" s="292"/>
      <c r="H11" s="292"/>
      <c r="I11" s="292"/>
      <c r="J11" s="292"/>
      <c r="K11" s="292"/>
      <c r="L11" s="311"/>
      <c r="M11" s="292"/>
      <c r="N11" s="292"/>
      <c r="O11" s="292"/>
      <c r="P11" s="292"/>
      <c r="Q11" s="292"/>
      <c r="R11" s="292"/>
      <c r="S11" s="292"/>
      <c r="T11" s="292">
        <v>1</v>
      </c>
      <c r="U11" s="292"/>
      <c r="V11" s="292"/>
      <c r="W11" s="292"/>
      <c r="X11" s="292"/>
      <c r="Y11" s="292"/>
      <c r="Z11" s="292"/>
      <c r="AA11" s="292"/>
      <c r="AB11" s="292"/>
      <c r="AC11" s="292"/>
      <c r="AD11" s="292"/>
      <c r="AE11" s="308"/>
      <c r="AF11" s="292"/>
    </row>
    <row r="12" spans="1:32" ht="18.75" x14ac:dyDescent="0.3">
      <c r="A12" s="312"/>
      <c r="B12" s="312"/>
      <c r="C12" s="312"/>
      <c r="D12" s="312"/>
      <c r="E12" s="312"/>
      <c r="F12" s="292"/>
      <c r="G12" s="292"/>
      <c r="H12" s="292"/>
      <c r="I12" s="292"/>
      <c r="J12" s="292"/>
      <c r="K12" s="292"/>
      <c r="L12" s="311"/>
      <c r="M12" s="292"/>
      <c r="N12" s="292"/>
      <c r="O12" s="292"/>
      <c r="P12" s="292"/>
      <c r="Q12" s="292"/>
      <c r="R12" s="292"/>
      <c r="S12" s="292"/>
      <c r="T12" s="292"/>
      <c r="U12" s="292"/>
      <c r="V12" s="292"/>
      <c r="W12" s="292"/>
      <c r="X12" s="292"/>
      <c r="Y12" s="292"/>
      <c r="Z12" s="292"/>
      <c r="AA12" s="292"/>
      <c r="AB12" s="292"/>
      <c r="AC12" s="292"/>
      <c r="AD12" s="292"/>
      <c r="AE12" s="308"/>
      <c r="AF12" s="292"/>
    </row>
    <row r="13" spans="1:32" ht="18.75" x14ac:dyDescent="0.3">
      <c r="A13" s="312"/>
      <c r="B13" s="312"/>
      <c r="C13" s="312"/>
      <c r="D13" s="312"/>
      <c r="E13" s="312"/>
      <c r="F13" s="292"/>
      <c r="G13" s="292"/>
      <c r="H13" s="292"/>
      <c r="I13" s="292"/>
      <c r="J13" s="292"/>
      <c r="K13" s="292"/>
      <c r="L13" s="311"/>
      <c r="M13" s="292"/>
      <c r="N13" s="292"/>
      <c r="O13" s="292"/>
      <c r="P13" s="292"/>
      <c r="Q13" s="292"/>
      <c r="R13" s="292"/>
      <c r="S13" s="292"/>
      <c r="T13" s="292"/>
      <c r="U13" s="292"/>
      <c r="V13" s="292"/>
      <c r="W13" s="292"/>
      <c r="X13" s="292"/>
      <c r="Y13" s="292"/>
      <c r="Z13" s="292"/>
      <c r="AA13" s="292"/>
      <c r="AB13" s="292"/>
      <c r="AC13" s="292"/>
      <c r="AD13" s="292"/>
      <c r="AE13" s="308"/>
      <c r="AF13" s="292"/>
    </row>
    <row r="14" spans="1:32" ht="18.75" x14ac:dyDescent="0.3">
      <c r="A14" s="312"/>
      <c r="B14" s="312"/>
      <c r="C14" s="312"/>
      <c r="D14" s="312"/>
      <c r="E14" s="312"/>
      <c r="F14" s="292"/>
      <c r="G14" s="292"/>
      <c r="H14" s="292"/>
      <c r="I14" s="292"/>
      <c r="J14" s="292"/>
      <c r="K14" s="292"/>
      <c r="L14" s="311"/>
      <c r="M14" s="292"/>
      <c r="N14" s="292"/>
      <c r="O14" s="292"/>
      <c r="P14" s="292"/>
      <c r="Q14" s="292"/>
      <c r="R14" s="292"/>
      <c r="S14" s="292"/>
      <c r="T14" s="292"/>
      <c r="U14" s="292"/>
      <c r="V14" s="292"/>
      <c r="W14" s="292"/>
      <c r="X14" s="292"/>
      <c r="Y14" s="292"/>
      <c r="Z14" s="292"/>
      <c r="AA14" s="292"/>
      <c r="AB14" s="292"/>
      <c r="AC14" s="292"/>
      <c r="AD14" s="292"/>
      <c r="AE14" s="308"/>
      <c r="AF14" s="292"/>
    </row>
    <row r="15" spans="1:32" ht="16.5" customHeight="1" x14ac:dyDescent="0.3">
      <c r="A15" s="312"/>
      <c r="B15" s="312"/>
      <c r="C15" s="312"/>
      <c r="D15" s="312"/>
      <c r="E15" s="312"/>
      <c r="F15" s="292"/>
      <c r="G15" s="292"/>
      <c r="H15" s="292"/>
      <c r="I15" s="292"/>
      <c r="J15" s="292"/>
      <c r="K15" s="292"/>
      <c r="L15" s="311"/>
      <c r="M15" s="292"/>
      <c r="N15" s="292"/>
      <c r="O15" s="292"/>
      <c r="P15" s="292"/>
      <c r="Q15" s="292"/>
      <c r="R15" s="292"/>
      <c r="S15" s="292"/>
      <c r="T15" s="292"/>
      <c r="U15" s="292"/>
      <c r="V15" s="292"/>
      <c r="W15" s="292"/>
      <c r="X15" s="292"/>
      <c r="Y15" s="292"/>
      <c r="Z15" s="292"/>
      <c r="AA15" s="292"/>
      <c r="AB15" s="292"/>
      <c r="AC15" s="292"/>
      <c r="AD15" s="292"/>
      <c r="AE15" s="292"/>
      <c r="AF15" s="292"/>
    </row>
    <row r="16" spans="1:32" ht="19.5" customHeight="1" x14ac:dyDescent="0.25">
      <c r="A16" s="312"/>
      <c r="B16" s="312"/>
      <c r="C16" s="312"/>
      <c r="D16" s="312"/>
      <c r="E16" s="312"/>
      <c r="F16" s="292"/>
      <c r="G16" s="292"/>
      <c r="H16" s="292"/>
      <c r="I16" s="292"/>
      <c r="J16" s="292"/>
      <c r="K16" s="292"/>
      <c r="L16" s="292"/>
      <c r="M16" s="292"/>
      <c r="N16" s="292"/>
      <c r="O16" s="292"/>
      <c r="P16" s="292"/>
      <c r="Q16" s="292"/>
      <c r="R16" s="292"/>
      <c r="S16" s="292"/>
      <c r="T16" s="292"/>
      <c r="U16" s="292"/>
      <c r="V16" s="292"/>
      <c r="W16" s="292"/>
      <c r="X16" s="292"/>
      <c r="Y16" s="292"/>
      <c r="Z16" s="292"/>
      <c r="AA16" s="292"/>
      <c r="AB16" s="292"/>
      <c r="AC16" s="292"/>
      <c r="AD16" s="292"/>
      <c r="AE16" s="292"/>
      <c r="AF16" s="292"/>
    </row>
    <row r="17" spans="1:32" x14ac:dyDescent="0.25">
      <c r="A17" s="312"/>
      <c r="B17" s="312"/>
      <c r="C17" s="312"/>
      <c r="D17" s="312"/>
      <c r="E17" s="312"/>
      <c r="F17" s="292"/>
      <c r="G17" s="292"/>
      <c r="H17" s="292"/>
      <c r="I17" s="292"/>
      <c r="J17" s="292"/>
      <c r="K17" s="292"/>
      <c r="L17" s="292"/>
      <c r="M17" s="292"/>
      <c r="N17" s="292"/>
      <c r="O17" s="292"/>
      <c r="P17" s="292"/>
      <c r="Q17" s="292"/>
      <c r="R17" s="292"/>
      <c r="S17" s="292"/>
      <c r="T17" s="292"/>
      <c r="U17" s="292"/>
      <c r="V17" s="292"/>
      <c r="W17" s="292"/>
      <c r="X17" s="292"/>
      <c r="Y17" s="292"/>
      <c r="Z17" s="292"/>
      <c r="AA17" s="292"/>
      <c r="AB17" s="292"/>
      <c r="AC17" s="292"/>
      <c r="AD17" s="292"/>
      <c r="AE17" s="292"/>
      <c r="AF17" s="292"/>
    </row>
    <row r="18" spans="1:32" x14ac:dyDescent="0.25">
      <c r="A18" s="312"/>
      <c r="B18" s="312"/>
      <c r="C18" s="312"/>
      <c r="D18" s="312"/>
      <c r="E18" s="312"/>
      <c r="F18" s="292"/>
      <c r="G18" s="292"/>
      <c r="H18" s="292"/>
      <c r="I18" s="292"/>
      <c r="J18" s="292"/>
      <c r="K18" s="292"/>
      <c r="L18" s="292"/>
      <c r="M18" s="292"/>
      <c r="N18" s="292"/>
      <c r="O18" s="292"/>
      <c r="P18" s="292"/>
      <c r="Q18" s="292"/>
      <c r="R18" s="292"/>
      <c r="S18" s="292"/>
      <c r="T18" s="292"/>
      <c r="U18" s="292"/>
      <c r="V18" s="292"/>
      <c r="W18" s="292"/>
      <c r="X18" s="292"/>
      <c r="Y18" s="292"/>
      <c r="Z18" s="292"/>
      <c r="AA18" s="292"/>
      <c r="AB18" s="292"/>
      <c r="AC18" s="292"/>
      <c r="AD18" s="292"/>
      <c r="AE18" s="292"/>
      <c r="AF18" s="292"/>
    </row>
    <row r="19" spans="1:32" x14ac:dyDescent="0.25">
      <c r="A19" s="312"/>
      <c r="B19" s="312"/>
      <c r="C19" s="312"/>
      <c r="D19" s="312"/>
      <c r="E19" s="312"/>
      <c r="F19" s="292"/>
      <c r="G19" s="292"/>
      <c r="H19" s="292"/>
      <c r="I19" s="292"/>
      <c r="J19" s="292"/>
      <c r="K19" s="292"/>
      <c r="L19" s="292"/>
      <c r="M19" s="292"/>
      <c r="N19" s="292"/>
      <c r="O19" s="292"/>
      <c r="P19" s="292"/>
      <c r="Q19" s="292"/>
      <c r="R19" s="292"/>
      <c r="S19" s="292"/>
      <c r="T19" s="292"/>
      <c r="U19" s="292"/>
      <c r="V19" s="292"/>
      <c r="W19" s="292"/>
      <c r="X19" s="292"/>
      <c r="Y19" s="292"/>
      <c r="Z19" s="292"/>
      <c r="AA19" s="292"/>
      <c r="AB19" s="292"/>
      <c r="AC19" s="292"/>
      <c r="AD19" s="292"/>
      <c r="AE19" s="292"/>
      <c r="AF19" s="292"/>
    </row>
    <row r="20" spans="1:32" x14ac:dyDescent="0.25">
      <c r="A20" s="312"/>
      <c r="B20" s="312"/>
      <c r="C20" s="312"/>
      <c r="D20" s="312"/>
      <c r="E20" s="312"/>
      <c r="F20" s="292"/>
      <c r="G20" s="292"/>
      <c r="H20" s="292"/>
      <c r="I20" s="292"/>
      <c r="J20" s="292"/>
      <c r="K20" s="292"/>
      <c r="L20" s="292"/>
      <c r="M20" s="292"/>
      <c r="N20" s="292"/>
      <c r="O20" s="292"/>
      <c r="P20" s="292"/>
      <c r="Q20" s="292"/>
      <c r="R20" s="292"/>
      <c r="S20" s="292"/>
      <c r="T20" s="292"/>
      <c r="U20" s="292"/>
      <c r="V20" s="292"/>
      <c r="W20" s="292"/>
      <c r="X20" s="292"/>
      <c r="Y20" s="292"/>
      <c r="Z20" s="292"/>
      <c r="AA20" s="292"/>
      <c r="AB20" s="292"/>
      <c r="AC20" s="292"/>
      <c r="AD20" s="292"/>
      <c r="AE20" s="292"/>
      <c r="AF20" s="292"/>
    </row>
    <row r="21" spans="1:32" x14ac:dyDescent="0.25">
      <c r="A21" s="312"/>
      <c r="B21" s="312"/>
      <c r="C21" s="312"/>
      <c r="D21" s="312"/>
      <c r="E21" s="312"/>
      <c r="F21" s="292"/>
      <c r="G21" s="292"/>
      <c r="H21" s="292"/>
      <c r="I21" s="292"/>
      <c r="J21" s="292"/>
      <c r="K21" s="292"/>
      <c r="L21" s="292"/>
      <c r="M21" s="292"/>
      <c r="N21" s="292"/>
      <c r="O21" s="292"/>
      <c r="P21" s="292"/>
      <c r="Q21" s="292"/>
      <c r="R21" s="292"/>
      <c r="S21" s="292"/>
      <c r="T21" s="292"/>
      <c r="U21" s="292"/>
      <c r="V21" s="292"/>
      <c r="W21" s="292"/>
      <c r="X21" s="292"/>
      <c r="Y21" s="292"/>
      <c r="Z21" s="292"/>
      <c r="AA21" s="292"/>
      <c r="AB21" s="292"/>
      <c r="AC21" s="292"/>
      <c r="AD21" s="292"/>
      <c r="AE21" s="292"/>
      <c r="AF21" s="292"/>
    </row>
    <row r="22" spans="1:32" x14ac:dyDescent="0.25">
      <c r="A22" s="312"/>
      <c r="B22" s="312"/>
      <c r="C22" s="312"/>
      <c r="D22" s="312"/>
      <c r="E22" s="312"/>
      <c r="F22" s="292"/>
      <c r="G22" s="292"/>
      <c r="H22" s="292"/>
      <c r="I22" s="292"/>
      <c r="J22" s="292"/>
      <c r="K22" s="292"/>
      <c r="L22" s="292"/>
      <c r="M22" s="292"/>
      <c r="N22" s="292"/>
      <c r="O22" s="292"/>
      <c r="P22" s="292"/>
      <c r="Q22" s="292"/>
      <c r="R22" s="292"/>
      <c r="S22" s="292"/>
      <c r="T22" s="292"/>
      <c r="U22" s="292"/>
      <c r="V22" s="292"/>
      <c r="W22" s="292"/>
      <c r="X22" s="292"/>
      <c r="Y22" s="292"/>
      <c r="Z22" s="292"/>
      <c r="AA22" s="292"/>
      <c r="AB22" s="292"/>
      <c r="AC22" s="292"/>
      <c r="AD22" s="292"/>
      <c r="AE22" s="292"/>
      <c r="AF22" s="292"/>
    </row>
    <row r="23" spans="1:32" x14ac:dyDescent="0.25">
      <c r="A23" s="312"/>
      <c r="B23" s="312"/>
      <c r="C23" s="312"/>
      <c r="D23" s="312"/>
      <c r="E23" s="312"/>
      <c r="F23" s="292"/>
      <c r="G23" s="292"/>
      <c r="H23" s="292"/>
      <c r="I23" s="292"/>
      <c r="J23" s="292"/>
      <c r="K23" s="292"/>
      <c r="L23" s="292"/>
      <c r="M23" s="292"/>
      <c r="N23" s="292"/>
      <c r="O23" s="292"/>
      <c r="P23" s="292"/>
      <c r="Q23" s="292"/>
      <c r="R23" s="292"/>
      <c r="S23" s="292"/>
      <c r="T23" s="292"/>
      <c r="U23" s="292"/>
      <c r="V23" s="292"/>
      <c r="W23" s="292"/>
      <c r="X23" s="292"/>
      <c r="Y23" s="292"/>
      <c r="Z23" s="292"/>
      <c r="AA23" s="292"/>
      <c r="AB23" s="292"/>
      <c r="AC23" s="292"/>
      <c r="AD23" s="292"/>
      <c r="AE23" s="292"/>
      <c r="AF23" s="292"/>
    </row>
    <row r="24" spans="1:32" x14ac:dyDescent="0.25">
      <c r="A24" s="312"/>
      <c r="B24" s="312"/>
      <c r="C24" s="312"/>
      <c r="D24" s="312"/>
      <c r="E24" s="312"/>
      <c r="F24" s="292"/>
      <c r="G24" s="292"/>
      <c r="H24" s="292"/>
      <c r="I24" s="292"/>
      <c r="J24" s="292"/>
      <c r="K24" s="292"/>
      <c r="L24" s="292"/>
      <c r="M24" s="292"/>
      <c r="N24" s="292"/>
      <c r="O24" s="292"/>
      <c r="P24" s="292"/>
      <c r="Q24" s="292"/>
      <c r="R24" s="292"/>
      <c r="S24" s="292"/>
      <c r="T24" s="292"/>
      <c r="U24" s="292"/>
      <c r="V24" s="292"/>
      <c r="W24" s="292"/>
      <c r="X24" s="292"/>
      <c r="Y24" s="292"/>
      <c r="Z24" s="292"/>
      <c r="AA24" s="292"/>
      <c r="AB24" s="292"/>
      <c r="AC24" s="292"/>
      <c r="AD24" s="292"/>
      <c r="AE24" s="292"/>
      <c r="AF24" s="292"/>
    </row>
    <row r="25" spans="1:32" x14ac:dyDescent="0.25">
      <c r="A25" s="312"/>
      <c r="B25" s="312"/>
      <c r="C25" s="312"/>
      <c r="D25" s="312"/>
      <c r="E25" s="312"/>
      <c r="F25" s="292"/>
      <c r="G25" s="292"/>
      <c r="H25" s="292"/>
      <c r="I25" s="292"/>
      <c r="J25" s="292"/>
      <c r="K25" s="292"/>
      <c r="L25" s="292"/>
      <c r="M25" s="292"/>
      <c r="N25" s="292"/>
      <c r="O25" s="292"/>
      <c r="P25" s="292"/>
      <c r="Q25" s="292"/>
      <c r="R25" s="292"/>
      <c r="S25" s="292"/>
      <c r="T25" s="292"/>
      <c r="U25" s="292"/>
      <c r="V25" s="292"/>
      <c r="W25" s="292"/>
      <c r="X25" s="292"/>
      <c r="Y25" s="292"/>
      <c r="Z25" s="292"/>
      <c r="AA25" s="292"/>
      <c r="AB25" s="292"/>
      <c r="AC25" s="292"/>
      <c r="AD25" s="292"/>
      <c r="AE25" s="292"/>
      <c r="AF25" s="292"/>
    </row>
    <row r="26" spans="1:32" x14ac:dyDescent="0.25">
      <c r="A26" s="312"/>
      <c r="B26" s="312"/>
      <c r="C26" s="312"/>
      <c r="D26" s="312"/>
      <c r="E26" s="312"/>
      <c r="F26" s="292"/>
      <c r="G26" s="292"/>
      <c r="H26" s="292"/>
      <c r="I26" s="292"/>
      <c r="J26" s="292"/>
      <c r="K26" s="292"/>
      <c r="L26" s="292"/>
      <c r="M26" s="292"/>
      <c r="N26" s="292"/>
      <c r="O26" s="292"/>
      <c r="P26" s="292"/>
      <c r="Q26" s="292"/>
      <c r="R26" s="292"/>
      <c r="S26" s="292"/>
      <c r="T26" s="292"/>
      <c r="U26" s="292"/>
      <c r="V26" s="292"/>
      <c r="W26" s="292"/>
      <c r="X26" s="292"/>
      <c r="Y26" s="292"/>
      <c r="Z26" s="292"/>
      <c r="AA26" s="292"/>
      <c r="AB26" s="292"/>
      <c r="AC26" s="292"/>
      <c r="AD26" s="292"/>
      <c r="AE26" s="292"/>
      <c r="AF26" s="292"/>
    </row>
    <row r="27" spans="1:32" x14ac:dyDescent="0.25">
      <c r="A27" s="292"/>
      <c r="B27" s="292"/>
      <c r="C27" s="292"/>
      <c r="D27" s="292"/>
      <c r="E27" s="292"/>
      <c r="F27" s="292"/>
      <c r="G27" s="292"/>
      <c r="H27" s="292"/>
      <c r="I27" s="292"/>
      <c r="J27" s="292"/>
      <c r="K27" s="292"/>
      <c r="L27" s="292"/>
      <c r="M27" s="292"/>
      <c r="N27" s="292"/>
      <c r="O27" s="292"/>
      <c r="P27" s="292"/>
      <c r="Q27" s="292"/>
      <c r="R27" s="292"/>
      <c r="S27" s="292"/>
      <c r="T27" s="292"/>
      <c r="U27" s="292"/>
      <c r="V27" s="292"/>
      <c r="W27" s="292"/>
      <c r="X27" s="292"/>
      <c r="Y27" s="292"/>
      <c r="Z27" s="292"/>
      <c r="AA27" s="292"/>
      <c r="AB27" s="292"/>
      <c r="AC27" s="292"/>
      <c r="AD27" s="292"/>
      <c r="AE27" s="292"/>
      <c r="AF27" s="292"/>
    </row>
    <row r="28" spans="1:32" x14ac:dyDescent="0.25">
      <c r="A28" s="312"/>
      <c r="B28" s="327" t="s">
        <v>67</v>
      </c>
      <c r="C28" s="328"/>
      <c r="D28" s="328"/>
      <c r="E28" s="328"/>
      <c r="F28" s="328"/>
      <c r="G28" s="328"/>
      <c r="H28" s="328"/>
      <c r="I28" s="328"/>
      <c r="J28" s="328"/>
      <c r="K28" s="328"/>
      <c r="L28" s="292"/>
      <c r="M28" s="292"/>
      <c r="N28" s="292"/>
      <c r="O28" s="292"/>
      <c r="P28" s="292"/>
      <c r="Q28" s="292"/>
      <c r="R28" s="292"/>
      <c r="S28" s="292"/>
      <c r="T28" s="292"/>
      <c r="U28" s="292"/>
      <c r="V28" s="292"/>
      <c r="W28" s="292"/>
      <c r="X28" s="292"/>
      <c r="Y28" s="292"/>
      <c r="Z28" s="292"/>
      <c r="AA28" s="292"/>
      <c r="AB28" s="292"/>
      <c r="AC28" s="292"/>
      <c r="AD28" s="292"/>
      <c r="AE28" s="292"/>
      <c r="AF28" s="292"/>
    </row>
    <row r="29" spans="1:32" ht="15.95" customHeight="1" x14ac:dyDescent="0.25">
      <c r="A29" s="326" t="s">
        <v>78</v>
      </c>
      <c r="B29" s="258" t="s">
        <v>66</v>
      </c>
      <c r="C29" s="313" t="s">
        <v>52</v>
      </c>
      <c r="D29" s="313" t="s">
        <v>53</v>
      </c>
      <c r="E29" s="313" t="s">
        <v>54</v>
      </c>
      <c r="F29" s="314" t="s">
        <v>125</v>
      </c>
      <c r="G29" s="314" t="s">
        <v>126</v>
      </c>
      <c r="H29" s="314" t="s">
        <v>127</v>
      </c>
      <c r="I29" s="314" t="s">
        <v>128</v>
      </c>
      <c r="J29" s="314" t="s">
        <v>129</v>
      </c>
      <c r="K29" s="314" t="s">
        <v>130</v>
      </c>
      <c r="L29" s="292"/>
      <c r="M29" s="292"/>
      <c r="N29" s="292"/>
      <c r="O29" s="292"/>
      <c r="P29" s="292"/>
      <c r="Q29" s="292"/>
      <c r="R29" s="292"/>
      <c r="S29" s="292"/>
      <c r="T29" s="292"/>
      <c r="U29" s="292"/>
      <c r="V29" s="292"/>
      <c r="W29" s="292"/>
      <c r="X29" s="292"/>
      <c r="Y29" s="292"/>
      <c r="Z29" s="292"/>
      <c r="AA29" s="292"/>
      <c r="AB29" s="292"/>
      <c r="AC29" s="292"/>
      <c r="AD29" s="292"/>
      <c r="AE29" s="292"/>
      <c r="AF29" s="292"/>
    </row>
    <row r="30" spans="1:32" ht="15.95" customHeight="1" x14ac:dyDescent="0.25">
      <c r="A30" s="326"/>
      <c r="B30" s="258" t="s">
        <v>29</v>
      </c>
      <c r="C30" s="315">
        <v>1</v>
      </c>
      <c r="D30" s="315">
        <v>0</v>
      </c>
      <c r="E30" s="315">
        <v>0</v>
      </c>
      <c r="F30" s="315">
        <v>1.2</v>
      </c>
      <c r="G30" s="315">
        <v>0</v>
      </c>
      <c r="H30" s="315">
        <v>0</v>
      </c>
      <c r="I30" s="315">
        <v>0.35</v>
      </c>
      <c r="J30" s="315">
        <v>1E-8</v>
      </c>
      <c r="K30" s="315">
        <v>1E-8</v>
      </c>
      <c r="L30" s="292"/>
      <c r="M30" s="292"/>
      <c r="N30" s="292"/>
      <c r="O30" s="292"/>
      <c r="P30" s="292"/>
      <c r="Q30" s="292"/>
      <c r="R30" s="292"/>
      <c r="S30" s="292"/>
      <c r="T30" s="292"/>
      <c r="U30" s="292"/>
      <c r="V30" s="292"/>
      <c r="W30" s="292"/>
      <c r="X30" s="292"/>
      <c r="Y30" s="292"/>
      <c r="Z30" s="292"/>
      <c r="AA30" s="292"/>
      <c r="AB30" s="292"/>
      <c r="AC30" s="292"/>
      <c r="AD30" s="292"/>
      <c r="AE30" s="292"/>
      <c r="AF30" s="292"/>
    </row>
    <row r="31" spans="1:32" ht="15.95" customHeight="1" x14ac:dyDescent="0.25">
      <c r="A31" s="326"/>
      <c r="B31" s="258" t="s">
        <v>31</v>
      </c>
      <c r="C31" s="315">
        <v>1</v>
      </c>
      <c r="D31" s="315">
        <v>0</v>
      </c>
      <c r="E31" s="315">
        <v>0</v>
      </c>
      <c r="F31" s="315">
        <v>1.504</v>
      </c>
      <c r="G31" s="315">
        <v>0</v>
      </c>
      <c r="H31" s="315">
        <v>0</v>
      </c>
      <c r="I31" s="315">
        <v>0.5</v>
      </c>
      <c r="J31" s="315">
        <v>1E-8</v>
      </c>
      <c r="K31" s="315">
        <v>1E-8</v>
      </c>
      <c r="L31" s="292"/>
      <c r="M31" s="292"/>
      <c r="N31" s="292"/>
      <c r="O31" s="292"/>
      <c r="P31" s="292"/>
      <c r="Q31" s="292"/>
      <c r="R31" s="292"/>
      <c r="S31" s="292"/>
      <c r="T31" s="292"/>
      <c r="U31" s="292"/>
      <c r="V31" s="292"/>
      <c r="W31" s="292"/>
      <c r="X31" s="292"/>
      <c r="Y31" s="292"/>
      <c r="Z31" s="292"/>
      <c r="AA31" s="292"/>
      <c r="AB31" s="292"/>
      <c r="AC31" s="292"/>
      <c r="AD31" s="292"/>
      <c r="AE31" s="292"/>
      <c r="AF31" s="292"/>
    </row>
    <row r="32" spans="1:32" ht="15.95" customHeight="1" x14ac:dyDescent="0.25">
      <c r="A32" s="326"/>
      <c r="B32" s="258" t="s">
        <v>10</v>
      </c>
      <c r="C32" s="315">
        <v>0.3</v>
      </c>
      <c r="D32" s="315">
        <v>0.25</v>
      </c>
      <c r="E32" s="315">
        <v>0.45</v>
      </c>
      <c r="F32" s="315">
        <v>2</v>
      </c>
      <c r="G32" s="315">
        <v>2.2000000000000002</v>
      </c>
      <c r="H32" s="315">
        <v>2.7</v>
      </c>
      <c r="I32" s="315">
        <v>0.1</v>
      </c>
      <c r="J32" s="315">
        <v>0.2</v>
      </c>
      <c r="K32" s="315">
        <v>0.1</v>
      </c>
      <c r="L32" s="292"/>
      <c r="M32" s="292"/>
      <c r="N32" s="292"/>
      <c r="O32" s="292"/>
      <c r="P32" s="292"/>
      <c r="Q32" s="292"/>
      <c r="R32" s="292"/>
      <c r="S32" s="292"/>
      <c r="T32" s="292"/>
      <c r="U32" s="292"/>
      <c r="V32" s="292"/>
      <c r="W32" s="292"/>
      <c r="X32" s="292"/>
      <c r="Y32" s="292"/>
      <c r="Z32" s="292"/>
      <c r="AA32" s="292"/>
      <c r="AB32" s="292"/>
      <c r="AC32" s="292"/>
      <c r="AD32" s="292"/>
      <c r="AE32" s="292"/>
      <c r="AF32" s="292"/>
    </row>
    <row r="33" spans="1:32" ht="15.95" customHeight="1" x14ac:dyDescent="0.25">
      <c r="A33" s="326"/>
      <c r="B33" s="258" t="s">
        <v>11</v>
      </c>
      <c r="C33" s="315">
        <v>0.6</v>
      </c>
      <c r="D33" s="315">
        <v>0.4</v>
      </c>
      <c r="E33" s="315">
        <v>0</v>
      </c>
      <c r="F33" s="315">
        <v>1.946</v>
      </c>
      <c r="G33" s="315">
        <v>2.6</v>
      </c>
      <c r="H33" s="315">
        <v>0</v>
      </c>
      <c r="I33" s="315">
        <v>0.27</v>
      </c>
      <c r="J33" s="315">
        <v>0.17</v>
      </c>
      <c r="K33" s="315">
        <v>1E-10</v>
      </c>
      <c r="L33" s="292"/>
      <c r="M33" s="292"/>
      <c r="N33" s="292"/>
      <c r="O33" s="292"/>
      <c r="P33" s="292"/>
      <c r="Q33" s="292"/>
      <c r="R33" s="292"/>
      <c r="S33" s="292"/>
      <c r="T33" s="292"/>
      <c r="U33" s="292"/>
      <c r="V33" s="292"/>
      <c r="W33" s="292"/>
      <c r="X33" s="292"/>
      <c r="Y33" s="292"/>
      <c r="Z33" s="292"/>
      <c r="AA33" s="292"/>
      <c r="AB33" s="292"/>
      <c r="AC33" s="292"/>
      <c r="AD33" s="292"/>
      <c r="AE33" s="292"/>
      <c r="AF33" s="292"/>
    </row>
    <row r="34" spans="1:32" ht="15.95" customHeight="1" x14ac:dyDescent="0.25">
      <c r="A34" s="326" t="s">
        <v>76</v>
      </c>
      <c r="B34" s="258" t="s">
        <v>66</v>
      </c>
      <c r="C34" s="313" t="s">
        <v>52</v>
      </c>
      <c r="D34" s="313" t="s">
        <v>53</v>
      </c>
      <c r="E34" s="313" t="s">
        <v>54</v>
      </c>
      <c r="F34" s="314" t="s">
        <v>125</v>
      </c>
      <c r="G34" s="314" t="s">
        <v>126</v>
      </c>
      <c r="H34" s="314" t="s">
        <v>127</v>
      </c>
      <c r="I34" s="314" t="s">
        <v>128</v>
      </c>
      <c r="J34" s="314" t="s">
        <v>129</v>
      </c>
      <c r="K34" s="314" t="s">
        <v>130</v>
      </c>
      <c r="L34" s="292"/>
      <c r="M34" s="292"/>
      <c r="N34" s="292"/>
      <c r="O34" s="292"/>
      <c r="P34" s="292"/>
      <c r="Q34" s="292"/>
      <c r="R34" s="292"/>
      <c r="S34" s="292"/>
      <c r="T34" s="292"/>
      <c r="U34" s="292"/>
      <c r="V34" s="292"/>
      <c r="W34" s="292"/>
      <c r="X34" s="292"/>
      <c r="Y34" s="292"/>
      <c r="Z34" s="292"/>
      <c r="AA34" s="292"/>
      <c r="AB34" s="292"/>
      <c r="AC34" s="292"/>
      <c r="AD34" s="292"/>
      <c r="AE34" s="292"/>
      <c r="AF34" s="292"/>
    </row>
    <row r="35" spans="1:32" ht="15.95" customHeight="1" x14ac:dyDescent="0.25">
      <c r="A35" s="326"/>
      <c r="B35" s="258" t="s">
        <v>29</v>
      </c>
      <c r="C35" s="315">
        <v>1</v>
      </c>
      <c r="D35" s="315">
        <v>0</v>
      </c>
      <c r="E35" s="315">
        <v>0</v>
      </c>
      <c r="F35" s="315">
        <v>1.2</v>
      </c>
      <c r="G35" s="315">
        <v>0</v>
      </c>
      <c r="H35" s="315">
        <v>0</v>
      </c>
      <c r="I35" s="315">
        <v>0.35</v>
      </c>
      <c r="J35" s="315">
        <v>9.9999999999999994E-12</v>
      </c>
      <c r="K35" s="315">
        <v>1E-10</v>
      </c>
      <c r="L35" s="292"/>
      <c r="M35" s="292"/>
      <c r="N35" s="292"/>
      <c r="O35" s="292"/>
      <c r="P35" s="292"/>
      <c r="Q35" s="292"/>
      <c r="R35" s="292"/>
      <c r="S35" s="292"/>
      <c r="T35" s="292"/>
      <c r="U35" s="292"/>
      <c r="V35" s="292"/>
      <c r="W35" s="292"/>
      <c r="X35" s="292"/>
      <c r="Y35" s="292"/>
      <c r="Z35" s="292"/>
      <c r="AA35" s="292"/>
      <c r="AB35" s="292"/>
      <c r="AC35" s="292"/>
      <c r="AD35" s="292"/>
      <c r="AE35" s="292"/>
      <c r="AF35" s="292"/>
    </row>
    <row r="36" spans="1:32" ht="15.95" customHeight="1" x14ac:dyDescent="0.25">
      <c r="A36" s="326"/>
      <c r="B36" s="258" t="s">
        <v>31</v>
      </c>
      <c r="C36" s="315">
        <v>1</v>
      </c>
      <c r="D36" s="315">
        <v>0</v>
      </c>
      <c r="E36" s="315">
        <v>0</v>
      </c>
      <c r="F36" s="315">
        <v>1.7</v>
      </c>
      <c r="G36" s="315">
        <v>0</v>
      </c>
      <c r="H36" s="315">
        <v>0</v>
      </c>
      <c r="I36" s="315">
        <v>0.4</v>
      </c>
      <c r="J36" s="315">
        <v>9.9999999999999994E-12</v>
      </c>
      <c r="K36" s="315">
        <v>1E-10</v>
      </c>
      <c r="L36" s="292"/>
      <c r="M36" s="292"/>
      <c r="N36" s="292"/>
      <c r="O36" s="292"/>
      <c r="P36" s="292"/>
      <c r="Q36" s="292"/>
      <c r="R36" s="292"/>
      <c r="S36" s="292"/>
      <c r="T36" s="292"/>
      <c r="U36" s="292"/>
      <c r="V36" s="292"/>
      <c r="W36" s="292"/>
      <c r="X36" s="292"/>
      <c r="Y36" s="292"/>
      <c r="Z36" s="292"/>
      <c r="AA36" s="292"/>
      <c r="AB36" s="292"/>
      <c r="AC36" s="292"/>
      <c r="AD36" s="292"/>
      <c r="AE36" s="292"/>
      <c r="AF36" s="292"/>
    </row>
    <row r="37" spans="1:32" ht="15.95" customHeight="1" x14ac:dyDescent="0.25">
      <c r="A37" s="326"/>
      <c r="B37" s="258" t="s">
        <v>10</v>
      </c>
      <c r="C37" s="315">
        <v>0.4</v>
      </c>
      <c r="D37" s="315">
        <v>0.3</v>
      </c>
      <c r="E37" s="315">
        <v>0.30000000000000004</v>
      </c>
      <c r="F37" s="315">
        <v>2.2000000000000002</v>
      </c>
      <c r="G37" s="315">
        <v>2.7719999999999998</v>
      </c>
      <c r="H37" s="315">
        <v>2.8</v>
      </c>
      <c r="I37" s="315">
        <v>0.1</v>
      </c>
      <c r="J37" s="315">
        <v>0.2</v>
      </c>
      <c r="K37" s="315">
        <v>0.1</v>
      </c>
      <c r="L37" s="292"/>
      <c r="M37" s="292"/>
      <c r="N37" s="292"/>
      <c r="O37" s="292"/>
      <c r="P37" s="292"/>
      <c r="Q37" s="292"/>
      <c r="R37" s="292"/>
      <c r="S37" s="292"/>
      <c r="T37" s="292"/>
      <c r="U37" s="292"/>
      <c r="V37" s="292"/>
      <c r="W37" s="292"/>
      <c r="X37" s="292"/>
      <c r="Y37" s="292"/>
      <c r="Z37" s="292"/>
      <c r="AA37" s="292"/>
      <c r="AB37" s="292"/>
      <c r="AC37" s="292"/>
      <c r="AD37" s="292"/>
      <c r="AE37" s="292"/>
      <c r="AF37" s="292"/>
    </row>
    <row r="38" spans="1:32" ht="15.95" customHeight="1" x14ac:dyDescent="0.25">
      <c r="A38" s="326"/>
      <c r="B38" s="258" t="s">
        <v>11</v>
      </c>
      <c r="C38" s="315">
        <v>0.5</v>
      </c>
      <c r="D38" s="315">
        <v>0.5</v>
      </c>
      <c r="E38" s="315">
        <v>0</v>
      </c>
      <c r="F38" s="315">
        <v>1.946</v>
      </c>
      <c r="G38" s="315">
        <v>2.8</v>
      </c>
      <c r="H38" s="315">
        <v>0</v>
      </c>
      <c r="I38" s="315">
        <v>0.25</v>
      </c>
      <c r="J38" s="315">
        <v>0.2</v>
      </c>
      <c r="K38" s="315">
        <v>1E-10</v>
      </c>
      <c r="L38" s="292"/>
      <c r="M38" s="292"/>
      <c r="N38" s="292"/>
      <c r="O38" s="292"/>
      <c r="P38" s="292"/>
      <c r="Q38" s="292"/>
      <c r="R38" s="292"/>
      <c r="S38" s="292"/>
      <c r="T38" s="292"/>
      <c r="U38" s="292"/>
      <c r="V38" s="292"/>
      <c r="W38" s="292"/>
      <c r="X38" s="292"/>
      <c r="Y38" s="292"/>
      <c r="Z38" s="292"/>
      <c r="AA38" s="292"/>
      <c r="AB38" s="292"/>
      <c r="AC38" s="292"/>
      <c r="AD38" s="292"/>
      <c r="AE38" s="292"/>
      <c r="AF38" s="292"/>
    </row>
    <row r="39" spans="1:32" ht="15.95" customHeight="1" x14ac:dyDescent="0.25">
      <c r="A39" s="326" t="s">
        <v>131</v>
      </c>
      <c r="B39" s="258" t="s">
        <v>66</v>
      </c>
      <c r="C39" s="313" t="s">
        <v>52</v>
      </c>
      <c r="D39" s="313" t="s">
        <v>53</v>
      </c>
      <c r="E39" s="313" t="s">
        <v>54</v>
      </c>
      <c r="F39" s="314" t="s">
        <v>125</v>
      </c>
      <c r="G39" s="314" t="s">
        <v>126</v>
      </c>
      <c r="H39" s="314" t="s">
        <v>127</v>
      </c>
      <c r="I39" s="314" t="s">
        <v>128</v>
      </c>
      <c r="J39" s="314" t="s">
        <v>129</v>
      </c>
      <c r="K39" s="314" t="s">
        <v>130</v>
      </c>
      <c r="L39" s="292"/>
      <c r="M39" s="292"/>
      <c r="N39" s="292"/>
      <c r="O39" s="292"/>
      <c r="P39" s="292"/>
      <c r="Q39" s="292"/>
      <c r="R39" s="292"/>
      <c r="S39" s="292"/>
      <c r="T39" s="292"/>
      <c r="U39" s="292"/>
      <c r="V39" s="292"/>
      <c r="W39" s="292"/>
      <c r="X39" s="292"/>
      <c r="Y39" s="292"/>
      <c r="Z39" s="292"/>
      <c r="AA39" s="292"/>
      <c r="AB39" s="292"/>
      <c r="AC39" s="292"/>
      <c r="AD39" s="292"/>
      <c r="AE39" s="292"/>
      <c r="AF39" s="292"/>
    </row>
    <row r="40" spans="1:32" ht="15.95" customHeight="1" x14ac:dyDescent="0.25">
      <c r="A40" s="326"/>
      <c r="B40" s="258" t="s">
        <v>29</v>
      </c>
      <c r="C40" s="315">
        <v>1</v>
      </c>
      <c r="D40" s="315">
        <v>0</v>
      </c>
      <c r="E40" s="315">
        <v>0</v>
      </c>
      <c r="F40" s="315">
        <v>1.2</v>
      </c>
      <c r="G40" s="315">
        <v>0</v>
      </c>
      <c r="H40" s="315">
        <v>0</v>
      </c>
      <c r="I40" s="315">
        <v>0.35</v>
      </c>
      <c r="J40" s="315">
        <v>9.9999999999999994E-12</v>
      </c>
      <c r="K40" s="315">
        <v>1E-10</v>
      </c>
      <c r="L40" s="292"/>
      <c r="M40" s="292"/>
      <c r="N40" s="292"/>
      <c r="O40" s="292"/>
      <c r="P40" s="292"/>
      <c r="Q40" s="292"/>
      <c r="R40" s="292"/>
      <c r="S40" s="292"/>
      <c r="T40" s="292"/>
      <c r="U40" s="292"/>
      <c r="V40" s="292"/>
      <c r="W40" s="292"/>
      <c r="X40" s="292"/>
      <c r="Y40" s="292"/>
      <c r="Z40" s="292"/>
      <c r="AA40" s="292"/>
      <c r="AB40" s="292"/>
      <c r="AC40" s="292"/>
      <c r="AD40" s="292"/>
      <c r="AE40" s="292"/>
      <c r="AF40" s="292"/>
    </row>
    <row r="41" spans="1:32" ht="15.95" customHeight="1" x14ac:dyDescent="0.25">
      <c r="A41" s="326"/>
      <c r="B41" s="258" t="s">
        <v>31</v>
      </c>
      <c r="C41" s="315">
        <v>1</v>
      </c>
      <c r="D41" s="315">
        <v>0</v>
      </c>
      <c r="E41" s="315">
        <v>0</v>
      </c>
      <c r="F41" s="315">
        <v>1.8</v>
      </c>
      <c r="G41" s="315">
        <v>0</v>
      </c>
      <c r="H41" s="315">
        <v>0</v>
      </c>
      <c r="I41" s="315">
        <v>0.36</v>
      </c>
      <c r="J41" s="315">
        <v>9.9999999999999994E-12</v>
      </c>
      <c r="K41" s="315">
        <v>1E-10</v>
      </c>
      <c r="L41" s="292"/>
      <c r="M41" s="292"/>
      <c r="N41" s="292"/>
      <c r="O41" s="292"/>
      <c r="P41" s="292"/>
      <c r="Q41" s="292"/>
      <c r="R41" s="292"/>
      <c r="S41" s="292"/>
      <c r="T41" s="292"/>
      <c r="U41" s="292"/>
      <c r="V41" s="292"/>
      <c r="W41" s="292"/>
      <c r="X41" s="292"/>
      <c r="Y41" s="292"/>
      <c r="Z41" s="292"/>
      <c r="AA41" s="292"/>
      <c r="AB41" s="292"/>
      <c r="AC41" s="292"/>
      <c r="AD41" s="292"/>
      <c r="AE41" s="292"/>
      <c r="AF41" s="292"/>
    </row>
    <row r="42" spans="1:32" ht="15.95" customHeight="1" x14ac:dyDescent="0.25">
      <c r="A42" s="326"/>
      <c r="B42" s="258" t="s">
        <v>10</v>
      </c>
      <c r="C42" s="315">
        <v>0.4</v>
      </c>
      <c r="D42" s="315">
        <v>0.3</v>
      </c>
      <c r="E42" s="315">
        <v>0.30000000000000004</v>
      </c>
      <c r="F42" s="315">
        <v>2.3460000000000001</v>
      </c>
      <c r="G42" s="315">
        <v>2.7719999999999998</v>
      </c>
      <c r="H42" s="315">
        <v>3.218</v>
      </c>
      <c r="I42" s="315">
        <v>0.1</v>
      </c>
      <c r="J42" s="315">
        <v>0.3</v>
      </c>
      <c r="K42" s="315">
        <v>0.12</v>
      </c>
      <c r="L42" s="292"/>
      <c r="M42" s="292"/>
      <c r="N42" s="292"/>
      <c r="O42" s="292"/>
      <c r="P42" s="292"/>
      <c r="Q42" s="292"/>
      <c r="R42" s="292"/>
      <c r="S42" s="292"/>
      <c r="T42" s="292"/>
      <c r="U42" s="292"/>
      <c r="V42" s="292"/>
      <c r="W42" s="292"/>
      <c r="X42" s="292"/>
      <c r="Y42" s="292"/>
      <c r="Z42" s="292"/>
      <c r="AA42" s="292"/>
      <c r="AB42" s="292"/>
      <c r="AC42" s="292"/>
      <c r="AD42" s="292"/>
      <c r="AE42" s="292"/>
      <c r="AF42" s="292"/>
    </row>
    <row r="43" spans="1:32" ht="15.95" customHeight="1" x14ac:dyDescent="0.25">
      <c r="A43" s="326"/>
      <c r="B43" s="258" t="s">
        <v>11</v>
      </c>
      <c r="C43" s="315">
        <v>0.5</v>
      </c>
      <c r="D43" s="315">
        <v>0.5</v>
      </c>
      <c r="E43" s="315">
        <v>0</v>
      </c>
      <c r="F43" s="315">
        <v>2.1</v>
      </c>
      <c r="G43" s="315">
        <v>3.05</v>
      </c>
      <c r="H43" s="315">
        <v>0</v>
      </c>
      <c r="I43" s="315">
        <v>0.27</v>
      </c>
      <c r="J43" s="315">
        <v>0.27</v>
      </c>
      <c r="K43" s="315">
        <v>1E-10</v>
      </c>
      <c r="L43" s="292"/>
      <c r="M43" s="292"/>
      <c r="N43" s="292"/>
      <c r="O43" s="292"/>
      <c r="P43" s="292"/>
      <c r="Q43" s="292"/>
      <c r="R43" s="292"/>
      <c r="S43" s="292"/>
      <c r="T43" s="292"/>
      <c r="U43" s="292"/>
      <c r="V43" s="292"/>
      <c r="W43" s="292"/>
      <c r="X43" s="292"/>
      <c r="Y43" s="292"/>
      <c r="Z43" s="292"/>
      <c r="AA43" s="292"/>
      <c r="AB43" s="292"/>
      <c r="AC43" s="292"/>
      <c r="AD43" s="292"/>
      <c r="AE43" s="292"/>
      <c r="AF43" s="292"/>
    </row>
    <row r="44" spans="1:32" ht="15.95" customHeight="1" x14ac:dyDescent="0.25">
      <c r="A44" s="326" t="s">
        <v>132</v>
      </c>
      <c r="B44" s="258" t="s">
        <v>66</v>
      </c>
      <c r="C44" s="313" t="s">
        <v>52</v>
      </c>
      <c r="D44" s="313" t="s">
        <v>53</v>
      </c>
      <c r="E44" s="313" t="s">
        <v>54</v>
      </c>
      <c r="F44" s="314" t="s">
        <v>125</v>
      </c>
      <c r="G44" s="314" t="s">
        <v>126</v>
      </c>
      <c r="H44" s="314" t="s">
        <v>127</v>
      </c>
      <c r="I44" s="314" t="s">
        <v>128</v>
      </c>
      <c r="J44" s="314" t="s">
        <v>129</v>
      </c>
      <c r="K44" s="314" t="s">
        <v>130</v>
      </c>
      <c r="L44" s="312"/>
      <c r="M44" s="292"/>
      <c r="N44" s="292"/>
      <c r="O44" s="292"/>
      <c r="P44" s="292"/>
      <c r="Q44" s="292"/>
      <c r="R44" s="292"/>
      <c r="S44" s="292"/>
      <c r="T44" s="292"/>
      <c r="U44" s="292"/>
      <c r="V44" s="292"/>
      <c r="W44" s="292"/>
      <c r="X44" s="292"/>
      <c r="Y44" s="292"/>
      <c r="Z44" s="292"/>
      <c r="AA44" s="292"/>
      <c r="AB44" s="292"/>
      <c r="AC44" s="292"/>
      <c r="AD44" s="292"/>
      <c r="AE44" s="292"/>
      <c r="AF44" s="292"/>
    </row>
    <row r="45" spans="1:32" ht="15.95" customHeight="1" x14ac:dyDescent="0.25">
      <c r="A45" s="326"/>
      <c r="B45" s="258" t="s">
        <v>29</v>
      </c>
      <c r="C45" s="315">
        <v>1</v>
      </c>
      <c r="D45" s="315">
        <v>0</v>
      </c>
      <c r="E45" s="315">
        <v>0</v>
      </c>
      <c r="F45" s="315">
        <v>1.2</v>
      </c>
      <c r="G45" s="315">
        <v>0</v>
      </c>
      <c r="H45" s="315">
        <v>0</v>
      </c>
      <c r="I45" s="315">
        <v>0.35</v>
      </c>
      <c r="J45" s="315">
        <v>9.9999999999999994E-12</v>
      </c>
      <c r="K45" s="315">
        <v>1E-10</v>
      </c>
      <c r="L45" s="312"/>
      <c r="M45" s="292"/>
      <c r="N45" s="292"/>
      <c r="O45" s="292"/>
      <c r="P45" s="292"/>
      <c r="Q45" s="292"/>
      <c r="R45" s="292"/>
      <c r="S45" s="292"/>
      <c r="T45" s="292"/>
      <c r="U45" s="292"/>
      <c r="V45" s="292"/>
      <c r="W45" s="292"/>
      <c r="X45" s="292"/>
      <c r="Y45" s="292"/>
      <c r="Z45" s="292"/>
      <c r="AA45" s="292"/>
      <c r="AB45" s="292"/>
      <c r="AC45" s="292"/>
      <c r="AD45" s="292"/>
      <c r="AE45" s="292"/>
      <c r="AF45" s="292"/>
    </row>
    <row r="46" spans="1:32" ht="15.95" customHeight="1" x14ac:dyDescent="0.25">
      <c r="A46" s="326"/>
      <c r="B46" s="258" t="s">
        <v>31</v>
      </c>
      <c r="C46" s="315">
        <v>1</v>
      </c>
      <c r="D46" s="315">
        <v>0</v>
      </c>
      <c r="E46" s="315">
        <v>0</v>
      </c>
      <c r="F46" s="315">
        <v>2.12</v>
      </c>
      <c r="G46" s="315">
        <v>0</v>
      </c>
      <c r="H46" s="315">
        <v>0</v>
      </c>
      <c r="I46" s="315">
        <v>0.32</v>
      </c>
      <c r="J46" s="315">
        <v>9.9999999999999994E-12</v>
      </c>
      <c r="K46" s="315">
        <v>1E-10</v>
      </c>
      <c r="L46" s="312"/>
      <c r="M46" s="292"/>
      <c r="N46" s="292"/>
      <c r="O46" s="292"/>
      <c r="P46" s="292"/>
      <c r="Q46" s="292"/>
      <c r="R46" s="292"/>
      <c r="S46" s="292"/>
      <c r="T46" s="292"/>
      <c r="U46" s="292"/>
      <c r="V46" s="292"/>
      <c r="W46" s="292"/>
      <c r="X46" s="292"/>
      <c r="Y46" s="292"/>
      <c r="Z46" s="292"/>
      <c r="AA46" s="292"/>
      <c r="AB46" s="292"/>
      <c r="AC46" s="292"/>
      <c r="AD46" s="292"/>
      <c r="AE46" s="292"/>
      <c r="AF46" s="292"/>
    </row>
    <row r="47" spans="1:32" ht="15.95" customHeight="1" x14ac:dyDescent="0.25">
      <c r="A47" s="326"/>
      <c r="B47" s="258" t="s">
        <v>10</v>
      </c>
      <c r="C47" s="315">
        <v>0.4</v>
      </c>
      <c r="D47" s="315">
        <v>0.2</v>
      </c>
      <c r="E47" s="315">
        <v>0.39999999999999991</v>
      </c>
      <c r="F47" s="315">
        <v>2.7</v>
      </c>
      <c r="G47" s="315">
        <v>3</v>
      </c>
      <c r="H47" s="315">
        <v>3.4</v>
      </c>
      <c r="I47" s="315">
        <v>0.1</v>
      </c>
      <c r="J47" s="315">
        <v>0.3</v>
      </c>
      <c r="K47" s="315">
        <v>0.12</v>
      </c>
      <c r="L47" s="312"/>
      <c r="M47" s="292"/>
      <c r="N47" s="292"/>
      <c r="O47" s="292"/>
      <c r="P47" s="292"/>
      <c r="Q47" s="292"/>
      <c r="R47" s="292"/>
      <c r="S47" s="292"/>
      <c r="T47" s="292"/>
      <c r="U47" s="292"/>
      <c r="V47" s="292"/>
      <c r="W47" s="292"/>
      <c r="X47" s="292"/>
      <c r="Y47" s="292"/>
      <c r="Z47" s="292"/>
      <c r="AA47" s="292"/>
      <c r="AB47" s="292"/>
      <c r="AC47" s="292"/>
      <c r="AD47" s="292"/>
      <c r="AE47" s="292"/>
      <c r="AF47" s="292"/>
    </row>
    <row r="48" spans="1:32" ht="15.95" customHeight="1" x14ac:dyDescent="0.25">
      <c r="A48" s="326"/>
      <c r="B48" s="258" t="s">
        <v>11</v>
      </c>
      <c r="C48" s="315">
        <v>0.5</v>
      </c>
      <c r="D48" s="315">
        <v>0.5</v>
      </c>
      <c r="E48" s="315">
        <v>0</v>
      </c>
      <c r="F48" s="315">
        <v>2.2999999999999998</v>
      </c>
      <c r="G48" s="315">
        <v>3.3</v>
      </c>
      <c r="H48" s="315">
        <v>0</v>
      </c>
      <c r="I48" s="315">
        <v>0.28000000000000003</v>
      </c>
      <c r="J48" s="315">
        <v>0.28000000000000003</v>
      </c>
      <c r="K48" s="315">
        <v>1E-10</v>
      </c>
      <c r="L48" s="312"/>
      <c r="M48" s="292"/>
      <c r="N48" s="292"/>
      <c r="O48" s="292"/>
      <c r="P48" s="292"/>
      <c r="Q48" s="292"/>
      <c r="R48" s="292"/>
      <c r="S48" s="292"/>
      <c r="T48" s="292"/>
      <c r="U48" s="292"/>
      <c r="V48" s="292"/>
      <c r="W48" s="292"/>
      <c r="X48" s="292"/>
      <c r="Y48" s="292"/>
      <c r="Z48" s="292"/>
      <c r="AA48" s="292"/>
      <c r="AB48" s="292"/>
      <c r="AC48" s="292"/>
      <c r="AD48" s="292"/>
      <c r="AE48" s="292"/>
      <c r="AF48" s="292"/>
    </row>
    <row r="49" spans="1:32" ht="15.95" customHeight="1" x14ac:dyDescent="0.25">
      <c r="A49" s="326" t="s">
        <v>63</v>
      </c>
      <c r="B49" s="258" t="s">
        <v>66</v>
      </c>
      <c r="C49" s="313" t="s">
        <v>52</v>
      </c>
      <c r="D49" s="313" t="s">
        <v>53</v>
      </c>
      <c r="E49" s="313" t="s">
        <v>54</v>
      </c>
      <c r="F49" s="314" t="s">
        <v>125</v>
      </c>
      <c r="G49" s="314" t="s">
        <v>126</v>
      </c>
      <c r="H49" s="314" t="s">
        <v>127</v>
      </c>
      <c r="I49" s="314" t="s">
        <v>128</v>
      </c>
      <c r="J49" s="314" t="s">
        <v>129</v>
      </c>
      <c r="K49" s="314" t="s">
        <v>130</v>
      </c>
      <c r="L49" s="312"/>
      <c r="M49" s="292"/>
      <c r="N49" s="292"/>
      <c r="O49" s="292"/>
      <c r="P49" s="292"/>
      <c r="Q49" s="292"/>
      <c r="R49" s="292"/>
      <c r="S49" s="292"/>
      <c r="T49" s="292"/>
      <c r="U49" s="292"/>
      <c r="V49" s="292"/>
      <c r="W49" s="292"/>
      <c r="X49" s="292"/>
      <c r="Y49" s="292"/>
      <c r="Z49" s="292"/>
      <c r="AA49" s="292"/>
      <c r="AB49" s="292"/>
      <c r="AC49" s="292"/>
      <c r="AD49" s="292"/>
      <c r="AE49" s="292"/>
      <c r="AF49" s="292"/>
    </row>
    <row r="50" spans="1:32" ht="15.95" customHeight="1" x14ac:dyDescent="0.25">
      <c r="A50" s="326"/>
      <c r="B50" s="258" t="s">
        <v>29</v>
      </c>
      <c r="C50" s="315" t="s">
        <v>203</v>
      </c>
      <c r="D50" s="315" t="s">
        <v>218</v>
      </c>
      <c r="E50" s="315" t="s">
        <v>219</v>
      </c>
      <c r="F50" s="315" t="s">
        <v>220</v>
      </c>
      <c r="G50" s="315" t="s">
        <v>221</v>
      </c>
      <c r="H50" s="315" t="s">
        <v>222</v>
      </c>
      <c r="I50" s="315" t="s">
        <v>223</v>
      </c>
      <c r="J50" s="315" t="s">
        <v>224</v>
      </c>
      <c r="K50" s="315" t="s">
        <v>225</v>
      </c>
      <c r="L50" s="312"/>
      <c r="M50" s="292"/>
      <c r="N50" s="292"/>
      <c r="O50" s="292"/>
      <c r="P50" s="292"/>
      <c r="Q50" s="292"/>
      <c r="R50" s="292"/>
      <c r="S50" s="292"/>
      <c r="T50" s="292"/>
      <c r="U50" s="292"/>
      <c r="V50" s="292"/>
      <c r="W50" s="292"/>
      <c r="X50" s="292"/>
      <c r="Y50" s="292"/>
      <c r="Z50" s="292"/>
      <c r="AA50" s="292"/>
      <c r="AB50" s="292"/>
      <c r="AC50" s="292"/>
      <c r="AD50" s="292"/>
      <c r="AE50" s="292"/>
      <c r="AF50" s="292"/>
    </row>
    <row r="51" spans="1:32" ht="15.95" customHeight="1" x14ac:dyDescent="0.25">
      <c r="A51" s="326"/>
      <c r="B51" s="258" t="s">
        <v>31</v>
      </c>
      <c r="C51" s="315" t="s">
        <v>193</v>
      </c>
      <c r="D51" s="315" t="s">
        <v>205</v>
      </c>
      <c r="E51" s="315" t="s">
        <v>204</v>
      </c>
      <c r="F51" s="315" t="s">
        <v>226</v>
      </c>
      <c r="G51" s="315" t="s">
        <v>227</v>
      </c>
      <c r="H51" s="315" t="s">
        <v>228</v>
      </c>
      <c r="I51" s="315" t="s">
        <v>229</v>
      </c>
      <c r="J51" s="315" t="s">
        <v>230</v>
      </c>
      <c r="K51" s="315" t="s">
        <v>231</v>
      </c>
      <c r="L51" s="312"/>
      <c r="M51" s="292"/>
      <c r="N51" s="292"/>
      <c r="O51" s="292"/>
      <c r="P51" s="292"/>
      <c r="Q51" s="292"/>
      <c r="R51" s="292"/>
      <c r="S51" s="292"/>
      <c r="T51" s="292"/>
      <c r="U51" s="292"/>
      <c r="V51" s="292"/>
      <c r="W51" s="292"/>
      <c r="X51" s="292"/>
      <c r="Y51" s="292"/>
      <c r="Z51" s="292"/>
      <c r="AA51" s="292"/>
      <c r="AB51" s="292"/>
      <c r="AC51" s="292"/>
      <c r="AD51" s="292"/>
      <c r="AE51" s="292"/>
      <c r="AF51" s="292"/>
    </row>
    <row r="52" spans="1:32" ht="15.95" customHeight="1" x14ac:dyDescent="0.25">
      <c r="A52" s="326"/>
      <c r="B52" s="258" t="s">
        <v>10</v>
      </c>
      <c r="C52" s="315" t="s">
        <v>232</v>
      </c>
      <c r="D52" s="315" t="s">
        <v>206</v>
      </c>
      <c r="E52" s="315" t="s">
        <v>233</v>
      </c>
      <c r="F52" s="315" t="s">
        <v>234</v>
      </c>
      <c r="G52" s="315" t="s">
        <v>235</v>
      </c>
      <c r="H52" s="315" t="s">
        <v>207</v>
      </c>
      <c r="I52" s="315" t="s">
        <v>236</v>
      </c>
      <c r="J52" s="315" t="s">
        <v>237</v>
      </c>
      <c r="K52" s="315" t="s">
        <v>208</v>
      </c>
      <c r="L52" s="312"/>
      <c r="M52" s="292"/>
      <c r="N52" s="292"/>
      <c r="O52" s="292"/>
      <c r="P52" s="292"/>
      <c r="Q52" s="292"/>
      <c r="R52" s="292"/>
      <c r="S52" s="292"/>
      <c r="T52" s="292"/>
      <c r="U52" s="292"/>
      <c r="V52" s="292"/>
      <c r="W52" s="292"/>
      <c r="X52" s="292"/>
      <c r="Y52" s="292"/>
      <c r="Z52" s="292"/>
      <c r="AA52" s="292"/>
      <c r="AB52" s="292"/>
      <c r="AC52" s="292"/>
      <c r="AD52" s="292"/>
      <c r="AE52" s="292"/>
      <c r="AF52" s="292"/>
    </row>
    <row r="53" spans="1:32" ht="15.95" customHeight="1" x14ac:dyDescent="0.25">
      <c r="A53" s="326"/>
      <c r="B53" s="258" t="s">
        <v>11</v>
      </c>
      <c r="C53" s="315" t="s">
        <v>209</v>
      </c>
      <c r="D53" s="315" t="s">
        <v>210</v>
      </c>
      <c r="E53" s="315" t="s">
        <v>217</v>
      </c>
      <c r="F53" s="315" t="s">
        <v>211</v>
      </c>
      <c r="G53" s="315" t="s">
        <v>212</v>
      </c>
      <c r="H53" s="315" t="s">
        <v>213</v>
      </c>
      <c r="I53" s="315" t="s">
        <v>214</v>
      </c>
      <c r="J53" s="315" t="s">
        <v>215</v>
      </c>
      <c r="K53" s="315" t="s">
        <v>216</v>
      </c>
      <c r="L53" s="312"/>
      <c r="M53" s="292"/>
      <c r="N53" s="292"/>
      <c r="O53" s="292"/>
      <c r="P53" s="292"/>
      <c r="Q53" s="292"/>
      <c r="R53" s="292"/>
      <c r="S53" s="292"/>
      <c r="T53" s="292"/>
      <c r="U53" s="292"/>
      <c r="V53" s="292"/>
      <c r="W53" s="292"/>
      <c r="X53" s="292"/>
      <c r="Y53" s="292"/>
      <c r="Z53" s="292"/>
      <c r="AA53" s="292"/>
      <c r="AB53" s="292"/>
      <c r="AC53" s="292"/>
      <c r="AD53" s="292"/>
      <c r="AE53" s="292"/>
      <c r="AF53" s="292"/>
    </row>
    <row r="54" spans="1:32" x14ac:dyDescent="0.25">
      <c r="A54" s="312"/>
      <c r="B54" s="312"/>
      <c r="C54" s="312"/>
      <c r="D54" s="312"/>
      <c r="E54" s="312"/>
      <c r="F54" s="312"/>
      <c r="G54" s="312"/>
      <c r="H54" s="312"/>
      <c r="I54" s="312"/>
      <c r="J54" s="312"/>
      <c r="K54" s="312"/>
      <c r="L54" s="312"/>
      <c r="M54" s="292"/>
      <c r="N54" s="292"/>
      <c r="O54" s="292"/>
      <c r="P54" s="292"/>
      <c r="Q54" s="292"/>
      <c r="R54" s="292"/>
      <c r="S54" s="292"/>
      <c r="T54" s="292"/>
      <c r="U54" s="292"/>
      <c r="V54" s="292"/>
      <c r="W54" s="292"/>
      <c r="X54" s="292"/>
      <c r="Y54" s="292"/>
      <c r="Z54" s="292"/>
      <c r="AA54" s="292"/>
      <c r="AB54" s="292"/>
      <c r="AC54" s="292"/>
      <c r="AD54" s="292"/>
      <c r="AE54" s="292"/>
      <c r="AF54" s="292"/>
    </row>
    <row r="55" spans="1:32" x14ac:dyDescent="0.25">
      <c r="A55" s="292"/>
      <c r="B55" s="292"/>
      <c r="C55" s="292"/>
      <c r="D55" s="292"/>
      <c r="E55" s="292"/>
      <c r="F55" s="292"/>
      <c r="G55" s="292"/>
      <c r="H55" s="292"/>
      <c r="I55" s="292"/>
      <c r="J55" s="292"/>
      <c r="K55" s="292"/>
      <c r="L55" s="292"/>
      <c r="M55" s="292"/>
      <c r="N55" s="292"/>
      <c r="O55" s="292"/>
      <c r="P55" s="292"/>
      <c r="Q55" s="292"/>
      <c r="R55" s="292"/>
      <c r="S55" s="292"/>
      <c r="T55" s="292"/>
      <c r="U55" s="292"/>
      <c r="V55" s="292"/>
      <c r="W55" s="292"/>
      <c r="X55" s="292"/>
      <c r="Y55" s="292"/>
      <c r="Z55" s="292"/>
      <c r="AA55" s="292"/>
      <c r="AB55" s="292"/>
      <c r="AC55" s="292"/>
      <c r="AD55" s="292"/>
      <c r="AE55" s="292"/>
      <c r="AF55" s="292"/>
    </row>
    <row r="56" spans="1:32" x14ac:dyDescent="0.25">
      <c r="A56" s="292"/>
      <c r="B56" s="292"/>
      <c r="C56" s="292"/>
      <c r="D56" s="292"/>
      <c r="E56" s="292"/>
      <c r="F56" s="292"/>
      <c r="G56" s="292"/>
      <c r="H56" s="292"/>
      <c r="I56" s="292"/>
      <c r="J56" s="292"/>
      <c r="K56" s="292"/>
      <c r="L56" s="292"/>
      <c r="M56" s="292"/>
      <c r="N56" s="292"/>
      <c r="O56" s="292"/>
      <c r="P56" s="292"/>
      <c r="Q56" s="292"/>
      <c r="R56" s="292"/>
      <c r="S56" s="292"/>
      <c r="T56" s="292"/>
      <c r="U56" s="292"/>
      <c r="V56" s="292"/>
      <c r="W56" s="292"/>
      <c r="X56" s="292"/>
      <c r="Y56" s="292"/>
      <c r="Z56" s="292"/>
      <c r="AA56" s="292"/>
      <c r="AB56" s="292"/>
      <c r="AC56" s="292"/>
      <c r="AD56" s="292"/>
      <c r="AE56" s="292"/>
      <c r="AF56" s="292"/>
    </row>
    <row r="57" spans="1:32" x14ac:dyDescent="0.25">
      <c r="A57" s="292"/>
      <c r="B57" s="292"/>
      <c r="C57" s="292"/>
      <c r="D57" s="292"/>
      <c r="E57" s="292"/>
      <c r="F57" s="292"/>
      <c r="G57" s="292"/>
      <c r="H57" s="292"/>
      <c r="I57" s="292"/>
      <c r="J57" s="292"/>
      <c r="K57" s="292"/>
      <c r="L57" s="292"/>
      <c r="M57" s="292"/>
      <c r="N57" s="292"/>
      <c r="O57" s="292"/>
      <c r="P57" s="292"/>
      <c r="Q57" s="292"/>
      <c r="R57" s="292"/>
      <c r="S57" s="292"/>
      <c r="T57" s="292"/>
      <c r="U57" s="292"/>
      <c r="V57" s="292"/>
      <c r="W57" s="292"/>
      <c r="X57" s="292"/>
      <c r="Y57" s="292"/>
      <c r="Z57" s="292"/>
      <c r="AA57" s="292"/>
      <c r="AB57" s="292"/>
      <c r="AC57" s="292"/>
      <c r="AD57" s="292"/>
      <c r="AE57" s="292"/>
      <c r="AF57" s="292"/>
    </row>
    <row r="58" spans="1:32" x14ac:dyDescent="0.25">
      <c r="A58" s="292"/>
      <c r="B58" s="292"/>
      <c r="C58" s="292"/>
      <c r="D58" s="292"/>
      <c r="E58" s="292"/>
      <c r="F58" s="292"/>
      <c r="G58" s="292"/>
      <c r="H58" s="292"/>
      <c r="I58" s="292"/>
      <c r="J58" s="292"/>
      <c r="K58" s="292"/>
      <c r="L58" s="292"/>
      <c r="M58" s="292"/>
      <c r="N58" s="292"/>
      <c r="O58" s="292"/>
      <c r="P58" s="292"/>
      <c r="Q58" s="292"/>
      <c r="R58" s="292"/>
      <c r="S58" s="292"/>
      <c r="T58" s="292"/>
      <c r="U58" s="292"/>
      <c r="V58" s="292"/>
      <c r="W58" s="292"/>
      <c r="X58" s="292"/>
      <c r="Y58" s="292"/>
      <c r="Z58" s="292"/>
      <c r="AA58" s="292"/>
      <c r="AB58" s="292"/>
      <c r="AC58" s="292"/>
      <c r="AD58" s="292"/>
      <c r="AE58" s="292"/>
      <c r="AF58" s="292"/>
    </row>
    <row r="59" spans="1:32" x14ac:dyDescent="0.25">
      <c r="A59" s="292"/>
      <c r="B59" s="292"/>
      <c r="C59" s="292"/>
      <c r="D59" s="292"/>
      <c r="E59" s="292"/>
      <c r="F59" s="292"/>
      <c r="G59" s="292"/>
      <c r="H59" s="292"/>
      <c r="I59" s="292"/>
      <c r="J59" s="292"/>
      <c r="K59" s="292"/>
      <c r="L59" s="292"/>
      <c r="M59" s="292"/>
      <c r="N59" s="292"/>
      <c r="O59" s="292"/>
      <c r="P59" s="292"/>
      <c r="Q59" s="292"/>
      <c r="R59" s="292"/>
      <c r="S59" s="292"/>
      <c r="T59" s="292"/>
      <c r="U59" s="292"/>
      <c r="V59" s="292"/>
      <c r="W59" s="292"/>
      <c r="X59" s="292"/>
      <c r="Y59" s="292"/>
      <c r="Z59" s="292"/>
      <c r="AA59" s="292"/>
      <c r="AB59" s="292"/>
      <c r="AC59" s="292"/>
      <c r="AD59" s="292"/>
      <c r="AE59" s="292"/>
      <c r="AF59" s="292"/>
    </row>
    <row r="60" spans="1:32" x14ac:dyDescent="0.25">
      <c r="A60" s="292"/>
      <c r="B60" s="292"/>
      <c r="C60" s="292"/>
      <c r="D60" s="292"/>
      <c r="E60" s="292"/>
      <c r="F60" s="292"/>
      <c r="G60" s="292"/>
      <c r="H60" s="292"/>
      <c r="I60" s="292"/>
      <c r="J60" s="292"/>
      <c r="K60" s="292"/>
      <c r="L60" s="292"/>
      <c r="M60" s="292"/>
      <c r="N60" s="292"/>
      <c r="O60" s="292"/>
      <c r="P60" s="292"/>
      <c r="Q60" s="292"/>
      <c r="R60" s="292"/>
      <c r="S60" s="292"/>
      <c r="T60" s="292"/>
      <c r="U60" s="292"/>
      <c r="V60" s="292"/>
      <c r="W60" s="292"/>
      <c r="X60" s="292"/>
      <c r="Y60" s="292"/>
      <c r="Z60" s="292"/>
      <c r="AA60" s="292"/>
      <c r="AB60" s="292"/>
      <c r="AC60" s="292"/>
      <c r="AD60" s="292"/>
      <c r="AE60" s="292"/>
      <c r="AF60" s="292"/>
    </row>
    <row r="61" spans="1:32" x14ac:dyDescent="0.25">
      <c r="A61" s="292"/>
      <c r="B61" s="292"/>
      <c r="C61" s="292"/>
      <c r="D61" s="292"/>
      <c r="E61" s="292"/>
      <c r="F61" s="292"/>
      <c r="G61" s="292"/>
      <c r="H61" s="292"/>
      <c r="I61" s="292"/>
      <c r="J61" s="292"/>
      <c r="K61" s="292"/>
      <c r="L61" s="292"/>
      <c r="M61" s="292"/>
      <c r="N61" s="292"/>
      <c r="O61" s="292"/>
      <c r="P61" s="292"/>
      <c r="Q61" s="292"/>
      <c r="R61" s="292"/>
      <c r="S61" s="292"/>
      <c r="T61" s="292"/>
      <c r="U61" s="292"/>
      <c r="V61" s="292"/>
      <c r="W61" s="292"/>
      <c r="X61" s="292"/>
      <c r="Y61" s="292"/>
      <c r="Z61" s="292"/>
      <c r="AA61" s="292"/>
      <c r="AB61" s="292"/>
      <c r="AC61" s="292"/>
      <c r="AD61" s="292"/>
      <c r="AE61" s="292"/>
      <c r="AF61" s="292"/>
    </row>
    <row r="62" spans="1:32" x14ac:dyDescent="0.25">
      <c r="A62" s="292"/>
      <c r="B62" s="292"/>
      <c r="C62" s="292"/>
      <c r="D62" s="292"/>
      <c r="E62" s="292"/>
      <c r="F62" s="292"/>
      <c r="G62" s="292"/>
      <c r="H62" s="292"/>
      <c r="I62" s="292"/>
      <c r="J62" s="292"/>
      <c r="K62" s="292"/>
      <c r="L62" s="292"/>
      <c r="M62" s="292"/>
      <c r="N62" s="292"/>
      <c r="O62" s="292"/>
      <c r="P62" s="292"/>
      <c r="Q62" s="292"/>
      <c r="R62" s="292"/>
      <c r="S62" s="292"/>
      <c r="T62" s="292"/>
      <c r="U62" s="292"/>
      <c r="V62" s="292"/>
      <c r="W62" s="292"/>
      <c r="X62" s="292"/>
      <c r="Y62" s="292"/>
      <c r="Z62" s="292"/>
      <c r="AA62" s="292"/>
      <c r="AB62" s="292"/>
      <c r="AC62" s="292"/>
      <c r="AD62" s="292"/>
      <c r="AE62" s="292"/>
      <c r="AF62" s="292"/>
    </row>
    <row r="63" spans="1:32" x14ac:dyDescent="0.25">
      <c r="A63" s="292"/>
      <c r="B63" s="292"/>
      <c r="C63" s="292"/>
      <c r="D63" s="292"/>
      <c r="E63" s="292"/>
      <c r="F63" s="292"/>
      <c r="G63" s="292"/>
      <c r="H63" s="292"/>
      <c r="I63" s="292"/>
      <c r="J63" s="292"/>
      <c r="K63" s="292"/>
      <c r="L63" s="292"/>
      <c r="M63" s="292"/>
      <c r="N63" s="292"/>
      <c r="O63" s="292"/>
      <c r="P63" s="292"/>
      <c r="Q63" s="292"/>
      <c r="R63" s="292"/>
      <c r="S63" s="292"/>
      <c r="T63" s="292"/>
      <c r="U63" s="292"/>
      <c r="V63" s="292"/>
      <c r="W63" s="292"/>
      <c r="X63" s="292"/>
      <c r="Y63" s="292"/>
      <c r="Z63" s="292"/>
      <c r="AA63" s="292"/>
      <c r="AB63" s="292"/>
      <c r="AC63" s="292"/>
      <c r="AD63" s="292"/>
      <c r="AE63" s="292"/>
      <c r="AF63" s="292"/>
    </row>
    <row r="64" spans="1:32" x14ac:dyDescent="0.25">
      <c r="A64" s="292"/>
      <c r="B64" s="292"/>
      <c r="C64" s="292"/>
      <c r="D64" s="292"/>
      <c r="E64" s="292"/>
      <c r="F64" s="292"/>
      <c r="G64" s="292"/>
      <c r="H64" s="292"/>
      <c r="I64" s="292"/>
      <c r="J64" s="292"/>
      <c r="K64" s="292"/>
      <c r="L64" s="292"/>
      <c r="M64" s="292"/>
      <c r="N64" s="292"/>
      <c r="O64" s="292"/>
      <c r="P64" s="292"/>
      <c r="Q64" s="292"/>
      <c r="R64" s="292"/>
      <c r="S64" s="292"/>
      <c r="T64" s="292"/>
      <c r="U64" s="292"/>
      <c r="V64" s="292"/>
      <c r="W64" s="292"/>
      <c r="X64" s="292"/>
      <c r="Y64" s="292"/>
      <c r="Z64" s="292"/>
      <c r="AA64" s="292"/>
      <c r="AB64" s="292"/>
      <c r="AC64" s="292"/>
      <c r="AD64" s="292"/>
      <c r="AE64" s="292"/>
      <c r="AF64" s="292"/>
    </row>
    <row r="65" spans="1:32" x14ac:dyDescent="0.25">
      <c r="A65" s="292"/>
      <c r="B65" s="292"/>
      <c r="C65" s="292"/>
      <c r="D65" s="292"/>
      <c r="E65" s="292"/>
      <c r="F65" s="292"/>
      <c r="G65" s="292"/>
      <c r="H65" s="292"/>
      <c r="I65" s="292"/>
      <c r="J65" s="292"/>
      <c r="K65" s="292"/>
      <c r="L65" s="292"/>
      <c r="M65" s="292"/>
      <c r="N65" s="292"/>
      <c r="O65" s="292"/>
      <c r="P65" s="292"/>
      <c r="Q65" s="292"/>
      <c r="R65" s="292"/>
      <c r="S65" s="292"/>
      <c r="T65" s="292"/>
      <c r="U65" s="292"/>
      <c r="V65" s="292"/>
      <c r="W65" s="292"/>
      <c r="X65" s="292"/>
      <c r="Y65" s="292"/>
      <c r="Z65" s="292"/>
      <c r="AA65" s="292"/>
      <c r="AB65" s="292"/>
      <c r="AC65" s="292"/>
      <c r="AD65" s="292"/>
      <c r="AE65" s="292"/>
      <c r="AF65" s="292"/>
    </row>
    <row r="66" spans="1:32" x14ac:dyDescent="0.25">
      <c r="A66" s="292"/>
      <c r="B66" s="292"/>
      <c r="C66" s="292"/>
      <c r="D66" s="292"/>
      <c r="E66" s="292"/>
      <c r="F66" s="292"/>
      <c r="G66" s="292"/>
      <c r="H66" s="292"/>
      <c r="I66" s="292"/>
      <c r="J66" s="292"/>
      <c r="K66" s="292"/>
      <c r="L66" s="292"/>
      <c r="M66" s="292"/>
      <c r="N66" s="292"/>
      <c r="O66" s="292"/>
      <c r="P66" s="292"/>
      <c r="Q66" s="292"/>
      <c r="R66" s="292"/>
      <c r="S66" s="292"/>
      <c r="T66" s="292"/>
      <c r="U66" s="292"/>
      <c r="V66" s="292"/>
      <c r="W66" s="292"/>
      <c r="X66" s="292"/>
      <c r="Y66" s="292"/>
      <c r="Z66" s="292"/>
      <c r="AA66" s="292"/>
      <c r="AB66" s="292"/>
      <c r="AC66" s="292"/>
      <c r="AD66" s="292"/>
      <c r="AE66" s="292"/>
      <c r="AF66" s="292"/>
    </row>
    <row r="67" spans="1:32" x14ac:dyDescent="0.25">
      <c r="A67" s="292"/>
      <c r="B67" s="292"/>
      <c r="C67" s="292"/>
      <c r="D67" s="292"/>
      <c r="E67" s="292"/>
      <c r="F67" s="292"/>
      <c r="G67" s="292"/>
      <c r="H67" s="292"/>
      <c r="I67" s="292"/>
      <c r="J67" s="292"/>
      <c r="K67" s="292"/>
      <c r="L67" s="292"/>
      <c r="M67" s="292"/>
      <c r="N67" s="292"/>
      <c r="O67" s="292"/>
      <c r="P67" s="292"/>
      <c r="Q67" s="292"/>
      <c r="R67" s="292"/>
      <c r="S67" s="292"/>
      <c r="T67" s="292"/>
      <c r="U67" s="292"/>
      <c r="V67" s="292"/>
      <c r="W67" s="292"/>
      <c r="X67" s="292"/>
      <c r="Y67" s="292"/>
      <c r="Z67" s="292"/>
      <c r="AA67" s="292"/>
      <c r="AB67" s="292"/>
      <c r="AC67" s="292"/>
      <c r="AD67" s="292"/>
      <c r="AE67" s="292"/>
      <c r="AF67" s="292"/>
    </row>
    <row r="68" spans="1:32" x14ac:dyDescent="0.25">
      <c r="A68" s="292"/>
      <c r="B68" s="292"/>
      <c r="C68" s="292"/>
      <c r="D68" s="292"/>
      <c r="E68" s="292"/>
      <c r="F68" s="292"/>
      <c r="G68" s="292"/>
      <c r="H68" s="292"/>
      <c r="I68" s="292"/>
      <c r="J68" s="292"/>
      <c r="K68" s="292"/>
      <c r="L68" s="292"/>
      <c r="M68" s="292"/>
      <c r="N68" s="292"/>
      <c r="O68" s="292"/>
      <c r="P68" s="292"/>
      <c r="Q68" s="292"/>
      <c r="R68" s="292"/>
      <c r="S68" s="292"/>
      <c r="T68" s="292"/>
      <c r="U68" s="292"/>
      <c r="V68" s="292"/>
      <c r="W68" s="292"/>
      <c r="X68" s="292"/>
      <c r="Y68" s="292"/>
      <c r="Z68" s="292"/>
      <c r="AA68" s="292"/>
      <c r="AB68" s="292"/>
      <c r="AC68" s="292"/>
      <c r="AD68" s="292"/>
      <c r="AE68" s="292"/>
      <c r="AF68" s="292"/>
    </row>
    <row r="69" spans="1:32" x14ac:dyDescent="0.25">
      <c r="A69" s="292"/>
      <c r="B69" s="292"/>
      <c r="C69" s="292"/>
      <c r="D69" s="292"/>
      <c r="E69" s="292"/>
      <c r="F69" s="292"/>
      <c r="G69" s="292"/>
      <c r="H69" s="292"/>
      <c r="I69" s="292"/>
      <c r="J69" s="292"/>
      <c r="K69" s="292"/>
      <c r="L69" s="292"/>
      <c r="M69" s="292"/>
      <c r="N69" s="292"/>
      <c r="O69" s="292"/>
      <c r="P69" s="292"/>
      <c r="Q69" s="292"/>
      <c r="R69" s="292"/>
      <c r="S69" s="292"/>
      <c r="T69" s="292"/>
      <c r="U69" s="292"/>
      <c r="V69" s="292"/>
      <c r="W69" s="292"/>
      <c r="X69" s="292"/>
      <c r="Y69" s="292"/>
      <c r="Z69" s="292"/>
      <c r="AA69" s="292"/>
      <c r="AB69" s="292"/>
      <c r="AC69" s="292"/>
      <c r="AD69" s="292"/>
      <c r="AE69" s="292"/>
      <c r="AF69" s="292"/>
    </row>
    <row r="70" spans="1:32" x14ac:dyDescent="0.25">
      <c r="A70" s="292"/>
      <c r="B70" s="292"/>
      <c r="C70" s="292"/>
      <c r="D70" s="292"/>
      <c r="E70" s="292"/>
      <c r="F70" s="292"/>
      <c r="G70" s="292"/>
      <c r="H70" s="292"/>
      <c r="I70" s="292"/>
      <c r="J70" s="292"/>
      <c r="K70" s="292"/>
      <c r="L70" s="292"/>
      <c r="M70" s="292"/>
      <c r="N70" s="292"/>
      <c r="O70" s="292"/>
      <c r="P70" s="292"/>
      <c r="Q70" s="292"/>
      <c r="R70" s="292"/>
      <c r="S70" s="292"/>
      <c r="T70" s="292"/>
      <c r="U70" s="292"/>
      <c r="V70" s="292"/>
      <c r="W70" s="292"/>
      <c r="X70" s="292"/>
      <c r="Y70" s="292"/>
      <c r="Z70" s="292"/>
      <c r="AA70" s="292"/>
      <c r="AB70" s="292"/>
      <c r="AC70" s="292"/>
      <c r="AD70" s="292"/>
      <c r="AE70" s="292"/>
      <c r="AF70" s="292"/>
    </row>
    <row r="71" spans="1:32" x14ac:dyDescent="0.25">
      <c r="A71" s="292"/>
      <c r="B71" s="292"/>
      <c r="C71" s="292"/>
      <c r="D71" s="292"/>
      <c r="E71" s="292"/>
      <c r="F71" s="292"/>
      <c r="G71" s="292"/>
      <c r="H71" s="292"/>
      <c r="I71" s="292"/>
      <c r="J71" s="292"/>
      <c r="K71" s="292"/>
      <c r="L71" s="292"/>
      <c r="M71" s="292"/>
      <c r="N71" s="292"/>
      <c r="O71" s="292"/>
      <c r="P71" s="292"/>
      <c r="Q71" s="292"/>
      <c r="R71" s="292"/>
      <c r="S71" s="292"/>
      <c r="T71" s="292"/>
      <c r="U71" s="292"/>
      <c r="V71" s="292"/>
      <c r="W71" s="292"/>
      <c r="X71" s="292"/>
      <c r="Y71" s="292"/>
      <c r="Z71" s="292"/>
      <c r="AA71" s="292"/>
      <c r="AB71" s="292"/>
      <c r="AC71" s="292"/>
      <c r="AD71" s="292"/>
      <c r="AE71" s="292"/>
      <c r="AF71" s="292"/>
    </row>
    <row r="72" spans="1:32" x14ac:dyDescent="0.25">
      <c r="A72" s="292"/>
      <c r="B72" s="292"/>
      <c r="C72" s="292"/>
      <c r="D72" s="292"/>
      <c r="E72" s="292"/>
      <c r="F72" s="292"/>
      <c r="G72" s="292"/>
      <c r="H72" s="292"/>
      <c r="I72" s="292"/>
      <c r="J72" s="292"/>
      <c r="K72" s="292"/>
      <c r="L72" s="292"/>
      <c r="M72" s="292"/>
      <c r="N72" s="292"/>
      <c r="O72" s="292"/>
      <c r="P72" s="292"/>
      <c r="Q72" s="292"/>
      <c r="R72" s="292"/>
      <c r="S72" s="292"/>
      <c r="T72" s="292"/>
      <c r="U72" s="292"/>
      <c r="V72" s="292"/>
      <c r="W72" s="292"/>
      <c r="X72" s="292"/>
      <c r="Y72" s="292"/>
      <c r="Z72" s="292"/>
      <c r="AA72" s="292"/>
      <c r="AB72" s="292"/>
      <c r="AC72" s="292"/>
      <c r="AD72" s="292"/>
      <c r="AE72" s="292"/>
      <c r="AF72" s="292"/>
    </row>
    <row r="73" spans="1:32" x14ac:dyDescent="0.25">
      <c r="A73" s="292"/>
      <c r="B73" s="292"/>
      <c r="C73" s="292"/>
      <c r="D73" s="292"/>
      <c r="E73" s="292"/>
      <c r="F73" s="292"/>
      <c r="G73" s="292"/>
      <c r="H73" s="292"/>
      <c r="I73" s="292"/>
      <c r="J73" s="292"/>
      <c r="K73" s="292"/>
      <c r="L73" s="292"/>
      <c r="M73" s="292"/>
      <c r="N73" s="292"/>
      <c r="O73" s="292"/>
      <c r="P73" s="292"/>
      <c r="Q73" s="292"/>
      <c r="R73" s="292"/>
      <c r="S73" s="292"/>
      <c r="T73" s="292"/>
      <c r="U73" s="292"/>
      <c r="V73" s="292"/>
      <c r="W73" s="292"/>
      <c r="X73" s="292"/>
      <c r="Y73" s="292"/>
      <c r="Z73" s="292"/>
      <c r="AA73" s="292"/>
      <c r="AB73" s="292"/>
      <c r="AC73" s="292"/>
      <c r="AD73" s="292"/>
      <c r="AE73" s="292"/>
      <c r="AF73" s="292"/>
    </row>
    <row r="74" spans="1:32" x14ac:dyDescent="0.25">
      <c r="A74" s="292"/>
      <c r="B74" s="292"/>
      <c r="C74" s="292"/>
      <c r="D74" s="292"/>
      <c r="E74" s="292"/>
      <c r="F74" s="292"/>
      <c r="G74" s="292"/>
      <c r="H74" s="292"/>
      <c r="I74" s="292"/>
      <c r="J74" s="292"/>
      <c r="K74" s="292"/>
      <c r="L74" s="292"/>
      <c r="M74" s="292"/>
      <c r="N74" s="292"/>
      <c r="O74" s="292"/>
      <c r="P74" s="292"/>
      <c r="Q74" s="292"/>
      <c r="R74" s="292"/>
      <c r="S74" s="292"/>
      <c r="T74" s="292"/>
      <c r="U74" s="292"/>
      <c r="V74" s="292"/>
      <c r="W74" s="292"/>
      <c r="X74" s="292"/>
      <c r="Y74" s="292"/>
      <c r="Z74" s="292"/>
      <c r="AA74" s="292"/>
      <c r="AB74" s="292"/>
      <c r="AC74" s="292"/>
      <c r="AD74" s="292"/>
      <c r="AE74" s="292"/>
      <c r="AF74" s="292"/>
    </row>
  </sheetData>
  <mergeCells count="6">
    <mergeCell ref="A49:A53"/>
    <mergeCell ref="B28:K28"/>
    <mergeCell ref="A29:A33"/>
    <mergeCell ref="A34:A38"/>
    <mergeCell ref="A39:A43"/>
    <mergeCell ref="A44:A4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1151" r:id="rId3" name="Legal">
          <controlPr defaultSize="0" autoLine="0" r:id="rId4">
            <anchor moveWithCells="1">
              <from>
                <xdr:col>11</xdr:col>
                <xdr:colOff>142875</xdr:colOff>
                <xdr:row>20</xdr:row>
                <xdr:rowOff>0</xdr:rowOff>
              </from>
              <to>
                <xdr:col>12</xdr:col>
                <xdr:colOff>114300</xdr:colOff>
                <xdr:row>21</xdr:row>
                <xdr:rowOff>95250</xdr:rowOff>
              </to>
            </anchor>
          </controlPr>
        </control>
      </mc:Choice>
      <mc:Fallback>
        <control shapeId="91151" r:id="rId3" name="Legal"/>
      </mc:Fallback>
    </mc:AlternateContent>
    <mc:AlternateContent xmlns:mc="http://schemas.openxmlformats.org/markup-compatibility/2006">
      <mc:Choice Requires="x14">
        <control shapeId="91144" r:id="rId5" name="Sencillo">
          <controlPr defaultSize="0" autoLine="0" r:id="rId6">
            <anchor moveWithCells="1">
              <from>
                <xdr:col>11</xdr:col>
                <xdr:colOff>104775</xdr:colOff>
                <xdr:row>12</xdr:row>
                <xdr:rowOff>219075</xdr:rowOff>
              </from>
              <to>
                <xdr:col>12</xdr:col>
                <xdr:colOff>133350</xdr:colOff>
                <xdr:row>14</xdr:row>
                <xdr:rowOff>28575</xdr:rowOff>
              </to>
            </anchor>
          </controlPr>
        </control>
      </mc:Choice>
      <mc:Fallback>
        <control shapeId="91144" r:id="rId5" name="Sencillo"/>
      </mc:Fallback>
    </mc:AlternateContent>
    <mc:AlternateContent xmlns:mc="http://schemas.openxmlformats.org/markup-compatibility/2006">
      <mc:Choice Requires="x14">
        <control shapeId="91145" r:id="rId7" name="Sencillodual">
          <controlPr defaultSize="0" autoLine="0" r:id="rId8">
            <anchor moveWithCells="1">
              <from>
                <xdr:col>11</xdr:col>
                <xdr:colOff>95250</xdr:colOff>
                <xdr:row>14</xdr:row>
                <xdr:rowOff>19050</xdr:rowOff>
              </from>
              <to>
                <xdr:col>12</xdr:col>
                <xdr:colOff>190500</xdr:colOff>
                <xdr:row>15</xdr:row>
                <xdr:rowOff>66675</xdr:rowOff>
              </to>
            </anchor>
          </controlPr>
        </control>
      </mc:Choice>
      <mc:Fallback>
        <control shapeId="91145" r:id="rId7" name="Sencillodual"/>
      </mc:Fallback>
    </mc:AlternateContent>
    <mc:AlternateContent xmlns:mc="http://schemas.openxmlformats.org/markup-compatibility/2006">
      <mc:Choice Requires="x14">
        <control shapeId="91146" r:id="rId9" name="Tandem">
          <controlPr defaultSize="0" autoLine="0" r:id="rId10">
            <anchor moveWithCells="1">
              <from>
                <xdr:col>11</xdr:col>
                <xdr:colOff>123825</xdr:colOff>
                <xdr:row>15</xdr:row>
                <xdr:rowOff>66675</xdr:rowOff>
              </from>
              <to>
                <xdr:col>12</xdr:col>
                <xdr:colOff>523875</xdr:colOff>
                <xdr:row>16</xdr:row>
                <xdr:rowOff>104775</xdr:rowOff>
              </to>
            </anchor>
          </controlPr>
        </control>
      </mc:Choice>
      <mc:Fallback>
        <control shapeId="91146" r:id="rId9" name="Tandem"/>
      </mc:Fallback>
    </mc:AlternateContent>
    <mc:AlternateContent xmlns:mc="http://schemas.openxmlformats.org/markup-compatibility/2006">
      <mc:Choice Requires="x14">
        <control shapeId="91147" r:id="rId11" name="Tridem">
          <controlPr defaultSize="0" autoLine="0" r:id="rId12">
            <anchor moveWithCells="1">
              <from>
                <xdr:col>11</xdr:col>
                <xdr:colOff>123825</xdr:colOff>
                <xdr:row>16</xdr:row>
                <xdr:rowOff>114300</xdr:rowOff>
              </from>
              <to>
                <xdr:col>12</xdr:col>
                <xdr:colOff>219075</xdr:colOff>
                <xdr:row>17</xdr:row>
                <xdr:rowOff>171450</xdr:rowOff>
              </to>
            </anchor>
          </controlPr>
        </control>
      </mc:Choice>
      <mc:Fallback>
        <control shapeId="91147" r:id="rId11" name="Tridem"/>
      </mc:Fallback>
    </mc:AlternateContent>
    <mc:AlternateContent xmlns:mc="http://schemas.openxmlformats.org/markup-compatibility/2006">
      <mc:Choice Requires="x14">
        <control shapeId="91154" r:id="rId13" name="ComboBox2">
          <controlPr defaultSize="0" autoLine="0" r:id="rId14">
            <anchor moveWithCells="1">
              <from>
                <xdr:col>11</xdr:col>
                <xdr:colOff>0</xdr:colOff>
                <xdr:row>10</xdr:row>
                <xdr:rowOff>9525</xdr:rowOff>
              </from>
              <to>
                <xdr:col>12</xdr:col>
                <xdr:colOff>381000</xdr:colOff>
                <xdr:row>11</xdr:row>
                <xdr:rowOff>47625</xdr:rowOff>
              </to>
            </anchor>
          </controlPr>
        </control>
      </mc:Choice>
      <mc:Fallback>
        <control shapeId="91154" r:id="rId13" name="ComboBox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>
    <tabColor rgb="FF00CC00"/>
  </sheetPr>
  <dimension ref="C2:AV30"/>
  <sheetViews>
    <sheetView showGridLines="0" zoomScaleNormal="100" workbookViewId="0">
      <selection activeCell="G28" sqref="G28"/>
    </sheetView>
  </sheetViews>
  <sheetFormatPr baseColWidth="10" defaultColWidth="11.42578125" defaultRowHeight="15" x14ac:dyDescent="0.25"/>
  <cols>
    <col min="1" max="1" width="7.85546875" style="11" customWidth="1"/>
    <col min="2" max="2" width="4" style="11" customWidth="1"/>
    <col min="3" max="3" width="11.42578125" style="11"/>
    <col min="4" max="4" width="15.28515625" style="11" customWidth="1"/>
    <col min="5" max="5" width="11.42578125" style="11"/>
    <col min="6" max="6" width="17.85546875" style="11" customWidth="1"/>
    <col min="7" max="7" width="11.42578125" style="11"/>
    <col min="8" max="8" width="4.7109375" style="11" customWidth="1"/>
    <col min="9" max="26" width="4.140625" style="11" customWidth="1"/>
    <col min="27" max="27" width="2.5703125" style="11" customWidth="1"/>
    <col min="28" max="28" width="6.42578125" style="11" customWidth="1"/>
    <col min="29" max="29" width="4.140625" style="11" customWidth="1"/>
    <col min="30" max="30" width="3.42578125" style="11" customWidth="1"/>
    <col min="31" max="45" width="4.140625" style="11" customWidth="1"/>
    <col min="46" max="46" width="11.42578125" style="11"/>
    <col min="47" max="47" width="13.42578125" style="11" customWidth="1"/>
    <col min="48" max="16384" width="11.42578125" style="11"/>
  </cols>
  <sheetData>
    <row r="2" spans="3:48" x14ac:dyDescent="0.25">
      <c r="L2" s="181"/>
    </row>
    <row r="3" spans="3:48" x14ac:dyDescent="0.25">
      <c r="L3" s="181"/>
    </row>
    <row r="5" spans="3:48" x14ac:dyDescent="0.25">
      <c r="AU5" s="11" t="s">
        <v>29</v>
      </c>
      <c r="AV5" s="220" t="s">
        <v>170</v>
      </c>
    </row>
    <row r="6" spans="3:48" ht="18.75" x14ac:dyDescent="0.25">
      <c r="C6" s="337" t="s">
        <v>72</v>
      </c>
      <c r="D6" s="337"/>
      <c r="E6" s="337"/>
      <c r="F6" s="337"/>
      <c r="H6" s="334" t="s">
        <v>167</v>
      </c>
      <c r="I6" s="334"/>
      <c r="J6" s="334"/>
      <c r="K6" s="334"/>
      <c r="AU6" s="11" t="s">
        <v>116</v>
      </c>
      <c r="AV6" s="220" t="s">
        <v>169</v>
      </c>
    </row>
    <row r="7" spans="3:48" ht="18" x14ac:dyDescent="0.25">
      <c r="C7" s="338" t="s">
        <v>26</v>
      </c>
      <c r="D7" s="338"/>
      <c r="E7" s="338"/>
      <c r="F7" s="175">
        <v>10.09</v>
      </c>
      <c r="H7" s="335" t="s">
        <v>24</v>
      </c>
      <c r="I7" s="335"/>
      <c r="J7" s="335">
        <v>122</v>
      </c>
      <c r="K7" s="335"/>
      <c r="L7" s="133"/>
      <c r="AU7" s="11" t="s">
        <v>10</v>
      </c>
      <c r="AV7" s="221" t="s">
        <v>257</v>
      </c>
    </row>
    <row r="8" spans="3:48" ht="20.25" customHeight="1" x14ac:dyDescent="0.25">
      <c r="C8" s="338" t="s">
        <v>25</v>
      </c>
      <c r="D8" s="338"/>
      <c r="E8" s="338"/>
      <c r="F8" s="175" t="s">
        <v>11</v>
      </c>
      <c r="H8" s="335" t="s">
        <v>23</v>
      </c>
      <c r="I8" s="335"/>
      <c r="J8" s="335">
        <v>36</v>
      </c>
      <c r="K8" s="335"/>
      <c r="L8" s="131"/>
      <c r="AU8" s="11" t="s">
        <v>11</v>
      </c>
      <c r="AV8" s="221" t="s">
        <v>258</v>
      </c>
    </row>
    <row r="9" spans="3:48" ht="15.75" x14ac:dyDescent="0.25">
      <c r="C9" s="338"/>
      <c r="D9" s="338"/>
      <c r="E9" s="338"/>
      <c r="F9" s="175"/>
      <c r="H9" s="334" t="s">
        <v>168</v>
      </c>
      <c r="I9" s="334"/>
      <c r="J9" s="334"/>
      <c r="K9" s="334"/>
      <c r="L9" s="222"/>
      <c r="AV9" s="220" t="s">
        <v>175</v>
      </c>
    </row>
    <row r="10" spans="3:48" ht="18" x14ac:dyDescent="0.35">
      <c r="C10" s="338" t="s">
        <v>91</v>
      </c>
      <c r="D10" s="338"/>
      <c r="E10" s="338"/>
      <c r="F10" s="175">
        <v>3</v>
      </c>
      <c r="H10" s="336" t="s">
        <v>21</v>
      </c>
      <c r="I10" s="336"/>
      <c r="J10" s="332">
        <v>0</v>
      </c>
      <c r="K10" s="332"/>
      <c r="AV10" s="223" t="s">
        <v>259</v>
      </c>
    </row>
    <row r="11" spans="3:48" ht="18" x14ac:dyDescent="0.35">
      <c r="C11" s="338"/>
      <c r="D11" s="338"/>
      <c r="E11" s="338"/>
      <c r="F11" s="175"/>
      <c r="H11" s="336" t="s">
        <v>22</v>
      </c>
      <c r="I11" s="336"/>
      <c r="J11" s="332">
        <v>0</v>
      </c>
      <c r="K11" s="332"/>
      <c r="AV11" s="223" t="s">
        <v>260</v>
      </c>
    </row>
    <row r="12" spans="3:48" ht="15.75" customHeight="1" x14ac:dyDescent="0.25">
      <c r="C12" s="337" t="s">
        <v>1</v>
      </c>
      <c r="D12" s="337"/>
      <c r="E12" s="337"/>
      <c r="F12" s="337"/>
      <c r="G12" s="224"/>
    </row>
    <row r="13" spans="3:48" ht="30" x14ac:dyDescent="0.25">
      <c r="C13" s="131" t="s">
        <v>149</v>
      </c>
      <c r="D13" s="131" t="s">
        <v>150</v>
      </c>
      <c r="E13" s="131" t="s">
        <v>77</v>
      </c>
      <c r="F13" s="131" t="s">
        <v>178</v>
      </c>
      <c r="H13" s="131"/>
      <c r="L13" s="222"/>
    </row>
    <row r="14" spans="3:48" ht="15.75" thickBot="1" x14ac:dyDescent="0.3">
      <c r="C14" s="225">
        <v>1</v>
      </c>
      <c r="D14" s="175" t="s">
        <v>171</v>
      </c>
      <c r="E14" s="175">
        <v>15</v>
      </c>
      <c r="F14" s="175">
        <v>3000</v>
      </c>
      <c r="H14" s="226"/>
      <c r="R14" s="227" t="s">
        <v>175</v>
      </c>
      <c r="S14" s="228"/>
      <c r="T14" s="228"/>
      <c r="U14" s="228"/>
      <c r="V14" s="228"/>
      <c r="W14" s="228"/>
      <c r="X14" s="228"/>
      <c r="Y14" s="11" t="s">
        <v>166</v>
      </c>
      <c r="AB14" s="229"/>
    </row>
    <row r="15" spans="3:48" ht="15" customHeight="1" x14ac:dyDescent="0.25">
      <c r="C15" s="225">
        <v>2</v>
      </c>
      <c r="D15" s="175" t="s">
        <v>172</v>
      </c>
      <c r="E15" s="175">
        <v>30</v>
      </c>
      <c r="F15" s="175">
        <v>300</v>
      </c>
      <c r="H15" s="226"/>
      <c r="P15" s="230"/>
      <c r="Q15" s="230"/>
      <c r="R15" s="231"/>
      <c r="S15" s="230"/>
      <c r="T15" s="230"/>
      <c r="U15" s="333" t="s">
        <v>171</v>
      </c>
      <c r="V15" s="333"/>
      <c r="W15" s="333"/>
      <c r="X15" s="333"/>
      <c r="Y15" s="331"/>
      <c r="Z15" s="331"/>
      <c r="AA15" s="331"/>
      <c r="AB15" s="232"/>
    </row>
    <row r="16" spans="3:48" ht="15" customHeight="1" thickBot="1" x14ac:dyDescent="0.3">
      <c r="C16" s="225">
        <v>3</v>
      </c>
      <c r="D16" s="175" t="s">
        <v>173</v>
      </c>
      <c r="E16" s="175"/>
      <c r="F16" s="175">
        <v>50</v>
      </c>
      <c r="I16" s="233" t="s">
        <v>195</v>
      </c>
      <c r="J16" s="234"/>
      <c r="K16" s="234"/>
      <c r="L16" s="235"/>
      <c r="M16" s="235"/>
      <c r="N16" s="235"/>
      <c r="O16" s="228"/>
      <c r="P16" s="236"/>
      <c r="Q16" s="236"/>
      <c r="R16" s="237" t="s">
        <v>170</v>
      </c>
      <c r="S16" s="230"/>
      <c r="T16" s="230"/>
      <c r="U16" s="333"/>
      <c r="V16" s="333"/>
      <c r="W16" s="333"/>
      <c r="X16" s="333"/>
      <c r="AB16" s="238"/>
    </row>
    <row r="17" spans="3:28" ht="15" customHeight="1" x14ac:dyDescent="0.25">
      <c r="C17" s="225">
        <v>4</v>
      </c>
      <c r="D17" s="175" t="s">
        <v>174</v>
      </c>
      <c r="E17" s="175"/>
      <c r="F17" s="175"/>
      <c r="I17" s="239"/>
      <c r="J17" s="240"/>
      <c r="K17" s="240"/>
      <c r="L17" s="240"/>
      <c r="M17" s="329"/>
      <c r="N17" s="329"/>
      <c r="O17" s="329"/>
      <c r="P17" s="241"/>
      <c r="Q17" s="241"/>
      <c r="R17" s="242"/>
      <c r="S17" s="241"/>
      <c r="T17" s="241"/>
      <c r="U17" s="333" t="s">
        <v>172</v>
      </c>
      <c r="V17" s="333"/>
      <c r="W17" s="333"/>
      <c r="X17" s="333"/>
      <c r="Y17" s="243" t="s">
        <v>198</v>
      </c>
      <c r="AB17" s="244"/>
    </row>
    <row r="18" spans="3:28" ht="15" customHeight="1" thickBot="1" x14ac:dyDescent="0.3">
      <c r="C18" s="225">
        <v>5</v>
      </c>
      <c r="D18" s="175"/>
      <c r="E18" s="175"/>
      <c r="F18" s="175"/>
      <c r="H18" s="131"/>
      <c r="I18" s="233" t="s">
        <v>196</v>
      </c>
      <c r="L18" s="228"/>
      <c r="M18" s="228"/>
      <c r="N18" s="228"/>
      <c r="O18" s="228"/>
      <c r="P18" s="245"/>
      <c r="Q18" s="245"/>
      <c r="R18" s="246" t="s">
        <v>169</v>
      </c>
      <c r="S18" s="241"/>
      <c r="T18" s="241"/>
      <c r="U18" s="333"/>
      <c r="V18" s="333"/>
      <c r="W18" s="333"/>
      <c r="X18" s="333"/>
      <c r="Y18" s="239"/>
      <c r="AB18" s="244"/>
    </row>
    <row r="19" spans="3:28" ht="15" customHeight="1" x14ac:dyDescent="0.25">
      <c r="C19" s="225">
        <v>6</v>
      </c>
      <c r="D19" s="175"/>
      <c r="E19" s="175"/>
      <c r="F19" s="175"/>
      <c r="H19" s="247"/>
      <c r="I19" s="248"/>
      <c r="J19" s="234"/>
      <c r="K19" s="234"/>
      <c r="M19" s="329"/>
      <c r="N19" s="329"/>
      <c r="O19" s="329"/>
      <c r="P19" s="249"/>
      <c r="Q19" s="249"/>
      <c r="R19" s="250"/>
      <c r="S19" s="249"/>
      <c r="T19" s="249"/>
      <c r="U19" s="333" t="s">
        <v>173</v>
      </c>
      <c r="V19" s="333"/>
      <c r="W19" s="333"/>
      <c r="X19" s="333"/>
      <c r="Y19" s="239" t="s">
        <v>199</v>
      </c>
      <c r="AB19" s="244"/>
    </row>
    <row r="20" spans="3:28" ht="15" customHeight="1" x14ac:dyDescent="0.25">
      <c r="C20" s="225">
        <v>7</v>
      </c>
      <c r="D20" s="175"/>
      <c r="E20" s="175"/>
      <c r="F20" s="175"/>
      <c r="H20" s="251"/>
      <c r="I20" s="239"/>
      <c r="J20" s="234"/>
      <c r="K20" s="234"/>
      <c r="L20" s="234"/>
      <c r="M20" s="234"/>
      <c r="N20" s="234"/>
      <c r="P20" s="249"/>
      <c r="Q20" s="249"/>
      <c r="R20" s="252"/>
      <c r="S20" s="249"/>
      <c r="T20" s="249"/>
      <c r="U20" s="333"/>
      <c r="V20" s="333"/>
      <c r="W20" s="333"/>
      <c r="X20" s="333"/>
      <c r="Y20" s="239"/>
      <c r="AB20" s="238"/>
    </row>
    <row r="21" spans="3:28" ht="15" customHeight="1" x14ac:dyDescent="0.25">
      <c r="C21" s="225">
        <v>8</v>
      </c>
      <c r="D21" s="175"/>
      <c r="E21" s="175"/>
      <c r="F21" s="175"/>
      <c r="I21" s="239"/>
      <c r="J21" s="222"/>
      <c r="K21" s="222"/>
      <c r="L21" s="222"/>
      <c r="M21" s="329"/>
      <c r="N21" s="329"/>
      <c r="O21" s="329"/>
      <c r="P21" s="249"/>
      <c r="Q21" s="249"/>
      <c r="R21" s="250"/>
      <c r="S21" s="249"/>
      <c r="T21" s="249"/>
      <c r="U21" s="333"/>
      <c r="V21" s="333"/>
      <c r="W21" s="333"/>
      <c r="X21" s="333"/>
      <c r="Y21" s="239"/>
      <c r="AB21" s="244"/>
    </row>
    <row r="22" spans="3:28" ht="15" customHeight="1" x14ac:dyDescent="0.25">
      <c r="C22" s="225">
        <v>9</v>
      </c>
      <c r="D22" s="175"/>
      <c r="E22" s="175"/>
      <c r="F22" s="175"/>
      <c r="I22" s="239"/>
      <c r="P22" s="249"/>
      <c r="Q22" s="249"/>
      <c r="R22" s="250"/>
      <c r="S22" s="249"/>
      <c r="T22" s="249"/>
      <c r="U22" s="333"/>
      <c r="V22" s="333"/>
      <c r="W22" s="333"/>
      <c r="X22" s="333"/>
      <c r="Y22" s="239"/>
      <c r="AB22" s="238"/>
    </row>
    <row r="23" spans="3:28" ht="15" customHeight="1" x14ac:dyDescent="0.25">
      <c r="C23" s="225">
        <v>10</v>
      </c>
      <c r="D23" s="175"/>
      <c r="E23" s="175"/>
      <c r="F23" s="175"/>
      <c r="I23" s="239"/>
      <c r="M23" s="329"/>
      <c r="N23" s="329"/>
      <c r="O23" s="329"/>
      <c r="P23" s="249"/>
      <c r="Q23" s="249"/>
      <c r="R23" s="250"/>
      <c r="S23" s="249"/>
      <c r="T23" s="249"/>
      <c r="U23" s="332"/>
      <c r="V23" s="332"/>
      <c r="W23" s="332"/>
      <c r="X23" s="332"/>
      <c r="Y23" s="239"/>
      <c r="AB23" s="238"/>
    </row>
    <row r="24" spans="3:28" ht="15" customHeight="1" x14ac:dyDescent="0.25">
      <c r="I24" s="239"/>
      <c r="P24" s="249"/>
      <c r="Q24" s="249"/>
      <c r="R24" s="250"/>
      <c r="S24" s="249"/>
      <c r="T24" s="249"/>
      <c r="U24" s="332"/>
      <c r="V24" s="332"/>
      <c r="W24" s="332"/>
      <c r="X24" s="332"/>
      <c r="Y24" s="239"/>
      <c r="AB24" s="238"/>
    </row>
    <row r="25" spans="3:28" ht="15" customHeight="1" x14ac:dyDescent="0.25">
      <c r="E25" s="179"/>
      <c r="F25" s="179"/>
      <c r="G25" s="179"/>
      <c r="I25" s="239"/>
      <c r="M25" s="330"/>
      <c r="N25" s="330"/>
      <c r="O25" s="330"/>
      <c r="P25" s="249"/>
      <c r="Q25" s="249"/>
      <c r="R25" s="250"/>
      <c r="S25" s="249"/>
      <c r="T25" s="249"/>
      <c r="U25" s="332"/>
      <c r="V25" s="332"/>
      <c r="W25" s="332"/>
      <c r="X25" s="332"/>
      <c r="Y25" s="239"/>
      <c r="AB25" s="238"/>
    </row>
    <row r="26" spans="3:28" ht="15" customHeight="1" x14ac:dyDescent="0.25">
      <c r="I26" s="239"/>
      <c r="P26" s="249"/>
      <c r="Q26" s="249"/>
      <c r="R26" s="250"/>
      <c r="S26" s="249"/>
      <c r="T26" s="249"/>
      <c r="U26" s="234"/>
      <c r="V26" s="234"/>
      <c r="W26" s="234"/>
      <c r="X26" s="234"/>
      <c r="Y26" s="239"/>
      <c r="AB26" s="238"/>
    </row>
    <row r="27" spans="3:28" ht="15" customHeight="1" x14ac:dyDescent="0.25">
      <c r="F27" s="94"/>
      <c r="I27" s="239"/>
      <c r="P27" s="249"/>
      <c r="Q27" s="249"/>
      <c r="R27" s="250"/>
      <c r="S27" s="249"/>
      <c r="T27" s="249"/>
      <c r="U27" s="234"/>
      <c r="V27" s="234"/>
      <c r="W27" s="234"/>
      <c r="X27" s="234"/>
      <c r="Y27" s="239"/>
      <c r="AB27" s="238"/>
    </row>
    <row r="28" spans="3:28" ht="17.25" x14ac:dyDescent="0.25">
      <c r="F28" s="94"/>
      <c r="I28" s="239"/>
    </row>
    <row r="29" spans="3:28" ht="17.25" x14ac:dyDescent="0.25">
      <c r="F29" s="94"/>
    </row>
    <row r="30" spans="3:28" ht="15.75" x14ac:dyDescent="0.25">
      <c r="G30" s="134"/>
      <c r="H30" s="134"/>
      <c r="I30" s="134"/>
      <c r="J30" s="134"/>
    </row>
  </sheetData>
  <mergeCells count="29">
    <mergeCell ref="C12:F12"/>
    <mergeCell ref="C6:F6"/>
    <mergeCell ref="C7:E7"/>
    <mergeCell ref="C8:E8"/>
    <mergeCell ref="C9:E9"/>
    <mergeCell ref="C10:E10"/>
    <mergeCell ref="C11:E11"/>
    <mergeCell ref="H11:I11"/>
    <mergeCell ref="J11:K11"/>
    <mergeCell ref="U15:X16"/>
    <mergeCell ref="H7:I7"/>
    <mergeCell ref="J7:K7"/>
    <mergeCell ref="H6:K6"/>
    <mergeCell ref="H8:I8"/>
    <mergeCell ref="J8:K8"/>
    <mergeCell ref="H9:K9"/>
    <mergeCell ref="H10:I10"/>
    <mergeCell ref="J10:K10"/>
    <mergeCell ref="M23:O23"/>
    <mergeCell ref="M25:O25"/>
    <mergeCell ref="M17:O17"/>
    <mergeCell ref="M21:O21"/>
    <mergeCell ref="Y15:AA15"/>
    <mergeCell ref="M19:O19"/>
    <mergeCell ref="U25:X25"/>
    <mergeCell ref="U17:X18"/>
    <mergeCell ref="U19:X20"/>
    <mergeCell ref="U21:X22"/>
    <mergeCell ref="U23:X24"/>
  </mergeCells>
  <dataValidations count="1">
    <dataValidation type="list" allowBlank="1" showInputMessage="1" showErrorMessage="1" sqref="F8" xr:uid="{00000000-0002-0000-0200-000000000000}">
      <formula1>$AU$5:$AU$8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6506" r:id="rId3" name="ComboBox1">
          <controlPr defaultSize="0" autoLine="0" r:id="rId4">
            <anchor moveWithCells="1">
              <from>
                <xdr:col>5</xdr:col>
                <xdr:colOff>0</xdr:colOff>
                <xdr:row>7</xdr:row>
                <xdr:rowOff>0</xdr:rowOff>
              </from>
              <to>
                <xdr:col>6</xdr:col>
                <xdr:colOff>19050</xdr:colOff>
                <xdr:row>8</xdr:row>
                <xdr:rowOff>19050</xdr:rowOff>
              </to>
            </anchor>
          </controlPr>
        </control>
      </mc:Choice>
      <mc:Fallback>
        <control shapeId="106506" r:id="rId3" name="ComboBox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8">
    <tabColor rgb="FF0070C0"/>
  </sheetPr>
  <dimension ref="A1:AE32"/>
  <sheetViews>
    <sheetView zoomScaleNormal="100" workbookViewId="0">
      <selection activeCell="F13" sqref="F13"/>
    </sheetView>
  </sheetViews>
  <sheetFormatPr baseColWidth="10" defaultColWidth="11.42578125" defaultRowHeight="15" x14ac:dyDescent="0.25"/>
  <cols>
    <col min="1" max="1" width="7.85546875" style="188" customWidth="1"/>
    <col min="2" max="2" width="5.85546875" style="188" customWidth="1"/>
    <col min="3" max="3" width="11.42578125" style="188"/>
    <col min="4" max="4" width="14.85546875" style="188" customWidth="1"/>
    <col min="5" max="5" width="11.42578125" style="188"/>
    <col min="6" max="6" width="19.7109375" style="188" customWidth="1"/>
    <col min="7" max="7" width="11.42578125" style="188"/>
    <col min="8" max="11" width="14.28515625" style="188" customWidth="1"/>
    <col min="12" max="12" width="14.42578125" style="188" customWidth="1"/>
    <col min="13" max="16384" width="11.42578125" style="188"/>
  </cols>
  <sheetData>
    <row r="1" spans="1:31" x14ac:dyDescent="0.25">
      <c r="A1" s="186"/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7"/>
    </row>
    <row r="2" spans="1:31" x14ac:dyDescent="0.25">
      <c r="A2" s="187"/>
      <c r="B2" s="187"/>
      <c r="C2" s="187"/>
      <c r="D2" s="187"/>
      <c r="E2" s="187"/>
      <c r="F2" s="187"/>
      <c r="G2" s="187"/>
      <c r="H2" s="187"/>
      <c r="I2" s="187"/>
      <c r="J2" s="187"/>
      <c r="K2" s="187"/>
      <c r="L2" s="190"/>
      <c r="M2" s="186"/>
      <c r="N2" s="187"/>
      <c r="O2" s="187"/>
    </row>
    <row r="3" spans="1:31" x14ac:dyDescent="0.25">
      <c r="A3" s="187"/>
      <c r="B3" s="187"/>
      <c r="C3" s="187"/>
      <c r="D3" s="187"/>
      <c r="E3" s="187"/>
      <c r="F3" s="187"/>
      <c r="G3" s="187"/>
      <c r="H3" s="187"/>
      <c r="I3" s="187"/>
      <c r="J3" s="187"/>
      <c r="K3" s="187"/>
      <c r="L3" s="190"/>
      <c r="M3" s="186"/>
      <c r="N3" s="187"/>
      <c r="O3" s="187"/>
    </row>
    <row r="4" spans="1:31" x14ac:dyDescent="0.25">
      <c r="A4" s="187"/>
      <c r="B4" s="187"/>
      <c r="C4" s="187"/>
      <c r="D4" s="187"/>
      <c r="E4" s="187"/>
      <c r="F4" s="187"/>
      <c r="G4" s="187"/>
      <c r="H4" s="187"/>
      <c r="I4" s="187"/>
      <c r="J4" s="187"/>
      <c r="K4" s="187"/>
      <c r="L4" s="187"/>
      <c r="M4" s="187"/>
      <c r="N4" s="187"/>
      <c r="O4" s="187"/>
      <c r="Z4" s="339"/>
      <c r="AA4" s="339"/>
      <c r="AB4" s="339"/>
      <c r="AC4" s="339"/>
      <c r="AD4" s="339"/>
      <c r="AE4" s="339"/>
    </row>
    <row r="5" spans="1:31" x14ac:dyDescent="0.25">
      <c r="A5" s="187"/>
      <c r="B5"/>
      <c r="C5"/>
      <c r="D5"/>
      <c r="E5"/>
      <c r="F5"/>
      <c r="G5"/>
      <c r="H5"/>
      <c r="I5"/>
      <c r="J5"/>
      <c r="K5"/>
      <c r="L5"/>
      <c r="M5"/>
      <c r="N5"/>
      <c r="O5"/>
    </row>
    <row r="6" spans="1:31" ht="15.75" x14ac:dyDescent="0.25">
      <c r="A6" s="187"/>
      <c r="B6"/>
      <c r="C6"/>
      <c r="D6"/>
      <c r="E6"/>
      <c r="F6"/>
      <c r="G6"/>
      <c r="H6"/>
      <c r="I6" s="340" t="s">
        <v>42</v>
      </c>
      <c r="J6" s="341"/>
      <c r="K6" s="341"/>
      <c r="L6" s="342"/>
      <c r="M6"/>
      <c r="N6"/>
      <c r="O6"/>
    </row>
    <row r="7" spans="1:31" ht="18" customHeight="1" x14ac:dyDescent="0.25">
      <c r="A7" s="187"/>
      <c r="B7"/>
      <c r="C7" s="348" t="s">
        <v>91</v>
      </c>
      <c r="D7" s="348"/>
      <c r="E7" s="348"/>
      <c r="F7" s="173">
        <v>3</v>
      </c>
      <c r="G7"/>
      <c r="H7"/>
      <c r="I7" s="344" t="s">
        <v>44</v>
      </c>
      <c r="J7" s="344"/>
      <c r="K7" s="343" t="s">
        <v>43</v>
      </c>
      <c r="L7" s="343"/>
      <c r="M7"/>
      <c r="N7"/>
      <c r="O7"/>
    </row>
    <row r="8" spans="1:31" ht="18" customHeight="1" x14ac:dyDescent="0.25">
      <c r="A8" s="187"/>
      <c r="B8"/>
      <c r="C8"/>
      <c r="D8"/>
      <c r="E8"/>
      <c r="F8" s="170"/>
      <c r="G8"/>
      <c r="H8"/>
      <c r="I8" s="344" t="s">
        <v>45</v>
      </c>
      <c r="J8" s="344"/>
      <c r="K8" s="343" t="s">
        <v>43</v>
      </c>
      <c r="L8" s="343"/>
      <c r="M8"/>
      <c r="N8"/>
      <c r="O8"/>
    </row>
    <row r="9" spans="1:31" x14ac:dyDescent="0.25">
      <c r="A9" s="187"/>
      <c r="B9"/>
      <c r="C9"/>
      <c r="D9"/>
      <c r="E9"/>
      <c r="F9"/>
      <c r="G9"/>
      <c r="H9"/>
      <c r="I9"/>
      <c r="J9"/>
      <c r="K9"/>
      <c r="L9"/>
      <c r="M9"/>
      <c r="N9"/>
      <c r="O9"/>
    </row>
    <row r="10" spans="1:31" x14ac:dyDescent="0.25">
      <c r="A10" s="187"/>
      <c r="B10"/>
      <c r="C10" s="171"/>
      <c r="D10" s="171"/>
      <c r="E10" s="171"/>
      <c r="F10" s="154"/>
      <c r="G10"/>
      <c r="H10"/>
      <c r="I10"/>
      <c r="J10"/>
      <c r="K10"/>
      <c r="L10"/>
      <c r="M10"/>
      <c r="N10"/>
      <c r="O10"/>
    </row>
    <row r="11" spans="1:31" ht="18.75" x14ac:dyDescent="0.25">
      <c r="A11" s="187"/>
      <c r="B11"/>
      <c r="C11" s="345" t="s">
        <v>1</v>
      </c>
      <c r="D11" s="346"/>
      <c r="E11" s="346"/>
      <c r="F11" s="347"/>
      <c r="G11"/>
      <c r="H11"/>
      <c r="I11"/>
      <c r="J11"/>
      <c r="K11"/>
      <c r="L11"/>
      <c r="M11"/>
      <c r="N11"/>
      <c r="O11"/>
    </row>
    <row r="12" spans="1:31" ht="30" x14ac:dyDescent="0.25">
      <c r="A12" s="187"/>
      <c r="B12"/>
      <c r="C12" s="172" t="s">
        <v>149</v>
      </c>
      <c r="D12" s="172" t="s">
        <v>150</v>
      </c>
      <c r="E12" s="172" t="s">
        <v>77</v>
      </c>
      <c r="F12" s="172" t="s">
        <v>178</v>
      </c>
      <c r="G12"/>
      <c r="H12"/>
      <c r="I12"/>
      <c r="J12"/>
      <c r="K12"/>
      <c r="L12"/>
      <c r="M12" s="89"/>
      <c r="N12"/>
      <c r="O12"/>
    </row>
    <row r="13" spans="1:31" x14ac:dyDescent="0.25">
      <c r="A13" s="187"/>
      <c r="B13"/>
      <c r="C13" s="114">
        <v>1</v>
      </c>
      <c r="D13" s="173" t="s">
        <v>238</v>
      </c>
      <c r="E13" s="173">
        <v>10</v>
      </c>
      <c r="F13" s="173">
        <v>4032</v>
      </c>
      <c r="G13"/>
      <c r="H13"/>
      <c r="I13"/>
      <c r="J13"/>
      <c r="K13"/>
      <c r="L13"/>
      <c r="M13"/>
      <c r="N13"/>
      <c r="O13"/>
    </row>
    <row r="14" spans="1:31" ht="15.75" customHeight="1" x14ac:dyDescent="0.25">
      <c r="A14" s="187"/>
      <c r="B14"/>
      <c r="C14" s="114">
        <v>2</v>
      </c>
      <c r="D14" s="173" t="s">
        <v>197</v>
      </c>
      <c r="E14" s="173">
        <v>40</v>
      </c>
      <c r="F14" s="173">
        <v>691.2</v>
      </c>
      <c r="G14"/>
      <c r="H14"/>
      <c r="I14"/>
      <c r="J14"/>
      <c r="K14"/>
      <c r="L14" s="133"/>
      <c r="M14" s="133"/>
      <c r="N14" s="133"/>
      <c r="O14" s="133"/>
    </row>
    <row r="15" spans="1:31" ht="15.75" customHeight="1" x14ac:dyDescent="0.25">
      <c r="A15" s="187"/>
      <c r="B15"/>
      <c r="C15" s="114">
        <v>3</v>
      </c>
      <c r="D15" s="173" t="s">
        <v>202</v>
      </c>
      <c r="E15" s="173">
        <v>5</v>
      </c>
      <c r="F15" s="173">
        <v>115.2</v>
      </c>
      <c r="G15"/>
      <c r="H15"/>
      <c r="I15" s="348" t="s">
        <v>151</v>
      </c>
      <c r="J15" s="348"/>
      <c r="K15" s="348"/>
      <c r="L15" s="203" t="s">
        <v>256</v>
      </c>
      <c r="M15" s="133"/>
      <c r="N15" s="133"/>
      <c r="O15" s="133"/>
    </row>
    <row r="16" spans="1:31" ht="15.75" customHeight="1" x14ac:dyDescent="0.25">
      <c r="A16" s="187"/>
      <c r="B16"/>
      <c r="C16" s="114">
        <v>4</v>
      </c>
      <c r="D16" s="173"/>
      <c r="E16" s="173"/>
      <c r="F16" s="173"/>
      <c r="G16"/>
      <c r="H16"/>
      <c r="I16" s="348" t="s">
        <v>152</v>
      </c>
      <c r="J16" s="348"/>
      <c r="K16" s="348"/>
      <c r="L16" s="203" t="s">
        <v>256</v>
      </c>
      <c r="M16" s="133"/>
      <c r="N16" s="133"/>
      <c r="O16" s="133"/>
    </row>
    <row r="17" spans="1:26" ht="17.25" x14ac:dyDescent="0.3">
      <c r="A17" s="187"/>
      <c r="B17"/>
      <c r="C17" s="114">
        <v>5</v>
      </c>
      <c r="D17" s="173"/>
      <c r="E17" s="173"/>
      <c r="F17" s="173"/>
      <c r="G17"/>
      <c r="H17"/>
      <c r="I17"/>
      <c r="J17"/>
      <c r="K17"/>
      <c r="L17"/>
      <c r="M17"/>
      <c r="N17"/>
      <c r="O17"/>
      <c r="P17" s="208"/>
      <c r="Q17" s="209"/>
      <c r="R17" s="208"/>
    </row>
    <row r="18" spans="1:26" ht="17.25" x14ac:dyDescent="0.3">
      <c r="A18" s="187"/>
      <c r="B18"/>
      <c r="C18" s="114">
        <v>6</v>
      </c>
      <c r="D18" s="173"/>
      <c r="E18" s="173"/>
      <c r="F18" s="173"/>
      <c r="G18"/>
      <c r="H18"/>
      <c r="I18"/>
      <c r="J18"/>
      <c r="K18"/>
      <c r="L18"/>
      <c r="M18"/>
      <c r="N18"/>
      <c r="O18"/>
      <c r="P18" s="208"/>
      <c r="Q18" s="209"/>
      <c r="R18" s="208"/>
    </row>
    <row r="19" spans="1:26" ht="17.25" x14ac:dyDescent="0.3">
      <c r="A19" s="187"/>
      <c r="B19"/>
      <c r="C19" s="114">
        <v>7</v>
      </c>
      <c r="D19" s="173"/>
      <c r="E19" s="173"/>
      <c r="F19" s="173"/>
      <c r="G19"/>
      <c r="H19"/>
      <c r="I19"/>
      <c r="J19"/>
      <c r="K19"/>
      <c r="L19"/>
      <c r="M19"/>
      <c r="N19"/>
      <c r="O19"/>
      <c r="P19" s="208"/>
      <c r="Q19" s="209"/>
      <c r="R19" s="208"/>
    </row>
    <row r="20" spans="1:26" x14ac:dyDescent="0.25">
      <c r="A20" s="187"/>
      <c r="B20"/>
      <c r="C20" s="114">
        <v>8</v>
      </c>
      <c r="D20" s="173"/>
      <c r="E20" s="173"/>
      <c r="F20" s="173"/>
      <c r="G20"/>
      <c r="H20"/>
      <c r="I20"/>
      <c r="J20"/>
      <c r="K20"/>
      <c r="L20"/>
      <c r="M20"/>
      <c r="N20"/>
      <c r="O20"/>
    </row>
    <row r="21" spans="1:26" x14ac:dyDescent="0.25">
      <c r="A21" s="187"/>
      <c r="B21"/>
      <c r="C21" s="114">
        <v>9</v>
      </c>
      <c r="D21" s="173"/>
      <c r="E21" s="173"/>
      <c r="F21" s="173"/>
      <c r="G21"/>
      <c r="H21" s="145"/>
      <c r="I21"/>
      <c r="J21"/>
      <c r="K21"/>
      <c r="L21"/>
      <c r="M21"/>
      <c r="N21"/>
      <c r="O21"/>
    </row>
    <row r="22" spans="1:26" ht="15.75" customHeight="1" x14ac:dyDescent="0.25">
      <c r="A22" s="187"/>
      <c r="B22"/>
      <c r="C22" s="114">
        <v>10</v>
      </c>
      <c r="D22" s="173"/>
      <c r="E22" s="173"/>
      <c r="F22" s="173"/>
      <c r="G22"/>
      <c r="H22"/>
      <c r="I22"/>
      <c r="J22"/>
      <c r="K22"/>
      <c r="L22"/>
      <c r="M22"/>
      <c r="N22"/>
      <c r="O22"/>
    </row>
    <row r="23" spans="1:26" ht="15.75" customHeight="1" x14ac:dyDescent="0.25">
      <c r="A23" s="187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Z23" s="210"/>
    </row>
    <row r="24" spans="1:26" ht="18.75" x14ac:dyDescent="0.25">
      <c r="A24" s="187"/>
      <c r="E24" s="211"/>
      <c r="F24" s="211"/>
      <c r="Z24" s="212"/>
    </row>
    <row r="25" spans="1:26" ht="18.75" x14ac:dyDescent="0.25">
      <c r="A25" s="187"/>
      <c r="G25" s="211"/>
      <c r="Z25" s="212"/>
    </row>
    <row r="26" spans="1:26" ht="17.25" x14ac:dyDescent="0.25">
      <c r="A26" s="187"/>
      <c r="F26" s="213"/>
      <c r="Z26" s="212" t="s">
        <v>254</v>
      </c>
    </row>
    <row r="27" spans="1:26" ht="17.25" x14ac:dyDescent="0.25">
      <c r="A27" s="187"/>
      <c r="F27" s="213"/>
      <c r="Z27" s="212" t="s">
        <v>255</v>
      </c>
    </row>
    <row r="28" spans="1:26" ht="17.25" x14ac:dyDescent="0.25">
      <c r="A28" s="187"/>
      <c r="F28" s="213"/>
      <c r="Z28" s="212">
        <v>6.1799999999999998E-8</v>
      </c>
    </row>
    <row r="29" spans="1:26" x14ac:dyDescent="0.25">
      <c r="Z29" s="212">
        <v>3.95</v>
      </c>
    </row>
    <row r="30" spans="1:26" x14ac:dyDescent="0.25">
      <c r="Z30" s="212">
        <v>1.1358E-3</v>
      </c>
    </row>
    <row r="31" spans="1:26" x14ac:dyDescent="0.25">
      <c r="Z31" s="214">
        <v>3.2909999999999999</v>
      </c>
    </row>
    <row r="32" spans="1:26" x14ac:dyDescent="0.25">
      <c r="Z32" s="212">
        <v>0.85399999999999998</v>
      </c>
    </row>
  </sheetData>
  <sheetProtection password="8FE7" sheet="1" objects="1" scenarios="1"/>
  <mergeCells count="11">
    <mergeCell ref="C11:F11"/>
    <mergeCell ref="I15:K15"/>
    <mergeCell ref="I16:K16"/>
    <mergeCell ref="C7:E7"/>
    <mergeCell ref="Z4:AB4"/>
    <mergeCell ref="AC4:AE4"/>
    <mergeCell ref="I6:L6"/>
    <mergeCell ref="K7:L7"/>
    <mergeCell ref="K8:L8"/>
    <mergeCell ref="I7:J7"/>
    <mergeCell ref="I8:J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8556" r:id="rId3" name="ComboBoxFatiga">
          <controlPr defaultSize="0" autoLine="0" r:id="rId4">
            <anchor moveWithCells="1">
              <from>
                <xdr:col>10</xdr:col>
                <xdr:colOff>0</xdr:colOff>
                <xdr:row>5</xdr:row>
                <xdr:rowOff>190500</xdr:rowOff>
              </from>
              <to>
                <xdr:col>12</xdr:col>
                <xdr:colOff>28575</xdr:colOff>
                <xdr:row>7</xdr:row>
                <xdr:rowOff>9525</xdr:rowOff>
              </to>
            </anchor>
          </controlPr>
        </control>
      </mc:Choice>
      <mc:Fallback>
        <control shapeId="108556" r:id="rId3" name="ComboBoxFatiga"/>
      </mc:Fallback>
    </mc:AlternateContent>
    <mc:AlternateContent xmlns:mc="http://schemas.openxmlformats.org/markup-compatibility/2006">
      <mc:Choice Requires="x14">
        <control shapeId="108558" r:id="rId5" name="ComboBoxDeformacion">
          <controlPr defaultSize="0" autoLine="0" r:id="rId6">
            <anchor moveWithCells="1">
              <from>
                <xdr:col>10</xdr:col>
                <xdr:colOff>0</xdr:colOff>
                <xdr:row>7</xdr:row>
                <xdr:rowOff>0</xdr:rowOff>
              </from>
              <to>
                <xdr:col>12</xdr:col>
                <xdr:colOff>28575</xdr:colOff>
                <xdr:row>8</xdr:row>
                <xdr:rowOff>19050</xdr:rowOff>
              </to>
            </anchor>
          </controlPr>
        </control>
      </mc:Choice>
      <mc:Fallback>
        <control shapeId="108558" r:id="rId5" name="ComboBoxDeformacion"/>
      </mc:Fallback>
    </mc:AlternateContent>
    <mc:AlternateContent xmlns:mc="http://schemas.openxmlformats.org/markup-compatibility/2006">
      <mc:Choice Requires="x14">
        <control shapeId="108546" r:id="rId7" name="Button 2">
          <controlPr defaultSize="0" print="0" autoFill="0" autoPict="0" macro="[0]!IniciaAnalisisEspectral">
            <anchor moveWithCells="1" sizeWithCells="1">
              <from>
                <xdr:col>8</xdr:col>
                <xdr:colOff>685800</xdr:colOff>
                <xdr:row>10</xdr:row>
                <xdr:rowOff>142875</xdr:rowOff>
              </from>
              <to>
                <xdr:col>11</xdr:col>
                <xdr:colOff>276225</xdr:colOff>
                <xdr:row>12</xdr:row>
                <xdr:rowOff>85725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">
    <tabColor rgb="FF00CC00"/>
  </sheetPr>
  <dimension ref="A1:AP70"/>
  <sheetViews>
    <sheetView showGridLines="0" zoomScale="85" zoomScaleNormal="85" workbookViewId="0">
      <selection activeCell="E14" sqref="E14"/>
    </sheetView>
  </sheetViews>
  <sheetFormatPr baseColWidth="10" defaultColWidth="11.5703125" defaultRowHeight="15" x14ac:dyDescent="0.25"/>
  <cols>
    <col min="1" max="1" width="7.85546875" customWidth="1"/>
    <col min="2" max="2" width="4" customWidth="1"/>
    <col min="6" max="6" width="19.7109375" customWidth="1"/>
    <col min="7" max="7" width="12.85546875" customWidth="1"/>
    <col min="9" max="14" width="14.28515625" customWidth="1"/>
  </cols>
  <sheetData>
    <row r="1" spans="1:42" x14ac:dyDescent="0.25">
      <c r="A1" s="217">
        <v>1</v>
      </c>
      <c r="B1" s="217">
        <v>2</v>
      </c>
      <c r="C1" s="217">
        <v>3</v>
      </c>
      <c r="D1" s="217">
        <v>4</v>
      </c>
      <c r="E1" s="217">
        <v>5</v>
      </c>
      <c r="F1" s="217">
        <v>6</v>
      </c>
      <c r="G1" s="217">
        <v>7</v>
      </c>
      <c r="H1" s="217">
        <v>8</v>
      </c>
      <c r="I1" s="217">
        <v>9</v>
      </c>
      <c r="J1" s="217">
        <v>10</v>
      </c>
      <c r="K1" s="217">
        <v>11</v>
      </c>
      <c r="L1" s="217">
        <v>12</v>
      </c>
      <c r="M1" s="217">
        <v>13</v>
      </c>
      <c r="N1" s="217">
        <v>14</v>
      </c>
      <c r="O1" s="217">
        <v>15</v>
      </c>
      <c r="P1" s="217">
        <v>16</v>
      </c>
      <c r="Q1" s="217">
        <v>16</v>
      </c>
      <c r="R1" s="217"/>
      <c r="S1" s="217"/>
      <c r="T1" s="217"/>
      <c r="U1" s="217"/>
      <c r="V1" s="217"/>
      <c r="W1" s="217"/>
      <c r="X1" s="217"/>
      <c r="Y1" s="217"/>
      <c r="Z1" s="217"/>
      <c r="AA1" s="217"/>
      <c r="AB1" s="217"/>
      <c r="AC1" s="217"/>
      <c r="AD1" s="217"/>
      <c r="AE1" s="217"/>
      <c r="AF1" s="217"/>
      <c r="AG1" s="217"/>
      <c r="AH1" s="217"/>
      <c r="AI1" s="217"/>
      <c r="AJ1" s="217"/>
      <c r="AK1" s="217"/>
      <c r="AL1" s="217"/>
      <c r="AM1" s="217"/>
      <c r="AN1" s="217"/>
      <c r="AO1" s="11"/>
      <c r="AP1" s="11"/>
    </row>
    <row r="2" spans="1:42" x14ac:dyDescent="0.25">
      <c r="A2" s="217"/>
      <c r="B2" s="217"/>
      <c r="C2" s="217"/>
      <c r="D2" s="217"/>
      <c r="E2" s="217"/>
      <c r="F2" s="217"/>
      <c r="G2" s="217"/>
      <c r="H2" s="217"/>
      <c r="I2" s="217"/>
      <c r="J2" s="217"/>
      <c r="K2" s="217"/>
      <c r="L2" s="217"/>
      <c r="M2" s="253"/>
      <c r="N2" s="217"/>
      <c r="O2" s="217"/>
      <c r="P2" s="217"/>
      <c r="Q2" s="217"/>
      <c r="R2" s="217"/>
      <c r="S2" s="217"/>
      <c r="T2" s="217"/>
      <c r="U2" s="217"/>
      <c r="V2" s="217"/>
      <c r="W2" s="217"/>
      <c r="X2" s="217"/>
      <c r="Y2" s="217"/>
      <c r="Z2" s="217"/>
      <c r="AA2" s="217"/>
      <c r="AB2" s="217"/>
      <c r="AC2" s="217"/>
      <c r="AD2" s="217"/>
      <c r="AE2" s="217"/>
      <c r="AF2" s="217"/>
      <c r="AG2" s="217"/>
      <c r="AH2" s="217"/>
      <c r="AI2" s="217"/>
      <c r="AJ2" s="217"/>
      <c r="AK2" s="217"/>
      <c r="AL2" s="217"/>
      <c r="AM2" s="217"/>
      <c r="AN2" s="217"/>
      <c r="AO2" s="11"/>
      <c r="AP2" s="11"/>
    </row>
    <row r="3" spans="1:42" x14ac:dyDescent="0.25">
      <c r="A3" s="217"/>
      <c r="B3" s="217"/>
      <c r="C3" s="217"/>
      <c r="D3" s="217"/>
      <c r="E3" s="217"/>
      <c r="F3" s="217"/>
      <c r="G3" s="217"/>
      <c r="H3" s="217"/>
      <c r="I3" s="217"/>
      <c r="J3" s="217"/>
      <c r="K3" s="217"/>
      <c r="L3" s="217"/>
      <c r="M3" s="253"/>
      <c r="N3" s="217"/>
      <c r="O3" s="217"/>
      <c r="P3" s="217"/>
      <c r="Q3" s="217"/>
      <c r="R3" s="217"/>
      <c r="S3" s="217"/>
      <c r="T3" s="217"/>
      <c r="U3" s="217"/>
      <c r="V3" s="217"/>
      <c r="W3" s="217"/>
      <c r="X3" s="217"/>
      <c r="Y3" s="217"/>
      <c r="Z3" s="217"/>
      <c r="AA3" s="217"/>
      <c r="AB3" s="217"/>
      <c r="AC3" s="217"/>
      <c r="AD3" s="217"/>
      <c r="AE3" s="217"/>
      <c r="AF3" s="217"/>
      <c r="AG3" s="217"/>
      <c r="AH3" s="217"/>
      <c r="AI3" s="217"/>
      <c r="AJ3" s="217"/>
      <c r="AK3" s="217"/>
      <c r="AL3" s="217"/>
      <c r="AM3" s="217"/>
      <c r="AN3" s="217"/>
      <c r="AO3" s="11"/>
      <c r="AP3" s="11"/>
    </row>
    <row r="4" spans="1:42" x14ac:dyDescent="0.25">
      <c r="A4" s="217"/>
      <c r="B4" s="217"/>
      <c r="C4" s="217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P4" s="217"/>
      <c r="Q4" s="217"/>
      <c r="R4" s="217"/>
      <c r="S4" s="217"/>
      <c r="T4" s="217"/>
      <c r="U4" s="217"/>
      <c r="V4" s="217"/>
      <c r="W4" s="217"/>
      <c r="X4" s="217"/>
      <c r="Y4" s="217"/>
      <c r="Z4" s="217"/>
      <c r="AA4" s="217"/>
      <c r="AB4" s="217"/>
      <c r="AC4" s="217"/>
      <c r="AD4" s="217"/>
      <c r="AE4" s="217"/>
      <c r="AF4" s="217"/>
      <c r="AG4" s="217"/>
      <c r="AH4" s="217"/>
      <c r="AI4" s="217"/>
      <c r="AJ4" s="217"/>
      <c r="AK4" s="217"/>
      <c r="AL4" s="217"/>
      <c r="AM4" s="217"/>
      <c r="AN4" s="217"/>
      <c r="AO4" s="11"/>
      <c r="AP4" s="11"/>
    </row>
    <row r="5" spans="1:42" x14ac:dyDescent="0.25">
      <c r="A5" s="217"/>
      <c r="B5" s="217"/>
      <c r="C5" s="217"/>
      <c r="D5" s="217"/>
      <c r="E5" s="217"/>
      <c r="F5" s="217"/>
      <c r="G5" s="217"/>
      <c r="H5" s="217"/>
      <c r="I5" s="217"/>
      <c r="J5" s="217"/>
      <c r="K5" s="217"/>
      <c r="L5" s="217"/>
      <c r="M5" s="217"/>
      <c r="N5" s="217"/>
      <c r="O5" s="217"/>
      <c r="P5" s="217"/>
      <c r="Q5" s="217"/>
      <c r="R5" s="217"/>
      <c r="S5" s="217"/>
      <c r="T5" s="217"/>
      <c r="U5" s="217"/>
      <c r="V5" s="217"/>
      <c r="W5" s="217"/>
      <c r="X5" s="217"/>
      <c r="Y5" s="217"/>
      <c r="Z5" s="217"/>
      <c r="AA5" s="217"/>
      <c r="AB5" s="217" t="s">
        <v>29</v>
      </c>
      <c r="AC5" s="217"/>
      <c r="AD5" s="217"/>
      <c r="AE5" s="217"/>
      <c r="AF5" s="217"/>
      <c r="AG5" s="217"/>
      <c r="AH5" s="217"/>
      <c r="AI5" s="217"/>
      <c r="AJ5" s="217"/>
      <c r="AK5" s="217"/>
      <c r="AL5" s="217"/>
      <c r="AM5" s="217"/>
      <c r="AN5" s="217"/>
      <c r="AO5" s="11"/>
      <c r="AP5" s="11"/>
    </row>
    <row r="6" spans="1:42" ht="18.75" x14ac:dyDescent="0.25">
      <c r="A6" s="217"/>
      <c r="B6" s="217"/>
      <c r="C6" s="349" t="s">
        <v>72</v>
      </c>
      <c r="D6" s="350"/>
      <c r="E6" s="350"/>
      <c r="F6" s="351"/>
      <c r="G6" s="254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  <c r="S6" s="217"/>
      <c r="T6" s="217"/>
      <c r="U6" s="217"/>
      <c r="V6" s="217"/>
      <c r="W6" s="217"/>
      <c r="X6" s="217"/>
      <c r="Y6" s="217"/>
      <c r="Z6" s="217"/>
      <c r="AA6" s="217"/>
      <c r="AB6" s="217" t="s">
        <v>116</v>
      </c>
      <c r="AC6" s="217"/>
      <c r="AD6" s="217"/>
      <c r="AE6" s="217"/>
      <c r="AF6" s="217"/>
      <c r="AG6" s="217"/>
      <c r="AH6" s="217"/>
      <c r="AI6" s="217"/>
      <c r="AJ6" s="217"/>
      <c r="AK6" s="217"/>
      <c r="AL6" s="217"/>
      <c r="AM6" s="217"/>
      <c r="AN6" s="217"/>
      <c r="AO6" s="11"/>
      <c r="AP6" s="11"/>
    </row>
    <row r="7" spans="1:42" ht="15.75" x14ac:dyDescent="0.25">
      <c r="A7" s="217"/>
      <c r="B7" s="217"/>
      <c r="C7" s="353" t="s">
        <v>26</v>
      </c>
      <c r="D7" s="353"/>
      <c r="E7" s="353"/>
      <c r="F7" s="255">
        <v>0.5</v>
      </c>
      <c r="G7" s="217"/>
      <c r="H7" s="217"/>
      <c r="I7" s="217"/>
      <c r="J7" s="217"/>
      <c r="K7" s="217"/>
      <c r="L7" s="217"/>
      <c r="M7" s="256"/>
      <c r="N7" s="217"/>
      <c r="O7" s="217"/>
      <c r="P7" s="217"/>
      <c r="Q7" s="217"/>
      <c r="R7" s="217"/>
      <c r="S7" s="217"/>
      <c r="T7" s="217"/>
      <c r="U7" s="217"/>
      <c r="V7" s="217"/>
      <c r="W7" s="217"/>
      <c r="X7" s="217"/>
      <c r="Y7" s="217"/>
      <c r="Z7" s="217"/>
      <c r="AA7" s="217"/>
      <c r="AB7" s="217" t="s">
        <v>10</v>
      </c>
      <c r="AC7" s="217"/>
      <c r="AD7" s="217"/>
      <c r="AE7" s="217"/>
      <c r="AF7" s="217"/>
      <c r="AG7" s="217"/>
      <c r="AH7" s="217"/>
      <c r="AI7" s="217"/>
      <c r="AJ7" s="217"/>
      <c r="AK7" s="217"/>
      <c r="AL7" s="217"/>
      <c r="AM7" s="217"/>
      <c r="AN7" s="217"/>
      <c r="AO7" s="11"/>
      <c r="AP7" s="11"/>
    </row>
    <row r="8" spans="1:42" x14ac:dyDescent="0.25">
      <c r="A8" s="217"/>
      <c r="B8" s="217"/>
      <c r="C8" s="353" t="s">
        <v>25</v>
      </c>
      <c r="D8" s="353"/>
      <c r="E8" s="353"/>
      <c r="F8" s="255" t="s">
        <v>264</v>
      </c>
      <c r="G8" s="217"/>
      <c r="H8" s="217"/>
      <c r="I8" s="217"/>
      <c r="J8" s="217"/>
      <c r="K8" s="217"/>
      <c r="L8" s="217"/>
      <c r="M8" s="217"/>
      <c r="N8" s="217"/>
      <c r="O8" s="217"/>
      <c r="P8" s="217"/>
      <c r="Q8" s="217"/>
      <c r="R8" s="217"/>
      <c r="S8" s="217"/>
      <c r="T8" s="217"/>
      <c r="U8" s="217"/>
      <c r="V8" s="217"/>
      <c r="W8" s="217"/>
      <c r="X8" s="217"/>
      <c r="Y8" s="217"/>
      <c r="Z8" s="217"/>
      <c r="AA8" s="217"/>
      <c r="AB8" s="217" t="s">
        <v>11</v>
      </c>
      <c r="AC8" s="217"/>
      <c r="AD8" s="217"/>
      <c r="AE8" s="217"/>
      <c r="AF8" s="217"/>
      <c r="AG8" s="217"/>
      <c r="AH8" s="217"/>
      <c r="AI8" s="217"/>
      <c r="AJ8" s="217"/>
      <c r="AK8" s="217"/>
      <c r="AL8" s="217"/>
      <c r="AM8" s="217"/>
      <c r="AN8" s="217"/>
      <c r="AO8" s="11"/>
      <c r="AP8" s="11"/>
    </row>
    <row r="9" spans="1:42" x14ac:dyDescent="0.25">
      <c r="A9" s="217"/>
      <c r="B9" s="217"/>
      <c r="C9" s="353" t="s">
        <v>73</v>
      </c>
      <c r="D9" s="353"/>
      <c r="E9" s="353"/>
      <c r="F9" s="255">
        <v>90</v>
      </c>
      <c r="G9" s="217"/>
      <c r="H9" s="217"/>
      <c r="I9" s="217"/>
      <c r="J9" s="217"/>
      <c r="K9" s="217"/>
      <c r="L9" s="217"/>
      <c r="M9" s="217"/>
      <c r="N9" s="217"/>
      <c r="O9" s="217"/>
      <c r="P9" s="217"/>
      <c r="Q9" s="217"/>
      <c r="R9" s="217"/>
      <c r="S9" s="217"/>
      <c r="T9" s="217"/>
      <c r="U9" s="217"/>
      <c r="V9" s="217"/>
      <c r="W9" s="217"/>
      <c r="X9" s="217"/>
      <c r="Y9" s="217"/>
      <c r="Z9" s="217"/>
      <c r="AA9" s="217"/>
      <c r="AB9" s="217"/>
      <c r="AC9" s="217"/>
      <c r="AD9" s="217"/>
      <c r="AE9" s="217"/>
      <c r="AF9" s="217"/>
      <c r="AG9" s="217"/>
      <c r="AH9" s="217"/>
      <c r="AI9" s="217"/>
      <c r="AJ9" s="217"/>
      <c r="AK9" s="217"/>
      <c r="AL9" s="217"/>
      <c r="AM9" s="217"/>
      <c r="AN9" s="217"/>
      <c r="AO9" s="11"/>
      <c r="AP9" s="11"/>
    </row>
    <row r="10" spans="1:42" x14ac:dyDescent="0.25">
      <c r="A10" s="217"/>
      <c r="B10" s="217"/>
      <c r="C10" s="353" t="s">
        <v>91</v>
      </c>
      <c r="D10" s="353"/>
      <c r="E10" s="353"/>
      <c r="F10" s="255">
        <v>3</v>
      </c>
      <c r="G10" s="217"/>
      <c r="H10" s="217"/>
      <c r="I10" s="217"/>
      <c r="J10" s="217"/>
      <c r="K10" s="217"/>
      <c r="L10" s="217"/>
      <c r="M10" s="217"/>
      <c r="N10" s="217"/>
      <c r="O10" s="217"/>
      <c r="P10" s="217"/>
      <c r="Q10" s="217"/>
      <c r="R10" s="217"/>
      <c r="S10" s="217"/>
      <c r="T10" s="217"/>
      <c r="U10" s="217"/>
      <c r="V10" s="217"/>
      <c r="W10" s="217"/>
      <c r="X10" s="217"/>
      <c r="Y10" s="217"/>
      <c r="Z10" s="217"/>
      <c r="AA10" s="217"/>
      <c r="AB10" s="217"/>
      <c r="AC10" s="217"/>
      <c r="AD10" s="217"/>
      <c r="AE10" s="217"/>
      <c r="AF10" s="217"/>
      <c r="AG10" s="217"/>
      <c r="AH10" s="217"/>
      <c r="AI10" s="217"/>
      <c r="AJ10" s="217"/>
      <c r="AK10" s="217"/>
      <c r="AL10" s="217"/>
      <c r="AM10" s="217"/>
      <c r="AN10" s="217"/>
      <c r="AO10" s="11"/>
      <c r="AP10" s="11"/>
    </row>
    <row r="11" spans="1:42" x14ac:dyDescent="0.25">
      <c r="A11" s="217"/>
      <c r="B11" s="217"/>
      <c r="C11" s="353" t="s">
        <v>115</v>
      </c>
      <c r="D11" s="353"/>
      <c r="E11" s="353"/>
      <c r="F11" s="255">
        <v>0.35</v>
      </c>
      <c r="G11" s="217"/>
      <c r="H11" s="217"/>
      <c r="I11" s="217"/>
      <c r="J11" s="217"/>
      <c r="K11" s="217"/>
      <c r="L11" s="217"/>
      <c r="M11" s="217"/>
      <c r="N11" s="217"/>
      <c r="O11" s="217"/>
      <c r="P11" s="217"/>
      <c r="Q11" s="217"/>
      <c r="R11" s="217"/>
      <c r="S11" s="217"/>
      <c r="T11" s="217"/>
      <c r="U11" s="217"/>
      <c r="V11" s="217"/>
      <c r="W11" s="217"/>
      <c r="X11" s="217"/>
      <c r="Y11" s="217"/>
      <c r="Z11" s="217"/>
      <c r="AA11" s="217"/>
      <c r="AB11" s="217"/>
      <c r="AC11" s="217"/>
      <c r="AD11" s="217"/>
      <c r="AE11" s="217"/>
      <c r="AF11" s="217"/>
      <c r="AG11" s="217"/>
      <c r="AH11" s="217"/>
      <c r="AI11" s="217"/>
      <c r="AJ11" s="217"/>
      <c r="AK11" s="217"/>
      <c r="AL11" s="217"/>
      <c r="AM11" s="217"/>
      <c r="AN11" s="217"/>
      <c r="AO11" s="11"/>
      <c r="AP11" s="11"/>
    </row>
    <row r="12" spans="1:42" ht="18.75" x14ac:dyDescent="0.25">
      <c r="A12" s="217"/>
      <c r="B12" s="217"/>
      <c r="C12" s="349" t="s">
        <v>1</v>
      </c>
      <c r="D12" s="350"/>
      <c r="E12" s="350"/>
      <c r="F12" s="351"/>
      <c r="G12" s="254"/>
      <c r="H12" s="257"/>
      <c r="I12" s="217"/>
      <c r="J12" s="217"/>
      <c r="K12" s="217"/>
      <c r="L12" s="217"/>
      <c r="M12" s="217"/>
      <c r="N12" s="217"/>
      <c r="O12" s="217"/>
      <c r="P12" s="217"/>
      <c r="Q12" s="217"/>
      <c r="R12" s="217"/>
      <c r="S12" s="217"/>
      <c r="T12" s="217"/>
      <c r="U12" s="217"/>
      <c r="V12" s="217"/>
      <c r="W12" s="217"/>
      <c r="X12" s="217"/>
      <c r="Y12" s="217"/>
      <c r="Z12" s="217"/>
      <c r="AA12" s="217"/>
      <c r="AB12" s="217"/>
      <c r="AC12" s="217"/>
      <c r="AD12" s="217"/>
      <c r="AE12" s="217"/>
      <c r="AF12" s="217"/>
      <c r="AG12" s="217"/>
      <c r="AH12" s="217"/>
      <c r="AI12" s="217"/>
      <c r="AJ12" s="217"/>
      <c r="AK12" s="217"/>
      <c r="AL12" s="217"/>
      <c r="AM12" s="217"/>
      <c r="AN12" s="217"/>
      <c r="AO12" s="11"/>
      <c r="AP12" s="11"/>
    </row>
    <row r="13" spans="1:42" ht="30" x14ac:dyDescent="0.25">
      <c r="A13" s="217"/>
      <c r="B13" s="217"/>
      <c r="C13" s="258" t="s">
        <v>149</v>
      </c>
      <c r="D13" s="258" t="s">
        <v>150</v>
      </c>
      <c r="E13" s="258" t="s">
        <v>77</v>
      </c>
      <c r="F13" s="258" t="s">
        <v>165</v>
      </c>
      <c r="G13" s="259"/>
      <c r="H13" s="217"/>
      <c r="I13" s="216"/>
      <c r="J13" s="216"/>
      <c r="K13" s="216"/>
      <c r="L13" s="216"/>
      <c r="M13" s="216"/>
      <c r="N13" s="216"/>
      <c r="O13" s="217"/>
      <c r="P13" s="217"/>
      <c r="Q13" s="217"/>
      <c r="R13" s="217"/>
      <c r="S13" s="217"/>
      <c r="T13" s="217"/>
      <c r="U13" s="217"/>
      <c r="V13" s="217"/>
      <c r="W13" s="217"/>
      <c r="X13" s="217"/>
      <c r="Y13" s="217"/>
      <c r="Z13" s="217"/>
      <c r="AA13" s="217"/>
      <c r="AB13" s="217"/>
      <c r="AC13" s="217"/>
      <c r="AD13" s="217"/>
      <c r="AE13" s="217"/>
      <c r="AF13" s="217"/>
      <c r="AG13" s="217"/>
      <c r="AH13" s="217"/>
      <c r="AI13" s="217"/>
      <c r="AJ13" s="217"/>
      <c r="AK13" s="217"/>
      <c r="AL13" s="217"/>
      <c r="AM13" s="217"/>
      <c r="AN13" s="217"/>
      <c r="AO13" s="11"/>
      <c r="AP13" s="11"/>
    </row>
    <row r="14" spans="1:42" x14ac:dyDescent="0.25">
      <c r="A14" s="217"/>
      <c r="B14" s="217"/>
      <c r="C14" s="260">
        <v>1</v>
      </c>
      <c r="D14" s="255" t="s">
        <v>238</v>
      </c>
      <c r="E14" s="255">
        <v>10</v>
      </c>
      <c r="F14" s="255">
        <v>4032000</v>
      </c>
      <c r="G14" s="261"/>
      <c r="H14" s="217"/>
      <c r="I14" s="262"/>
      <c r="J14" s="263"/>
      <c r="K14" s="262"/>
      <c r="L14" s="264"/>
      <c r="M14" s="264"/>
      <c r="N14" s="265"/>
      <c r="O14" s="217"/>
      <c r="P14" s="217"/>
      <c r="Q14" s="217"/>
      <c r="R14" s="217"/>
      <c r="S14" s="217"/>
      <c r="T14" s="217"/>
      <c r="U14" s="217"/>
      <c r="V14" s="217"/>
      <c r="W14" s="217"/>
      <c r="X14" s="217"/>
      <c r="Y14" s="217"/>
      <c r="Z14" s="217"/>
      <c r="AA14" s="217"/>
      <c r="AB14" s="217"/>
      <c r="AC14" s="217"/>
      <c r="AD14" s="217"/>
      <c r="AE14" s="217"/>
      <c r="AF14" s="217"/>
      <c r="AG14" s="217"/>
      <c r="AH14" s="217"/>
      <c r="AI14" s="217"/>
      <c r="AJ14" s="217"/>
      <c r="AK14" s="217"/>
      <c r="AL14" s="217"/>
      <c r="AM14" s="217"/>
      <c r="AN14" s="217"/>
      <c r="AO14" s="11"/>
      <c r="AP14" s="11"/>
    </row>
    <row r="15" spans="1:42" x14ac:dyDescent="0.25">
      <c r="A15" s="217"/>
      <c r="B15" s="217"/>
      <c r="C15" s="260">
        <v>2</v>
      </c>
      <c r="D15" s="255" t="s">
        <v>197</v>
      </c>
      <c r="E15" s="255">
        <v>40</v>
      </c>
      <c r="F15" s="255">
        <v>691200</v>
      </c>
      <c r="G15" s="261"/>
      <c r="H15" s="217"/>
      <c r="I15" s="262"/>
      <c r="J15" s="263"/>
      <c r="K15" s="262"/>
      <c r="L15" s="264"/>
      <c r="M15" s="264"/>
      <c r="N15" s="266"/>
      <c r="O15" s="217"/>
      <c r="P15" s="217"/>
      <c r="Q15" s="217"/>
      <c r="R15" s="217"/>
      <c r="S15" s="217"/>
      <c r="T15" s="217"/>
      <c r="U15" s="217"/>
      <c r="V15" s="217"/>
      <c r="W15" s="217"/>
      <c r="X15" s="217"/>
      <c r="Y15" s="217"/>
      <c r="Z15" s="217"/>
      <c r="AA15" s="217"/>
      <c r="AB15" s="217"/>
      <c r="AC15" s="217"/>
      <c r="AD15" s="217"/>
      <c r="AE15" s="217"/>
      <c r="AF15" s="217"/>
      <c r="AG15" s="217"/>
      <c r="AH15" s="217"/>
      <c r="AI15" s="217"/>
      <c r="AJ15" s="217"/>
      <c r="AK15" s="217"/>
      <c r="AL15" s="217"/>
      <c r="AM15" s="217"/>
      <c r="AN15" s="217"/>
      <c r="AO15" s="11"/>
      <c r="AP15" s="11"/>
    </row>
    <row r="16" spans="1:42" x14ac:dyDescent="0.25">
      <c r="A16" s="217"/>
      <c r="B16" s="217"/>
      <c r="C16" s="260">
        <v>3</v>
      </c>
      <c r="D16" s="255" t="s">
        <v>202</v>
      </c>
      <c r="E16" s="255">
        <v>5</v>
      </c>
      <c r="F16" s="255">
        <v>115200</v>
      </c>
      <c r="G16" s="261"/>
      <c r="H16" s="217"/>
      <c r="I16" s="217"/>
      <c r="J16" s="217"/>
      <c r="K16" s="217"/>
      <c r="L16" s="217"/>
      <c r="M16" s="217"/>
      <c r="N16" s="217"/>
      <c r="O16" s="217"/>
      <c r="P16" s="217"/>
      <c r="Q16" s="217"/>
      <c r="R16" s="217"/>
      <c r="S16" s="217"/>
      <c r="T16" s="217"/>
      <c r="U16" s="217"/>
      <c r="V16" s="217"/>
      <c r="W16" s="217"/>
      <c r="X16" s="217"/>
      <c r="Y16" s="217"/>
      <c r="Z16" s="217"/>
      <c r="AA16" s="217"/>
      <c r="AB16" s="217"/>
      <c r="AC16" s="217"/>
      <c r="AD16" s="217"/>
      <c r="AE16" s="217"/>
      <c r="AF16" s="217"/>
      <c r="AG16" s="217"/>
      <c r="AH16" s="217"/>
      <c r="AI16" s="217"/>
      <c r="AJ16" s="217"/>
      <c r="AK16" s="217"/>
      <c r="AL16" s="217"/>
      <c r="AM16" s="217"/>
      <c r="AN16" s="217"/>
      <c r="AO16" s="11"/>
      <c r="AP16" s="11"/>
    </row>
    <row r="17" spans="1:42" ht="17.25" x14ac:dyDescent="0.3">
      <c r="A17" s="217"/>
      <c r="B17" s="217"/>
      <c r="C17" s="260">
        <v>4</v>
      </c>
      <c r="D17" s="255"/>
      <c r="E17" s="255"/>
      <c r="F17" s="255">
        <v>0</v>
      </c>
      <c r="G17" s="261"/>
      <c r="H17" s="217"/>
      <c r="I17" s="217"/>
      <c r="J17" s="217"/>
      <c r="K17" s="217"/>
      <c r="L17" s="217"/>
      <c r="M17" s="217"/>
      <c r="N17" s="217"/>
      <c r="O17" s="217"/>
      <c r="P17" s="217"/>
      <c r="Q17" s="217"/>
      <c r="R17" s="217"/>
      <c r="S17" s="267"/>
      <c r="T17" s="268"/>
      <c r="U17" s="267"/>
      <c r="V17" s="217"/>
      <c r="W17" s="217"/>
      <c r="X17" s="217"/>
      <c r="Y17" s="217"/>
      <c r="Z17" s="217"/>
      <c r="AA17" s="217"/>
      <c r="AB17" s="217"/>
      <c r="AC17" s="217"/>
      <c r="AD17" s="217"/>
      <c r="AE17" s="217"/>
      <c r="AF17" s="217"/>
      <c r="AG17" s="217"/>
      <c r="AH17" s="217"/>
      <c r="AI17" s="217"/>
      <c r="AJ17" s="217"/>
      <c r="AK17" s="217"/>
      <c r="AL17" s="217"/>
      <c r="AM17" s="217"/>
      <c r="AN17" s="217"/>
      <c r="AO17" s="11"/>
      <c r="AP17" s="11"/>
    </row>
    <row r="18" spans="1:42" ht="17.25" x14ac:dyDescent="0.3">
      <c r="A18" s="217"/>
      <c r="B18" s="217"/>
      <c r="C18" s="260">
        <v>5</v>
      </c>
      <c r="D18" s="255"/>
      <c r="E18" s="255"/>
      <c r="F18" s="255">
        <v>0</v>
      </c>
      <c r="G18" s="261"/>
      <c r="H18" s="217"/>
      <c r="I18" s="217"/>
      <c r="J18" s="217"/>
      <c r="K18" s="217"/>
      <c r="L18" s="217"/>
      <c r="M18" s="217"/>
      <c r="N18" s="217"/>
      <c r="O18" s="217"/>
      <c r="P18" s="217"/>
      <c r="Q18" s="217"/>
      <c r="R18" s="217"/>
      <c r="S18" s="267"/>
      <c r="T18" s="268"/>
      <c r="U18" s="267"/>
      <c r="V18" s="217"/>
      <c r="W18" s="217"/>
      <c r="X18" s="217"/>
      <c r="Y18" s="217"/>
      <c r="Z18" s="217"/>
      <c r="AA18" s="217"/>
      <c r="AB18" s="217"/>
      <c r="AC18" s="217"/>
      <c r="AD18" s="217"/>
      <c r="AE18" s="217"/>
      <c r="AF18" s="217"/>
      <c r="AG18" s="217"/>
      <c r="AH18" s="217"/>
      <c r="AI18" s="217"/>
      <c r="AJ18" s="217"/>
      <c r="AK18" s="217"/>
      <c r="AL18" s="217"/>
      <c r="AM18" s="217"/>
      <c r="AN18" s="217"/>
      <c r="AO18" s="11"/>
      <c r="AP18" s="11"/>
    </row>
    <row r="19" spans="1:42" ht="17.25" x14ac:dyDescent="0.3">
      <c r="A19" s="217"/>
      <c r="B19" s="217"/>
      <c r="C19" s="260">
        <v>6</v>
      </c>
      <c r="D19" s="255"/>
      <c r="E19" s="255"/>
      <c r="F19" s="255">
        <v>0</v>
      </c>
      <c r="G19" s="261"/>
      <c r="H19" s="217"/>
      <c r="I19" s="217"/>
      <c r="J19" s="217"/>
      <c r="K19" s="217"/>
      <c r="L19" s="217"/>
      <c r="M19" s="217"/>
      <c r="N19" s="217"/>
      <c r="O19" s="217"/>
      <c r="P19" s="217"/>
      <c r="Q19" s="217"/>
      <c r="R19" s="217"/>
      <c r="S19" s="267"/>
      <c r="T19" s="268"/>
      <c r="U19" s="267"/>
      <c r="V19" s="217"/>
      <c r="W19" s="217"/>
      <c r="X19" s="217"/>
      <c r="Y19" s="217"/>
      <c r="Z19" s="217"/>
      <c r="AA19" s="217"/>
      <c r="AB19" s="217"/>
      <c r="AC19" s="217"/>
      <c r="AD19" s="217"/>
      <c r="AE19" s="217"/>
      <c r="AF19" s="217"/>
      <c r="AG19" s="217"/>
      <c r="AH19" s="217"/>
      <c r="AI19" s="217"/>
      <c r="AJ19" s="217"/>
      <c r="AK19" s="217"/>
      <c r="AL19" s="217"/>
      <c r="AM19" s="217"/>
      <c r="AN19" s="217"/>
      <c r="AO19" s="11"/>
      <c r="AP19" s="11"/>
    </row>
    <row r="20" spans="1:42" x14ac:dyDescent="0.25">
      <c r="A20" s="217"/>
      <c r="B20" s="217"/>
      <c r="C20" s="260">
        <v>7</v>
      </c>
      <c r="D20" s="255"/>
      <c r="E20" s="255"/>
      <c r="F20" s="255">
        <v>0</v>
      </c>
      <c r="G20" s="261"/>
      <c r="H20" s="217"/>
      <c r="I20" s="217"/>
      <c r="J20" s="217"/>
      <c r="K20" s="217"/>
      <c r="L20" s="217"/>
      <c r="M20" s="217"/>
      <c r="N20" s="217"/>
      <c r="O20" s="217"/>
      <c r="P20" s="217"/>
      <c r="Q20" s="217"/>
      <c r="R20" s="217"/>
      <c r="S20" s="217"/>
      <c r="T20" s="217"/>
      <c r="U20" s="217"/>
      <c r="V20" s="217"/>
      <c r="W20" s="217"/>
      <c r="X20" s="217"/>
      <c r="Y20" s="217"/>
      <c r="Z20" s="217"/>
      <c r="AA20" s="217"/>
      <c r="AB20" s="217"/>
      <c r="AC20" s="217"/>
      <c r="AD20" s="217"/>
      <c r="AE20" s="217"/>
      <c r="AF20" s="217"/>
      <c r="AG20" s="217"/>
      <c r="AH20" s="217"/>
      <c r="AI20" s="217"/>
      <c r="AJ20" s="217"/>
      <c r="AK20" s="217"/>
      <c r="AL20" s="217"/>
      <c r="AM20" s="217"/>
      <c r="AN20" s="217"/>
      <c r="AO20" s="11"/>
      <c r="AP20" s="11"/>
    </row>
    <row r="21" spans="1:42" x14ac:dyDescent="0.25">
      <c r="A21" s="217"/>
      <c r="B21" s="217"/>
      <c r="C21" s="260">
        <v>8</v>
      </c>
      <c r="D21" s="255"/>
      <c r="E21" s="255"/>
      <c r="F21" s="255">
        <v>0</v>
      </c>
      <c r="G21" s="261"/>
      <c r="H21" s="217"/>
      <c r="I21" s="269"/>
      <c r="J21" s="269"/>
      <c r="K21" s="269"/>
      <c r="L21" s="270"/>
      <c r="M21" s="217"/>
      <c r="N21" s="217"/>
      <c r="O21" s="217"/>
      <c r="P21" s="217"/>
      <c r="Q21" s="217"/>
      <c r="R21" s="217"/>
      <c r="S21" s="217"/>
      <c r="T21" s="217"/>
      <c r="U21" s="217"/>
      <c r="V21" s="217"/>
      <c r="W21" s="217"/>
      <c r="X21" s="217"/>
      <c r="Y21" s="217"/>
      <c r="Z21" s="217"/>
      <c r="AA21" s="217"/>
      <c r="AB21" s="217"/>
      <c r="AC21" s="217"/>
      <c r="AD21" s="217"/>
      <c r="AE21" s="217"/>
      <c r="AF21" s="217"/>
      <c r="AG21" s="217"/>
      <c r="AH21" s="217"/>
      <c r="AI21" s="217"/>
      <c r="AJ21" s="217"/>
      <c r="AK21" s="217"/>
      <c r="AL21" s="217"/>
      <c r="AM21" s="217"/>
      <c r="AN21" s="217"/>
      <c r="AO21" s="11"/>
      <c r="AP21" s="11"/>
    </row>
    <row r="22" spans="1:42" ht="15.75" customHeight="1" x14ac:dyDescent="0.25">
      <c r="A22" s="217"/>
      <c r="B22" s="217"/>
      <c r="C22" s="260">
        <v>9</v>
      </c>
      <c r="D22" s="255"/>
      <c r="E22" s="255"/>
      <c r="F22" s="255">
        <v>0</v>
      </c>
      <c r="G22" s="261"/>
      <c r="H22" s="217"/>
      <c r="I22" s="352"/>
      <c r="J22" s="352"/>
      <c r="K22" s="352"/>
      <c r="L22" s="264"/>
      <c r="M22" s="217"/>
      <c r="N22" s="217"/>
      <c r="O22" s="217"/>
      <c r="P22" s="217"/>
      <c r="Q22" s="217"/>
      <c r="R22" s="217"/>
      <c r="S22" s="217"/>
      <c r="T22" s="217"/>
      <c r="U22" s="217"/>
      <c r="V22" s="217"/>
      <c r="W22" s="217"/>
      <c r="X22" s="217"/>
      <c r="Y22" s="217"/>
      <c r="Z22" s="217"/>
      <c r="AA22" s="217"/>
      <c r="AB22" s="217"/>
      <c r="AC22" s="217"/>
      <c r="AD22" s="217"/>
      <c r="AE22" s="217"/>
      <c r="AF22" s="217"/>
      <c r="AG22" s="217"/>
      <c r="AH22" s="217"/>
      <c r="AI22" s="217"/>
      <c r="AJ22" s="217"/>
      <c r="AK22" s="217"/>
      <c r="AL22" s="217"/>
      <c r="AM22" s="217"/>
      <c r="AN22" s="217"/>
      <c r="AO22" s="11"/>
      <c r="AP22" s="11"/>
    </row>
    <row r="23" spans="1:42" ht="15.75" customHeight="1" x14ac:dyDescent="0.25">
      <c r="A23" s="217"/>
      <c r="B23" s="217"/>
      <c r="C23" s="260">
        <v>10</v>
      </c>
      <c r="D23" s="255"/>
      <c r="E23" s="255"/>
      <c r="F23" s="255">
        <v>0</v>
      </c>
      <c r="G23" s="261"/>
      <c r="H23" s="217"/>
      <c r="I23" s="352"/>
      <c r="J23" s="352"/>
      <c r="K23" s="352"/>
      <c r="L23" s="264"/>
      <c r="M23" s="217"/>
      <c r="N23" s="217"/>
      <c r="O23" s="217"/>
      <c r="P23" s="217"/>
      <c r="Q23" s="217"/>
      <c r="R23" s="217"/>
      <c r="S23" s="217"/>
      <c r="T23" s="217"/>
      <c r="U23" s="217"/>
      <c r="V23" s="217"/>
      <c r="W23" s="217"/>
      <c r="X23" s="217"/>
      <c r="Y23" s="217"/>
      <c r="Z23" s="217"/>
      <c r="AA23" s="217"/>
      <c r="AB23" s="217"/>
      <c r="AC23" s="217"/>
      <c r="AD23" s="217"/>
      <c r="AE23" s="217"/>
      <c r="AF23" s="217"/>
      <c r="AG23" s="217"/>
      <c r="AH23" s="217"/>
      <c r="AI23" s="217"/>
      <c r="AJ23" s="217"/>
      <c r="AK23" s="217"/>
      <c r="AL23" s="217"/>
      <c r="AM23" s="217"/>
      <c r="AN23" s="217"/>
      <c r="AO23" s="11"/>
      <c r="AP23" s="11"/>
    </row>
    <row r="24" spans="1:42" x14ac:dyDescent="0.25">
      <c r="A24" s="217"/>
      <c r="B24" s="217"/>
      <c r="C24" s="217"/>
      <c r="D24" s="217"/>
      <c r="E24" s="217"/>
      <c r="F24" s="217"/>
      <c r="G24" s="217"/>
      <c r="H24" s="217"/>
      <c r="I24" s="217"/>
      <c r="J24" s="217"/>
      <c r="K24" s="217"/>
      <c r="L24" s="217"/>
      <c r="M24" s="217"/>
      <c r="N24" s="217"/>
      <c r="O24" s="217"/>
      <c r="P24" s="217"/>
      <c r="Q24" s="217"/>
      <c r="R24" s="217"/>
      <c r="S24" s="217"/>
      <c r="T24" s="217"/>
      <c r="U24" s="217"/>
      <c r="V24" s="217"/>
      <c r="W24" s="217"/>
      <c r="X24" s="217"/>
      <c r="Y24" s="217"/>
      <c r="Z24" s="217"/>
      <c r="AA24" s="217"/>
      <c r="AB24" s="217"/>
      <c r="AC24" s="217"/>
      <c r="AD24" s="217"/>
      <c r="AE24" s="217"/>
      <c r="AF24" s="217"/>
      <c r="AG24" s="217"/>
      <c r="AH24" s="217"/>
      <c r="AI24" s="217"/>
      <c r="AJ24" s="217"/>
      <c r="AK24" s="217"/>
      <c r="AL24" s="217"/>
      <c r="AM24" s="217"/>
      <c r="AN24" s="217"/>
      <c r="AO24" s="11"/>
      <c r="AP24" s="11"/>
    </row>
    <row r="25" spans="1:42" ht="18.75" x14ac:dyDescent="0.25">
      <c r="A25" s="217"/>
      <c r="B25" s="217"/>
      <c r="C25" s="217"/>
      <c r="D25" s="217"/>
      <c r="E25" s="254"/>
      <c r="F25" s="254"/>
      <c r="G25" s="254"/>
      <c r="H25" s="254"/>
      <c r="I25" s="217"/>
      <c r="J25" s="217"/>
      <c r="K25" s="217"/>
      <c r="L25" s="217"/>
      <c r="M25" s="217"/>
      <c r="N25" s="217"/>
      <c r="O25" s="217"/>
      <c r="P25" s="217"/>
      <c r="Q25" s="217"/>
      <c r="R25" s="217"/>
      <c r="S25" s="217"/>
      <c r="T25" s="217"/>
      <c r="U25" s="217"/>
      <c r="V25" s="217"/>
      <c r="W25" s="217"/>
      <c r="X25" s="217"/>
      <c r="Y25" s="217"/>
      <c r="Z25" s="217"/>
      <c r="AA25" s="217"/>
      <c r="AB25" s="217"/>
      <c r="AC25" s="217"/>
      <c r="AD25" s="217"/>
      <c r="AE25" s="217"/>
      <c r="AF25" s="217"/>
      <c r="AG25" s="217"/>
      <c r="AH25" s="217"/>
      <c r="AI25" s="217"/>
      <c r="AJ25" s="217"/>
      <c r="AK25" s="217"/>
      <c r="AL25" s="217"/>
      <c r="AM25" s="217"/>
      <c r="AN25" s="217"/>
      <c r="AO25" s="11"/>
      <c r="AP25" s="11"/>
    </row>
    <row r="26" spans="1:42" x14ac:dyDescent="0.25">
      <c r="A26" s="217"/>
      <c r="B26" s="217"/>
      <c r="C26" s="217"/>
      <c r="D26" s="217"/>
      <c r="E26" s="217"/>
      <c r="F26" s="217"/>
      <c r="G26" s="217"/>
      <c r="H26" s="217"/>
      <c r="I26" s="217"/>
      <c r="J26" s="217"/>
      <c r="K26" s="217"/>
      <c r="L26" s="217"/>
      <c r="M26" s="217"/>
      <c r="N26" s="217"/>
      <c r="O26" s="217"/>
      <c r="P26" s="217"/>
      <c r="Q26" s="217"/>
      <c r="R26" s="217"/>
      <c r="S26" s="217"/>
      <c r="T26" s="217"/>
      <c r="U26" s="217"/>
      <c r="V26" s="217"/>
      <c r="W26" s="217"/>
      <c r="X26" s="217"/>
      <c r="Y26" s="217"/>
      <c r="Z26" s="217"/>
      <c r="AA26" s="217"/>
      <c r="AB26" s="217"/>
      <c r="AC26" s="217"/>
      <c r="AD26" s="217"/>
      <c r="AE26" s="217"/>
      <c r="AF26" s="217"/>
      <c r="AG26" s="217"/>
      <c r="AH26" s="217"/>
      <c r="AI26" s="217"/>
      <c r="AJ26" s="217"/>
      <c r="AK26" s="217"/>
      <c r="AL26" s="217"/>
      <c r="AM26" s="217"/>
      <c r="AN26" s="217"/>
      <c r="AO26" s="11"/>
      <c r="AP26" s="11"/>
    </row>
    <row r="27" spans="1:42" ht="17.25" x14ac:dyDescent="0.25">
      <c r="A27" s="217"/>
      <c r="B27" s="217"/>
      <c r="C27" s="217"/>
      <c r="D27" s="217"/>
      <c r="E27" s="217"/>
      <c r="F27" s="271"/>
      <c r="G27" s="217"/>
      <c r="H27" s="217"/>
      <c r="I27" s="217"/>
      <c r="J27" s="217"/>
      <c r="K27" s="217"/>
      <c r="L27" s="217"/>
      <c r="M27" s="217"/>
      <c r="N27" s="217"/>
      <c r="O27" s="217"/>
      <c r="P27" s="217"/>
      <c r="Q27" s="217"/>
      <c r="R27" s="217"/>
      <c r="S27" s="217"/>
      <c r="T27" s="217"/>
      <c r="U27" s="217"/>
      <c r="V27" s="217"/>
      <c r="W27" s="217"/>
      <c r="X27" s="217"/>
      <c r="Y27" s="217"/>
      <c r="Z27" s="217"/>
      <c r="AA27" s="217"/>
      <c r="AB27" s="217"/>
      <c r="AC27" s="217"/>
      <c r="AD27" s="217"/>
      <c r="AE27" s="217"/>
      <c r="AF27" s="217"/>
      <c r="AG27" s="217"/>
      <c r="AH27" s="217"/>
      <c r="AI27" s="217"/>
      <c r="AJ27" s="217"/>
      <c r="AK27" s="217"/>
      <c r="AL27" s="217"/>
      <c r="AM27" s="217"/>
      <c r="AN27" s="217"/>
      <c r="AO27" s="11"/>
      <c r="AP27" s="11"/>
    </row>
    <row r="28" spans="1:42" ht="17.25" x14ac:dyDescent="0.25">
      <c r="A28" s="217"/>
      <c r="B28" s="217"/>
      <c r="C28" s="217"/>
      <c r="D28" s="217"/>
      <c r="E28" s="217"/>
      <c r="F28" s="271"/>
      <c r="G28" s="217"/>
      <c r="H28" s="217"/>
      <c r="I28" s="217"/>
      <c r="J28" s="217"/>
      <c r="K28" s="217"/>
      <c r="L28" s="217"/>
      <c r="M28" s="217"/>
      <c r="N28" s="217"/>
      <c r="O28" s="217"/>
      <c r="P28" s="217"/>
      <c r="Q28" s="217"/>
      <c r="R28" s="217"/>
      <c r="S28" s="217"/>
      <c r="T28" s="217"/>
      <c r="U28" s="217"/>
      <c r="V28" s="217"/>
      <c r="W28" s="217"/>
      <c r="X28" s="217"/>
      <c r="Y28" s="217"/>
      <c r="Z28" s="217"/>
      <c r="AA28" s="217"/>
      <c r="AB28" s="217"/>
      <c r="AC28" s="217"/>
      <c r="AD28" s="217"/>
      <c r="AE28" s="217"/>
      <c r="AF28" s="217"/>
      <c r="AG28" s="217"/>
      <c r="AH28" s="217"/>
      <c r="AI28" s="217"/>
      <c r="AJ28" s="217"/>
      <c r="AK28" s="217"/>
      <c r="AL28" s="217"/>
      <c r="AM28" s="217"/>
      <c r="AN28" s="217"/>
      <c r="AO28" s="11"/>
      <c r="AP28" s="11"/>
    </row>
    <row r="29" spans="1:42" ht="17.25" x14ac:dyDescent="0.25">
      <c r="A29" s="217"/>
      <c r="B29" s="217"/>
      <c r="C29" s="217"/>
      <c r="D29" s="217"/>
      <c r="E29" s="217"/>
      <c r="F29" s="271"/>
      <c r="G29" s="217"/>
      <c r="H29" s="217"/>
      <c r="I29" s="217"/>
      <c r="J29" s="217"/>
      <c r="K29" s="217"/>
      <c r="L29" s="217"/>
      <c r="M29" s="217"/>
      <c r="N29" s="217"/>
      <c r="O29" s="217"/>
      <c r="P29" s="217"/>
      <c r="Q29" s="217"/>
      <c r="R29" s="217"/>
      <c r="S29" s="217"/>
      <c r="T29" s="217"/>
      <c r="U29" s="217"/>
      <c r="V29" s="217"/>
      <c r="W29" s="217"/>
      <c r="X29" s="217"/>
      <c r="Y29" s="217"/>
      <c r="Z29" s="217"/>
      <c r="AA29" s="217"/>
      <c r="AB29" s="217"/>
      <c r="AC29" s="217"/>
      <c r="AD29" s="217"/>
      <c r="AE29" s="217"/>
      <c r="AF29" s="217"/>
      <c r="AG29" s="217"/>
      <c r="AH29" s="217"/>
      <c r="AI29" s="217"/>
      <c r="AJ29" s="217"/>
      <c r="AK29" s="217"/>
      <c r="AL29" s="217"/>
      <c r="AM29" s="217"/>
      <c r="AN29" s="217"/>
      <c r="AO29" s="11"/>
      <c r="AP29" s="11"/>
    </row>
    <row r="30" spans="1:42" x14ac:dyDescent="0.25">
      <c r="A30" s="217"/>
      <c r="B30" s="217"/>
      <c r="C30" s="217"/>
      <c r="D30" s="217"/>
      <c r="E30" s="217"/>
      <c r="F30" s="217"/>
      <c r="G30" s="217"/>
      <c r="H30" s="217"/>
      <c r="I30" s="217"/>
      <c r="J30" s="217"/>
      <c r="K30" s="217"/>
      <c r="L30" s="217"/>
      <c r="M30" s="217"/>
      <c r="N30" s="217"/>
      <c r="O30" s="217"/>
      <c r="P30" s="217"/>
      <c r="Q30" s="217"/>
      <c r="R30" s="217"/>
      <c r="S30" s="217"/>
      <c r="T30" s="217"/>
      <c r="U30" s="217"/>
      <c r="V30" s="217"/>
      <c r="W30" s="217"/>
      <c r="X30" s="217"/>
      <c r="Y30" s="217"/>
      <c r="Z30" s="217"/>
      <c r="AA30" s="217"/>
      <c r="AB30" s="217"/>
      <c r="AC30" s="217"/>
      <c r="AD30" s="217"/>
      <c r="AE30" s="217"/>
      <c r="AF30" s="217"/>
      <c r="AG30" s="217"/>
      <c r="AH30" s="217"/>
      <c r="AI30" s="217"/>
      <c r="AJ30" s="217"/>
      <c r="AK30" s="217"/>
      <c r="AL30" s="217"/>
      <c r="AM30" s="217"/>
      <c r="AN30" s="217"/>
      <c r="AO30" s="11"/>
      <c r="AP30" s="11"/>
    </row>
    <row r="31" spans="1:42" x14ac:dyDescent="0.25">
      <c r="A31" s="217"/>
      <c r="B31" s="217"/>
      <c r="C31" s="217"/>
      <c r="D31" s="217"/>
      <c r="E31" s="217"/>
      <c r="F31" s="217"/>
      <c r="G31" s="217"/>
      <c r="H31" s="217"/>
      <c r="I31" s="217"/>
      <c r="J31" s="217"/>
      <c r="K31" s="217"/>
      <c r="L31" s="217"/>
      <c r="M31" s="217"/>
      <c r="N31" s="217"/>
      <c r="O31" s="217"/>
      <c r="P31" s="217"/>
      <c r="Q31" s="217"/>
      <c r="R31" s="217"/>
      <c r="S31" s="217"/>
      <c r="T31" s="217"/>
      <c r="U31" s="217"/>
      <c r="V31" s="217"/>
      <c r="W31" s="217"/>
      <c r="X31" s="217"/>
      <c r="Y31" s="217"/>
      <c r="Z31" s="217"/>
      <c r="AA31" s="217"/>
      <c r="AB31" s="217"/>
      <c r="AC31" s="217"/>
      <c r="AD31" s="217"/>
      <c r="AE31" s="217"/>
      <c r="AF31" s="217"/>
      <c r="AG31" s="217"/>
      <c r="AH31" s="217"/>
      <c r="AI31" s="217"/>
      <c r="AJ31" s="217"/>
      <c r="AK31" s="217"/>
      <c r="AL31" s="217"/>
      <c r="AM31" s="217"/>
      <c r="AN31" s="217"/>
      <c r="AO31" s="11"/>
      <c r="AP31" s="11"/>
    </row>
    <row r="32" spans="1:42" x14ac:dyDescent="0.25">
      <c r="A32" s="217"/>
      <c r="B32" s="217"/>
      <c r="C32" s="217"/>
      <c r="D32" s="217"/>
      <c r="E32" s="217"/>
      <c r="F32" s="217"/>
      <c r="G32" s="217"/>
      <c r="H32" s="217"/>
      <c r="I32" s="217"/>
      <c r="J32" s="217"/>
      <c r="K32" s="217"/>
      <c r="L32" s="217"/>
      <c r="M32" s="217"/>
      <c r="N32" s="217"/>
      <c r="O32" s="217"/>
      <c r="P32" s="217"/>
      <c r="Q32" s="217"/>
      <c r="R32" s="217"/>
      <c r="S32" s="217"/>
      <c r="T32" s="217"/>
      <c r="U32" s="217"/>
      <c r="V32" s="217"/>
      <c r="W32" s="217"/>
      <c r="X32" s="217"/>
      <c r="Y32" s="217"/>
      <c r="Z32" s="217"/>
      <c r="AA32" s="217"/>
      <c r="AB32" s="217"/>
      <c r="AC32" s="217"/>
      <c r="AD32" s="217"/>
      <c r="AE32" s="217"/>
      <c r="AF32" s="217"/>
      <c r="AG32" s="217"/>
      <c r="AH32" s="217"/>
      <c r="AI32" s="217"/>
      <c r="AJ32" s="217"/>
      <c r="AK32" s="217"/>
      <c r="AL32" s="217"/>
      <c r="AM32" s="217"/>
      <c r="AN32" s="217"/>
      <c r="AO32" s="11"/>
      <c r="AP32" s="11"/>
    </row>
    <row r="33" spans="1:42" x14ac:dyDescent="0.25">
      <c r="A33" s="217"/>
      <c r="B33" s="217"/>
      <c r="C33" s="217"/>
      <c r="D33" s="217"/>
      <c r="E33" s="217"/>
      <c r="F33" s="217"/>
      <c r="G33" s="217"/>
      <c r="H33" s="217"/>
      <c r="I33" s="217"/>
      <c r="J33" s="217"/>
      <c r="K33" s="217"/>
      <c r="L33" s="217"/>
      <c r="M33" s="217"/>
      <c r="N33" s="217"/>
      <c r="O33" s="217"/>
      <c r="P33" s="217"/>
      <c r="Q33" s="217"/>
      <c r="R33" s="217"/>
      <c r="S33" s="217"/>
      <c r="T33" s="217"/>
      <c r="U33" s="217"/>
      <c r="V33" s="217"/>
      <c r="W33" s="217"/>
      <c r="X33" s="217"/>
      <c r="Y33" s="217"/>
      <c r="Z33" s="217"/>
      <c r="AA33" s="217"/>
      <c r="AB33" s="217"/>
      <c r="AC33" s="217"/>
      <c r="AD33" s="217"/>
      <c r="AE33" s="217"/>
      <c r="AF33" s="217"/>
      <c r="AG33" s="217"/>
      <c r="AH33" s="217"/>
      <c r="AI33" s="217"/>
      <c r="AJ33" s="217"/>
      <c r="AK33" s="217"/>
      <c r="AL33" s="217"/>
      <c r="AM33" s="217"/>
      <c r="AN33" s="217"/>
      <c r="AO33" s="11"/>
      <c r="AP33" s="11"/>
    </row>
    <row r="34" spans="1:42" x14ac:dyDescent="0.25">
      <c r="A34" s="217"/>
      <c r="B34" s="217"/>
      <c r="C34" s="217"/>
      <c r="D34" s="217"/>
      <c r="E34" s="217"/>
      <c r="F34" s="217"/>
      <c r="G34" s="217"/>
      <c r="H34" s="217"/>
      <c r="I34" s="217"/>
      <c r="J34" s="217"/>
      <c r="K34" s="217"/>
      <c r="L34" s="217"/>
      <c r="M34" s="217"/>
      <c r="N34" s="217"/>
      <c r="O34" s="217"/>
      <c r="P34" s="217"/>
      <c r="Q34" s="217"/>
      <c r="R34" s="217"/>
      <c r="S34" s="217"/>
      <c r="T34" s="217"/>
      <c r="U34" s="217"/>
      <c r="V34" s="217"/>
      <c r="W34" s="217"/>
      <c r="X34" s="217"/>
      <c r="Y34" s="217"/>
      <c r="Z34" s="217"/>
      <c r="AA34" s="217"/>
      <c r="AB34" s="217"/>
      <c r="AC34" s="217"/>
      <c r="AD34" s="217"/>
      <c r="AE34" s="217"/>
      <c r="AF34" s="217"/>
      <c r="AG34" s="217"/>
      <c r="AH34" s="217"/>
      <c r="AI34" s="217"/>
      <c r="AJ34" s="217"/>
      <c r="AK34" s="217"/>
      <c r="AL34" s="217"/>
      <c r="AM34" s="217"/>
      <c r="AN34" s="217"/>
      <c r="AO34" s="11"/>
      <c r="AP34" s="11"/>
    </row>
    <row r="35" spans="1:42" x14ac:dyDescent="0.25">
      <c r="A35" s="217"/>
      <c r="B35" s="217"/>
      <c r="C35" s="217"/>
      <c r="D35" s="217"/>
      <c r="E35" s="217"/>
      <c r="F35" s="217"/>
      <c r="G35" s="217"/>
      <c r="H35" s="217"/>
      <c r="I35" s="217"/>
      <c r="J35" s="217"/>
      <c r="K35" s="217"/>
      <c r="L35" s="217"/>
      <c r="M35" s="217"/>
      <c r="N35" s="217"/>
      <c r="O35" s="217"/>
      <c r="P35" s="217"/>
      <c r="Q35" s="217"/>
      <c r="R35" s="217"/>
      <c r="S35" s="217"/>
      <c r="T35" s="217"/>
      <c r="U35" s="217"/>
      <c r="V35" s="217"/>
      <c r="W35" s="217"/>
      <c r="X35" s="217"/>
      <c r="Y35" s="217"/>
      <c r="Z35" s="217"/>
      <c r="AA35" s="217"/>
      <c r="AB35" s="217"/>
      <c r="AC35" s="217"/>
      <c r="AD35" s="217"/>
      <c r="AE35" s="217"/>
      <c r="AF35" s="217"/>
      <c r="AG35" s="217"/>
      <c r="AH35" s="217"/>
      <c r="AI35" s="217"/>
      <c r="AJ35" s="217"/>
      <c r="AK35" s="217"/>
      <c r="AL35" s="217"/>
      <c r="AM35" s="217"/>
      <c r="AN35" s="217"/>
      <c r="AO35" s="11"/>
      <c r="AP35" s="11"/>
    </row>
    <row r="36" spans="1:42" x14ac:dyDescent="0.25">
      <c r="A36" s="217"/>
      <c r="B36" s="217"/>
      <c r="C36" s="217"/>
      <c r="D36" s="217"/>
      <c r="E36" s="217"/>
      <c r="F36" s="217"/>
      <c r="G36" s="217"/>
      <c r="H36" s="217"/>
      <c r="I36" s="217"/>
      <c r="J36" s="217"/>
      <c r="K36" s="217"/>
      <c r="L36" s="217"/>
      <c r="M36" s="217"/>
      <c r="N36" s="217"/>
      <c r="O36" s="217"/>
      <c r="P36" s="217"/>
      <c r="Q36" s="217"/>
      <c r="R36" s="217"/>
      <c r="S36" s="217"/>
      <c r="T36" s="217"/>
      <c r="U36" s="217"/>
      <c r="V36" s="217"/>
      <c r="W36" s="217"/>
      <c r="X36" s="217"/>
      <c r="Y36" s="217"/>
      <c r="Z36" s="217"/>
      <c r="AA36" s="217"/>
      <c r="AB36" s="217"/>
      <c r="AC36" s="217"/>
      <c r="AD36" s="217"/>
      <c r="AE36" s="217"/>
      <c r="AF36" s="217"/>
      <c r="AG36" s="217"/>
      <c r="AH36" s="217"/>
      <c r="AI36" s="217"/>
      <c r="AJ36" s="217"/>
      <c r="AK36" s="217"/>
      <c r="AL36" s="217"/>
      <c r="AM36" s="217"/>
      <c r="AN36" s="217"/>
      <c r="AO36" s="11"/>
      <c r="AP36" s="11"/>
    </row>
    <row r="37" spans="1:42" x14ac:dyDescent="0.25">
      <c r="A37" s="217"/>
      <c r="B37" s="217"/>
      <c r="C37" s="217"/>
      <c r="D37" s="217"/>
      <c r="E37" s="217"/>
      <c r="F37" s="217"/>
      <c r="G37" s="217"/>
      <c r="H37" s="217"/>
      <c r="I37" s="217"/>
      <c r="J37" s="217"/>
      <c r="K37" s="217"/>
      <c r="L37" s="217"/>
      <c r="M37" s="217"/>
      <c r="N37" s="217"/>
      <c r="O37" s="217"/>
      <c r="P37" s="217"/>
      <c r="Q37" s="217"/>
      <c r="R37" s="217"/>
      <c r="S37" s="217"/>
      <c r="T37" s="217"/>
      <c r="U37" s="217"/>
      <c r="V37" s="217"/>
      <c r="W37" s="217"/>
      <c r="X37" s="217"/>
      <c r="Y37" s="217"/>
      <c r="Z37" s="217"/>
      <c r="AA37" s="217"/>
      <c r="AB37" s="217"/>
      <c r="AC37" s="217"/>
      <c r="AD37" s="217"/>
      <c r="AE37" s="217"/>
      <c r="AF37" s="217"/>
      <c r="AG37" s="217"/>
      <c r="AH37" s="217"/>
      <c r="AI37" s="217"/>
      <c r="AJ37" s="217"/>
      <c r="AK37" s="217"/>
      <c r="AL37" s="217"/>
      <c r="AM37" s="217"/>
      <c r="AN37" s="217"/>
      <c r="AO37" s="11"/>
      <c r="AP37" s="11"/>
    </row>
    <row r="38" spans="1:42" x14ac:dyDescent="0.25">
      <c r="A38" s="217"/>
      <c r="B38" s="217"/>
      <c r="C38" s="217"/>
      <c r="D38" s="217"/>
      <c r="E38" s="217"/>
      <c r="F38" s="217"/>
      <c r="G38" s="217"/>
      <c r="H38" s="217"/>
      <c r="I38" s="217"/>
      <c r="J38" s="217"/>
      <c r="K38" s="217"/>
      <c r="L38" s="217"/>
      <c r="M38" s="217"/>
      <c r="N38" s="217"/>
      <c r="O38" s="217"/>
      <c r="P38" s="217"/>
      <c r="Q38" s="217"/>
      <c r="R38" s="217"/>
      <c r="S38" s="217"/>
      <c r="T38" s="217"/>
      <c r="U38" s="217"/>
      <c r="V38" s="217"/>
      <c r="W38" s="217"/>
      <c r="X38" s="217"/>
      <c r="Y38" s="217"/>
      <c r="Z38" s="217"/>
      <c r="AA38" s="217"/>
      <c r="AB38" s="217"/>
      <c r="AC38" s="217"/>
      <c r="AD38" s="217"/>
      <c r="AE38" s="217"/>
      <c r="AF38" s="217"/>
      <c r="AG38" s="217"/>
      <c r="AH38" s="217"/>
      <c r="AI38" s="217"/>
      <c r="AJ38" s="217"/>
      <c r="AK38" s="217"/>
      <c r="AL38" s="217"/>
      <c r="AM38" s="217"/>
      <c r="AN38" s="217"/>
      <c r="AO38" s="11"/>
      <c r="AP38" s="11"/>
    </row>
    <row r="39" spans="1:42" x14ac:dyDescent="0.25">
      <c r="A39" s="217"/>
      <c r="B39" s="217"/>
      <c r="C39" s="217"/>
      <c r="D39" s="217"/>
      <c r="E39" s="217"/>
      <c r="F39" s="217"/>
      <c r="G39" s="217"/>
      <c r="H39" s="217"/>
      <c r="I39" s="217"/>
      <c r="J39" s="217"/>
      <c r="K39" s="217"/>
      <c r="L39" s="217"/>
      <c r="M39" s="217"/>
      <c r="N39" s="217"/>
      <c r="O39" s="217"/>
      <c r="P39" s="217"/>
      <c r="Q39" s="217"/>
      <c r="R39" s="217"/>
      <c r="S39" s="217"/>
      <c r="T39" s="217"/>
      <c r="U39" s="217"/>
      <c r="V39" s="217"/>
      <c r="W39" s="217"/>
      <c r="X39" s="217"/>
      <c r="Y39" s="217"/>
      <c r="Z39" s="217"/>
      <c r="AA39" s="217"/>
      <c r="AB39" s="217"/>
      <c r="AC39" s="217"/>
      <c r="AD39" s="217"/>
      <c r="AE39" s="217"/>
      <c r="AF39" s="217"/>
      <c r="AG39" s="217"/>
      <c r="AH39" s="217"/>
      <c r="AI39" s="217"/>
      <c r="AJ39" s="217"/>
      <c r="AK39" s="217"/>
      <c r="AL39" s="217"/>
      <c r="AM39" s="217"/>
      <c r="AN39" s="217"/>
      <c r="AO39" s="11"/>
      <c r="AP39" s="11"/>
    </row>
    <row r="40" spans="1:42" x14ac:dyDescent="0.25">
      <c r="A40" s="217"/>
      <c r="B40" s="217"/>
      <c r="C40" s="217"/>
      <c r="D40" s="217"/>
      <c r="E40" s="217"/>
      <c r="F40" s="217"/>
      <c r="G40" s="217"/>
      <c r="H40" s="217"/>
      <c r="I40" s="217"/>
      <c r="J40" s="217"/>
      <c r="K40" s="217"/>
      <c r="L40" s="217"/>
      <c r="M40" s="217"/>
      <c r="N40" s="217"/>
      <c r="O40" s="217"/>
      <c r="P40" s="217"/>
      <c r="Q40" s="217"/>
      <c r="R40" s="217"/>
      <c r="S40" s="217"/>
      <c r="T40" s="217"/>
      <c r="U40" s="217"/>
      <c r="V40" s="217"/>
      <c r="W40" s="217"/>
      <c r="X40" s="217"/>
      <c r="Y40" s="217"/>
      <c r="Z40" s="217"/>
      <c r="AA40" s="217"/>
      <c r="AB40" s="217"/>
      <c r="AC40" s="217"/>
      <c r="AD40" s="217"/>
      <c r="AE40" s="217"/>
      <c r="AF40" s="217"/>
      <c r="AG40" s="217"/>
      <c r="AH40" s="217"/>
      <c r="AI40" s="217"/>
      <c r="AJ40" s="217"/>
      <c r="AK40" s="217"/>
      <c r="AL40" s="217"/>
      <c r="AM40" s="217"/>
      <c r="AN40" s="217"/>
      <c r="AO40" s="11"/>
      <c r="AP40" s="11"/>
    </row>
    <row r="41" spans="1:42" x14ac:dyDescent="0.25">
      <c r="A41" s="217"/>
      <c r="B41" s="217"/>
      <c r="C41" s="217"/>
      <c r="D41" s="217"/>
      <c r="E41" s="217"/>
      <c r="F41" s="217"/>
      <c r="G41" s="217"/>
      <c r="H41" s="217"/>
      <c r="I41" s="217"/>
      <c r="J41" s="217"/>
      <c r="K41" s="217"/>
      <c r="L41" s="217"/>
      <c r="M41" s="217"/>
      <c r="N41" s="217"/>
      <c r="O41" s="217"/>
      <c r="P41" s="217"/>
      <c r="Q41" s="217"/>
      <c r="R41" s="217"/>
      <c r="S41" s="217"/>
      <c r="T41" s="217"/>
      <c r="U41" s="217"/>
      <c r="V41" s="217"/>
      <c r="W41" s="217"/>
      <c r="X41" s="217"/>
      <c r="Y41" s="217"/>
      <c r="Z41" s="217"/>
      <c r="AA41" s="217"/>
      <c r="AB41" s="217"/>
      <c r="AC41" s="217"/>
      <c r="AD41" s="217"/>
      <c r="AE41" s="217"/>
      <c r="AF41" s="217"/>
      <c r="AG41" s="217"/>
      <c r="AH41" s="217"/>
      <c r="AI41" s="217"/>
      <c r="AJ41" s="217"/>
      <c r="AK41" s="217"/>
      <c r="AL41" s="217"/>
      <c r="AM41" s="217"/>
      <c r="AN41" s="217"/>
      <c r="AO41" s="11"/>
      <c r="AP41" s="11"/>
    </row>
    <row r="42" spans="1:42" x14ac:dyDescent="0.25">
      <c r="A42" s="217"/>
      <c r="B42" s="217"/>
      <c r="C42" s="217"/>
      <c r="D42" s="217"/>
      <c r="E42" s="217"/>
      <c r="F42" s="217"/>
      <c r="G42" s="217"/>
      <c r="H42" s="217"/>
      <c r="I42" s="217"/>
      <c r="J42" s="217"/>
      <c r="K42" s="217"/>
      <c r="L42" s="217"/>
      <c r="M42" s="217"/>
      <c r="N42" s="217"/>
      <c r="O42" s="217"/>
      <c r="P42" s="217"/>
      <c r="Q42" s="217"/>
      <c r="R42" s="217"/>
      <c r="S42" s="217"/>
      <c r="T42" s="217"/>
      <c r="U42" s="217"/>
      <c r="V42" s="217"/>
      <c r="W42" s="217"/>
      <c r="X42" s="217"/>
      <c r="Y42" s="217"/>
      <c r="Z42" s="217"/>
      <c r="AA42" s="217"/>
      <c r="AB42" s="217"/>
      <c r="AC42" s="217"/>
      <c r="AD42" s="217"/>
      <c r="AE42" s="217"/>
      <c r="AF42" s="217"/>
      <c r="AG42" s="217"/>
      <c r="AH42" s="217"/>
      <c r="AI42" s="217"/>
      <c r="AJ42" s="217"/>
      <c r="AK42" s="217"/>
      <c r="AL42" s="217"/>
      <c r="AM42" s="217"/>
      <c r="AN42" s="217"/>
      <c r="AO42" s="11"/>
      <c r="AP42" s="11"/>
    </row>
    <row r="43" spans="1:42" x14ac:dyDescent="0.25">
      <c r="A43" s="217"/>
      <c r="B43" s="217"/>
      <c r="C43" s="217"/>
      <c r="D43" s="217"/>
      <c r="E43" s="217"/>
      <c r="F43" s="217"/>
      <c r="G43" s="217"/>
      <c r="H43" s="217"/>
      <c r="I43" s="217"/>
      <c r="J43" s="217"/>
      <c r="K43" s="217"/>
      <c r="L43" s="217"/>
      <c r="M43" s="217"/>
      <c r="N43" s="217"/>
      <c r="O43" s="217"/>
      <c r="P43" s="217"/>
      <c r="Q43" s="217"/>
      <c r="R43" s="217"/>
      <c r="S43" s="217"/>
      <c r="T43" s="217"/>
      <c r="U43" s="217"/>
      <c r="V43" s="217"/>
      <c r="W43" s="217"/>
      <c r="X43" s="217"/>
      <c r="Y43" s="217"/>
      <c r="Z43" s="217"/>
      <c r="AA43" s="217"/>
      <c r="AB43" s="217"/>
      <c r="AC43" s="217"/>
      <c r="AD43" s="217"/>
      <c r="AE43" s="217"/>
      <c r="AF43" s="217"/>
      <c r="AG43" s="217"/>
      <c r="AH43" s="217"/>
      <c r="AI43" s="217"/>
      <c r="AJ43" s="217"/>
      <c r="AK43" s="217"/>
      <c r="AL43" s="217"/>
      <c r="AM43" s="217"/>
      <c r="AN43" s="217"/>
      <c r="AO43" s="11"/>
      <c r="AP43" s="11"/>
    </row>
    <row r="44" spans="1:42" x14ac:dyDescent="0.25">
      <c r="A44" s="217"/>
      <c r="B44" s="217"/>
      <c r="C44" s="217"/>
      <c r="D44" s="217"/>
      <c r="E44" s="217"/>
      <c r="F44" s="217"/>
      <c r="G44" s="217"/>
      <c r="H44" s="217"/>
      <c r="I44" s="217"/>
      <c r="J44" s="217"/>
      <c r="K44" s="217"/>
      <c r="L44" s="217"/>
      <c r="M44" s="217"/>
      <c r="N44" s="217"/>
      <c r="O44" s="217"/>
      <c r="P44" s="217"/>
      <c r="Q44" s="217"/>
      <c r="R44" s="217"/>
      <c r="S44" s="217"/>
      <c r="T44" s="217"/>
      <c r="U44" s="217"/>
      <c r="V44" s="217"/>
      <c r="W44" s="217"/>
      <c r="X44" s="217"/>
      <c r="Y44" s="217"/>
      <c r="Z44" s="217"/>
      <c r="AA44" s="217"/>
      <c r="AB44" s="217"/>
      <c r="AC44" s="217"/>
      <c r="AD44" s="217"/>
      <c r="AE44" s="217"/>
      <c r="AF44" s="217"/>
      <c r="AG44" s="217"/>
      <c r="AH44" s="217"/>
      <c r="AI44" s="217"/>
      <c r="AJ44" s="217"/>
      <c r="AK44" s="217"/>
      <c r="AL44" s="217"/>
      <c r="AM44" s="217"/>
      <c r="AN44" s="217"/>
      <c r="AO44" s="11"/>
      <c r="AP44" s="11"/>
    </row>
    <row r="45" spans="1:42" x14ac:dyDescent="0.25">
      <c r="A45" s="217"/>
      <c r="B45" s="217"/>
      <c r="C45" s="217"/>
      <c r="D45" s="217"/>
      <c r="E45" s="217"/>
      <c r="F45" s="217"/>
      <c r="G45" s="217"/>
      <c r="H45" s="217"/>
      <c r="I45" s="217"/>
      <c r="J45" s="217"/>
      <c r="K45" s="217"/>
      <c r="L45" s="217"/>
      <c r="M45" s="217"/>
      <c r="N45" s="217"/>
      <c r="O45" s="217"/>
      <c r="P45" s="217"/>
      <c r="Q45" s="217"/>
      <c r="R45" s="217"/>
      <c r="S45" s="217"/>
      <c r="T45" s="217"/>
      <c r="U45" s="217"/>
      <c r="V45" s="217"/>
      <c r="W45" s="217"/>
      <c r="X45" s="217"/>
      <c r="Y45" s="217"/>
      <c r="Z45" s="217"/>
      <c r="AA45" s="217"/>
      <c r="AB45" s="217"/>
      <c r="AC45" s="217"/>
      <c r="AD45" s="217"/>
      <c r="AE45" s="217"/>
      <c r="AF45" s="217"/>
      <c r="AG45" s="217"/>
      <c r="AH45" s="217"/>
      <c r="AI45" s="217"/>
      <c r="AJ45" s="217"/>
      <c r="AK45" s="217"/>
      <c r="AL45" s="217"/>
      <c r="AM45" s="217"/>
      <c r="AN45" s="217"/>
      <c r="AO45" s="11"/>
      <c r="AP45" s="11"/>
    </row>
    <row r="46" spans="1:42" x14ac:dyDescent="0.25">
      <c r="A46" s="217"/>
      <c r="B46" s="217"/>
      <c r="C46" s="217"/>
      <c r="D46" s="217"/>
      <c r="E46" s="217"/>
      <c r="F46" s="217"/>
      <c r="G46" s="217"/>
      <c r="H46" s="217"/>
      <c r="I46" s="217"/>
      <c r="J46" s="217"/>
      <c r="K46" s="217"/>
      <c r="L46" s="217"/>
      <c r="M46" s="217"/>
      <c r="N46" s="217"/>
      <c r="O46" s="217"/>
      <c r="P46" s="217"/>
      <c r="Q46" s="217"/>
      <c r="R46" s="217"/>
      <c r="S46" s="217"/>
      <c r="T46" s="217"/>
      <c r="U46" s="217"/>
      <c r="V46" s="217"/>
      <c r="W46" s="217"/>
      <c r="X46" s="217"/>
      <c r="Y46" s="217"/>
      <c r="Z46" s="217"/>
      <c r="AA46" s="217"/>
      <c r="AB46" s="217"/>
      <c r="AC46" s="217"/>
      <c r="AD46" s="217"/>
      <c r="AE46" s="217"/>
      <c r="AF46" s="217"/>
      <c r="AG46" s="217"/>
      <c r="AH46" s="217"/>
      <c r="AI46" s="217"/>
      <c r="AJ46" s="217"/>
      <c r="AK46" s="217"/>
      <c r="AL46" s="217"/>
      <c r="AM46" s="217"/>
      <c r="AN46" s="217"/>
      <c r="AO46" s="11"/>
      <c r="AP46" s="11"/>
    </row>
    <row r="47" spans="1:42" x14ac:dyDescent="0.25">
      <c r="A47" s="217"/>
      <c r="B47" s="217"/>
      <c r="C47" s="217"/>
      <c r="D47" s="217"/>
      <c r="E47" s="217"/>
      <c r="F47" s="217"/>
      <c r="G47" s="217"/>
      <c r="H47" s="217"/>
      <c r="I47" s="217"/>
      <c r="J47" s="217"/>
      <c r="K47" s="217"/>
      <c r="L47" s="217"/>
      <c r="M47" s="217"/>
      <c r="N47" s="217"/>
      <c r="O47" s="217"/>
      <c r="P47" s="217"/>
      <c r="Q47" s="217"/>
      <c r="R47" s="217"/>
      <c r="S47" s="217"/>
      <c r="T47" s="217"/>
      <c r="U47" s="217"/>
      <c r="V47" s="217"/>
      <c r="W47" s="217"/>
      <c r="X47" s="217"/>
      <c r="Y47" s="217"/>
      <c r="Z47" s="217"/>
      <c r="AA47" s="217"/>
      <c r="AB47" s="217"/>
      <c r="AC47" s="217"/>
      <c r="AD47" s="217"/>
      <c r="AE47" s="217"/>
      <c r="AF47" s="217"/>
      <c r="AG47" s="217"/>
      <c r="AH47" s="217"/>
      <c r="AI47" s="217"/>
      <c r="AJ47" s="217"/>
      <c r="AK47" s="217"/>
      <c r="AL47" s="217"/>
      <c r="AM47" s="217"/>
      <c r="AN47" s="217"/>
      <c r="AO47" s="11"/>
      <c r="AP47" s="11"/>
    </row>
    <row r="48" spans="1:42" x14ac:dyDescent="0.25">
      <c r="A48" s="217"/>
      <c r="B48" s="217"/>
      <c r="C48" s="217"/>
      <c r="D48" s="217"/>
      <c r="E48" s="217"/>
      <c r="F48" s="217"/>
      <c r="G48" s="217"/>
      <c r="H48" s="217"/>
      <c r="I48" s="217"/>
      <c r="J48" s="217"/>
      <c r="K48" s="217"/>
      <c r="L48" s="217"/>
      <c r="M48" s="217"/>
      <c r="N48" s="217"/>
      <c r="O48" s="217"/>
      <c r="P48" s="217"/>
      <c r="Q48" s="217"/>
      <c r="R48" s="217"/>
      <c r="S48" s="217"/>
      <c r="T48" s="217"/>
      <c r="U48" s="217"/>
      <c r="V48" s="217"/>
      <c r="W48" s="217"/>
      <c r="X48" s="217"/>
      <c r="Y48" s="217"/>
      <c r="Z48" s="217"/>
      <c r="AA48" s="217"/>
      <c r="AB48" s="217"/>
      <c r="AC48" s="217"/>
      <c r="AD48" s="217"/>
      <c r="AE48" s="217"/>
      <c r="AF48" s="217"/>
      <c r="AG48" s="217"/>
      <c r="AH48" s="217"/>
      <c r="AI48" s="217"/>
      <c r="AJ48" s="217"/>
      <c r="AK48" s="217"/>
      <c r="AL48" s="217"/>
      <c r="AM48" s="217"/>
      <c r="AN48" s="217"/>
      <c r="AO48" s="11"/>
      <c r="AP48" s="11"/>
    </row>
    <row r="49" spans="1:42" x14ac:dyDescent="0.25">
      <c r="A49" s="217"/>
      <c r="B49" s="217"/>
      <c r="C49" s="217"/>
      <c r="D49" s="217"/>
      <c r="E49" s="217"/>
      <c r="F49" s="217"/>
      <c r="G49" s="217"/>
      <c r="H49" s="217"/>
      <c r="I49" s="217"/>
      <c r="J49" s="217"/>
      <c r="K49" s="217"/>
      <c r="L49" s="217"/>
      <c r="M49" s="217"/>
      <c r="N49" s="217"/>
      <c r="O49" s="217"/>
      <c r="P49" s="217"/>
      <c r="Q49" s="217"/>
      <c r="R49" s="217"/>
      <c r="S49" s="217"/>
      <c r="T49" s="217"/>
      <c r="U49" s="217"/>
      <c r="V49" s="217"/>
      <c r="W49" s="217"/>
      <c r="X49" s="217"/>
      <c r="Y49" s="217"/>
      <c r="Z49" s="217"/>
      <c r="AA49" s="217"/>
      <c r="AB49" s="217"/>
      <c r="AC49" s="217"/>
      <c r="AD49" s="217"/>
      <c r="AE49" s="217"/>
      <c r="AF49" s="217"/>
      <c r="AG49" s="217"/>
      <c r="AH49" s="217"/>
      <c r="AI49" s="217"/>
      <c r="AJ49" s="217"/>
      <c r="AK49" s="217"/>
      <c r="AL49" s="217"/>
      <c r="AM49" s="217"/>
      <c r="AN49" s="217"/>
      <c r="AO49" s="11"/>
      <c r="AP49" s="11"/>
    </row>
    <row r="50" spans="1:42" x14ac:dyDescent="0.25">
      <c r="A50" s="217"/>
      <c r="B50" s="217"/>
      <c r="C50" s="217"/>
      <c r="D50" s="217"/>
      <c r="E50" s="217"/>
      <c r="F50" s="217"/>
      <c r="G50" s="217"/>
      <c r="H50" s="217"/>
      <c r="I50" s="217"/>
      <c r="J50" s="217"/>
      <c r="K50" s="217"/>
      <c r="L50" s="217"/>
      <c r="M50" s="217"/>
      <c r="N50" s="217"/>
      <c r="O50" s="217"/>
      <c r="P50" s="217"/>
      <c r="Q50" s="217"/>
      <c r="R50" s="217"/>
      <c r="S50" s="217"/>
      <c r="T50" s="217"/>
      <c r="U50" s="217"/>
      <c r="V50" s="217"/>
      <c r="W50" s="217"/>
      <c r="X50" s="217"/>
      <c r="Y50" s="217"/>
      <c r="Z50" s="217"/>
      <c r="AA50" s="217"/>
      <c r="AB50" s="217"/>
      <c r="AC50" s="217"/>
      <c r="AD50" s="217"/>
      <c r="AE50" s="217"/>
      <c r="AF50" s="217"/>
      <c r="AG50" s="217"/>
      <c r="AH50" s="217"/>
      <c r="AI50" s="217"/>
      <c r="AJ50" s="217"/>
      <c r="AK50" s="217"/>
      <c r="AL50" s="217"/>
      <c r="AM50" s="217"/>
      <c r="AN50" s="217"/>
      <c r="AO50" s="11"/>
      <c r="AP50" s="11"/>
    </row>
    <row r="51" spans="1:42" x14ac:dyDescent="0.25">
      <c r="A51" s="217"/>
      <c r="B51" s="217"/>
      <c r="C51" s="217"/>
      <c r="D51" s="217"/>
      <c r="E51" s="217"/>
      <c r="F51" s="217"/>
      <c r="G51" s="217"/>
      <c r="H51" s="217"/>
      <c r="I51" s="217"/>
      <c r="J51" s="217"/>
      <c r="K51" s="217"/>
      <c r="L51" s="217"/>
      <c r="M51" s="217"/>
      <c r="N51" s="217"/>
      <c r="O51" s="217"/>
      <c r="P51" s="217"/>
      <c r="Q51" s="217"/>
      <c r="R51" s="217"/>
      <c r="S51" s="217"/>
      <c r="T51" s="217"/>
      <c r="U51" s="217"/>
      <c r="V51" s="217"/>
      <c r="W51" s="217"/>
      <c r="X51" s="217"/>
      <c r="Y51" s="217"/>
      <c r="Z51" s="217"/>
      <c r="AA51" s="217"/>
      <c r="AB51" s="217"/>
      <c r="AC51" s="217"/>
      <c r="AD51" s="217"/>
      <c r="AE51" s="217"/>
      <c r="AF51" s="217"/>
      <c r="AG51" s="217"/>
      <c r="AH51" s="217"/>
      <c r="AI51" s="217"/>
      <c r="AJ51" s="217"/>
      <c r="AK51" s="217"/>
      <c r="AL51" s="217"/>
      <c r="AM51" s="217"/>
      <c r="AN51" s="217"/>
      <c r="AO51" s="11"/>
      <c r="AP51" s="11"/>
    </row>
    <row r="52" spans="1:42" x14ac:dyDescent="0.25">
      <c r="A52" s="217"/>
      <c r="B52" s="217"/>
      <c r="C52" s="217"/>
      <c r="D52" s="217"/>
      <c r="E52" s="217"/>
      <c r="F52" s="217"/>
      <c r="G52" s="217"/>
      <c r="H52" s="217"/>
      <c r="I52" s="217"/>
      <c r="J52" s="217"/>
      <c r="K52" s="217"/>
      <c r="L52" s="217"/>
      <c r="M52" s="217"/>
      <c r="N52" s="217"/>
      <c r="O52" s="217"/>
      <c r="P52" s="217"/>
      <c r="Q52" s="217"/>
      <c r="R52" s="217"/>
      <c r="S52" s="217"/>
      <c r="T52" s="217"/>
      <c r="U52" s="217"/>
      <c r="V52" s="217"/>
      <c r="W52" s="217"/>
      <c r="X52" s="217"/>
      <c r="Y52" s="217"/>
      <c r="Z52" s="217"/>
      <c r="AA52" s="217"/>
      <c r="AB52" s="217"/>
      <c r="AC52" s="217"/>
      <c r="AD52" s="217"/>
      <c r="AE52" s="217"/>
      <c r="AF52" s="217"/>
      <c r="AG52" s="217"/>
      <c r="AH52" s="217"/>
      <c r="AI52" s="217"/>
      <c r="AJ52" s="217"/>
      <c r="AK52" s="217"/>
      <c r="AL52" s="217"/>
      <c r="AM52" s="217"/>
      <c r="AN52" s="217"/>
      <c r="AO52" s="11"/>
      <c r="AP52" s="11"/>
    </row>
    <row r="53" spans="1:42" x14ac:dyDescent="0.25">
      <c r="A53" s="217"/>
      <c r="B53" s="217"/>
      <c r="C53" s="217"/>
      <c r="D53" s="217"/>
      <c r="E53" s="217"/>
      <c r="F53" s="217"/>
      <c r="G53" s="217"/>
      <c r="H53" s="217"/>
      <c r="I53" s="217"/>
      <c r="J53" s="217"/>
      <c r="K53" s="217"/>
      <c r="L53" s="217"/>
      <c r="M53" s="217"/>
      <c r="N53" s="217"/>
      <c r="O53" s="217"/>
      <c r="P53" s="217"/>
      <c r="Q53" s="217"/>
      <c r="R53" s="217"/>
      <c r="S53" s="217"/>
      <c r="T53" s="217"/>
      <c r="U53" s="217"/>
      <c r="V53" s="217"/>
      <c r="W53" s="217"/>
      <c r="X53" s="217"/>
      <c r="Y53" s="217"/>
      <c r="Z53" s="217"/>
      <c r="AA53" s="217"/>
      <c r="AB53" s="217"/>
      <c r="AC53" s="217"/>
      <c r="AD53" s="217"/>
      <c r="AE53" s="217"/>
      <c r="AF53" s="217"/>
      <c r="AG53" s="217"/>
      <c r="AH53" s="217"/>
      <c r="AI53" s="217"/>
      <c r="AJ53" s="217"/>
      <c r="AK53" s="217"/>
      <c r="AL53" s="217"/>
      <c r="AM53" s="217"/>
      <c r="AN53" s="217"/>
      <c r="AO53" s="11"/>
      <c r="AP53" s="11"/>
    </row>
    <row r="54" spans="1:42" x14ac:dyDescent="0.25">
      <c r="A54" s="217"/>
      <c r="B54" s="217"/>
      <c r="C54" s="217"/>
      <c r="D54" s="217"/>
      <c r="E54" s="217"/>
      <c r="F54" s="217"/>
      <c r="G54" s="217"/>
      <c r="H54" s="217"/>
      <c r="I54" s="217"/>
      <c r="J54" s="217"/>
      <c r="K54" s="217"/>
      <c r="L54" s="217"/>
      <c r="M54" s="217"/>
      <c r="N54" s="217"/>
      <c r="O54" s="217"/>
      <c r="P54" s="217"/>
      <c r="Q54" s="217"/>
      <c r="R54" s="217"/>
      <c r="S54" s="217"/>
      <c r="T54" s="217"/>
      <c r="U54" s="217"/>
      <c r="V54" s="217"/>
      <c r="W54" s="217"/>
      <c r="X54" s="217"/>
      <c r="Y54" s="217"/>
      <c r="Z54" s="217"/>
      <c r="AA54" s="217"/>
      <c r="AB54" s="217"/>
      <c r="AC54" s="217"/>
      <c r="AD54" s="217"/>
      <c r="AE54" s="217"/>
      <c r="AF54" s="217"/>
      <c r="AG54" s="217"/>
      <c r="AH54" s="217"/>
      <c r="AI54" s="217"/>
      <c r="AJ54" s="217"/>
      <c r="AK54" s="217"/>
      <c r="AL54" s="217"/>
      <c r="AM54" s="217"/>
      <c r="AN54" s="217"/>
      <c r="AO54" s="11"/>
      <c r="AP54" s="11"/>
    </row>
    <row r="55" spans="1:42" x14ac:dyDescent="0.25">
      <c r="A55" s="217"/>
      <c r="B55" s="217"/>
      <c r="C55" s="217"/>
      <c r="D55" s="217"/>
      <c r="E55" s="217"/>
      <c r="F55" s="217"/>
      <c r="G55" s="217"/>
      <c r="H55" s="217"/>
      <c r="I55" s="217"/>
      <c r="J55" s="217"/>
      <c r="K55" s="217"/>
      <c r="L55" s="217"/>
      <c r="M55" s="217"/>
      <c r="N55" s="217"/>
      <c r="O55" s="217"/>
      <c r="P55" s="217"/>
      <c r="Q55" s="217"/>
      <c r="R55" s="217"/>
      <c r="S55" s="217"/>
      <c r="T55" s="217"/>
      <c r="U55" s="217"/>
      <c r="V55" s="217"/>
      <c r="W55" s="217"/>
      <c r="X55" s="217"/>
      <c r="Y55" s="217"/>
      <c r="Z55" s="217"/>
      <c r="AA55" s="217"/>
      <c r="AB55" s="217"/>
      <c r="AC55" s="217"/>
      <c r="AD55" s="217"/>
      <c r="AE55" s="217"/>
      <c r="AF55" s="217"/>
      <c r="AG55" s="217"/>
      <c r="AH55" s="217"/>
      <c r="AI55" s="217"/>
      <c r="AJ55" s="217"/>
      <c r="AK55" s="217"/>
      <c r="AL55" s="217"/>
      <c r="AM55" s="217"/>
      <c r="AN55" s="217"/>
      <c r="AO55" s="11"/>
      <c r="AP55" s="11"/>
    </row>
    <row r="56" spans="1:42" x14ac:dyDescent="0.25">
      <c r="A56" s="217"/>
      <c r="B56" s="217"/>
      <c r="C56" s="217"/>
      <c r="D56" s="217"/>
      <c r="E56" s="217"/>
      <c r="F56" s="217"/>
      <c r="G56" s="217"/>
      <c r="H56" s="217"/>
      <c r="I56" s="217"/>
      <c r="J56" s="217"/>
      <c r="K56" s="217"/>
      <c r="L56" s="217"/>
      <c r="M56" s="217"/>
      <c r="N56" s="217"/>
      <c r="O56" s="217"/>
      <c r="P56" s="217"/>
      <c r="Q56" s="217"/>
      <c r="R56" s="217"/>
      <c r="S56" s="217"/>
      <c r="T56" s="217"/>
      <c r="U56" s="217"/>
      <c r="V56" s="217"/>
      <c r="W56" s="217"/>
      <c r="X56" s="217"/>
      <c r="Y56" s="217"/>
      <c r="Z56" s="217"/>
      <c r="AA56" s="217"/>
      <c r="AB56" s="217"/>
      <c r="AC56" s="217"/>
      <c r="AD56" s="217"/>
      <c r="AE56" s="217"/>
      <c r="AF56" s="217"/>
      <c r="AG56" s="217"/>
      <c r="AH56" s="217"/>
      <c r="AI56" s="217"/>
      <c r="AJ56" s="217"/>
      <c r="AK56" s="217"/>
      <c r="AL56" s="217"/>
      <c r="AM56" s="217"/>
      <c r="AN56" s="217"/>
      <c r="AO56" s="11"/>
      <c r="AP56" s="11"/>
    </row>
    <row r="57" spans="1:42" x14ac:dyDescent="0.25">
      <c r="A57" s="217"/>
      <c r="B57" s="217"/>
      <c r="C57" s="217"/>
      <c r="D57" s="217"/>
      <c r="E57" s="217"/>
      <c r="F57" s="217"/>
      <c r="G57" s="217"/>
      <c r="H57" s="217"/>
      <c r="I57" s="217"/>
      <c r="J57" s="217"/>
      <c r="K57" s="217"/>
      <c r="L57" s="217"/>
      <c r="M57" s="217"/>
      <c r="N57" s="217"/>
      <c r="O57" s="217"/>
      <c r="P57" s="217"/>
      <c r="Q57" s="217"/>
      <c r="R57" s="217"/>
      <c r="S57" s="217"/>
      <c r="T57" s="217"/>
      <c r="U57" s="217"/>
      <c r="V57" s="217"/>
      <c r="W57" s="217"/>
      <c r="X57" s="217"/>
      <c r="Y57" s="217"/>
      <c r="Z57" s="217"/>
      <c r="AA57" s="217"/>
      <c r="AB57" s="217"/>
      <c r="AC57" s="217"/>
      <c r="AD57" s="217"/>
      <c r="AE57" s="217"/>
      <c r="AF57" s="217"/>
      <c r="AG57" s="217"/>
      <c r="AH57" s="217"/>
      <c r="AI57" s="217"/>
      <c r="AJ57" s="217"/>
      <c r="AK57" s="217"/>
      <c r="AL57" s="217"/>
      <c r="AM57" s="217"/>
      <c r="AN57" s="217"/>
      <c r="AO57" s="11"/>
      <c r="AP57" s="11"/>
    </row>
    <row r="58" spans="1:42" x14ac:dyDescent="0.25">
      <c r="A58" s="217"/>
      <c r="B58" s="217"/>
      <c r="C58" s="217"/>
      <c r="D58" s="217"/>
      <c r="E58" s="217"/>
      <c r="F58" s="217"/>
      <c r="G58" s="217"/>
      <c r="H58" s="217"/>
      <c r="I58" s="217"/>
      <c r="J58" s="217"/>
      <c r="K58" s="217"/>
      <c r="L58" s="217"/>
      <c r="M58" s="217"/>
      <c r="N58" s="217"/>
      <c r="O58" s="217"/>
      <c r="P58" s="217"/>
      <c r="Q58" s="217"/>
      <c r="R58" s="217"/>
      <c r="S58" s="217"/>
      <c r="T58" s="217"/>
      <c r="U58" s="217"/>
      <c r="V58" s="217"/>
      <c r="W58" s="217"/>
      <c r="X58" s="217"/>
      <c r="Y58" s="217"/>
      <c r="Z58" s="217"/>
      <c r="AA58" s="217"/>
      <c r="AB58" s="217"/>
      <c r="AC58" s="217"/>
      <c r="AD58" s="217"/>
      <c r="AE58" s="217"/>
      <c r="AF58" s="217"/>
      <c r="AG58" s="217"/>
      <c r="AH58" s="217"/>
      <c r="AI58" s="217"/>
      <c r="AJ58" s="217"/>
      <c r="AK58" s="217"/>
      <c r="AL58" s="217"/>
      <c r="AM58" s="217"/>
      <c r="AN58" s="217"/>
      <c r="AO58" s="11"/>
      <c r="AP58" s="11"/>
    </row>
    <row r="59" spans="1:42" x14ac:dyDescent="0.25">
      <c r="A59" s="217"/>
      <c r="B59" s="217"/>
      <c r="C59" s="217"/>
      <c r="D59" s="217"/>
      <c r="E59" s="217"/>
      <c r="F59" s="217"/>
      <c r="G59" s="217"/>
      <c r="H59" s="217"/>
      <c r="I59" s="217"/>
      <c r="J59" s="217"/>
      <c r="K59" s="217"/>
      <c r="L59" s="217"/>
      <c r="M59" s="217"/>
      <c r="N59" s="217"/>
      <c r="O59" s="217"/>
      <c r="P59" s="217"/>
      <c r="Q59" s="217"/>
      <c r="R59" s="217"/>
      <c r="S59" s="217"/>
      <c r="T59" s="217"/>
      <c r="U59" s="217"/>
      <c r="V59" s="217"/>
      <c r="W59" s="217"/>
      <c r="X59" s="217"/>
      <c r="Y59" s="217"/>
      <c r="Z59" s="217"/>
      <c r="AA59" s="217"/>
      <c r="AB59" s="217"/>
      <c r="AC59" s="217"/>
      <c r="AD59" s="217"/>
      <c r="AE59" s="217"/>
      <c r="AF59" s="217"/>
      <c r="AG59" s="217"/>
      <c r="AH59" s="217"/>
      <c r="AI59" s="217"/>
      <c r="AJ59" s="217"/>
      <c r="AK59" s="217"/>
      <c r="AL59" s="217"/>
      <c r="AM59" s="217"/>
      <c r="AN59" s="217"/>
      <c r="AO59" s="11"/>
      <c r="AP59" s="11"/>
    </row>
    <row r="60" spans="1:42" x14ac:dyDescent="0.25">
      <c r="A60" s="217"/>
      <c r="B60" s="217"/>
      <c r="C60" s="217"/>
      <c r="D60" s="217"/>
      <c r="E60" s="217"/>
      <c r="F60" s="217"/>
      <c r="G60" s="217"/>
      <c r="H60" s="217"/>
      <c r="I60" s="217"/>
      <c r="J60" s="217"/>
      <c r="K60" s="217"/>
      <c r="L60" s="217"/>
      <c r="M60" s="217"/>
      <c r="N60" s="217"/>
      <c r="O60" s="217"/>
      <c r="P60" s="217"/>
      <c r="Q60" s="217"/>
      <c r="R60" s="217"/>
      <c r="S60" s="217"/>
      <c r="T60" s="217"/>
      <c r="U60" s="217"/>
      <c r="V60" s="217"/>
      <c r="W60" s="217"/>
      <c r="X60" s="217"/>
      <c r="Y60" s="217"/>
      <c r="Z60" s="217"/>
      <c r="AA60" s="217"/>
      <c r="AB60" s="217"/>
      <c r="AC60" s="217"/>
      <c r="AD60" s="217"/>
      <c r="AE60" s="217"/>
      <c r="AF60" s="217"/>
      <c r="AG60" s="217"/>
      <c r="AH60" s="217"/>
      <c r="AI60" s="217"/>
      <c r="AJ60" s="217"/>
      <c r="AK60" s="217"/>
      <c r="AL60" s="217"/>
      <c r="AM60" s="217"/>
      <c r="AN60" s="217"/>
      <c r="AO60" s="11"/>
      <c r="AP60" s="11"/>
    </row>
    <row r="61" spans="1:42" x14ac:dyDescent="0.25">
      <c r="A61" s="217"/>
      <c r="B61" s="217"/>
      <c r="C61" s="217"/>
      <c r="D61" s="217"/>
      <c r="E61" s="217"/>
      <c r="F61" s="217"/>
      <c r="G61" s="217"/>
      <c r="H61" s="217"/>
      <c r="I61" s="217"/>
      <c r="J61" s="217"/>
      <c r="K61" s="217"/>
      <c r="L61" s="217"/>
      <c r="M61" s="217"/>
      <c r="N61" s="217"/>
      <c r="O61" s="217"/>
      <c r="P61" s="217"/>
      <c r="Q61" s="217"/>
      <c r="R61" s="217"/>
      <c r="S61" s="217"/>
      <c r="T61" s="217"/>
      <c r="U61" s="217"/>
      <c r="V61" s="217"/>
      <c r="W61" s="217"/>
      <c r="X61" s="217"/>
      <c r="Y61" s="217"/>
      <c r="Z61" s="217"/>
      <c r="AA61" s="217"/>
      <c r="AB61" s="217"/>
      <c r="AC61" s="217"/>
      <c r="AD61" s="217"/>
      <c r="AE61" s="217"/>
      <c r="AF61" s="217"/>
      <c r="AG61" s="217"/>
      <c r="AH61" s="217"/>
      <c r="AI61" s="217"/>
      <c r="AJ61" s="217"/>
      <c r="AK61" s="217"/>
      <c r="AL61" s="217"/>
      <c r="AM61" s="217"/>
      <c r="AN61" s="217"/>
      <c r="AO61" s="11"/>
      <c r="AP61" s="11"/>
    </row>
    <row r="62" spans="1:42" x14ac:dyDescent="0.25">
      <c r="A62" s="217"/>
      <c r="B62" s="217"/>
      <c r="C62" s="217"/>
      <c r="D62" s="217"/>
      <c r="E62" s="217"/>
      <c r="F62" s="217"/>
      <c r="G62" s="217"/>
      <c r="H62" s="217"/>
      <c r="I62" s="217"/>
      <c r="J62" s="217"/>
      <c r="K62" s="217"/>
      <c r="L62" s="217"/>
      <c r="M62" s="217"/>
      <c r="N62" s="217"/>
      <c r="O62" s="217"/>
      <c r="P62" s="217"/>
      <c r="Q62" s="217"/>
      <c r="R62" s="217"/>
      <c r="S62" s="217"/>
      <c r="T62" s="217"/>
      <c r="U62" s="217"/>
      <c r="V62" s="217"/>
      <c r="W62" s="217"/>
      <c r="X62" s="217"/>
      <c r="Y62" s="217"/>
      <c r="Z62" s="217"/>
      <c r="AA62" s="217"/>
      <c r="AB62" s="217"/>
      <c r="AC62" s="217"/>
      <c r="AD62" s="217"/>
      <c r="AE62" s="217"/>
      <c r="AF62" s="217"/>
      <c r="AG62" s="217"/>
      <c r="AH62" s="217"/>
      <c r="AI62" s="217"/>
      <c r="AJ62" s="217"/>
      <c r="AK62" s="217"/>
      <c r="AL62" s="217"/>
      <c r="AM62" s="217"/>
      <c r="AN62" s="217"/>
      <c r="AO62" s="11"/>
      <c r="AP62" s="11"/>
    </row>
    <row r="63" spans="1:42" x14ac:dyDescent="0.25">
      <c r="A63" s="217"/>
      <c r="B63" s="217"/>
      <c r="C63" s="217"/>
      <c r="D63" s="217"/>
      <c r="E63" s="217"/>
      <c r="F63" s="217"/>
      <c r="G63" s="217"/>
      <c r="H63" s="217"/>
      <c r="I63" s="217"/>
      <c r="J63" s="217"/>
      <c r="K63" s="217"/>
      <c r="L63" s="217"/>
      <c r="M63" s="217"/>
      <c r="N63" s="217"/>
      <c r="O63" s="217"/>
      <c r="P63" s="217"/>
      <c r="Q63" s="217"/>
      <c r="R63" s="217"/>
      <c r="S63" s="217"/>
      <c r="T63" s="217"/>
      <c r="U63" s="217"/>
      <c r="V63" s="217"/>
      <c r="W63" s="217"/>
      <c r="X63" s="217"/>
      <c r="Y63" s="217"/>
      <c r="Z63" s="217"/>
      <c r="AA63" s="217"/>
      <c r="AB63" s="217"/>
      <c r="AC63" s="217"/>
      <c r="AD63" s="217"/>
      <c r="AE63" s="217"/>
      <c r="AF63" s="217"/>
      <c r="AG63" s="217"/>
      <c r="AH63" s="217"/>
      <c r="AI63" s="217"/>
      <c r="AJ63" s="217"/>
      <c r="AK63" s="217"/>
      <c r="AL63" s="217"/>
      <c r="AM63" s="217"/>
      <c r="AN63" s="217"/>
      <c r="AO63" s="11"/>
      <c r="AP63" s="11"/>
    </row>
    <row r="64" spans="1:42" x14ac:dyDescent="0.25">
      <c r="A64" s="217"/>
      <c r="B64" s="217"/>
      <c r="C64" s="217"/>
      <c r="D64" s="217"/>
      <c r="E64" s="217"/>
      <c r="F64" s="217"/>
      <c r="G64" s="217"/>
      <c r="H64" s="217"/>
      <c r="I64" s="217"/>
      <c r="J64" s="217"/>
      <c r="K64" s="217"/>
      <c r="L64" s="217"/>
      <c r="M64" s="217"/>
      <c r="N64" s="217"/>
      <c r="O64" s="217"/>
      <c r="P64" s="217"/>
      <c r="Q64" s="217"/>
      <c r="R64" s="217"/>
      <c r="S64" s="217"/>
      <c r="T64" s="217"/>
      <c r="U64" s="217"/>
      <c r="V64" s="217"/>
      <c r="W64" s="217"/>
      <c r="X64" s="217"/>
      <c r="Y64" s="217"/>
      <c r="Z64" s="217"/>
      <c r="AA64" s="217"/>
      <c r="AB64" s="217"/>
      <c r="AC64" s="217"/>
      <c r="AD64" s="217"/>
      <c r="AE64" s="217"/>
      <c r="AF64" s="217"/>
      <c r="AG64" s="217"/>
      <c r="AH64" s="217"/>
      <c r="AI64" s="217"/>
      <c r="AJ64" s="217"/>
      <c r="AK64" s="217"/>
      <c r="AL64" s="217"/>
      <c r="AM64" s="217"/>
      <c r="AN64" s="217"/>
      <c r="AO64" s="11"/>
      <c r="AP64" s="11"/>
    </row>
    <row r="65" spans="1:42" x14ac:dyDescent="0.25">
      <c r="A65" s="217"/>
      <c r="B65" s="217"/>
      <c r="C65" s="217"/>
      <c r="D65" s="217"/>
      <c r="E65" s="217"/>
      <c r="F65" s="217"/>
      <c r="G65" s="217"/>
      <c r="H65" s="217"/>
      <c r="I65" s="217"/>
      <c r="J65" s="217"/>
      <c r="K65" s="217"/>
      <c r="L65" s="217"/>
      <c r="M65" s="217"/>
      <c r="N65" s="217"/>
      <c r="O65" s="217"/>
      <c r="P65" s="217"/>
      <c r="Q65" s="217"/>
      <c r="R65" s="217"/>
      <c r="S65" s="217"/>
      <c r="T65" s="217"/>
      <c r="U65" s="217"/>
      <c r="V65" s="217"/>
      <c r="W65" s="217"/>
      <c r="X65" s="217"/>
      <c r="Y65" s="217"/>
      <c r="Z65" s="217"/>
      <c r="AA65" s="217"/>
      <c r="AB65" s="217"/>
      <c r="AC65" s="217"/>
      <c r="AD65" s="217"/>
      <c r="AE65" s="217"/>
      <c r="AF65" s="217"/>
      <c r="AG65" s="217"/>
      <c r="AH65" s="217"/>
      <c r="AI65" s="217"/>
      <c r="AJ65" s="217"/>
      <c r="AK65" s="217"/>
      <c r="AL65" s="217"/>
      <c r="AM65" s="217"/>
      <c r="AN65" s="217"/>
      <c r="AO65" s="11"/>
      <c r="AP65" s="11"/>
    </row>
    <row r="66" spans="1:42" x14ac:dyDescent="0.25">
      <c r="A66" s="217"/>
      <c r="B66" s="217"/>
      <c r="C66" s="217"/>
      <c r="D66" s="217"/>
      <c r="E66" s="217"/>
      <c r="F66" s="217"/>
      <c r="G66" s="217"/>
      <c r="H66" s="217"/>
      <c r="I66" s="217"/>
      <c r="J66" s="217"/>
      <c r="K66" s="217"/>
      <c r="L66" s="217"/>
      <c r="M66" s="217"/>
      <c r="N66" s="217"/>
      <c r="O66" s="217"/>
      <c r="P66" s="217"/>
      <c r="Q66" s="217"/>
      <c r="R66" s="217"/>
      <c r="S66" s="217"/>
      <c r="T66" s="217"/>
      <c r="U66" s="217"/>
      <c r="V66" s="217"/>
      <c r="W66" s="217"/>
      <c r="X66" s="217"/>
      <c r="Y66" s="217"/>
      <c r="Z66" s="217"/>
      <c r="AA66" s="217"/>
      <c r="AB66" s="217"/>
      <c r="AC66" s="217"/>
      <c r="AD66" s="217"/>
      <c r="AE66" s="217"/>
      <c r="AF66" s="217"/>
      <c r="AG66" s="217"/>
      <c r="AH66" s="217"/>
      <c r="AI66" s="217"/>
      <c r="AJ66" s="217"/>
      <c r="AK66" s="217"/>
      <c r="AL66" s="217"/>
      <c r="AM66" s="217"/>
      <c r="AN66" s="217"/>
    </row>
    <row r="67" spans="1:42" x14ac:dyDescent="0.25">
      <c r="A67" s="217"/>
      <c r="B67" s="217"/>
      <c r="C67" s="217"/>
      <c r="D67" s="217"/>
      <c r="E67" s="217"/>
      <c r="F67" s="217"/>
      <c r="G67" s="217"/>
      <c r="H67" s="217"/>
      <c r="I67" s="217"/>
      <c r="J67" s="217"/>
      <c r="K67" s="217"/>
      <c r="L67" s="217"/>
      <c r="M67" s="217"/>
      <c r="N67" s="217"/>
      <c r="O67" s="217"/>
      <c r="P67" s="217"/>
      <c r="Q67" s="217"/>
      <c r="R67" s="217"/>
      <c r="S67" s="217"/>
      <c r="T67" s="217"/>
      <c r="U67" s="217"/>
      <c r="V67" s="217"/>
      <c r="W67" s="217"/>
      <c r="X67" s="217"/>
      <c r="Y67" s="217"/>
      <c r="Z67" s="217"/>
      <c r="AA67" s="217"/>
      <c r="AB67" s="217"/>
      <c r="AC67" s="217"/>
      <c r="AD67" s="217"/>
      <c r="AE67" s="217"/>
      <c r="AF67" s="217"/>
      <c r="AG67" s="217"/>
      <c r="AH67" s="217"/>
      <c r="AI67" s="217"/>
      <c r="AJ67" s="217"/>
      <c r="AK67" s="217"/>
      <c r="AL67" s="217"/>
      <c r="AM67" s="217"/>
      <c r="AN67" s="217"/>
    </row>
    <row r="68" spans="1:42" x14ac:dyDescent="0.25">
      <c r="A68" s="217"/>
      <c r="B68" s="217"/>
      <c r="C68" s="217"/>
      <c r="D68" s="217"/>
      <c r="E68" s="217"/>
      <c r="F68" s="217"/>
      <c r="G68" s="217"/>
      <c r="H68" s="217"/>
      <c r="I68" s="217"/>
      <c r="J68" s="217"/>
      <c r="K68" s="217"/>
      <c r="L68" s="217"/>
      <c r="M68" s="217"/>
      <c r="N68" s="217"/>
      <c r="O68" s="217"/>
      <c r="P68" s="217"/>
      <c r="Q68" s="217"/>
      <c r="R68" s="217"/>
      <c r="S68" s="217"/>
      <c r="T68" s="217"/>
      <c r="U68" s="217"/>
      <c r="V68" s="217"/>
      <c r="W68" s="217"/>
      <c r="X68" s="217"/>
      <c r="Y68" s="217"/>
      <c r="Z68" s="217"/>
      <c r="AA68" s="217"/>
      <c r="AB68" s="217"/>
      <c r="AC68" s="217"/>
      <c r="AD68" s="217"/>
      <c r="AE68" s="217"/>
      <c r="AF68" s="217"/>
      <c r="AG68" s="217"/>
      <c r="AH68" s="217"/>
      <c r="AI68" s="217"/>
      <c r="AJ68" s="217"/>
      <c r="AK68" s="217"/>
      <c r="AL68" s="217"/>
      <c r="AM68" s="217"/>
      <c r="AN68" s="217"/>
    </row>
    <row r="69" spans="1:42" x14ac:dyDescent="0.25">
      <c r="A69" s="217"/>
      <c r="B69" s="217"/>
      <c r="C69" s="217"/>
      <c r="D69" s="217"/>
      <c r="E69" s="217"/>
      <c r="F69" s="217"/>
      <c r="G69" s="217"/>
      <c r="H69" s="217"/>
      <c r="I69" s="217"/>
      <c r="J69" s="217"/>
      <c r="K69" s="217"/>
      <c r="L69" s="217"/>
      <c r="M69" s="217"/>
      <c r="N69" s="217"/>
      <c r="O69" s="217"/>
      <c r="P69" s="217"/>
      <c r="Q69" s="217"/>
      <c r="R69" s="217"/>
      <c r="S69" s="217"/>
      <c r="T69" s="217"/>
      <c r="U69" s="217"/>
      <c r="V69" s="217"/>
      <c r="W69" s="217"/>
      <c r="X69" s="217"/>
      <c r="Y69" s="217"/>
      <c r="Z69" s="217"/>
      <c r="AA69" s="217"/>
      <c r="AB69" s="217"/>
      <c r="AC69" s="217"/>
      <c r="AD69" s="217"/>
      <c r="AE69" s="217"/>
      <c r="AF69" s="217"/>
      <c r="AG69" s="217"/>
      <c r="AH69" s="217"/>
      <c r="AI69" s="217"/>
      <c r="AJ69" s="217"/>
      <c r="AK69" s="217"/>
      <c r="AL69" s="217"/>
      <c r="AM69" s="217"/>
      <c r="AN69" s="217"/>
    </row>
    <row r="70" spans="1:42" x14ac:dyDescent="0.25">
      <c r="A70" s="217"/>
      <c r="B70" s="217"/>
      <c r="C70" s="217"/>
      <c r="D70" s="217"/>
      <c r="E70" s="217"/>
      <c r="F70" s="217"/>
      <c r="G70" s="217"/>
      <c r="H70" s="217"/>
      <c r="I70" s="217"/>
      <c r="J70" s="217"/>
      <c r="K70" s="217"/>
      <c r="L70" s="217"/>
      <c r="M70" s="217"/>
      <c r="N70" s="217"/>
      <c r="O70" s="217"/>
      <c r="P70" s="217"/>
      <c r="Q70" s="217"/>
      <c r="R70" s="217"/>
      <c r="S70" s="217"/>
      <c r="T70" s="217"/>
      <c r="U70" s="217"/>
      <c r="V70" s="217"/>
      <c r="W70" s="217"/>
      <c r="X70" s="217"/>
      <c r="Y70" s="217"/>
      <c r="Z70" s="217"/>
      <c r="AA70" s="217"/>
      <c r="AB70" s="217"/>
      <c r="AC70" s="217"/>
      <c r="AD70" s="217"/>
      <c r="AE70" s="217"/>
      <c r="AF70" s="217"/>
      <c r="AG70" s="217"/>
      <c r="AH70" s="217"/>
      <c r="AI70" s="217"/>
      <c r="AJ70" s="217"/>
      <c r="AK70" s="217"/>
      <c r="AL70" s="217"/>
      <c r="AM70" s="217"/>
      <c r="AN70" s="217"/>
    </row>
  </sheetData>
  <mergeCells count="9">
    <mergeCell ref="C6:F6"/>
    <mergeCell ref="C12:F12"/>
    <mergeCell ref="I23:K23"/>
    <mergeCell ref="C10:E10"/>
    <mergeCell ref="C11:E11"/>
    <mergeCell ref="C7:E7"/>
    <mergeCell ref="C8:E8"/>
    <mergeCell ref="C9:E9"/>
    <mergeCell ref="I22:K22"/>
  </mergeCells>
  <dataValidations count="1">
    <dataValidation type="list" allowBlank="1" showInputMessage="1" showErrorMessage="1" sqref="F8" xr:uid="{00000000-0002-0000-0400-000000000000}">
      <formula1>$AB$5:$AB$8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5"/>
  <dimension ref="A1:CS1027"/>
  <sheetViews>
    <sheetView topLeftCell="G4" zoomScale="85" zoomScaleNormal="85" workbookViewId="0">
      <selection activeCell="A4" sqref="A4:Z103"/>
    </sheetView>
  </sheetViews>
  <sheetFormatPr baseColWidth="10" defaultColWidth="11.5703125" defaultRowHeight="15" x14ac:dyDescent="0.25"/>
  <cols>
    <col min="1" max="1" width="9.7109375" customWidth="1"/>
    <col min="2" max="2" width="20.140625" customWidth="1"/>
    <col min="3" max="5" width="10.85546875" customWidth="1"/>
    <col min="6" max="6" width="13.42578125" customWidth="1"/>
    <col min="7" max="7" width="14.28515625" customWidth="1"/>
    <col min="8" max="8" width="14.7109375" customWidth="1"/>
    <col min="9" max="9" width="16.28515625" customWidth="1"/>
    <col min="10" max="10" width="11.7109375" bestFit="1" customWidth="1"/>
    <col min="11" max="11" width="12.5703125" customWidth="1"/>
    <col min="12" max="13" width="11.85546875" bestFit="1" customWidth="1"/>
    <col min="14" max="15" width="11.7109375" bestFit="1" customWidth="1"/>
    <col min="17" max="17" width="11.85546875" bestFit="1" customWidth="1"/>
    <col min="18" max="20" width="11.7109375" bestFit="1" customWidth="1"/>
    <col min="22" max="22" width="11.85546875" bestFit="1" customWidth="1"/>
    <col min="23" max="24" width="11.7109375" bestFit="1" customWidth="1"/>
    <col min="25" max="25" width="13" customWidth="1"/>
    <col min="26" max="26" width="14.42578125" customWidth="1"/>
    <col min="28" max="34" width="14.5703125" customWidth="1"/>
    <col min="35" max="35" width="12.28515625" customWidth="1"/>
    <col min="37" max="38" width="11.7109375" bestFit="1" customWidth="1"/>
    <col min="39" max="40" width="16.42578125" bestFit="1" customWidth="1"/>
    <col min="42" max="42" width="12.85546875" customWidth="1"/>
    <col min="43" max="43" width="12.28515625" customWidth="1"/>
    <col min="44" max="44" width="13.42578125" customWidth="1"/>
    <col min="45" max="45" width="11.85546875" customWidth="1"/>
    <col min="46" max="46" width="13.42578125" customWidth="1"/>
    <col min="47" max="47" width="11.28515625" customWidth="1"/>
    <col min="48" max="48" width="13.42578125" customWidth="1"/>
    <col min="49" max="49" width="12" customWidth="1"/>
    <col min="50" max="50" width="4.85546875" customWidth="1"/>
    <col min="51" max="51" width="18.42578125" customWidth="1"/>
    <col min="52" max="52" width="17.28515625" customWidth="1"/>
    <col min="53" max="53" width="4" customWidth="1"/>
    <col min="54" max="63" width="9.5703125" customWidth="1"/>
    <col min="65" max="74" width="10.7109375" customWidth="1"/>
  </cols>
  <sheetData>
    <row r="1" spans="1:97" s="11" customFormat="1" ht="15" customHeight="1" x14ac:dyDescent="0.25">
      <c r="A1" s="175">
        <v>1</v>
      </c>
      <c r="B1" s="275">
        <f>A1+1</f>
        <v>2</v>
      </c>
      <c r="C1" s="275">
        <f t="shared" ref="C1:BN1" si="0">B1+1</f>
        <v>3</v>
      </c>
      <c r="D1" s="275">
        <f t="shared" si="0"/>
        <v>4</v>
      </c>
      <c r="E1" s="275">
        <f t="shared" si="0"/>
        <v>5</v>
      </c>
      <c r="F1" s="275">
        <f t="shared" si="0"/>
        <v>6</v>
      </c>
      <c r="G1" s="275">
        <f t="shared" si="0"/>
        <v>7</v>
      </c>
      <c r="H1" s="275">
        <f t="shared" si="0"/>
        <v>8</v>
      </c>
      <c r="I1" s="275">
        <f t="shared" si="0"/>
        <v>9</v>
      </c>
      <c r="J1" s="275">
        <f t="shared" si="0"/>
        <v>10</v>
      </c>
      <c r="K1" s="275">
        <f t="shared" si="0"/>
        <v>11</v>
      </c>
      <c r="L1" s="275">
        <f t="shared" si="0"/>
        <v>12</v>
      </c>
      <c r="M1" s="275">
        <f t="shared" si="0"/>
        <v>13</v>
      </c>
      <c r="N1" s="275">
        <f t="shared" si="0"/>
        <v>14</v>
      </c>
      <c r="O1" s="275">
        <f t="shared" si="0"/>
        <v>15</v>
      </c>
      <c r="P1" s="275">
        <f t="shared" si="0"/>
        <v>16</v>
      </c>
      <c r="Q1" s="275">
        <f t="shared" si="0"/>
        <v>17</v>
      </c>
      <c r="R1" s="275">
        <f t="shared" si="0"/>
        <v>18</v>
      </c>
      <c r="S1" s="275">
        <f t="shared" si="0"/>
        <v>19</v>
      </c>
      <c r="T1" s="275">
        <f t="shared" si="0"/>
        <v>20</v>
      </c>
      <c r="U1" s="275">
        <f t="shared" si="0"/>
        <v>21</v>
      </c>
      <c r="V1" s="275">
        <f t="shared" si="0"/>
        <v>22</v>
      </c>
      <c r="W1" s="275">
        <f t="shared" si="0"/>
        <v>23</v>
      </c>
      <c r="X1" s="275">
        <f t="shared" si="0"/>
        <v>24</v>
      </c>
      <c r="Y1" s="275">
        <f t="shared" si="0"/>
        <v>25</v>
      </c>
      <c r="Z1" s="275">
        <f t="shared" si="0"/>
        <v>26</v>
      </c>
      <c r="AA1" s="275">
        <f t="shared" si="0"/>
        <v>27</v>
      </c>
      <c r="AB1" s="275">
        <f t="shared" si="0"/>
        <v>28</v>
      </c>
      <c r="AC1" s="275">
        <f t="shared" si="0"/>
        <v>29</v>
      </c>
      <c r="AD1" s="275">
        <f t="shared" si="0"/>
        <v>30</v>
      </c>
      <c r="AE1" s="275">
        <f t="shared" si="0"/>
        <v>31</v>
      </c>
      <c r="AF1" s="275">
        <f t="shared" si="0"/>
        <v>32</v>
      </c>
      <c r="AG1" s="275">
        <f t="shared" si="0"/>
        <v>33</v>
      </c>
      <c r="AH1" s="275">
        <f t="shared" si="0"/>
        <v>34</v>
      </c>
      <c r="AI1" s="275">
        <f t="shared" si="0"/>
        <v>35</v>
      </c>
      <c r="AJ1" s="275">
        <f t="shared" si="0"/>
        <v>36</v>
      </c>
      <c r="AK1" s="275">
        <f t="shared" si="0"/>
        <v>37</v>
      </c>
      <c r="AL1" s="275">
        <f t="shared" si="0"/>
        <v>38</v>
      </c>
      <c r="AM1" s="275">
        <f t="shared" si="0"/>
        <v>39</v>
      </c>
      <c r="AN1" s="275">
        <f t="shared" si="0"/>
        <v>40</v>
      </c>
      <c r="AO1" s="275">
        <f t="shared" si="0"/>
        <v>41</v>
      </c>
      <c r="AP1" s="275">
        <f t="shared" si="0"/>
        <v>42</v>
      </c>
      <c r="AQ1" s="275">
        <f t="shared" si="0"/>
        <v>43</v>
      </c>
      <c r="AR1" s="275">
        <f t="shared" si="0"/>
        <v>44</v>
      </c>
      <c r="AS1" s="275">
        <f t="shared" si="0"/>
        <v>45</v>
      </c>
      <c r="AT1" s="275">
        <f t="shared" si="0"/>
        <v>46</v>
      </c>
      <c r="AU1" s="275">
        <f t="shared" si="0"/>
        <v>47</v>
      </c>
      <c r="AV1" s="275">
        <f t="shared" si="0"/>
        <v>48</v>
      </c>
      <c r="AW1" s="275">
        <f t="shared" si="0"/>
        <v>49</v>
      </c>
      <c r="AX1" s="275">
        <f t="shared" si="0"/>
        <v>50</v>
      </c>
      <c r="AY1" s="275">
        <f t="shared" si="0"/>
        <v>51</v>
      </c>
      <c r="AZ1" s="275">
        <f t="shared" si="0"/>
        <v>52</v>
      </c>
      <c r="BA1" s="275">
        <f t="shared" si="0"/>
        <v>53</v>
      </c>
      <c r="BB1" s="275">
        <f t="shared" si="0"/>
        <v>54</v>
      </c>
      <c r="BC1" s="275">
        <f t="shared" si="0"/>
        <v>55</v>
      </c>
      <c r="BD1" s="275">
        <f t="shared" si="0"/>
        <v>56</v>
      </c>
      <c r="BE1" s="275">
        <f t="shared" si="0"/>
        <v>57</v>
      </c>
      <c r="BF1" s="275">
        <f t="shared" si="0"/>
        <v>58</v>
      </c>
      <c r="BG1" s="275">
        <f t="shared" si="0"/>
        <v>59</v>
      </c>
      <c r="BH1" s="275">
        <f t="shared" si="0"/>
        <v>60</v>
      </c>
      <c r="BI1" s="275">
        <f t="shared" si="0"/>
        <v>61</v>
      </c>
      <c r="BJ1" s="275">
        <f t="shared" si="0"/>
        <v>62</v>
      </c>
      <c r="BK1" s="275">
        <f t="shared" si="0"/>
        <v>63</v>
      </c>
      <c r="BL1" s="275">
        <f t="shared" si="0"/>
        <v>64</v>
      </c>
      <c r="BM1" s="275">
        <f t="shared" si="0"/>
        <v>65</v>
      </c>
      <c r="BN1" s="275">
        <f t="shared" si="0"/>
        <v>66</v>
      </c>
      <c r="BO1" s="275">
        <f t="shared" ref="BO1:BV1" si="1">BN1+1</f>
        <v>67</v>
      </c>
      <c r="BP1" s="275">
        <f t="shared" si="1"/>
        <v>68</v>
      </c>
      <c r="BQ1" s="275">
        <f t="shared" si="1"/>
        <v>69</v>
      </c>
      <c r="BR1" s="275">
        <f t="shared" si="1"/>
        <v>70</v>
      </c>
      <c r="BS1" s="275">
        <f t="shared" si="1"/>
        <v>71</v>
      </c>
      <c r="BT1" s="275">
        <f t="shared" si="1"/>
        <v>72</v>
      </c>
      <c r="BU1" s="275">
        <f t="shared" si="1"/>
        <v>73</v>
      </c>
      <c r="BV1" s="275">
        <f t="shared" si="1"/>
        <v>74</v>
      </c>
      <c r="CA1" s="226" t="e">
        <v>#DIV/0!</v>
      </c>
      <c r="CB1" s="11">
        <v>85</v>
      </c>
    </row>
    <row r="2" spans="1:97" ht="15" customHeight="1" x14ac:dyDescent="0.25">
      <c r="B2" s="96"/>
      <c r="C2" s="123"/>
      <c r="D2" s="123"/>
      <c r="E2" s="123"/>
      <c r="F2" s="97"/>
      <c r="G2" s="363" t="s">
        <v>65</v>
      </c>
      <c r="H2" s="363"/>
      <c r="I2" s="363"/>
      <c r="J2" s="363"/>
      <c r="K2" s="360"/>
      <c r="L2" s="361" t="s">
        <v>49</v>
      </c>
      <c r="M2" s="364"/>
      <c r="N2" s="364"/>
      <c r="O2" s="364"/>
      <c r="P2" s="362"/>
      <c r="Q2" s="365" t="s">
        <v>50</v>
      </c>
      <c r="R2" s="366"/>
      <c r="S2" s="366"/>
      <c r="T2" s="366"/>
      <c r="U2" s="367"/>
      <c r="V2" s="361" t="s">
        <v>51</v>
      </c>
      <c r="W2" s="364"/>
      <c r="X2" s="364"/>
      <c r="Y2" s="364"/>
      <c r="Z2" s="362"/>
      <c r="AB2" s="361" t="s">
        <v>0</v>
      </c>
      <c r="AC2" s="362"/>
      <c r="AD2" s="365" t="s">
        <v>31</v>
      </c>
      <c r="AE2" s="367"/>
      <c r="AF2" s="361" t="s">
        <v>10</v>
      </c>
      <c r="AG2" s="362"/>
      <c r="AH2" s="365" t="s">
        <v>11</v>
      </c>
      <c r="AI2" s="367"/>
      <c r="AK2" s="361" t="s">
        <v>60</v>
      </c>
      <c r="AL2" s="364"/>
      <c r="AM2" s="364"/>
      <c r="AN2" s="362"/>
      <c r="AP2" s="361" t="s">
        <v>0</v>
      </c>
      <c r="AQ2" s="362"/>
      <c r="AR2" s="359" t="s">
        <v>31</v>
      </c>
      <c r="AS2" s="360"/>
      <c r="AT2" s="361" t="s">
        <v>10</v>
      </c>
      <c r="AU2" s="362"/>
      <c r="AV2" s="359" t="s">
        <v>11</v>
      </c>
      <c r="AW2" s="360"/>
      <c r="AY2" s="316"/>
      <c r="AZ2" s="97"/>
      <c r="BB2" s="354" t="s">
        <v>61</v>
      </c>
      <c r="BC2" s="355"/>
      <c r="BD2" s="355"/>
      <c r="BE2" s="355"/>
      <c r="BF2" s="356"/>
      <c r="BG2" s="357" t="s">
        <v>62</v>
      </c>
      <c r="BH2" s="358"/>
      <c r="BI2" s="358"/>
      <c r="BJ2" s="358"/>
      <c r="BK2" s="358"/>
      <c r="BM2" s="354" t="s">
        <v>61</v>
      </c>
      <c r="BN2" s="355"/>
      <c r="BO2" s="355"/>
      <c r="BP2" s="355"/>
      <c r="BQ2" s="356"/>
      <c r="BR2" s="357" t="s">
        <v>62</v>
      </c>
      <c r="BS2" s="358"/>
      <c r="BT2" s="358"/>
      <c r="BU2" s="358"/>
      <c r="BV2" s="358"/>
      <c r="CA2" s="132" t="e">
        <v>#DIV/0!</v>
      </c>
      <c r="CB2">
        <v>3</v>
      </c>
    </row>
    <row r="3" spans="1:97" ht="42" customHeight="1" x14ac:dyDescent="0.25">
      <c r="A3" s="117" t="s">
        <v>163</v>
      </c>
      <c r="B3" s="122" t="s">
        <v>30</v>
      </c>
      <c r="C3" s="16" t="s">
        <v>0</v>
      </c>
      <c r="D3" s="16" t="s">
        <v>31</v>
      </c>
      <c r="E3" s="16" t="s">
        <v>10</v>
      </c>
      <c r="F3" s="17" t="s">
        <v>11</v>
      </c>
      <c r="G3" s="118" t="s">
        <v>133</v>
      </c>
      <c r="H3" s="118" t="s">
        <v>121</v>
      </c>
      <c r="I3" s="119" t="s">
        <v>122</v>
      </c>
      <c r="J3" s="119" t="s">
        <v>134</v>
      </c>
      <c r="K3" s="119" t="s">
        <v>124</v>
      </c>
      <c r="L3" s="117" t="s">
        <v>120</v>
      </c>
      <c r="M3" s="117" t="s">
        <v>121</v>
      </c>
      <c r="N3" s="117" t="s">
        <v>122</v>
      </c>
      <c r="O3" s="117" t="s">
        <v>123</v>
      </c>
      <c r="P3" s="117" t="s">
        <v>124</v>
      </c>
      <c r="Q3" s="118" t="s">
        <v>120</v>
      </c>
      <c r="R3" s="118" t="s">
        <v>121</v>
      </c>
      <c r="S3" s="118" t="s">
        <v>122</v>
      </c>
      <c r="T3" s="118" t="s">
        <v>123</v>
      </c>
      <c r="U3" s="118" t="s">
        <v>124</v>
      </c>
      <c r="V3" s="117" t="s">
        <v>120</v>
      </c>
      <c r="W3" s="117" t="s">
        <v>121</v>
      </c>
      <c r="X3" s="117" t="s">
        <v>122</v>
      </c>
      <c r="Y3" s="117" t="s">
        <v>123</v>
      </c>
      <c r="Z3" s="117" t="s">
        <v>124</v>
      </c>
      <c r="AB3" s="117" t="s">
        <v>143</v>
      </c>
      <c r="AC3" s="117" t="s">
        <v>144</v>
      </c>
      <c r="AD3" s="118" t="s">
        <v>143</v>
      </c>
      <c r="AE3" s="118" t="s">
        <v>144</v>
      </c>
      <c r="AF3" s="117" t="s">
        <v>143</v>
      </c>
      <c r="AG3" s="117" t="s">
        <v>144</v>
      </c>
      <c r="AH3" s="118" t="s">
        <v>143</v>
      </c>
      <c r="AI3" s="118" t="s">
        <v>144</v>
      </c>
      <c r="AK3" s="120" t="s">
        <v>64</v>
      </c>
      <c r="AL3" s="120" t="s">
        <v>46</v>
      </c>
      <c r="AM3" s="120" t="s">
        <v>47</v>
      </c>
      <c r="AN3" s="120" t="s">
        <v>48</v>
      </c>
      <c r="AP3" s="117" t="s">
        <v>141</v>
      </c>
      <c r="AQ3" s="117" t="s">
        <v>142</v>
      </c>
      <c r="AR3" s="119" t="s">
        <v>141</v>
      </c>
      <c r="AS3" s="119" t="s">
        <v>142</v>
      </c>
      <c r="AT3" s="117" t="s">
        <v>141</v>
      </c>
      <c r="AU3" s="117" t="s">
        <v>142</v>
      </c>
      <c r="AV3" s="119" t="s">
        <v>141</v>
      </c>
      <c r="AW3" s="119" t="s">
        <v>142</v>
      </c>
      <c r="AY3" s="117" t="s">
        <v>145</v>
      </c>
      <c r="AZ3" s="117" t="s">
        <v>146</v>
      </c>
      <c r="BB3" s="17" t="s">
        <v>0</v>
      </c>
      <c r="BC3" s="17" t="s">
        <v>31</v>
      </c>
      <c r="BD3" s="17" t="s">
        <v>10</v>
      </c>
      <c r="BE3" s="17" t="s">
        <v>11</v>
      </c>
      <c r="BF3" s="17" t="s">
        <v>71</v>
      </c>
      <c r="BG3" s="126" t="s">
        <v>0</v>
      </c>
      <c r="BH3" s="126" t="s">
        <v>31</v>
      </c>
      <c r="BI3" s="126" t="s">
        <v>10</v>
      </c>
      <c r="BJ3" s="126" t="s">
        <v>11</v>
      </c>
      <c r="BK3" s="126" t="s">
        <v>71</v>
      </c>
      <c r="BM3" s="17" t="s">
        <v>0</v>
      </c>
      <c r="BN3" s="17" t="s">
        <v>31</v>
      </c>
      <c r="BO3" s="17" t="s">
        <v>10</v>
      </c>
      <c r="BP3" s="17" t="s">
        <v>11</v>
      </c>
      <c r="BQ3" s="17" t="s">
        <v>71</v>
      </c>
      <c r="BR3" s="126" t="s">
        <v>0</v>
      </c>
      <c r="BS3" s="126" t="s">
        <v>31</v>
      </c>
      <c r="BT3" s="126" t="s">
        <v>10</v>
      </c>
      <c r="BU3" s="126" t="s">
        <v>11</v>
      </c>
      <c r="BV3" s="126" t="s">
        <v>71</v>
      </c>
      <c r="CA3" s="132">
        <v>10.165117271416666</v>
      </c>
      <c r="CD3" s="126" t="s">
        <v>239</v>
      </c>
      <c r="CE3" s="126" t="s">
        <v>240</v>
      </c>
      <c r="CF3" s="126" t="s">
        <v>241</v>
      </c>
      <c r="CG3" s="126" t="s">
        <v>242</v>
      </c>
      <c r="CH3" s="126" t="s">
        <v>243</v>
      </c>
      <c r="CI3" s="126" t="s">
        <v>244</v>
      </c>
      <c r="CJ3" s="126" t="s">
        <v>245</v>
      </c>
      <c r="CK3" s="126" t="s">
        <v>247</v>
      </c>
      <c r="CL3" s="126" t="s">
        <v>246</v>
      </c>
      <c r="CM3" s="126" t="s">
        <v>248</v>
      </c>
    </row>
    <row r="4" spans="1:97" x14ac:dyDescent="0.25">
      <c r="A4">
        <v>1</v>
      </c>
      <c r="B4" s="121">
        <v>0.5</v>
      </c>
      <c r="C4" s="20">
        <v>1.0110045112736447E-4</v>
      </c>
      <c r="D4" s="20">
        <v>8.5305356252460449E-9</v>
      </c>
      <c r="E4" s="20">
        <v>8.5407161728488038E-28</v>
      </c>
      <c r="F4" s="20">
        <v>8.5252516765114435E-22</v>
      </c>
      <c r="G4" s="19"/>
      <c r="H4" s="19"/>
      <c r="I4" s="19"/>
      <c r="J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AP4" s="127"/>
      <c r="AQ4" s="127"/>
      <c r="AR4" s="127"/>
      <c r="AS4" s="127"/>
      <c r="AT4" s="127"/>
      <c r="AU4" s="127"/>
      <c r="AV4" s="127"/>
      <c r="AW4" s="127"/>
      <c r="AY4" s="127"/>
      <c r="AZ4" s="127"/>
      <c r="BM4" s="144" t="e">
        <f>IF((1/BB103)&gt;BM8,"&gt;20",1/BB103)</f>
        <v>#DIV/0!</v>
      </c>
      <c r="BN4" s="144" t="e">
        <f t="shared" ref="BN4:BV4" si="2">1/BC103</f>
        <v>#DIV/0!</v>
      </c>
      <c r="BO4" s="144" t="e">
        <f t="shared" si="2"/>
        <v>#DIV/0!</v>
      </c>
      <c r="BP4" s="144" t="e">
        <f t="shared" si="2"/>
        <v>#DIV/0!</v>
      </c>
      <c r="BQ4" s="144" t="e">
        <f t="shared" si="2"/>
        <v>#DIV/0!</v>
      </c>
      <c r="BR4" s="144" t="e">
        <f t="shared" si="2"/>
        <v>#DIV/0!</v>
      </c>
      <c r="BS4" s="144" t="e">
        <f t="shared" si="2"/>
        <v>#DIV/0!</v>
      </c>
      <c r="BT4" s="144" t="e">
        <f t="shared" si="2"/>
        <v>#DIV/0!</v>
      </c>
      <c r="BU4" s="144" t="e">
        <f t="shared" si="2"/>
        <v>#DIV/0!</v>
      </c>
      <c r="BV4" s="144" t="e">
        <f t="shared" si="2"/>
        <v>#DIV/0!</v>
      </c>
      <c r="CA4" s="132">
        <v>11.229759475135513</v>
      </c>
      <c r="CC4" s="126">
        <v>1</v>
      </c>
      <c r="CD4">
        <v>4838.3999999999996</v>
      </c>
      <c r="CE4">
        <v>829.44</v>
      </c>
      <c r="CF4">
        <v>138.24</v>
      </c>
      <c r="CJ4" s="121">
        <v>22.344743631988795</v>
      </c>
      <c r="CK4" s="121">
        <v>499.28756797930379</v>
      </c>
      <c r="CL4" s="121">
        <v>11.123903564670609</v>
      </c>
      <c r="CM4" s="121">
        <v>123.74123051609149</v>
      </c>
      <c r="CP4" s="121"/>
      <c r="CQ4" s="121"/>
      <c r="CR4" s="121"/>
      <c r="CS4" s="121"/>
    </row>
    <row r="5" spans="1:97" x14ac:dyDescent="0.25">
      <c r="A5">
        <v>2</v>
      </c>
      <c r="B5" s="121">
        <v>1</v>
      </c>
      <c r="C5" s="20">
        <v>0.31934053328052636</v>
      </c>
      <c r="D5" s="20">
        <v>4.1297764298174952E-4</v>
      </c>
      <c r="E5" s="20">
        <v>1.1518602379413251E-17</v>
      </c>
      <c r="F5" s="20">
        <v>5.4006824644427748E-12</v>
      </c>
      <c r="G5" s="19"/>
      <c r="H5" s="19"/>
      <c r="I5" s="19"/>
      <c r="J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AP5" s="127"/>
      <c r="AQ5" s="127"/>
      <c r="AR5" s="127"/>
      <c r="AS5" s="127"/>
      <c r="AT5" s="127"/>
      <c r="AU5" s="127"/>
      <c r="AV5" s="127"/>
      <c r="AW5" s="127"/>
      <c r="AY5" s="127"/>
      <c r="AZ5" s="127"/>
      <c r="CA5" s="22">
        <v>4032</v>
      </c>
      <c r="CC5" s="126">
        <v>2</v>
      </c>
      <c r="CD5">
        <v>4838.3999999999996</v>
      </c>
      <c r="CE5">
        <v>829.44</v>
      </c>
      <c r="CF5">
        <v>92.16</v>
      </c>
      <c r="CJ5" s="121">
        <v>22.344743631988795</v>
      </c>
      <c r="CK5" s="121">
        <v>499.28756797930379</v>
      </c>
      <c r="CL5" s="121">
        <v>5.3664783212133305</v>
      </c>
      <c r="CM5" s="155">
        <v>28.799089572052644</v>
      </c>
      <c r="CP5" s="121"/>
      <c r="CQ5" s="121"/>
      <c r="CR5" s="121"/>
      <c r="CS5" s="155"/>
    </row>
    <row r="6" spans="1:97" x14ac:dyDescent="0.25">
      <c r="A6">
        <v>3</v>
      </c>
      <c r="B6" s="121">
        <v>1.5</v>
      </c>
      <c r="C6" s="20">
        <v>5.7771608833961974</v>
      </c>
      <c r="D6" s="20">
        <v>4.0746343622162146E-2</v>
      </c>
      <c r="E6" s="20">
        <v>8.1706943664492289E-13</v>
      </c>
      <c r="F6" s="20">
        <v>1.3779738281604328E-7</v>
      </c>
      <c r="G6" s="19"/>
      <c r="H6" s="19"/>
      <c r="I6" s="19"/>
      <c r="J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AP6" s="127"/>
      <c r="AQ6" s="127"/>
      <c r="AR6" s="127"/>
      <c r="AS6" s="127"/>
      <c r="AT6" s="127"/>
      <c r="AU6" s="127"/>
      <c r="AV6" s="127"/>
      <c r="AW6" s="127"/>
      <c r="AY6" s="127"/>
      <c r="AZ6" s="127"/>
      <c r="BM6" s="153" t="s">
        <v>252</v>
      </c>
      <c r="BN6" s="153" t="str">
        <f>$BM$6</f>
        <v xml:space="preserve">20		</v>
      </c>
      <c r="BO6" s="153" t="str">
        <f t="shared" ref="BO6:BV6" si="3">$BM$6</f>
        <v xml:space="preserve">20		</v>
      </c>
      <c r="BP6" s="153" t="str">
        <f t="shared" si="3"/>
        <v xml:space="preserve">20		</v>
      </c>
      <c r="BQ6" s="153" t="str">
        <f t="shared" si="3"/>
        <v xml:space="preserve">20		</v>
      </c>
      <c r="BR6" s="153" t="str">
        <f t="shared" si="3"/>
        <v xml:space="preserve">20		</v>
      </c>
      <c r="BS6" s="153" t="str">
        <f t="shared" si="3"/>
        <v xml:space="preserve">20		</v>
      </c>
      <c r="BT6" s="153" t="str">
        <f t="shared" si="3"/>
        <v xml:space="preserve">20		</v>
      </c>
      <c r="BU6" s="153" t="str">
        <f t="shared" si="3"/>
        <v xml:space="preserve">20		</v>
      </c>
      <c r="BV6" s="153" t="str">
        <f t="shared" si="3"/>
        <v xml:space="preserve">20		</v>
      </c>
      <c r="CA6" s="22">
        <v>691.2</v>
      </c>
      <c r="CC6" s="126">
        <v>3</v>
      </c>
      <c r="CD6">
        <v>4838.3999999999996</v>
      </c>
      <c r="CE6">
        <v>552.96</v>
      </c>
      <c r="CF6">
        <v>138.24</v>
      </c>
      <c r="CJ6" s="121">
        <v>5.7093375898171317</v>
      </c>
      <c r="CK6" s="121">
        <v>32.596535714498891</v>
      </c>
      <c r="CL6" s="121">
        <v>6.1687294869373446</v>
      </c>
      <c r="CM6" s="121">
        <v>38.053223483010271</v>
      </c>
      <c r="CP6" s="121"/>
      <c r="CQ6" s="121"/>
      <c r="CR6" s="121"/>
      <c r="CS6" s="121"/>
    </row>
    <row r="7" spans="1:97" x14ac:dyDescent="0.25">
      <c r="A7">
        <v>4</v>
      </c>
      <c r="B7" s="121">
        <v>2</v>
      </c>
      <c r="C7" s="20">
        <v>19.972095289182327</v>
      </c>
      <c r="D7" s="20">
        <v>0.49075036771464903</v>
      </c>
      <c r="E7" s="20">
        <v>7.462460255090954E-10</v>
      </c>
      <c r="F7" s="20">
        <v>4.6982827389923032E-5</v>
      </c>
      <c r="G7" s="19"/>
      <c r="H7" s="19"/>
      <c r="I7" s="19"/>
      <c r="J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AP7" s="127"/>
      <c r="AQ7" s="127"/>
      <c r="AR7" s="127"/>
      <c r="AS7" s="127"/>
      <c r="AT7" s="127"/>
      <c r="AU7" s="127"/>
      <c r="AV7" s="127"/>
      <c r="AW7" s="127"/>
      <c r="AY7" s="127"/>
      <c r="AZ7" s="127"/>
      <c r="CA7" s="22">
        <v>115.2</v>
      </c>
      <c r="CC7" s="126">
        <v>4</v>
      </c>
      <c r="CD7">
        <v>4838.3999999999996</v>
      </c>
      <c r="CE7">
        <v>552.96</v>
      </c>
      <c r="CF7">
        <v>92.16</v>
      </c>
      <c r="CJ7" s="121">
        <v>5.7093375898171317</v>
      </c>
      <c r="CK7" s="121">
        <v>32.596535714498891</v>
      </c>
      <c r="CL7" s="121">
        <v>2.9798516211145651</v>
      </c>
      <c r="CM7" s="121">
        <v>8.8795156838591023</v>
      </c>
      <c r="CP7" s="121"/>
      <c r="CQ7" s="121"/>
      <c r="CR7" s="121"/>
      <c r="CS7" s="121"/>
    </row>
    <row r="8" spans="1:97" x14ac:dyDescent="0.25">
      <c r="A8">
        <v>5</v>
      </c>
      <c r="B8" s="121">
        <v>2.5</v>
      </c>
      <c r="C8" s="20">
        <v>32.826251977169122</v>
      </c>
      <c r="D8" s="20">
        <v>2.178634659601018</v>
      </c>
      <c r="E8" s="20">
        <v>7.8396525076159917E-8</v>
      </c>
      <c r="F8" s="20">
        <v>1.9811532134729488E-3</v>
      </c>
      <c r="G8" s="19"/>
      <c r="H8" s="19"/>
      <c r="I8" s="19"/>
      <c r="J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AP8" s="127"/>
      <c r="AQ8" s="127"/>
      <c r="AR8" s="127"/>
      <c r="AS8" s="127"/>
      <c r="AT8" s="127"/>
      <c r="AU8" s="127"/>
      <c r="AV8" s="127"/>
      <c r="AW8" s="127"/>
      <c r="AY8" s="127"/>
      <c r="AZ8" s="127"/>
      <c r="BM8" s="153" t="e">
        <f>IF((1/BB103)&gt;BM6,BM6,1/BB103)</f>
        <v>#DIV/0!</v>
      </c>
      <c r="BN8" s="153" t="e">
        <f t="shared" ref="BN8:BV8" si="4">IF((1/BC103)&gt;BN6,BN6,1/BC103)</f>
        <v>#DIV/0!</v>
      </c>
      <c r="BO8" s="153" t="e">
        <f t="shared" si="4"/>
        <v>#DIV/0!</v>
      </c>
      <c r="BP8" s="153" t="e">
        <f t="shared" si="4"/>
        <v>#DIV/0!</v>
      </c>
      <c r="BQ8" s="153" t="e">
        <f t="shared" si="4"/>
        <v>#DIV/0!</v>
      </c>
      <c r="BR8" s="153" t="e">
        <f t="shared" si="4"/>
        <v>#DIV/0!</v>
      </c>
      <c r="BS8" s="153" t="e">
        <f t="shared" si="4"/>
        <v>#DIV/0!</v>
      </c>
      <c r="BT8" s="153" t="e">
        <f t="shared" si="4"/>
        <v>#DIV/0!</v>
      </c>
      <c r="BU8" s="153" t="e">
        <f t="shared" si="4"/>
        <v>#DIV/0!</v>
      </c>
      <c r="BV8" s="153" t="e">
        <f t="shared" si="4"/>
        <v>#DIV/0!</v>
      </c>
      <c r="CA8" s="22"/>
      <c r="CC8" s="126">
        <v>5</v>
      </c>
      <c r="CD8">
        <v>3225.6</v>
      </c>
      <c r="CE8">
        <v>829.44</v>
      </c>
      <c r="CF8">
        <v>138.24</v>
      </c>
      <c r="CJ8" s="121">
        <v>16.904688884215748</v>
      </c>
      <c r="CK8" s="121">
        <v>285.76850627212747</v>
      </c>
      <c r="CL8" s="121">
        <v>8.5853474014725499</v>
      </c>
      <c r="CM8" s="121">
        <v>73.708190003971467</v>
      </c>
      <c r="CP8" s="121"/>
      <c r="CQ8" s="121"/>
      <c r="CR8" s="121"/>
      <c r="CS8" s="121"/>
    </row>
    <row r="9" spans="1:97" x14ac:dyDescent="0.25">
      <c r="A9">
        <v>6</v>
      </c>
      <c r="B9" s="121">
        <v>3</v>
      </c>
      <c r="C9" s="20">
        <v>36.433346807019589</v>
      </c>
      <c r="D9" s="20">
        <v>5.5363516057769244</v>
      </c>
      <c r="E9" s="20">
        <v>2.3310444024516957E-6</v>
      </c>
      <c r="F9" s="20">
        <v>2.5375932759074831E-2</v>
      </c>
      <c r="G9" s="19"/>
      <c r="H9" s="19"/>
      <c r="I9" s="19"/>
      <c r="J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AP9" s="127"/>
      <c r="AQ9" s="127"/>
      <c r="AR9" s="127"/>
      <c r="AS9" s="127"/>
      <c r="AT9" s="127"/>
      <c r="AU9" s="127"/>
      <c r="AV9" s="127"/>
      <c r="AW9" s="127"/>
      <c r="AY9" s="127"/>
      <c r="AZ9" s="127"/>
      <c r="CA9" s="22"/>
      <c r="CC9" s="126">
        <v>6</v>
      </c>
      <c r="CD9">
        <v>3225.6</v>
      </c>
      <c r="CE9">
        <v>829.44</v>
      </c>
      <c r="CF9">
        <v>92.16</v>
      </c>
      <c r="CJ9" s="121">
        <v>16.904688884215748</v>
      </c>
      <c r="CK9" s="121">
        <v>285.76850627212747</v>
      </c>
      <c r="CL9" s="121">
        <v>4.1478011886774633</v>
      </c>
      <c r="CM9" s="121">
        <v>17.204254700794177</v>
      </c>
      <c r="CP9" s="121"/>
      <c r="CQ9" s="121"/>
      <c r="CR9" s="121"/>
      <c r="CS9" s="121"/>
    </row>
    <row r="10" spans="1:97" x14ac:dyDescent="0.25">
      <c r="A10">
        <v>7</v>
      </c>
      <c r="B10" s="121">
        <v>3.5</v>
      </c>
      <c r="C10" s="20">
        <v>32.198756240991251</v>
      </c>
      <c r="D10" s="20">
        <v>9.9718245504490017</v>
      </c>
      <c r="E10" s="20">
        <v>3.0762799231936703E-5</v>
      </c>
      <c r="F10" s="20">
        <v>0.15356978312281128</v>
      </c>
      <c r="G10" s="19"/>
      <c r="H10" s="19"/>
      <c r="I10" s="19"/>
      <c r="J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AP10" s="127"/>
      <c r="AQ10" s="127"/>
      <c r="AR10" s="127"/>
      <c r="AS10" s="127"/>
      <c r="AT10" s="127"/>
      <c r="AU10" s="127"/>
      <c r="AV10" s="127"/>
      <c r="AW10" s="127"/>
      <c r="AY10" s="127"/>
      <c r="AZ10" s="127"/>
      <c r="CA10" s="22"/>
      <c r="CC10" s="126">
        <v>7</v>
      </c>
      <c r="CD10">
        <v>3225.6</v>
      </c>
      <c r="CE10">
        <v>552.96</v>
      </c>
      <c r="CF10">
        <v>138.24</v>
      </c>
      <c r="CJ10" s="121">
        <v>3.8766905635162781</v>
      </c>
      <c r="CK10" s="121">
        <v>15.028729725256158</v>
      </c>
      <c r="CL10" s="121">
        <v>4.6513166160825419</v>
      </c>
      <c r="CM10" s="121">
        <v>21.63474626304555</v>
      </c>
      <c r="CP10" s="121"/>
      <c r="CQ10" s="121"/>
      <c r="CR10" s="121"/>
      <c r="CS10" s="121"/>
    </row>
    <row r="11" spans="1:97" x14ac:dyDescent="0.25">
      <c r="A11">
        <v>8</v>
      </c>
      <c r="B11" s="121">
        <v>4</v>
      </c>
      <c r="C11" s="20">
        <v>24.732148373171594</v>
      </c>
      <c r="D11" s="20">
        <v>14.314578953336788</v>
      </c>
      <c r="E11" s="20">
        <v>2.3224213888854456E-4</v>
      </c>
      <c r="F11" s="20">
        <v>0.56127901579448958</v>
      </c>
      <c r="G11" s="19"/>
      <c r="H11" s="19"/>
      <c r="I11" s="19"/>
      <c r="J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AP11" s="127"/>
      <c r="AQ11" s="127"/>
      <c r="AR11" s="127"/>
      <c r="AS11" s="127"/>
      <c r="AT11" s="127"/>
      <c r="AU11" s="127"/>
      <c r="AV11" s="127"/>
      <c r="AW11" s="127"/>
      <c r="AY11" s="127"/>
      <c r="AZ11" s="127"/>
      <c r="CC11" s="126">
        <v>8</v>
      </c>
      <c r="CD11">
        <v>3225.6</v>
      </c>
      <c r="CE11">
        <v>552.96</v>
      </c>
      <c r="CF11">
        <v>92.16</v>
      </c>
      <c r="CJ11" s="121">
        <v>3.8766905635162781</v>
      </c>
      <c r="CK11" s="121">
        <v>15.028729725256158</v>
      </c>
      <c r="CL11" s="121">
        <v>2.2423156185396067</v>
      </c>
      <c r="CM11" s="121">
        <v>5.0279793331466589</v>
      </c>
      <c r="CP11" s="121"/>
      <c r="CQ11" s="121"/>
      <c r="CR11" s="121"/>
      <c r="CS11" s="121"/>
    </row>
    <row r="12" spans="1:97" x14ac:dyDescent="0.25">
      <c r="A12">
        <v>9</v>
      </c>
      <c r="B12" s="121">
        <v>4.5</v>
      </c>
      <c r="C12" s="20">
        <v>17.367074133946065</v>
      </c>
      <c r="D12" s="20">
        <v>17.565865515052778</v>
      </c>
      <c r="E12" s="20">
        <v>1.1719211148581939E-3</v>
      </c>
      <c r="F12" s="20">
        <v>1.4371331427806828</v>
      </c>
      <c r="G12" s="19"/>
      <c r="H12" s="19"/>
      <c r="I12" s="19"/>
      <c r="J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AP12" s="127"/>
      <c r="AQ12" s="127"/>
      <c r="AR12" s="127"/>
      <c r="AS12" s="127"/>
      <c r="AT12" s="127"/>
      <c r="AU12" s="127"/>
      <c r="AV12" s="127"/>
      <c r="AW12" s="127"/>
      <c r="AY12" s="127"/>
      <c r="AZ12" s="127"/>
      <c r="CC12" s="126">
        <v>9</v>
      </c>
      <c r="CJ12" s="121"/>
      <c r="CK12" s="121"/>
      <c r="CL12" s="121"/>
      <c r="CM12" s="121"/>
    </row>
    <row r="13" spans="1:97" x14ac:dyDescent="0.25">
      <c r="A13">
        <v>10</v>
      </c>
      <c r="B13" s="121">
        <v>5</v>
      </c>
      <c r="C13" s="20">
        <v>11.500303185486164</v>
      </c>
      <c r="D13" s="20">
        <v>19.266060594461191</v>
      </c>
      <c r="E13" s="20">
        <v>4.3751226145860873E-3</v>
      </c>
      <c r="F13" s="20">
        <v>2.8360908575745523</v>
      </c>
      <c r="G13" s="19"/>
      <c r="H13" s="19"/>
      <c r="I13" s="19"/>
      <c r="J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AP13" s="127"/>
      <c r="AQ13" s="127"/>
      <c r="AR13" s="127"/>
      <c r="AS13" s="127"/>
      <c r="AT13" s="127"/>
      <c r="AU13" s="127"/>
      <c r="AV13" s="127"/>
      <c r="AW13" s="127"/>
      <c r="AY13" s="127"/>
      <c r="AZ13" s="127"/>
      <c r="CC13" s="126">
        <v>10</v>
      </c>
      <c r="CJ13" s="121"/>
      <c r="CK13" s="121"/>
      <c r="CL13" s="121"/>
      <c r="CM13" s="121"/>
    </row>
    <row r="14" spans="1:97" x14ac:dyDescent="0.25">
      <c r="A14">
        <v>11</v>
      </c>
      <c r="B14" s="121">
        <v>5.5</v>
      </c>
      <c r="C14" s="20">
        <v>7.3259697526529637</v>
      </c>
      <c r="D14" s="20">
        <v>19.455527809074137</v>
      </c>
      <c r="E14" s="20">
        <v>1.2952848538711861E-2</v>
      </c>
      <c r="F14" s="20">
        <v>4.6005961638268582</v>
      </c>
      <c r="G14" s="19"/>
      <c r="H14" s="19"/>
      <c r="I14" s="19"/>
      <c r="J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AP14" s="127"/>
      <c r="AQ14" s="127"/>
      <c r="AR14" s="127"/>
      <c r="AS14" s="127"/>
      <c r="AT14" s="127"/>
      <c r="AU14" s="127"/>
      <c r="AV14" s="127"/>
      <c r="AW14" s="127"/>
      <c r="AY14" s="127"/>
      <c r="AZ14" s="127"/>
      <c r="CC14" s="126">
        <v>11</v>
      </c>
      <c r="CJ14" s="121"/>
      <c r="CK14" s="121"/>
      <c r="CL14" s="121"/>
      <c r="CM14" s="121"/>
    </row>
    <row r="15" spans="1:97" x14ac:dyDescent="0.25">
      <c r="A15">
        <v>12</v>
      </c>
      <c r="B15" s="121">
        <v>6</v>
      </c>
      <c r="C15" s="20">
        <v>4.5493809445334197</v>
      </c>
      <c r="D15" s="20">
        <v>18.46471191903262</v>
      </c>
      <c r="E15" s="20">
        <v>3.1951856677164679E-2</v>
      </c>
      <c r="F15" s="20">
        <v>6.417533728388328</v>
      </c>
      <c r="G15" s="19"/>
      <c r="H15" s="19"/>
      <c r="I15" s="19"/>
      <c r="J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AP15" s="127"/>
      <c r="AQ15" s="127"/>
      <c r="AR15" s="127"/>
      <c r="AS15" s="127"/>
      <c r="AT15" s="127"/>
      <c r="AU15" s="127"/>
      <c r="AV15" s="127"/>
      <c r="AW15" s="127"/>
      <c r="AY15" s="127"/>
      <c r="AZ15" s="127"/>
      <c r="CC15" s="126">
        <v>12</v>
      </c>
      <c r="CJ15" s="121"/>
      <c r="CK15" s="121"/>
      <c r="CL15" s="121"/>
      <c r="CM15" s="121"/>
    </row>
    <row r="16" spans="1:97" x14ac:dyDescent="0.25">
      <c r="A16">
        <v>13</v>
      </c>
      <c r="B16" s="121">
        <v>6.5</v>
      </c>
      <c r="C16" s="20">
        <v>2.7791264220493628</v>
      </c>
      <c r="D16" s="20">
        <v>16.713060408387026</v>
      </c>
      <c r="E16" s="20">
        <v>6.8369040158435826E-2</v>
      </c>
      <c r="F16" s="20">
        <v>7.9530714027212888</v>
      </c>
      <c r="G16" s="19"/>
      <c r="H16" s="19"/>
      <c r="I16" s="19"/>
      <c r="J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AP16" s="127"/>
      <c r="AQ16" s="127"/>
      <c r="AR16" s="127"/>
      <c r="AS16" s="127"/>
      <c r="AT16" s="127"/>
      <c r="AU16" s="127"/>
      <c r="AV16" s="127"/>
      <c r="AW16" s="127"/>
      <c r="AY16" s="127"/>
      <c r="AZ16" s="127"/>
      <c r="CC16" s="126">
        <v>13</v>
      </c>
      <c r="CJ16" s="121"/>
      <c r="CK16" s="121"/>
      <c r="CL16" s="121"/>
      <c r="CM16" s="121"/>
    </row>
    <row r="17" spans="1:91" x14ac:dyDescent="0.25">
      <c r="A17">
        <v>14</v>
      </c>
      <c r="B17" s="121">
        <v>7</v>
      </c>
      <c r="C17" s="20">
        <v>1.6806773415264196</v>
      </c>
      <c r="D17" s="20">
        <v>14.582705718506666</v>
      </c>
      <c r="E17" s="20">
        <v>0.13623583054636232</v>
      </c>
      <c r="F17" s="20">
        <v>8.9704133886096074</v>
      </c>
      <c r="G17" s="19"/>
      <c r="H17" s="19"/>
      <c r="I17" s="19"/>
      <c r="J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AP17" s="127"/>
      <c r="AQ17" s="127"/>
      <c r="AR17" s="127"/>
      <c r="AS17" s="127"/>
      <c r="AT17" s="127"/>
      <c r="AU17" s="127"/>
      <c r="AV17" s="127"/>
      <c r="AW17" s="127"/>
      <c r="AY17" s="127"/>
      <c r="AZ17" s="127"/>
      <c r="CC17" s="126">
        <v>14</v>
      </c>
      <c r="CJ17" s="121"/>
      <c r="CK17" s="121"/>
      <c r="CL17" s="121"/>
      <c r="CM17" s="121"/>
    </row>
    <row r="18" spans="1:91" x14ac:dyDescent="0.25">
      <c r="A18">
        <v>15</v>
      </c>
      <c r="B18" s="121">
        <v>7.5</v>
      </c>
      <c r="C18" s="20">
        <v>1.0107306444274524</v>
      </c>
      <c r="D18" s="20">
        <v>12.364179427567722</v>
      </c>
      <c r="E18" s="20">
        <v>0.308826582256154</v>
      </c>
      <c r="F18" s="20">
        <v>9.3794720740400344</v>
      </c>
      <c r="G18" s="19"/>
      <c r="H18" s="19"/>
      <c r="I18" s="19"/>
      <c r="J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AP18" s="127"/>
      <c r="AQ18" s="127"/>
      <c r="AR18" s="127"/>
      <c r="AS18" s="127"/>
      <c r="AT18" s="127"/>
      <c r="AU18" s="127"/>
      <c r="AV18" s="127"/>
      <c r="AW18" s="127"/>
      <c r="AY18" s="127"/>
      <c r="AZ18" s="127"/>
      <c r="CC18" s="126">
        <v>15</v>
      </c>
      <c r="CJ18" s="121"/>
      <c r="CK18" s="121"/>
      <c r="CL18" s="121"/>
      <c r="CM18" s="121"/>
    </row>
    <row r="19" spans="1:91" x14ac:dyDescent="0.25">
      <c r="A19">
        <v>16</v>
      </c>
      <c r="B19" s="121">
        <v>8</v>
      </c>
      <c r="C19" s="20">
        <v>0.60641325785716615</v>
      </c>
      <c r="D19" s="20">
        <v>10.248973614116471</v>
      </c>
      <c r="E19" s="20">
        <v>0.91864316621265674</v>
      </c>
      <c r="F19" s="20">
        <v>9.2224827512362495</v>
      </c>
      <c r="G19" s="19"/>
      <c r="H19" s="19"/>
      <c r="I19" s="19"/>
      <c r="J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AP19" s="127"/>
      <c r="AQ19" s="127"/>
      <c r="AR19" s="127"/>
      <c r="AS19" s="127"/>
      <c r="AT19" s="127"/>
      <c r="AU19" s="127"/>
      <c r="AV19" s="127"/>
      <c r="AW19" s="127"/>
      <c r="AY19" s="127"/>
      <c r="AZ19" s="127"/>
      <c r="CC19" s="126">
        <v>16</v>
      </c>
      <c r="CJ19" s="121"/>
      <c r="CK19" s="121"/>
      <c r="CL19" s="121"/>
      <c r="CM19" s="121"/>
    </row>
    <row r="20" spans="1:91" x14ac:dyDescent="0.25">
      <c r="A20">
        <v>17</v>
      </c>
      <c r="B20" s="121">
        <v>8.5</v>
      </c>
      <c r="C20" s="20">
        <v>0.3638364884260587</v>
      </c>
      <c r="D20" s="20">
        <v>8.3449410129240071</v>
      </c>
      <c r="E20" s="20">
        <v>2.7629451663328055</v>
      </c>
      <c r="F20" s="20">
        <v>8.626084092552615</v>
      </c>
      <c r="G20" s="19"/>
      <c r="H20" s="19"/>
      <c r="I20" s="19"/>
      <c r="J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AP20" s="127"/>
      <c r="AQ20" s="127"/>
      <c r="AR20" s="127"/>
      <c r="AS20" s="127"/>
      <c r="AT20" s="127"/>
      <c r="AU20" s="127"/>
      <c r="AV20" s="127"/>
      <c r="AW20" s="127"/>
      <c r="AY20" s="127"/>
      <c r="AZ20" s="127"/>
      <c r="CC20" s="126">
        <v>17</v>
      </c>
      <c r="CJ20" s="121"/>
      <c r="CK20" s="121"/>
      <c r="CL20" s="121"/>
      <c r="CM20" s="121"/>
    </row>
    <row r="21" spans="1:91" x14ac:dyDescent="0.25">
      <c r="A21">
        <v>18</v>
      </c>
      <c r="B21" s="121">
        <v>9</v>
      </c>
      <c r="C21" s="20">
        <v>0.21867287610841205</v>
      </c>
      <c r="D21" s="20">
        <v>6.6986818848803686</v>
      </c>
      <c r="E21" s="20">
        <v>6.5698663182311812</v>
      </c>
      <c r="F21" s="20">
        <v>7.7493685333882869</v>
      </c>
      <c r="G21" s="19"/>
      <c r="H21" s="19"/>
      <c r="I21" s="19"/>
      <c r="J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AP21" s="127"/>
      <c r="AQ21" s="127"/>
      <c r="AR21" s="127"/>
      <c r="AS21" s="127"/>
      <c r="AT21" s="127"/>
      <c r="AU21" s="127"/>
      <c r="AV21" s="127"/>
      <c r="AW21" s="127"/>
      <c r="AY21" s="127"/>
      <c r="AZ21" s="127"/>
      <c r="CC21" s="126">
        <v>18</v>
      </c>
      <c r="CJ21" s="121"/>
      <c r="CK21" s="121"/>
      <c r="CL21" s="121"/>
      <c r="CM21" s="121"/>
    </row>
    <row r="22" spans="1:91" x14ac:dyDescent="0.25">
      <c r="A22">
        <v>19</v>
      </c>
      <c r="B22" s="121">
        <v>9.5</v>
      </c>
      <c r="C22" s="20">
        <v>0.13182007004262689</v>
      </c>
      <c r="D22" s="20">
        <v>5.3166810815725398</v>
      </c>
      <c r="E22" s="20">
        <v>11.657983344546572</v>
      </c>
      <c r="F22" s="20">
        <v>6.7446534916635397</v>
      </c>
      <c r="G22" s="19"/>
      <c r="H22" s="19"/>
      <c r="I22" s="19"/>
      <c r="J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AP22" s="127"/>
      <c r="AQ22" s="127"/>
      <c r="AR22" s="127"/>
      <c r="AS22" s="127"/>
      <c r="AT22" s="127"/>
      <c r="AU22" s="127"/>
      <c r="AV22" s="127"/>
      <c r="AW22" s="127"/>
      <c r="AY22" s="127"/>
      <c r="AZ22" s="127"/>
      <c r="CC22" s="126">
        <v>19</v>
      </c>
      <c r="CJ22" s="121"/>
      <c r="CK22" s="121"/>
      <c r="CL22" s="121"/>
      <c r="CM22" s="121"/>
    </row>
    <row r="23" spans="1:91" x14ac:dyDescent="0.25">
      <c r="A23">
        <v>20</v>
      </c>
      <c r="B23" s="121">
        <v>10</v>
      </c>
      <c r="C23" s="20">
        <v>7.9774834435544395E-2</v>
      </c>
      <c r="D23" s="20">
        <v>4.1820121229287555</v>
      </c>
      <c r="E23" s="20">
        <v>15.695384460750638</v>
      </c>
      <c r="F23" s="20">
        <v>5.7354512001992388</v>
      </c>
      <c r="G23" s="19"/>
      <c r="H23" s="19"/>
      <c r="I23" s="19"/>
      <c r="J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AP23" s="127"/>
      <c r="AQ23" s="127"/>
      <c r="AR23" s="127"/>
      <c r="AS23" s="127"/>
      <c r="AT23" s="127"/>
      <c r="AU23" s="127"/>
      <c r="AV23" s="127"/>
      <c r="AW23" s="127"/>
      <c r="AY23" s="127"/>
      <c r="AZ23" s="127"/>
      <c r="CC23" s="126">
        <v>20</v>
      </c>
      <c r="CJ23" s="121"/>
      <c r="CK23" s="121"/>
      <c r="CL23" s="121"/>
      <c r="CM23" s="121"/>
    </row>
    <row r="24" spans="1:91" x14ac:dyDescent="0.25">
      <c r="A24">
        <v>21</v>
      </c>
      <c r="B24" s="121">
        <v>10.5</v>
      </c>
      <c r="C24" s="20">
        <v>4.8499637236258782E-2</v>
      </c>
      <c r="D24" s="20">
        <v>3.2661487009626748</v>
      </c>
      <c r="E24" s="20">
        <v>16.597682660217377</v>
      </c>
      <c r="F24" s="20">
        <v>4.8089186580673582</v>
      </c>
      <c r="G24" s="19"/>
      <c r="H24" s="19"/>
      <c r="I24" s="19"/>
      <c r="J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AP24" s="127"/>
      <c r="AQ24" s="127"/>
      <c r="AR24" s="127"/>
      <c r="AS24" s="127"/>
      <c r="AT24" s="127"/>
      <c r="AU24" s="127"/>
      <c r="AV24" s="127"/>
      <c r="AW24" s="127"/>
      <c r="AY24" s="127"/>
      <c r="AZ24" s="127"/>
      <c r="CC24" s="126">
        <v>21</v>
      </c>
      <c r="CJ24" s="121"/>
      <c r="CK24" s="121"/>
      <c r="CL24" s="121"/>
      <c r="CM24" s="121"/>
    </row>
    <row r="25" spans="1:91" x14ac:dyDescent="0.25">
      <c r="A25">
        <v>22</v>
      </c>
      <c r="B25" s="121">
        <v>11</v>
      </c>
      <c r="C25" s="20">
        <v>2.9635187369113847E-2</v>
      </c>
      <c r="D25" s="20">
        <v>2.536602926778007</v>
      </c>
      <c r="E25" s="20">
        <v>14.345995464860826</v>
      </c>
      <c r="F25" s="20">
        <v>4.0176346847176445</v>
      </c>
      <c r="G25" s="19"/>
      <c r="H25" s="19"/>
      <c r="I25" s="19"/>
      <c r="J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AP25" s="127"/>
      <c r="AQ25" s="127"/>
      <c r="AR25" s="127"/>
      <c r="AS25" s="127"/>
      <c r="AT25" s="127"/>
      <c r="AU25" s="127"/>
      <c r="AV25" s="127"/>
      <c r="AW25" s="127"/>
      <c r="AY25" s="127"/>
      <c r="AZ25" s="127"/>
      <c r="CC25" s="126">
        <v>22</v>
      </c>
      <c r="CJ25" s="121"/>
      <c r="CK25" s="121"/>
      <c r="CL25" s="121"/>
      <c r="CM25" s="121"/>
    </row>
    <row r="26" spans="1:91" x14ac:dyDescent="0.25">
      <c r="A26">
        <v>23</v>
      </c>
      <c r="B26" s="121">
        <v>11.5</v>
      </c>
      <c r="C26" s="20">
        <v>1.8206222364111842E-2</v>
      </c>
      <c r="D26" s="20">
        <v>1.9614370650277682</v>
      </c>
      <c r="E26" s="20">
        <v>10.620459722505704</v>
      </c>
      <c r="F26" s="20">
        <v>3.3859343996022568</v>
      </c>
      <c r="G26" s="19"/>
      <c r="H26" s="19"/>
      <c r="I26" s="19"/>
      <c r="J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AP26" s="127"/>
      <c r="AQ26" s="127"/>
      <c r="AR26" s="127"/>
      <c r="AS26" s="127"/>
      <c r="AT26" s="127"/>
      <c r="AU26" s="127"/>
      <c r="AV26" s="127"/>
      <c r="AW26" s="127"/>
      <c r="AY26" s="127"/>
      <c r="AZ26" s="127"/>
      <c r="CC26" s="126">
        <v>23</v>
      </c>
      <c r="CJ26" s="121"/>
      <c r="CK26" s="121"/>
      <c r="CL26" s="121"/>
      <c r="CM26" s="121"/>
    </row>
    <row r="27" spans="1:91" x14ac:dyDescent="0.25">
      <c r="A27">
        <v>24</v>
      </c>
      <c r="B27" s="121">
        <v>12</v>
      </c>
      <c r="C27" s="20">
        <v>1.1247970563587192E-2</v>
      </c>
      <c r="D27" s="20">
        <v>1.5116291599237726</v>
      </c>
      <c r="E27" s="20">
        <v>7.1707153203028815</v>
      </c>
      <c r="F27" s="20">
        <v>2.9174785067098048</v>
      </c>
      <c r="G27" s="19"/>
      <c r="H27" s="19"/>
      <c r="I27" s="19"/>
      <c r="J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AP27" s="127"/>
      <c r="AQ27" s="127"/>
      <c r="AR27" s="127"/>
      <c r="AS27" s="127"/>
      <c r="AT27" s="127"/>
      <c r="AU27" s="127"/>
      <c r="AV27" s="127"/>
      <c r="AW27" s="127"/>
      <c r="AY27" s="127"/>
      <c r="AZ27" s="127"/>
      <c r="CC27" s="126">
        <v>24</v>
      </c>
      <c r="CJ27" s="121"/>
      <c r="CK27" s="121"/>
      <c r="CL27" s="121"/>
      <c r="CM27" s="121"/>
    </row>
    <row r="28" spans="1:91" x14ac:dyDescent="0.25">
      <c r="A28">
        <v>25</v>
      </c>
      <c r="B28" s="121">
        <v>12.5</v>
      </c>
      <c r="C28" s="20">
        <v>6.9893017855030349E-3</v>
      </c>
      <c r="D28" s="20">
        <v>1.1620687757699188</v>
      </c>
      <c r="E28" s="20">
        <v>4.8173656153628732</v>
      </c>
      <c r="F28" s="20">
        <v>2.6022101294387161</v>
      </c>
      <c r="G28" s="19"/>
      <c r="H28" s="19"/>
      <c r="I28" s="19"/>
      <c r="J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AP28" s="127"/>
      <c r="AQ28" s="127"/>
      <c r="AR28" s="127"/>
      <c r="AS28" s="127"/>
      <c r="AT28" s="127"/>
      <c r="AU28" s="127"/>
      <c r="AV28" s="127"/>
      <c r="AW28" s="127"/>
      <c r="AY28" s="127"/>
      <c r="AZ28" s="127"/>
      <c r="CC28" s="126">
        <v>25</v>
      </c>
      <c r="CJ28" s="121"/>
      <c r="CK28" s="121"/>
      <c r="CL28" s="121"/>
      <c r="CM28" s="121"/>
    </row>
    <row r="29" spans="1:91" x14ac:dyDescent="0.25">
      <c r="A29">
        <v>26</v>
      </c>
      <c r="B29" s="121">
        <v>13</v>
      </c>
      <c r="C29" s="20">
        <v>4.3685187415609264E-3</v>
      </c>
      <c r="D29" s="20">
        <v>0.89174056475804564</v>
      </c>
      <c r="E29" s="20">
        <v>3.5354139557454416</v>
      </c>
      <c r="F29" s="20">
        <v>2.4219403085840896</v>
      </c>
      <c r="G29" s="19"/>
      <c r="H29" s="19"/>
      <c r="I29" s="19"/>
      <c r="J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AP29" s="127"/>
      <c r="AQ29" s="127"/>
      <c r="AR29" s="127"/>
      <c r="AS29" s="127"/>
      <c r="AT29" s="127"/>
      <c r="AU29" s="127"/>
      <c r="AV29" s="127"/>
      <c r="AW29" s="127"/>
      <c r="AY29" s="127"/>
      <c r="AZ29" s="127"/>
      <c r="CC29" s="126">
        <v>26</v>
      </c>
      <c r="CJ29" s="121"/>
      <c r="CK29" s="121"/>
      <c r="CL29" s="121"/>
      <c r="CM29" s="121"/>
    </row>
    <row r="30" spans="1:91" x14ac:dyDescent="0.25">
      <c r="A30">
        <v>27</v>
      </c>
      <c r="B30" s="121">
        <v>13.5</v>
      </c>
      <c r="C30" s="20">
        <v>2.746563737673938E-3</v>
      </c>
      <c r="D30" s="20">
        <v>0.68346933076212624</v>
      </c>
      <c r="E30" s="20">
        <v>2.958475293660292</v>
      </c>
      <c r="F30" s="20">
        <v>2.3544522739805238</v>
      </c>
      <c r="G30" s="19"/>
      <c r="H30" s="19"/>
      <c r="I30" s="19"/>
      <c r="J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AP30" s="127"/>
      <c r="AQ30" s="127"/>
      <c r="AR30" s="127"/>
      <c r="AS30" s="127"/>
      <c r="AT30" s="127"/>
      <c r="AU30" s="127"/>
      <c r="AV30" s="127"/>
      <c r="AW30" s="127"/>
      <c r="AY30" s="127"/>
      <c r="AZ30" s="127"/>
      <c r="CC30" s="126">
        <v>27</v>
      </c>
      <c r="CJ30" s="121"/>
      <c r="CK30" s="121"/>
      <c r="CL30" s="121"/>
      <c r="CM30" s="121"/>
    </row>
    <row r="31" spans="1:91" x14ac:dyDescent="0.25">
      <c r="A31">
        <v>28</v>
      </c>
      <c r="B31" s="121">
        <v>14</v>
      </c>
      <c r="C31" s="20">
        <v>1.7369936243790973E-3</v>
      </c>
      <c r="D31" s="20">
        <v>0.52346234570853711</v>
      </c>
      <c r="E31" s="20">
        <v>2.7387237445283161</v>
      </c>
      <c r="F31" s="20">
        <v>2.3763230089739515</v>
      </c>
      <c r="G31" s="19"/>
      <c r="H31" s="19"/>
      <c r="I31" s="19"/>
      <c r="J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AP31" s="127"/>
      <c r="AQ31" s="127"/>
      <c r="AR31" s="127"/>
      <c r="AS31" s="127"/>
      <c r="AT31" s="127"/>
      <c r="AU31" s="127"/>
      <c r="AV31" s="127"/>
      <c r="AW31" s="127"/>
      <c r="AY31" s="127"/>
      <c r="AZ31" s="127"/>
      <c r="CC31" s="126">
        <v>28</v>
      </c>
      <c r="CJ31" s="121"/>
      <c r="CK31" s="121"/>
      <c r="CL31" s="121"/>
      <c r="CM31" s="121"/>
    </row>
    <row r="32" spans="1:91" x14ac:dyDescent="0.25">
      <c r="A32">
        <v>29</v>
      </c>
      <c r="B32" s="121">
        <v>14.5</v>
      </c>
      <c r="C32" s="20">
        <v>1.1049569374177457E-3</v>
      </c>
      <c r="D32" s="20">
        <v>0.40078876159534754</v>
      </c>
      <c r="E32" s="20">
        <v>2.6595395446581591</v>
      </c>
      <c r="F32" s="20">
        <v>2.4647557948575578</v>
      </c>
      <c r="G32" s="19"/>
      <c r="H32" s="19"/>
      <c r="I32" s="19"/>
      <c r="J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AP32" s="127"/>
      <c r="AQ32" s="127"/>
      <c r="AR32" s="127"/>
      <c r="AS32" s="127"/>
      <c r="AT32" s="127"/>
      <c r="AU32" s="127"/>
      <c r="AV32" s="127"/>
      <c r="AW32" s="127"/>
      <c r="AY32" s="127"/>
      <c r="AZ32" s="127"/>
      <c r="CC32" s="126">
        <v>29</v>
      </c>
      <c r="CJ32" s="121"/>
      <c r="CK32" s="121"/>
      <c r="CL32" s="121"/>
      <c r="CM32" s="121"/>
    </row>
    <row r="33" spans="1:91" x14ac:dyDescent="0.25">
      <c r="A33">
        <v>30</v>
      </c>
      <c r="B33" s="121">
        <v>15</v>
      </c>
      <c r="C33" s="20">
        <v>7.0697991766523974E-4</v>
      </c>
      <c r="D33" s="20">
        <v>0.30687293878558319</v>
      </c>
      <c r="E33" s="20">
        <v>2.6158203113958129</v>
      </c>
      <c r="F33" s="20">
        <v>2.5987028926129114</v>
      </c>
      <c r="G33" s="19"/>
      <c r="H33" s="19"/>
      <c r="I33" s="19"/>
      <c r="J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AP33" s="127"/>
      <c r="AQ33" s="127"/>
      <c r="AR33" s="127"/>
      <c r="AS33" s="127"/>
      <c r="AT33" s="127"/>
      <c r="AU33" s="127"/>
      <c r="AV33" s="127"/>
      <c r="AW33" s="127"/>
      <c r="AY33" s="127"/>
      <c r="AZ33" s="127"/>
      <c r="CC33" s="126">
        <v>30</v>
      </c>
      <c r="CJ33" s="121"/>
      <c r="CK33" s="121"/>
      <c r="CL33" s="121"/>
      <c r="CM33" s="121"/>
    </row>
    <row r="34" spans="1:91" x14ac:dyDescent="0.25">
      <c r="A34">
        <v>31</v>
      </c>
      <c r="B34" s="121">
        <v>15.5</v>
      </c>
      <c r="C34" s="20">
        <v>4.5493799292717623E-4</v>
      </c>
      <c r="D34" s="20">
        <v>0.2350391390879879</v>
      </c>
      <c r="E34" s="20">
        <v>2.5665869926661933</v>
      </c>
      <c r="F34" s="20">
        <v>2.7595008093802607</v>
      </c>
      <c r="G34" s="19"/>
      <c r="H34" s="19"/>
      <c r="I34" s="19"/>
      <c r="J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AP34" s="127"/>
      <c r="AQ34" s="127"/>
      <c r="AR34" s="127"/>
      <c r="AS34" s="127"/>
      <c r="AT34" s="127"/>
      <c r="AU34" s="127"/>
      <c r="AV34" s="127"/>
      <c r="AW34" s="127"/>
      <c r="AY34" s="127"/>
      <c r="AZ34" s="127"/>
      <c r="CC34" s="126">
        <v>31</v>
      </c>
      <c r="CJ34" s="121"/>
      <c r="CK34" s="121"/>
      <c r="CL34" s="121"/>
      <c r="CM34" s="121"/>
    </row>
    <row r="35" spans="1:91" x14ac:dyDescent="0.25">
      <c r="A35">
        <v>32</v>
      </c>
      <c r="B35" s="121">
        <v>16</v>
      </c>
      <c r="C35" s="20">
        <v>2.9440430919613192E-4</v>
      </c>
      <c r="D35" s="20">
        <v>0.18012169451538307</v>
      </c>
      <c r="E35" s="20">
        <v>2.5008535184472982</v>
      </c>
      <c r="F35" s="20">
        <v>2.9311784620574812</v>
      </c>
      <c r="G35" s="19"/>
      <c r="H35" s="19"/>
      <c r="I35" s="19"/>
      <c r="J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AP35" s="127"/>
      <c r="AQ35" s="127"/>
      <c r="AR35" s="127"/>
      <c r="AS35" s="127"/>
      <c r="AT35" s="127"/>
      <c r="AU35" s="127"/>
      <c r="AV35" s="127"/>
      <c r="AW35" s="127"/>
      <c r="AY35" s="127"/>
      <c r="AZ35" s="127"/>
      <c r="CC35" s="126">
        <v>32</v>
      </c>
      <c r="CJ35" s="121"/>
      <c r="CK35" s="121"/>
      <c r="CL35" s="121"/>
      <c r="CM35" s="121"/>
    </row>
    <row r="36" spans="1:91" x14ac:dyDescent="0.25">
      <c r="A36">
        <v>33</v>
      </c>
      <c r="B36" s="121">
        <v>16.5</v>
      </c>
      <c r="C36" s="20">
        <v>1.9157657203389543E-4</v>
      </c>
      <c r="D36" s="20">
        <v>0.13814179761661985</v>
      </c>
      <c r="E36" s="20">
        <v>2.4203797680535222</v>
      </c>
      <c r="F36" s="20">
        <v>3.1005469146686027</v>
      </c>
      <c r="G36" s="19"/>
      <c r="H36" s="19"/>
      <c r="I36" s="19"/>
      <c r="J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AP36" s="127"/>
      <c r="AQ36" s="127"/>
      <c r="AR36" s="127"/>
      <c r="AS36" s="127"/>
      <c r="AT36" s="127"/>
      <c r="AU36" s="127"/>
      <c r="AV36" s="127"/>
      <c r="AW36" s="127"/>
      <c r="AY36" s="127"/>
      <c r="AZ36" s="127"/>
      <c r="CC36" s="126">
        <v>33</v>
      </c>
      <c r="CJ36" s="121"/>
      <c r="CK36" s="121"/>
      <c r="CL36" s="121"/>
      <c r="CM36" s="121"/>
    </row>
    <row r="37" spans="1:91" x14ac:dyDescent="0.25">
      <c r="A37">
        <v>34</v>
      </c>
      <c r="B37" s="121">
        <v>17</v>
      </c>
      <c r="C37" s="20">
        <v>1.2534399286555335E-4</v>
      </c>
      <c r="D37" s="20">
        <v>0.1060455217899305</v>
      </c>
      <c r="E37" s="20">
        <v>2.3327697591210503</v>
      </c>
      <c r="F37" s="20">
        <v>3.2571422624513979</v>
      </c>
      <c r="G37" s="19"/>
      <c r="H37" s="19"/>
      <c r="I37" s="19"/>
      <c r="J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AP37" s="127"/>
      <c r="AQ37" s="127"/>
      <c r="AR37" s="127"/>
      <c r="AS37" s="127"/>
      <c r="AT37" s="127"/>
      <c r="AU37" s="127"/>
      <c r="AV37" s="127"/>
      <c r="AW37" s="127"/>
      <c r="AY37" s="127"/>
      <c r="AZ37" s="127"/>
      <c r="CC37" s="126">
        <v>34</v>
      </c>
      <c r="CJ37" s="121"/>
      <c r="CK37" s="121"/>
      <c r="CL37" s="121"/>
      <c r="CM37" s="121"/>
    </row>
    <row r="38" spans="1:91" x14ac:dyDescent="0.25">
      <c r="A38">
        <v>35</v>
      </c>
      <c r="B38" s="121">
        <v>17.5</v>
      </c>
      <c r="C38" s="20">
        <v>8.2448393330531008E-5</v>
      </c>
      <c r="D38" s="20">
        <v>8.1494948364503522E-2</v>
      </c>
      <c r="E38" s="20">
        <v>2.249215543471164</v>
      </c>
      <c r="F38" s="20">
        <v>3.3930690851438619</v>
      </c>
      <c r="G38" s="19"/>
      <c r="H38" s="19"/>
      <c r="I38" s="19"/>
      <c r="J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AP38" s="127"/>
      <c r="AQ38" s="127"/>
      <c r="AR38" s="127"/>
      <c r="AS38" s="127"/>
      <c r="AT38" s="127"/>
      <c r="AU38" s="127"/>
      <c r="AV38" s="127"/>
      <c r="AW38" s="127"/>
      <c r="AY38" s="127"/>
      <c r="AZ38" s="127"/>
      <c r="CC38" s="126">
        <f t="shared" ref="CC38:CC67" si="5">CC37+1</f>
        <v>35</v>
      </c>
      <c r="CJ38" s="121"/>
      <c r="CK38" s="121"/>
      <c r="CL38" s="121"/>
      <c r="CM38" s="121"/>
    </row>
    <row r="39" spans="1:91" x14ac:dyDescent="0.25">
      <c r="A39">
        <v>36</v>
      </c>
      <c r="B39" s="121">
        <v>18</v>
      </c>
      <c r="C39" s="20">
        <v>5.4516982097750608E-5</v>
      </c>
      <c r="D39" s="20">
        <v>6.2703676664933233E-2</v>
      </c>
      <c r="E39" s="20">
        <v>2.1836929797264517</v>
      </c>
      <c r="F39" s="20">
        <v>3.502777246429706</v>
      </c>
      <c r="G39" s="19"/>
      <c r="H39" s="19"/>
      <c r="I39" s="19"/>
      <c r="J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AP39" s="127"/>
      <c r="AQ39" s="127"/>
      <c r="AR39" s="127"/>
      <c r="AS39" s="127"/>
      <c r="AT39" s="127"/>
      <c r="AU39" s="127"/>
      <c r="AV39" s="127"/>
      <c r="AW39" s="127"/>
      <c r="AY39" s="127"/>
      <c r="AZ39" s="127"/>
      <c r="CC39" s="126">
        <f t="shared" si="5"/>
        <v>36</v>
      </c>
      <c r="CJ39" s="121"/>
      <c r="CK39" s="121"/>
      <c r="CL39" s="121"/>
      <c r="CM39" s="121"/>
    </row>
    <row r="40" spans="1:91" x14ac:dyDescent="0.25">
      <c r="A40">
        <v>37</v>
      </c>
      <c r="B40" s="121">
        <v>18.5</v>
      </c>
      <c r="C40" s="20">
        <v>3.6233062091893961E-5</v>
      </c>
      <c r="D40" s="20">
        <v>4.830849280538739E-2</v>
      </c>
      <c r="E40" s="20">
        <v>2.1520674895670204</v>
      </c>
      <c r="F40" s="20">
        <v>3.5827962508479958</v>
      </c>
      <c r="G40" s="19"/>
      <c r="H40" s="19"/>
      <c r="I40" s="19"/>
      <c r="J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AP40" s="127"/>
      <c r="AQ40" s="127"/>
      <c r="AR40" s="127"/>
      <c r="AS40" s="127"/>
      <c r="AT40" s="127"/>
      <c r="AU40" s="127"/>
      <c r="AV40" s="127"/>
      <c r="AW40" s="127"/>
      <c r="AY40" s="127"/>
      <c r="AZ40" s="127"/>
      <c r="CC40" s="126">
        <f t="shared" si="5"/>
        <v>37</v>
      </c>
      <c r="CJ40" s="121"/>
      <c r="CK40" s="121"/>
      <c r="CL40" s="121"/>
      <c r="CM40" s="121"/>
    </row>
    <row r="41" spans="1:91" x14ac:dyDescent="0.25">
      <c r="A41">
        <v>38</v>
      </c>
      <c r="B41" s="121">
        <v>19</v>
      </c>
      <c r="C41" s="20">
        <v>2.4202169709192039E-5</v>
      </c>
      <c r="D41" s="20">
        <v>3.7269962773377421E-2</v>
      </c>
      <c r="E41" s="20">
        <v>2.1704521772610423</v>
      </c>
      <c r="F41" s="20">
        <v>3.6314462275525967</v>
      </c>
      <c r="G41" s="19"/>
      <c r="H41" s="19"/>
      <c r="I41" s="19"/>
      <c r="J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AP41" s="127"/>
      <c r="AQ41" s="127"/>
      <c r="AR41" s="127"/>
      <c r="AS41" s="127"/>
      <c r="AT41" s="127"/>
      <c r="AU41" s="127"/>
      <c r="AV41" s="127"/>
      <c r="AW41" s="127"/>
      <c r="AY41" s="127"/>
      <c r="AZ41" s="127"/>
      <c r="CC41" s="126">
        <f t="shared" si="5"/>
        <v>38</v>
      </c>
      <c r="CJ41" s="121"/>
      <c r="CK41" s="121"/>
      <c r="CL41" s="121"/>
      <c r="CM41" s="121"/>
    </row>
    <row r="42" spans="1:91" x14ac:dyDescent="0.25">
      <c r="A42">
        <v>39</v>
      </c>
      <c r="B42" s="121">
        <v>19.5</v>
      </c>
      <c r="C42" s="20">
        <v>1.6245462275469062E-5</v>
      </c>
      <c r="D42" s="20">
        <v>2.879585196944294E-2</v>
      </c>
      <c r="E42" s="20">
        <v>2.2527236741715386</v>
      </c>
      <c r="F42" s="20">
        <v>3.648541135642859</v>
      </c>
      <c r="G42" s="19"/>
      <c r="H42" s="19"/>
      <c r="I42" s="19"/>
      <c r="J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AP42" s="127"/>
      <c r="AQ42" s="127"/>
      <c r="AR42" s="127"/>
      <c r="AS42" s="127"/>
      <c r="AT42" s="127"/>
      <c r="AU42" s="127"/>
      <c r="AV42" s="127"/>
      <c r="AW42" s="127"/>
      <c r="AY42" s="127"/>
      <c r="AZ42" s="127"/>
      <c r="CC42" s="126">
        <f t="shared" si="5"/>
        <v>39</v>
      </c>
      <c r="CJ42" s="121"/>
      <c r="CK42" s="121"/>
      <c r="CL42" s="121"/>
      <c r="CM42" s="121"/>
    </row>
    <row r="43" spans="1:91" x14ac:dyDescent="0.25">
      <c r="A43">
        <v>40</v>
      </c>
      <c r="B43" s="121">
        <v>20</v>
      </c>
      <c r="C43" s="20">
        <v>1.0956987436690861E-5</v>
      </c>
      <c r="D43" s="20">
        <v>2.2282376347756195E-2</v>
      </c>
      <c r="E43" s="20">
        <v>2.4075515561085687</v>
      </c>
      <c r="F43" s="20">
        <v>3.6350969793431456</v>
      </c>
      <c r="G43" s="19"/>
      <c r="H43" s="19"/>
      <c r="I43" s="19"/>
      <c r="J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AP43" s="127"/>
      <c r="AQ43" s="127"/>
      <c r="AR43" s="127"/>
      <c r="AS43" s="127"/>
      <c r="AT43" s="127"/>
      <c r="AU43" s="127"/>
      <c r="AV43" s="127"/>
      <c r="AW43" s="127"/>
      <c r="AY43" s="127"/>
      <c r="AZ43" s="127"/>
      <c r="CC43" s="126">
        <f t="shared" si="5"/>
        <v>40</v>
      </c>
      <c r="CJ43" s="121"/>
      <c r="CK43" s="121"/>
      <c r="CL43" s="121"/>
      <c r="CM43" s="121"/>
    </row>
    <row r="44" spans="1:91" x14ac:dyDescent="0.25">
      <c r="A44">
        <v>41</v>
      </c>
      <c r="B44" s="121">
        <v>20.5</v>
      </c>
      <c r="C44" s="20">
        <v>7.4248027457524445E-6</v>
      </c>
      <c r="D44" s="20">
        <v>1.7269275609139718E-2</v>
      </c>
      <c r="E44" s="20">
        <v>2.6356235426559018</v>
      </c>
      <c r="F44" s="20">
        <v>3.5930552194326895</v>
      </c>
      <c r="G44" s="19"/>
      <c r="H44" s="19"/>
      <c r="I44" s="19"/>
      <c r="J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AP44" s="127"/>
      <c r="AQ44" s="127"/>
      <c r="AR44" s="127"/>
      <c r="AS44" s="127"/>
      <c r="AT44" s="127"/>
      <c r="AU44" s="127"/>
      <c r="AV44" s="127"/>
      <c r="AW44" s="127"/>
      <c r="AY44" s="127"/>
      <c r="AZ44" s="127"/>
      <c r="CC44" s="126">
        <f t="shared" si="5"/>
        <v>41</v>
      </c>
      <c r="CJ44" s="121"/>
      <c r="CK44" s="121"/>
      <c r="CL44" s="121"/>
      <c r="CM44" s="121"/>
    </row>
    <row r="45" spans="1:91" x14ac:dyDescent="0.25">
      <c r="A45">
        <v>42</v>
      </c>
      <c r="B45" s="121">
        <v>21</v>
      </c>
      <c r="C45" s="20">
        <v>5.054374204406671E-6</v>
      </c>
      <c r="D45" s="20">
        <v>1.3405537027750708E-2</v>
      </c>
      <c r="E45" s="20">
        <v>2.9278595510366321</v>
      </c>
      <c r="F45" s="20">
        <v>3.5250290334535701</v>
      </c>
      <c r="G45" s="19"/>
      <c r="H45" s="19"/>
      <c r="I45" s="19"/>
      <c r="J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AP45" s="127"/>
      <c r="AQ45" s="127"/>
      <c r="AR45" s="127"/>
      <c r="AS45" s="127"/>
      <c r="AT45" s="127"/>
      <c r="AU45" s="127"/>
      <c r="AV45" s="127"/>
      <c r="AW45" s="127"/>
      <c r="AY45" s="127"/>
      <c r="AZ45" s="127"/>
      <c r="CC45" s="126">
        <f t="shared" si="5"/>
        <v>42</v>
      </c>
      <c r="CJ45" s="121"/>
      <c r="CK45" s="121"/>
      <c r="CL45" s="121"/>
      <c r="CM45" s="121"/>
    </row>
    <row r="46" spans="1:91" x14ac:dyDescent="0.25">
      <c r="A46">
        <v>43</v>
      </c>
      <c r="B46" s="121">
        <v>21.5</v>
      </c>
      <c r="C46" s="20">
        <v>3.4561568789551759E-6</v>
      </c>
      <c r="D46" s="20">
        <v>1.0423288976519401E-2</v>
      </c>
      <c r="E46" s="20">
        <v>3.2652495089338025</v>
      </c>
      <c r="F46" s="20">
        <v>3.4340776423985022</v>
      </c>
      <c r="G46" s="19"/>
      <c r="H46" s="19"/>
      <c r="I46" s="19"/>
      <c r="J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AP46" s="127"/>
      <c r="AQ46" s="127"/>
      <c r="AR46" s="127"/>
      <c r="AS46" s="127"/>
      <c r="AT46" s="127"/>
      <c r="AU46" s="127"/>
      <c r="AV46" s="127"/>
      <c r="AW46" s="127"/>
      <c r="AY46" s="127"/>
      <c r="AZ46" s="127"/>
      <c r="CC46" s="126">
        <f t="shared" si="5"/>
        <v>43</v>
      </c>
      <c r="CJ46" s="121"/>
      <c r="CK46" s="121"/>
      <c r="CL46" s="121"/>
      <c r="CM46" s="121"/>
    </row>
    <row r="47" spans="1:91" x14ac:dyDescent="0.25">
      <c r="A47">
        <v>44</v>
      </c>
      <c r="B47" s="121">
        <v>22</v>
      </c>
      <c r="C47" s="20">
        <v>2.3736619286178769E-6</v>
      </c>
      <c r="D47" s="20">
        <v>8.1179395554629285E-3</v>
      </c>
      <c r="E47" s="20">
        <v>3.6205640658357776</v>
      </c>
      <c r="F47" s="20">
        <v>3.3235116783685381</v>
      </c>
      <c r="G47" s="19"/>
      <c r="H47" s="19"/>
      <c r="I47" s="19"/>
      <c r="J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AP47" s="127"/>
      <c r="AQ47" s="127"/>
      <c r="AR47" s="127"/>
      <c r="AS47" s="127"/>
      <c r="AT47" s="127"/>
      <c r="AU47" s="127"/>
      <c r="AV47" s="127"/>
      <c r="AW47" s="127"/>
      <c r="AY47" s="127"/>
      <c r="AZ47" s="127"/>
      <c r="CC47" s="126">
        <f t="shared" si="5"/>
        <v>44</v>
      </c>
      <c r="CJ47" s="121"/>
      <c r="CK47" s="121"/>
      <c r="CL47" s="121"/>
      <c r="CM47" s="121"/>
    </row>
    <row r="48" spans="1:91" x14ac:dyDescent="0.25">
      <c r="A48">
        <v>45</v>
      </c>
      <c r="B48" s="121">
        <v>22.5</v>
      </c>
      <c r="C48" s="20">
        <v>1.6371949461751938E-6</v>
      </c>
      <c r="D48" s="20">
        <v>6.3330768341147668E-3</v>
      </c>
      <c r="E48" s="20">
        <v>3.9617028346333396</v>
      </c>
      <c r="F48" s="20">
        <v>3.1967306088249243</v>
      </c>
      <c r="G48" s="19"/>
      <c r="H48" s="19"/>
      <c r="I48" s="19"/>
      <c r="J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AP48" s="127"/>
      <c r="AQ48" s="127"/>
      <c r="AR48" s="127"/>
      <c r="AS48" s="127"/>
      <c r="AT48" s="127"/>
      <c r="AU48" s="127"/>
      <c r="AV48" s="127"/>
      <c r="AW48" s="127"/>
      <c r="AY48" s="127"/>
      <c r="AZ48" s="127"/>
      <c r="CC48" s="126">
        <f t="shared" si="5"/>
        <v>45</v>
      </c>
      <c r="CJ48" s="121"/>
      <c r="CK48" s="121"/>
      <c r="CL48" s="121"/>
      <c r="CM48" s="121"/>
    </row>
    <row r="49" spans="1:91" x14ac:dyDescent="0.25">
      <c r="A49">
        <v>46</v>
      </c>
      <c r="B49" s="121">
        <v>23</v>
      </c>
      <c r="C49" s="20">
        <v>1.1339549835821426E-6</v>
      </c>
      <c r="D49" s="20">
        <v>4.9489928132918195E-3</v>
      </c>
      <c r="E49" s="20">
        <v>4.2560242518403335</v>
      </c>
      <c r="F49" s="20">
        <v>3.0570916223827482</v>
      </c>
      <c r="G49" s="19"/>
      <c r="H49" s="19"/>
      <c r="I49" s="19"/>
      <c r="J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AP49" s="127"/>
      <c r="AQ49" s="127"/>
      <c r="AR49" s="127"/>
      <c r="AS49" s="127"/>
      <c r="AT49" s="127"/>
      <c r="AU49" s="127"/>
      <c r="AV49" s="127"/>
      <c r="AW49" s="127"/>
      <c r="AY49" s="127"/>
      <c r="AZ49" s="127"/>
      <c r="CC49" s="126">
        <f t="shared" si="5"/>
        <v>46</v>
      </c>
      <c r="CJ49" s="121"/>
      <c r="CK49" s="121"/>
      <c r="CL49" s="121"/>
      <c r="CM49" s="121"/>
    </row>
    <row r="50" spans="1:91" x14ac:dyDescent="0.25">
      <c r="A50">
        <v>47</v>
      </c>
      <c r="B50" s="121">
        <v>23.5</v>
      </c>
      <c r="C50" s="20">
        <v>7.8861301898841043E-7</v>
      </c>
      <c r="D50" s="20">
        <v>3.8739615451535399E-3</v>
      </c>
      <c r="E50" s="20">
        <v>4.4747752660921787</v>
      </c>
      <c r="F50" s="20">
        <v>2.9078081451887603</v>
      </c>
      <c r="G50" s="19"/>
      <c r="H50" s="19"/>
      <c r="I50" s="19"/>
      <c r="J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AP50" s="127"/>
      <c r="AQ50" s="127"/>
      <c r="AR50" s="127"/>
      <c r="AS50" s="127"/>
      <c r="AT50" s="127"/>
      <c r="AU50" s="127"/>
      <c r="AV50" s="127"/>
      <c r="AW50" s="127"/>
      <c r="AY50" s="127"/>
      <c r="AZ50" s="127"/>
      <c r="CC50" s="126">
        <f t="shared" si="5"/>
        <v>47</v>
      </c>
      <c r="CJ50" s="121"/>
      <c r="CK50" s="121"/>
      <c r="CL50" s="121"/>
      <c r="CM50" s="121"/>
    </row>
    <row r="51" spans="1:91" x14ac:dyDescent="0.25">
      <c r="A51">
        <v>48</v>
      </c>
      <c r="B51" s="121">
        <v>24</v>
      </c>
      <c r="C51" s="20">
        <v>5.506360847713136E-7</v>
      </c>
      <c r="D51" s="20">
        <v>3.0376087695804903E-3</v>
      </c>
      <c r="E51" s="20">
        <v>4.5967609430296275</v>
      </c>
      <c r="F51" s="20">
        <v>2.7518752882985291</v>
      </c>
      <c r="G51" s="19"/>
      <c r="H51" s="19"/>
      <c r="I51" s="19"/>
      <c r="J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AP51" s="127"/>
      <c r="AQ51" s="127"/>
      <c r="AR51" s="127"/>
      <c r="AS51" s="127"/>
      <c r="AT51" s="127"/>
      <c r="AU51" s="127"/>
      <c r="AV51" s="127"/>
      <c r="AW51" s="127"/>
      <c r="AY51" s="127"/>
      <c r="AZ51" s="127"/>
      <c r="CC51" s="126">
        <f t="shared" si="5"/>
        <v>48</v>
      </c>
      <c r="CJ51" s="121"/>
      <c r="CK51" s="121"/>
      <c r="CL51" s="121"/>
      <c r="CM51" s="121"/>
    </row>
    <row r="52" spans="1:91" x14ac:dyDescent="0.25">
      <c r="A52">
        <v>49</v>
      </c>
      <c r="B52" s="121">
        <v>24.5</v>
      </c>
      <c r="C52" s="20">
        <v>3.8597480108420847E-7</v>
      </c>
      <c r="D52" s="20">
        <v>2.3858691486936365E-3</v>
      </c>
      <c r="E52" s="20">
        <v>4.6106306402231656</v>
      </c>
      <c r="F52" s="20">
        <v>2.5920189919534509</v>
      </c>
      <c r="G52" s="19"/>
      <c r="H52" s="19"/>
      <c r="I52" s="19"/>
      <c r="J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AP52" s="127"/>
      <c r="AQ52" s="127"/>
      <c r="AR52" s="127"/>
      <c r="AS52" s="127"/>
      <c r="AT52" s="127"/>
      <c r="AU52" s="127"/>
      <c r="AV52" s="127"/>
      <c r="AW52" s="127"/>
      <c r="AY52" s="127"/>
      <c r="AZ52" s="127"/>
      <c r="CC52" s="126">
        <f t="shared" si="5"/>
        <v>49</v>
      </c>
      <c r="CJ52" s="121"/>
      <c r="CK52" s="121"/>
      <c r="CL52" s="121"/>
      <c r="CM52" s="121"/>
    </row>
    <row r="53" spans="1:91" x14ac:dyDescent="0.25">
      <c r="A53">
        <v>50</v>
      </c>
      <c r="B53" s="121">
        <v>25</v>
      </c>
      <c r="C53" s="20">
        <v>2.7158690278083494E-7</v>
      </c>
      <c r="D53" s="20">
        <v>1.8771484474706789E-3</v>
      </c>
      <c r="E53" s="20">
        <v>4.5155146497131575</v>
      </c>
      <c r="F53" s="20">
        <v>2.4306653830697083</v>
      </c>
      <c r="G53" s="19"/>
      <c r="H53" s="19"/>
      <c r="I53" s="19"/>
      <c r="J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AP53" s="127"/>
      <c r="AQ53" s="127"/>
      <c r="AR53" s="127"/>
      <c r="AS53" s="127"/>
      <c r="AT53" s="127"/>
      <c r="AU53" s="127"/>
      <c r="AV53" s="127"/>
      <c r="AW53" s="127"/>
      <c r="AY53" s="127"/>
      <c r="AZ53" s="127"/>
      <c r="CC53" s="126">
        <f t="shared" si="5"/>
        <v>50</v>
      </c>
      <c r="CJ53" s="121"/>
      <c r="CK53" s="121"/>
      <c r="CL53" s="121"/>
      <c r="CM53" s="121"/>
    </row>
    <row r="54" spans="1:91" x14ac:dyDescent="0.25">
      <c r="A54">
        <v>51</v>
      </c>
      <c r="B54" s="121">
        <v>25.5</v>
      </c>
      <c r="C54" s="20">
        <v>1.9181270508546093E-7</v>
      </c>
      <c r="D54" s="20">
        <v>1.4794003754795904E-3</v>
      </c>
      <c r="E54" s="20">
        <v>4.3201101989560229</v>
      </c>
      <c r="F54" s="20">
        <v>2.2699268411032776</v>
      </c>
      <c r="G54" s="19"/>
      <c r="H54" s="19"/>
      <c r="I54" s="19"/>
      <c r="J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AP54" s="127"/>
      <c r="AQ54" s="127"/>
      <c r="AR54" s="127"/>
      <c r="AS54" s="127"/>
      <c r="AT54" s="127"/>
      <c r="AU54" s="127"/>
      <c r="AV54" s="127"/>
      <c r="AW54" s="127"/>
      <c r="AY54" s="127"/>
      <c r="AZ54" s="127"/>
      <c r="CC54" s="126">
        <f t="shared" si="5"/>
        <v>51</v>
      </c>
      <c r="CJ54" s="121"/>
      <c r="CK54" s="121"/>
      <c r="CL54" s="121"/>
      <c r="CM54" s="121"/>
    </row>
    <row r="55" spans="1:91" x14ac:dyDescent="0.25">
      <c r="A55">
        <v>52</v>
      </c>
      <c r="B55" s="121">
        <v>26</v>
      </c>
      <c r="C55" s="20">
        <v>1.3596550303513534E-7</v>
      </c>
      <c r="D55" s="20">
        <v>1.1678980008801771E-3</v>
      </c>
      <c r="E55" s="20">
        <v>4.0405957380857727</v>
      </c>
      <c r="F55" s="20">
        <v>2.1116014177891733</v>
      </c>
      <c r="G55" s="19"/>
      <c r="H55" s="19"/>
      <c r="I55" s="19"/>
      <c r="J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AP55" s="127"/>
      <c r="AQ55" s="127"/>
      <c r="AR55" s="127"/>
      <c r="AS55" s="127"/>
      <c r="AT55" s="127"/>
      <c r="AU55" s="127"/>
      <c r="AV55" s="127"/>
      <c r="AW55" s="127"/>
      <c r="AY55" s="127"/>
      <c r="AZ55" s="127"/>
      <c r="CC55" s="126">
        <f t="shared" si="5"/>
        <v>52</v>
      </c>
      <c r="CJ55" s="121"/>
      <c r="CK55" s="121"/>
      <c r="CL55" s="121"/>
      <c r="CM55" s="121"/>
    </row>
    <row r="56" spans="1:91" x14ac:dyDescent="0.25">
      <c r="A56">
        <v>53</v>
      </c>
      <c r="B56" s="121">
        <v>26.5</v>
      </c>
      <c r="C56" s="20">
        <v>9.6722626698470732E-8</v>
      </c>
      <c r="D56" s="20">
        <v>9.2353290783241126E-4</v>
      </c>
      <c r="E56" s="20">
        <v>3.6978980024054762</v>
      </c>
      <c r="F56" s="20">
        <v>1.9571825253547164</v>
      </c>
      <c r="G56" s="19"/>
      <c r="H56" s="19"/>
      <c r="I56" s="19"/>
      <c r="J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AP56" s="127"/>
      <c r="AQ56" s="127"/>
      <c r="AR56" s="127"/>
      <c r="AS56" s="127"/>
      <c r="AT56" s="127"/>
      <c r="AU56" s="127"/>
      <c r="AV56" s="127"/>
      <c r="AW56" s="127"/>
      <c r="AY56" s="127"/>
      <c r="AZ56" s="127"/>
      <c r="CC56" s="126">
        <f t="shared" si="5"/>
        <v>53</v>
      </c>
      <c r="CJ56" s="121"/>
      <c r="CK56" s="121"/>
      <c r="CL56" s="121"/>
      <c r="CM56" s="121"/>
    </row>
    <row r="57" spans="1:91" x14ac:dyDescent="0.25">
      <c r="A57">
        <v>54</v>
      </c>
      <c r="B57" s="121">
        <v>27</v>
      </c>
      <c r="C57" s="20">
        <v>6.9046488078788535E-8</v>
      </c>
      <c r="D57" s="20">
        <v>7.3151563337425633E-4</v>
      </c>
      <c r="E57" s="20">
        <v>3.3148444128781893</v>
      </c>
      <c r="F57" s="20">
        <v>1.8078761500086571</v>
      </c>
      <c r="G57" s="19"/>
      <c r="H57" s="19"/>
      <c r="I57" s="19"/>
      <c r="J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AP57" s="127"/>
      <c r="AQ57" s="127"/>
      <c r="AR57" s="127"/>
      <c r="AS57" s="127"/>
      <c r="AT57" s="127"/>
      <c r="AU57" s="127"/>
      <c r="AV57" s="127"/>
      <c r="AW57" s="127"/>
      <c r="AY57" s="127"/>
      <c r="AZ57" s="127"/>
      <c r="CC57" s="126">
        <f t="shared" si="5"/>
        <v>54</v>
      </c>
      <c r="CJ57" s="121"/>
      <c r="CK57" s="121"/>
      <c r="CL57" s="121"/>
      <c r="CM57" s="121"/>
    </row>
    <row r="58" spans="1:91" x14ac:dyDescent="0.25">
      <c r="A58">
        <v>55</v>
      </c>
      <c r="B58" s="121">
        <v>27.5</v>
      </c>
      <c r="C58" s="20">
        <v>4.9457986872646788E-8</v>
      </c>
      <c r="D58" s="20">
        <v>5.8038149060250744E-4</v>
      </c>
      <c r="E58" s="20">
        <v>2.9136357879069346</v>
      </c>
      <c r="F58" s="20">
        <v>1.6646232254542541</v>
      </c>
      <c r="G58" s="19"/>
      <c r="H58" s="19"/>
      <c r="I58" s="19"/>
      <c r="J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AP58" s="127"/>
      <c r="AQ58" s="127"/>
      <c r="AR58" s="127"/>
      <c r="AS58" s="127"/>
      <c r="AT58" s="127"/>
      <c r="AU58" s="127"/>
      <c r="AV58" s="127"/>
      <c r="AW58" s="127"/>
      <c r="AY58" s="127"/>
      <c r="AZ58" s="127"/>
      <c r="CC58" s="126">
        <f t="shared" si="5"/>
        <v>55</v>
      </c>
      <c r="CJ58" s="121"/>
      <c r="CK58" s="121"/>
      <c r="CL58" s="121"/>
      <c r="CM58" s="121"/>
    </row>
    <row r="59" spans="1:91" x14ac:dyDescent="0.25">
      <c r="A59">
        <v>56</v>
      </c>
      <c r="B59" s="121">
        <v>28</v>
      </c>
      <c r="C59" s="20">
        <v>3.5545181342800917E-8</v>
      </c>
      <c r="D59" s="20">
        <v>4.6122903017162427E-4</v>
      </c>
      <c r="E59" s="20">
        <v>2.5139194055656287</v>
      </c>
      <c r="F59" s="20">
        <v>1.5281251859654583</v>
      </c>
      <c r="G59" s="19"/>
      <c r="H59" s="19"/>
      <c r="I59" s="19"/>
      <c r="J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AP59" s="127"/>
      <c r="AQ59" s="127"/>
      <c r="AR59" s="127"/>
      <c r="AS59" s="127"/>
      <c r="AT59" s="127"/>
      <c r="AU59" s="127"/>
      <c r="AV59" s="127"/>
      <c r="AW59" s="127"/>
      <c r="AY59" s="127"/>
      <c r="AZ59" s="127"/>
      <c r="CC59" s="126">
        <f t="shared" si="5"/>
        <v>56</v>
      </c>
      <c r="CJ59" s="121"/>
      <c r="CK59" s="121"/>
      <c r="CL59" s="121"/>
      <c r="CM59" s="121"/>
    </row>
    <row r="60" spans="1:91" x14ac:dyDescent="0.25">
      <c r="A60">
        <v>57</v>
      </c>
      <c r="B60" s="121">
        <v>28.5</v>
      </c>
      <c r="C60" s="20">
        <v>2.5629702090279795E-8</v>
      </c>
      <c r="D60" s="20">
        <v>3.671359145543913E-4</v>
      </c>
      <c r="E60" s="20">
        <v>2.1315777454341274</v>
      </c>
      <c r="F60" s="20">
        <v>1.3988710891679312</v>
      </c>
      <c r="G60" s="19"/>
      <c r="H60" s="19"/>
      <c r="I60" s="19"/>
      <c r="J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AP60" s="127"/>
      <c r="AQ60" s="127"/>
      <c r="AR60" s="127"/>
      <c r="AS60" s="127"/>
      <c r="AT60" s="127"/>
      <c r="AU60" s="127"/>
      <c r="AV60" s="127"/>
      <c r="AW60" s="127"/>
      <c r="AY60" s="127"/>
      <c r="AZ60" s="127"/>
      <c r="CC60" s="126">
        <f t="shared" si="5"/>
        <v>57</v>
      </c>
      <c r="CJ60" s="121"/>
      <c r="CK60" s="121"/>
      <c r="CL60" s="121"/>
      <c r="CM60" s="121"/>
    </row>
    <row r="61" spans="1:91" x14ac:dyDescent="0.25">
      <c r="A61">
        <v>58</v>
      </c>
      <c r="B61" s="121">
        <v>29</v>
      </c>
      <c r="C61" s="20">
        <v>1.8539366262839398E-8</v>
      </c>
      <c r="D61" s="20">
        <v>2.9271024778946972E-4</v>
      </c>
      <c r="E61" s="20">
        <v>1.7782091355436767</v>
      </c>
      <c r="F61" s="20">
        <v>1.2771650409031878</v>
      </c>
      <c r="G61" s="19"/>
      <c r="H61" s="19"/>
      <c r="I61" s="19"/>
      <c r="J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AP61" s="127"/>
      <c r="AQ61" s="127"/>
      <c r="AR61" s="127"/>
      <c r="AS61" s="127"/>
      <c r="AT61" s="127"/>
      <c r="AU61" s="127"/>
      <c r="AV61" s="127"/>
      <c r="AW61" s="127"/>
      <c r="AY61" s="127"/>
      <c r="AZ61" s="127"/>
      <c r="CC61" s="126">
        <f t="shared" si="5"/>
        <v>58</v>
      </c>
      <c r="CJ61" s="121"/>
      <c r="CK61" s="121"/>
      <c r="CL61" s="121"/>
      <c r="CM61" s="121"/>
    </row>
    <row r="62" spans="1:91" x14ac:dyDescent="0.25">
      <c r="A62">
        <v>59</v>
      </c>
      <c r="B62" s="121">
        <v>29.5</v>
      </c>
      <c r="C62" s="20">
        <v>1.3452579758900682E-8</v>
      </c>
      <c r="D62" s="20">
        <v>2.3374545450185699E-4</v>
      </c>
      <c r="E62" s="20">
        <v>1.4611818245322767</v>
      </c>
      <c r="F62" s="20">
        <v>1.1631529599091144</v>
      </c>
      <c r="G62" s="19"/>
      <c r="H62" s="19"/>
      <c r="I62" s="19"/>
      <c r="J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AP62" s="127"/>
      <c r="AQ62" s="127"/>
      <c r="AR62" s="127"/>
      <c r="AS62" s="127"/>
      <c r="AT62" s="127"/>
      <c r="AU62" s="127"/>
      <c r="AV62" s="127"/>
      <c r="AW62" s="127"/>
      <c r="AY62" s="127"/>
      <c r="AZ62" s="127"/>
      <c r="CC62" s="126">
        <f t="shared" si="5"/>
        <v>59</v>
      </c>
      <c r="CJ62" s="121"/>
      <c r="CK62" s="121"/>
      <c r="CL62" s="121"/>
      <c r="CM62" s="121"/>
    </row>
    <row r="63" spans="1:91" x14ac:dyDescent="0.25">
      <c r="A63">
        <v>60</v>
      </c>
      <c r="B63" s="121">
        <v>30</v>
      </c>
      <c r="C63" s="20">
        <v>9.7914577032337287E-9</v>
      </c>
      <c r="D63" s="20">
        <v>1.8695442035853192E-4</v>
      </c>
      <c r="E63" s="20">
        <v>1.1840961973920168</v>
      </c>
      <c r="F63" s="20">
        <v>1.0568479844592991</v>
      </c>
      <c r="G63" s="19"/>
      <c r="H63" s="19"/>
      <c r="I63" s="19"/>
      <c r="J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AP63" s="127"/>
      <c r="AQ63" s="127"/>
      <c r="AR63" s="127"/>
      <c r="AS63" s="127"/>
      <c r="AT63" s="127"/>
      <c r="AU63" s="127"/>
      <c r="AV63" s="127"/>
      <c r="AW63" s="127"/>
      <c r="AY63" s="127"/>
      <c r="AZ63" s="127"/>
      <c r="CC63" s="126">
        <f t="shared" si="5"/>
        <v>60</v>
      </c>
      <c r="CJ63" s="121"/>
      <c r="CK63" s="121"/>
      <c r="CL63" s="121"/>
      <c r="CM63" s="121"/>
    </row>
    <row r="64" spans="1:91" x14ac:dyDescent="0.25">
      <c r="A64">
        <v>61</v>
      </c>
      <c r="B64" s="121">
        <v>30.5</v>
      </c>
      <c r="C64" s="20">
        <v>7.1481353304894041E-9</v>
      </c>
      <c r="D64" s="20">
        <v>1.4976438483094232E-4</v>
      </c>
      <c r="E64" s="20">
        <v>0.9474837236767033</v>
      </c>
      <c r="F64" s="20">
        <v>0.95815404582755703</v>
      </c>
      <c r="G64" s="19"/>
      <c r="H64" s="19"/>
      <c r="I64" s="19"/>
      <c r="J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AP64" s="127"/>
      <c r="AQ64" s="127"/>
      <c r="AR64" s="127"/>
      <c r="AS64" s="127"/>
      <c r="AT64" s="127"/>
      <c r="AU64" s="127"/>
      <c r="AV64" s="127"/>
      <c r="AW64" s="127"/>
      <c r="AY64" s="127"/>
      <c r="AZ64" s="127"/>
      <c r="CC64" s="126">
        <f t="shared" si="5"/>
        <v>61</v>
      </c>
      <c r="CJ64" s="121"/>
      <c r="CK64" s="121"/>
      <c r="CL64" s="121"/>
      <c r="CM64" s="121"/>
    </row>
    <row r="65" spans="1:91" x14ac:dyDescent="0.25">
      <c r="A65">
        <v>62</v>
      </c>
      <c r="B65" s="121">
        <v>31</v>
      </c>
      <c r="C65" s="20">
        <v>5.2337765146231104E-9</v>
      </c>
      <c r="D65" s="20">
        <v>1.201584641817419E-4</v>
      </c>
      <c r="E65" s="20">
        <v>0.74959319415188153</v>
      </c>
      <c r="F65" s="20">
        <v>0.86688731608781033</v>
      </c>
      <c r="G65" s="19"/>
      <c r="H65" s="19"/>
      <c r="I65" s="19"/>
      <c r="J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AP65" s="127"/>
      <c r="AQ65" s="127"/>
      <c r="AR65" s="127"/>
      <c r="AS65" s="127"/>
      <c r="AT65" s="127"/>
      <c r="AU65" s="127"/>
      <c r="AV65" s="127"/>
      <c r="AW65" s="127"/>
      <c r="AY65" s="127"/>
      <c r="AZ65" s="127"/>
      <c r="CC65" s="126">
        <f t="shared" si="5"/>
        <v>62</v>
      </c>
      <c r="CJ65" s="121"/>
      <c r="CK65" s="121"/>
      <c r="CL65" s="121"/>
      <c r="CM65" s="121"/>
    </row>
    <row r="66" spans="1:91" x14ac:dyDescent="0.25">
      <c r="A66">
        <v>63</v>
      </c>
      <c r="B66" s="121">
        <v>31.5</v>
      </c>
      <c r="C66" s="20">
        <v>3.8431621783706916E-9</v>
      </c>
      <c r="D66" s="20">
        <v>9.6553016343213751E-5</v>
      </c>
      <c r="E66" s="20">
        <v>0.58715151406177668</v>
      </c>
      <c r="F66" s="20">
        <v>0.78279538345756572</v>
      </c>
      <c r="G66" s="19"/>
      <c r="H66" s="19"/>
      <c r="I66" s="19"/>
      <c r="J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AP66" s="127"/>
      <c r="AQ66" s="127"/>
      <c r="AR66" s="127"/>
      <c r="AS66" s="127"/>
      <c r="AT66" s="127"/>
      <c r="AU66" s="127"/>
      <c r="AV66" s="127"/>
      <c r="AW66" s="127"/>
      <c r="AY66" s="127"/>
      <c r="AZ66" s="127"/>
      <c r="CC66" s="126">
        <f t="shared" si="5"/>
        <v>63</v>
      </c>
      <c r="CJ66" s="121"/>
      <c r="CK66" s="121"/>
      <c r="CL66" s="121"/>
      <c r="CM66" s="121"/>
    </row>
    <row r="67" spans="1:91" x14ac:dyDescent="0.25">
      <c r="A67">
        <v>64</v>
      </c>
      <c r="B67" s="121">
        <v>32</v>
      </c>
      <c r="C67" s="20">
        <v>2.8300119404171767E-9</v>
      </c>
      <c r="D67" s="20">
        <v>7.7702595377169734E-5</v>
      </c>
      <c r="E67" s="20">
        <v>0.4560266229124238</v>
      </c>
      <c r="F67" s="20">
        <v>0.70557412116418672</v>
      </c>
      <c r="G67" s="19"/>
      <c r="H67" s="19"/>
      <c r="I67" s="19"/>
      <c r="J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AP67" s="127"/>
      <c r="AQ67" s="127"/>
      <c r="AR67" s="127"/>
      <c r="AS67" s="127"/>
      <c r="AT67" s="127"/>
      <c r="AU67" s="127"/>
      <c r="AV67" s="127"/>
      <c r="AW67" s="127"/>
      <c r="AY67" s="127"/>
      <c r="AZ67" s="127"/>
      <c r="CC67" s="126">
        <f t="shared" si="5"/>
        <v>64</v>
      </c>
      <c r="CJ67" s="121"/>
      <c r="CK67" s="121"/>
      <c r="CL67" s="121"/>
      <c r="CM67" s="121"/>
    </row>
    <row r="68" spans="1:91" x14ac:dyDescent="0.25">
      <c r="A68">
        <v>65</v>
      </c>
      <c r="B68" s="121">
        <v>32.5</v>
      </c>
      <c r="C68" s="20">
        <v>2.0897265455890161E-9</v>
      </c>
      <c r="D68" s="20">
        <v>6.2626174578409366E-5</v>
      </c>
      <c r="E68" s="20">
        <v>0.35175637175545349</v>
      </c>
      <c r="F68" s="20">
        <v>0.63488230006962576</v>
      </c>
      <c r="G68" s="19"/>
      <c r="H68" s="19"/>
      <c r="I68" s="19"/>
      <c r="J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AP68" s="127"/>
      <c r="AQ68" s="127"/>
      <c r="AR68" s="127"/>
      <c r="AS68" s="127"/>
      <c r="AT68" s="127"/>
      <c r="AU68" s="127"/>
      <c r="AV68" s="127"/>
      <c r="AW68" s="127"/>
      <c r="AY68" s="127"/>
      <c r="AZ68" s="127"/>
      <c r="CD68">
        <v>5040</v>
      </c>
      <c r="CE68">
        <v>576</v>
      </c>
      <c r="CF68">
        <v>144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</row>
    <row r="69" spans="1:91" x14ac:dyDescent="0.25">
      <c r="A69">
        <v>66</v>
      </c>
      <c r="B69" s="121">
        <v>33</v>
      </c>
      <c r="C69" s="20">
        <v>1.5472789146013586E-9</v>
      </c>
      <c r="D69" s="20">
        <v>5.0549789936347345E-5</v>
      </c>
      <c r="E69" s="20">
        <v>0.26993536799040663</v>
      </c>
      <c r="F69" s="20">
        <v>0.57035405548326068</v>
      </c>
      <c r="G69" s="19"/>
      <c r="H69" s="19"/>
      <c r="I69" s="19"/>
      <c r="J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AP69" s="127"/>
      <c r="AQ69" s="127"/>
      <c r="AR69" s="127"/>
      <c r="AS69" s="127"/>
      <c r="AT69" s="127"/>
      <c r="AU69" s="127"/>
      <c r="AV69" s="127"/>
      <c r="AW69" s="127"/>
      <c r="AY69" s="127"/>
      <c r="AZ69" s="127"/>
      <c r="CD69">
        <v>5040</v>
      </c>
      <c r="CE69">
        <v>576</v>
      </c>
      <c r="CF69">
        <v>144</v>
      </c>
      <c r="CG69">
        <v>0</v>
      </c>
      <c r="CH69">
        <v>0</v>
      </c>
      <c r="CI69">
        <v>0</v>
      </c>
      <c r="CJ69" s="157">
        <v>0</v>
      </c>
      <c r="CK69" s="158">
        <v>0</v>
      </c>
      <c r="CL69" s="158">
        <v>0</v>
      </c>
      <c r="CM69" s="159">
        <v>0</v>
      </c>
    </row>
    <row r="70" spans="1:91" x14ac:dyDescent="0.25">
      <c r="A70">
        <v>67</v>
      </c>
      <c r="B70" s="121">
        <v>33.5</v>
      </c>
      <c r="C70" s="20">
        <v>1.1486896593573764E-9</v>
      </c>
      <c r="D70" s="20">
        <v>4.0861879963935452E-5</v>
      </c>
      <c r="E70" s="20">
        <v>0.20647075612740856</v>
      </c>
      <c r="F70" s="20">
        <v>0.51160935897387205</v>
      </c>
      <c r="G70" s="19"/>
      <c r="H70" s="19"/>
      <c r="I70" s="19"/>
      <c r="J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AP70" s="127"/>
      <c r="AQ70" s="127"/>
      <c r="AR70" s="127"/>
      <c r="AS70" s="127"/>
      <c r="AT70" s="127"/>
      <c r="AU70" s="127"/>
      <c r="AV70" s="127"/>
      <c r="AW70" s="127"/>
      <c r="AY70" s="127"/>
      <c r="AZ70" s="127"/>
      <c r="CD70">
        <v>5040</v>
      </c>
      <c r="CE70">
        <v>576</v>
      </c>
      <c r="CF70">
        <v>144</v>
      </c>
      <c r="CG70">
        <v>0</v>
      </c>
      <c r="CH70">
        <v>0</v>
      </c>
      <c r="CI70">
        <v>0</v>
      </c>
      <c r="CJ70" s="13">
        <v>0</v>
      </c>
      <c r="CK70">
        <v>0</v>
      </c>
      <c r="CL70">
        <v>0</v>
      </c>
      <c r="CM70" s="85">
        <v>0</v>
      </c>
    </row>
    <row r="71" spans="1:91" x14ac:dyDescent="0.25">
      <c r="A71">
        <v>68</v>
      </c>
      <c r="B71" s="121">
        <v>34</v>
      </c>
      <c r="C71" s="20">
        <v>8.5500652567720466E-10</v>
      </c>
      <c r="D71" s="20">
        <v>3.307845736296995E-5</v>
      </c>
      <c r="E71" s="20">
        <v>0.15772843505770448</v>
      </c>
      <c r="F71" s="20">
        <v>0.4582626704556324</v>
      </c>
      <c r="G71" s="19"/>
      <c r="H71" s="19"/>
      <c r="I71" s="19"/>
      <c r="J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AP71" s="127"/>
      <c r="AQ71" s="127"/>
      <c r="AR71" s="127"/>
      <c r="AS71" s="127"/>
      <c r="AT71" s="127"/>
      <c r="AU71" s="127"/>
      <c r="AV71" s="127"/>
      <c r="AW71" s="127"/>
      <c r="AY71" s="127"/>
      <c r="AZ71" s="127"/>
      <c r="CD71">
        <v>5040</v>
      </c>
      <c r="CE71">
        <v>576</v>
      </c>
      <c r="CF71">
        <v>144</v>
      </c>
      <c r="CG71">
        <v>0</v>
      </c>
      <c r="CH71">
        <v>0</v>
      </c>
      <c r="CI71">
        <v>0</v>
      </c>
      <c r="CJ71" s="13">
        <v>0</v>
      </c>
      <c r="CK71">
        <v>0</v>
      </c>
      <c r="CL71">
        <v>0</v>
      </c>
      <c r="CM71" s="85">
        <v>0</v>
      </c>
    </row>
    <row r="72" spans="1:91" x14ac:dyDescent="0.25">
      <c r="A72">
        <v>69</v>
      </c>
      <c r="B72" s="121">
        <v>34.5</v>
      </c>
      <c r="C72" s="20">
        <v>6.3803874530386862E-10</v>
      </c>
      <c r="D72" s="20">
        <v>2.6815905886007598E-5</v>
      </c>
      <c r="E72" s="20">
        <v>0.1205951151244806</v>
      </c>
      <c r="F72" s="20">
        <v>0.40992995782653463</v>
      </c>
      <c r="G72" s="19"/>
      <c r="H72" s="19"/>
      <c r="I72" s="19"/>
      <c r="J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AP72" s="127"/>
      <c r="AQ72" s="127"/>
      <c r="AR72" s="127"/>
      <c r="AS72" s="127"/>
      <c r="AT72" s="127"/>
      <c r="AU72" s="127"/>
      <c r="AV72" s="127"/>
      <c r="AW72" s="127"/>
      <c r="AY72" s="127"/>
      <c r="AZ72" s="127"/>
      <c r="CD72">
        <v>5040</v>
      </c>
      <c r="CE72">
        <v>576</v>
      </c>
      <c r="CF72">
        <v>144</v>
      </c>
      <c r="CG72">
        <v>0</v>
      </c>
      <c r="CH72">
        <v>0</v>
      </c>
      <c r="CI72">
        <v>0</v>
      </c>
      <c r="CJ72" s="160">
        <v>0</v>
      </c>
      <c r="CK72" s="161">
        <v>0</v>
      </c>
      <c r="CL72" s="161">
        <v>0</v>
      </c>
      <c r="CM72" s="162">
        <v>0</v>
      </c>
    </row>
    <row r="73" spans="1:91" x14ac:dyDescent="0.25">
      <c r="A73">
        <v>70</v>
      </c>
      <c r="B73" s="121">
        <v>35</v>
      </c>
      <c r="C73" s="20">
        <v>4.7732533288633531E-10</v>
      </c>
      <c r="D73" s="20">
        <v>2.1769700043845335E-5</v>
      </c>
      <c r="E73" s="20">
        <v>9.2480971517541324E-2</v>
      </c>
      <c r="F73" s="20">
        <v>0.36623427396727448</v>
      </c>
      <c r="G73" s="19"/>
      <c r="H73" s="19"/>
      <c r="I73" s="19"/>
      <c r="J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AP73" s="127"/>
      <c r="AQ73" s="127"/>
      <c r="AR73" s="127"/>
      <c r="AS73" s="127"/>
      <c r="AT73" s="127"/>
      <c r="AU73" s="127"/>
      <c r="AV73" s="127"/>
      <c r="AW73" s="127"/>
      <c r="AY73" s="127"/>
      <c r="AZ73" s="127"/>
      <c r="CD73">
        <v>5040</v>
      </c>
      <c r="CE73">
        <v>576</v>
      </c>
      <c r="CF73">
        <v>144</v>
      </c>
      <c r="CG73">
        <v>0</v>
      </c>
      <c r="CH73">
        <v>0</v>
      </c>
      <c r="CI73">
        <v>0</v>
      </c>
      <c r="CJ73" s="163">
        <v>0</v>
      </c>
      <c r="CK73" s="20">
        <v>0</v>
      </c>
      <c r="CL73" s="20">
        <v>0</v>
      </c>
      <c r="CM73" s="164">
        <v>0</v>
      </c>
    </row>
    <row r="74" spans="1:91" x14ac:dyDescent="0.25">
      <c r="A74">
        <v>71</v>
      </c>
      <c r="B74" s="121">
        <v>35.5</v>
      </c>
      <c r="C74" s="20">
        <v>3.5797378196975236E-10</v>
      </c>
      <c r="D74" s="20">
        <v>1.7697732398487374E-5</v>
      </c>
      <c r="E74" s="20">
        <v>7.1284356347112693E-2</v>
      </c>
      <c r="F74" s="20">
        <v>0.32681007648231236</v>
      </c>
      <c r="G74" s="19"/>
      <c r="H74" s="19"/>
      <c r="I74" s="19"/>
      <c r="J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AP74" s="127"/>
      <c r="AQ74" s="127"/>
      <c r="AR74" s="127"/>
      <c r="AS74" s="127"/>
      <c r="AT74" s="127"/>
      <c r="AU74" s="127"/>
      <c r="AV74" s="127"/>
      <c r="AW74" s="127"/>
      <c r="AY74" s="127"/>
      <c r="AZ74" s="127"/>
      <c r="CD74">
        <v>5040</v>
      </c>
      <c r="CE74">
        <v>576</v>
      </c>
      <c r="CF74">
        <v>144</v>
      </c>
      <c r="CG74">
        <v>0</v>
      </c>
      <c r="CH74">
        <v>0</v>
      </c>
      <c r="CI74">
        <v>0</v>
      </c>
      <c r="CJ74" s="13">
        <v>0</v>
      </c>
      <c r="CK74">
        <v>0</v>
      </c>
      <c r="CL74">
        <v>0</v>
      </c>
      <c r="CM74" s="85">
        <v>0</v>
      </c>
    </row>
    <row r="75" spans="1:91" x14ac:dyDescent="0.25">
      <c r="A75">
        <v>72</v>
      </c>
      <c r="B75" s="121">
        <v>36</v>
      </c>
      <c r="C75" s="20">
        <v>2.6911464140587664E-10</v>
      </c>
      <c r="D75" s="20">
        <v>1.4407230734826961E-5</v>
      </c>
      <c r="E75" s="20">
        <v>5.5335585814944209E-2</v>
      </c>
      <c r="F75" s="20">
        <v>0.29130646625854012</v>
      </c>
      <c r="G75" s="19"/>
      <c r="H75" s="19"/>
      <c r="I75" s="19"/>
      <c r="J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AP75" s="127"/>
      <c r="AQ75" s="127"/>
      <c r="AR75" s="127"/>
      <c r="AS75" s="127"/>
      <c r="AT75" s="127"/>
      <c r="AU75" s="127"/>
      <c r="AV75" s="127"/>
      <c r="AW75" s="127"/>
      <c r="AY75" s="127"/>
      <c r="AZ75" s="127"/>
      <c r="CD75">
        <v>5040</v>
      </c>
      <c r="CE75">
        <v>576</v>
      </c>
      <c r="CF75">
        <v>144</v>
      </c>
      <c r="CG75">
        <v>0</v>
      </c>
      <c r="CH75">
        <v>0</v>
      </c>
      <c r="CI75">
        <v>0</v>
      </c>
      <c r="CJ75" s="160">
        <v>0</v>
      </c>
      <c r="CK75" s="161">
        <v>0</v>
      </c>
      <c r="CL75">
        <v>0</v>
      </c>
      <c r="CM75" s="85">
        <v>0</v>
      </c>
    </row>
    <row r="76" spans="1:91" x14ac:dyDescent="0.25">
      <c r="A76">
        <v>73</v>
      </c>
      <c r="B76" s="121">
        <v>36.5</v>
      </c>
      <c r="C76" s="20">
        <v>2.0279321554633339E-10</v>
      </c>
      <c r="D76" s="20">
        <v>1.1744476460426104E-5</v>
      </c>
      <c r="E76" s="20">
        <v>4.3332251816976891E-2</v>
      </c>
      <c r="F76" s="20">
        <v>0.25938950840440855</v>
      </c>
      <c r="G76" s="19"/>
      <c r="H76" s="19"/>
      <c r="I76" s="19"/>
      <c r="J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AP76" s="127"/>
      <c r="AQ76" s="127"/>
      <c r="AR76" s="127"/>
      <c r="AS76" s="127"/>
      <c r="AT76" s="127"/>
      <c r="AU76" s="127"/>
      <c r="AV76" s="127"/>
      <c r="AW76" s="127"/>
      <c r="AY76" s="127"/>
      <c r="AZ76" s="127"/>
      <c r="CD76">
        <v>5040</v>
      </c>
      <c r="CE76">
        <v>576</v>
      </c>
      <c r="CF76">
        <v>144</v>
      </c>
      <c r="CG76">
        <v>0</v>
      </c>
      <c r="CH76">
        <v>0</v>
      </c>
      <c r="CI76">
        <v>0</v>
      </c>
      <c r="CJ76" s="163">
        <v>0</v>
      </c>
      <c r="CK76" s="20">
        <v>0</v>
      </c>
      <c r="CL76">
        <v>0</v>
      </c>
      <c r="CM76" s="85">
        <v>0</v>
      </c>
    </row>
    <row r="77" spans="1:91" x14ac:dyDescent="0.25">
      <c r="A77">
        <v>74</v>
      </c>
      <c r="B77" s="121">
        <v>37</v>
      </c>
      <c r="C77" s="20">
        <v>1.5317244879478787E-10</v>
      </c>
      <c r="D77" s="20">
        <v>9.5867121664672009E-6</v>
      </c>
      <c r="E77" s="20">
        <v>3.4274429768631577E-2</v>
      </c>
      <c r="F77" s="20">
        <v>0.23074378473264207</v>
      </c>
      <c r="G77" s="19"/>
      <c r="H77" s="19"/>
      <c r="I77" s="19"/>
      <c r="J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AP77" s="127"/>
      <c r="AQ77" s="127"/>
      <c r="AR77" s="127"/>
      <c r="AS77" s="127"/>
      <c r="AT77" s="127"/>
      <c r="AU77" s="127"/>
      <c r="AV77" s="127"/>
      <c r="AW77" s="127"/>
      <c r="AY77" s="127"/>
      <c r="AZ77" s="127"/>
      <c r="CD77">
        <v>5040</v>
      </c>
      <c r="CE77">
        <v>576</v>
      </c>
      <c r="CF77">
        <v>144</v>
      </c>
      <c r="CG77">
        <v>0</v>
      </c>
      <c r="CH77">
        <v>0</v>
      </c>
      <c r="CI77">
        <v>0</v>
      </c>
      <c r="CJ77" s="13">
        <v>0</v>
      </c>
      <c r="CK77">
        <v>0</v>
      </c>
      <c r="CL77">
        <v>0</v>
      </c>
      <c r="CM77" s="85">
        <v>0</v>
      </c>
    </row>
    <row r="78" spans="1:91" x14ac:dyDescent="0.25">
      <c r="A78">
        <v>75</v>
      </c>
      <c r="B78" s="121">
        <v>37.5</v>
      </c>
      <c r="C78" s="20">
        <v>1.1595799389022605E-10</v>
      </c>
      <c r="D78" s="20">
        <v>7.835762614037951E-6</v>
      </c>
      <c r="E78" s="20">
        <v>2.7404850453781781E-2</v>
      </c>
      <c r="F78" s="20">
        <v>0.205073311676466</v>
      </c>
      <c r="G78" s="19"/>
      <c r="H78" s="19"/>
      <c r="I78" s="19"/>
      <c r="J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AP78" s="127"/>
      <c r="AQ78" s="127"/>
      <c r="AR78" s="127"/>
      <c r="AS78" s="127"/>
      <c r="AT78" s="127"/>
      <c r="AU78" s="127"/>
      <c r="AV78" s="127"/>
      <c r="AW78" s="127"/>
      <c r="AY78" s="127"/>
      <c r="AZ78" s="127"/>
      <c r="CD78">
        <v>5040</v>
      </c>
      <c r="CE78">
        <v>576</v>
      </c>
      <c r="CF78">
        <v>144</v>
      </c>
      <c r="CG78">
        <v>0</v>
      </c>
      <c r="CH78">
        <v>0</v>
      </c>
      <c r="CI78">
        <v>0</v>
      </c>
      <c r="CJ78" s="13">
        <v>0</v>
      </c>
      <c r="CK78">
        <v>0</v>
      </c>
      <c r="CL78">
        <v>0</v>
      </c>
      <c r="CM78" s="85">
        <v>0</v>
      </c>
    </row>
    <row r="79" spans="1:91" x14ac:dyDescent="0.25">
      <c r="A79">
        <v>76</v>
      </c>
      <c r="B79" s="121">
        <v>38</v>
      </c>
      <c r="C79" s="20">
        <v>8.7982378082512228E-11</v>
      </c>
      <c r="D79" s="20">
        <v>6.412998819034079E-6</v>
      </c>
      <c r="E79" s="20">
        <v>2.2156633674208313E-2</v>
      </c>
      <c r="F79" s="20">
        <v>0.18210194213983608</v>
      </c>
      <c r="G79" s="19"/>
      <c r="H79" s="19"/>
      <c r="I79" s="19"/>
      <c r="J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AP79" s="127"/>
      <c r="AQ79" s="127"/>
      <c r="AR79" s="127"/>
      <c r="AS79" s="127"/>
      <c r="AT79" s="127"/>
      <c r="AU79" s="127"/>
      <c r="AV79" s="127"/>
      <c r="AW79" s="127"/>
      <c r="AY79" s="127"/>
      <c r="AZ79" s="127"/>
      <c r="CD79">
        <v>5040</v>
      </c>
      <c r="CE79">
        <v>576</v>
      </c>
      <c r="CF79">
        <v>144</v>
      </c>
      <c r="CG79">
        <v>0</v>
      </c>
      <c r="CH79">
        <v>0</v>
      </c>
      <c r="CI79">
        <v>0</v>
      </c>
      <c r="CJ79" s="165">
        <v>0</v>
      </c>
      <c r="CK79" s="76">
        <v>0</v>
      </c>
      <c r="CL79">
        <v>0</v>
      </c>
      <c r="CM79" s="85">
        <v>0</v>
      </c>
    </row>
    <row r="80" spans="1:91" x14ac:dyDescent="0.25">
      <c r="A80">
        <v>77</v>
      </c>
      <c r="B80" s="121">
        <v>38.5</v>
      </c>
      <c r="C80" s="20">
        <v>6.6903418035850607E-11</v>
      </c>
      <c r="D80" s="20">
        <v>5.2553565300324873E-6</v>
      </c>
      <c r="E80" s="20">
        <v>1.8109473133206277E-2</v>
      </c>
      <c r="F80" s="20">
        <v>0.16157335482193211</v>
      </c>
      <c r="G80" s="19"/>
      <c r="H80" s="19"/>
      <c r="I80" s="19"/>
      <c r="J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AP80" s="127"/>
      <c r="AQ80" s="127"/>
      <c r="AR80" s="127"/>
      <c r="AS80" s="127"/>
      <c r="AT80" s="127"/>
      <c r="AU80" s="127"/>
      <c r="AV80" s="127"/>
      <c r="AW80" s="127"/>
      <c r="AY80" s="127"/>
      <c r="AZ80" s="127"/>
      <c r="CD80">
        <v>5040</v>
      </c>
      <c r="CE80">
        <v>576</v>
      </c>
      <c r="CF80">
        <v>144</v>
      </c>
      <c r="CG80">
        <v>0</v>
      </c>
      <c r="CH80">
        <v>0</v>
      </c>
      <c r="CI80">
        <v>0</v>
      </c>
      <c r="CJ80" s="13">
        <v>0</v>
      </c>
      <c r="CK80">
        <v>0</v>
      </c>
      <c r="CL80">
        <v>0</v>
      </c>
      <c r="CM80" s="85">
        <v>0</v>
      </c>
    </row>
    <row r="81" spans="1:91" x14ac:dyDescent="0.25">
      <c r="A81">
        <v>78</v>
      </c>
      <c r="B81" s="121">
        <v>39</v>
      </c>
      <c r="C81" s="20">
        <v>5.0984906491278563E-11</v>
      </c>
      <c r="D81" s="20">
        <v>4.3121836883415221E-6</v>
      </c>
      <c r="E81" s="20">
        <v>1.4954079750479209E-2</v>
      </c>
      <c r="F81" s="20">
        <v>0.14325072040005818</v>
      </c>
      <c r="G81" s="19"/>
      <c r="H81" s="19"/>
      <c r="I81" s="19"/>
      <c r="J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AP81" s="127"/>
      <c r="AQ81" s="127"/>
      <c r="AR81" s="127"/>
      <c r="AS81" s="127"/>
      <c r="AT81" s="127"/>
      <c r="AU81" s="127"/>
      <c r="AV81" s="127"/>
      <c r="AW81" s="127"/>
      <c r="AY81" s="127"/>
      <c r="AZ81" s="127"/>
      <c r="CD81">
        <v>5040</v>
      </c>
      <c r="CE81">
        <v>576</v>
      </c>
      <c r="CF81">
        <v>144</v>
      </c>
      <c r="CG81">
        <v>0</v>
      </c>
      <c r="CH81">
        <v>0</v>
      </c>
      <c r="CI81">
        <v>0</v>
      </c>
      <c r="CJ81" s="160">
        <v>0</v>
      </c>
      <c r="CK81" s="156">
        <v>0</v>
      </c>
      <c r="CL81">
        <v>0</v>
      </c>
      <c r="CM81" s="85">
        <v>0</v>
      </c>
    </row>
    <row r="82" spans="1:91" x14ac:dyDescent="0.25">
      <c r="A82">
        <v>79</v>
      </c>
      <c r="B82" s="121">
        <v>39.5</v>
      </c>
      <c r="C82" s="20">
        <v>3.893670637883868E-11</v>
      </c>
      <c r="D82" s="20">
        <v>3.5427406154190065E-6</v>
      </c>
      <c r="E82" s="20">
        <v>1.2464082425495836E-2</v>
      </c>
      <c r="F82" s="20">
        <v>0.1269161208425911</v>
      </c>
      <c r="G82" s="19"/>
      <c r="H82" s="19"/>
      <c r="I82" s="19"/>
      <c r="J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  <c r="AP82" s="127"/>
      <c r="AQ82" s="127"/>
      <c r="AR82" s="127"/>
      <c r="AS82" s="127"/>
      <c r="AT82" s="127"/>
      <c r="AU82" s="127"/>
      <c r="AV82" s="127"/>
      <c r="AW82" s="127"/>
      <c r="AY82" s="127"/>
      <c r="AZ82" s="127"/>
      <c r="CD82">
        <v>5040</v>
      </c>
      <c r="CE82">
        <v>576</v>
      </c>
      <c r="CF82">
        <v>144</v>
      </c>
      <c r="CG82">
        <v>0</v>
      </c>
      <c r="CH82">
        <v>0</v>
      </c>
      <c r="CI82">
        <v>0</v>
      </c>
      <c r="CJ82" s="166">
        <v>0</v>
      </c>
      <c r="CK82" s="156">
        <v>0</v>
      </c>
      <c r="CL82" s="96">
        <v>0</v>
      </c>
      <c r="CM82" s="97">
        <v>0</v>
      </c>
    </row>
    <row r="83" spans="1:91" x14ac:dyDescent="0.25">
      <c r="A83">
        <v>80</v>
      </c>
      <c r="B83" s="121">
        <v>40</v>
      </c>
      <c r="C83" s="20">
        <v>2.9797858011377825E-11</v>
      </c>
      <c r="D83" s="20">
        <v>2.9142149047578055E-6</v>
      </c>
      <c r="E83" s="20">
        <v>1.0474310134137179E-2</v>
      </c>
      <c r="F83" s="20">
        <v>0.11236978618996554</v>
      </c>
      <c r="G83" s="19"/>
      <c r="H83" s="19"/>
      <c r="I83" s="19"/>
      <c r="J83" s="19"/>
      <c r="L83" s="19"/>
      <c r="M83" s="19"/>
      <c r="N83" s="19"/>
      <c r="O83" s="19"/>
      <c r="P83" s="19"/>
      <c r="Q83" s="19"/>
      <c r="R83" s="19"/>
      <c r="S83" s="19"/>
      <c r="T83" s="19"/>
      <c r="U83" s="19"/>
      <c r="V83" s="19"/>
      <c r="W83" s="19"/>
      <c r="X83" s="19"/>
      <c r="Y83" s="19"/>
      <c r="AP83" s="127"/>
      <c r="AQ83" s="127"/>
      <c r="AR83" s="127"/>
      <c r="AS83" s="127"/>
      <c r="AT83" s="127"/>
      <c r="AU83" s="127"/>
      <c r="AV83" s="127"/>
      <c r="AW83" s="127"/>
      <c r="AY83" s="127"/>
      <c r="AZ83" s="127"/>
      <c r="CD83">
        <v>5040</v>
      </c>
      <c r="CE83">
        <v>576</v>
      </c>
      <c r="CF83">
        <v>144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</row>
    <row r="84" spans="1:91" x14ac:dyDescent="0.25">
      <c r="A84">
        <v>81</v>
      </c>
      <c r="B84" s="121">
        <v>40.5</v>
      </c>
      <c r="C84" s="20">
        <v>2.2850911754793562E-11</v>
      </c>
      <c r="D84" s="20">
        <v>2.400142774709023E-6</v>
      </c>
      <c r="E84" s="20">
        <v>8.8643203318840898E-3</v>
      </c>
      <c r="F84" s="20">
        <v>9.9429202442825299E-2</v>
      </c>
      <c r="G84" s="19"/>
      <c r="H84" s="19"/>
      <c r="I84" s="19"/>
      <c r="J84" s="19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  <c r="AP84" s="127"/>
      <c r="AQ84" s="127"/>
      <c r="AR84" s="127"/>
      <c r="AS84" s="127"/>
      <c r="AT84" s="127"/>
      <c r="AU84" s="127"/>
      <c r="AV84" s="127"/>
      <c r="AW84" s="127"/>
      <c r="AY84" s="127"/>
      <c r="AZ84" s="127"/>
      <c r="CD84">
        <v>5040</v>
      </c>
      <c r="CE84">
        <v>576</v>
      </c>
      <c r="CF84">
        <v>144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</row>
    <row r="85" spans="1:91" x14ac:dyDescent="0.25">
      <c r="A85">
        <v>82</v>
      </c>
      <c r="B85" s="121">
        <v>41</v>
      </c>
      <c r="C85" s="20">
        <v>1.7558987918586076E-11</v>
      </c>
      <c r="D85" s="20">
        <v>1.9791518684027518E-6</v>
      </c>
      <c r="E85" s="20">
        <v>7.5461069456297658E-3</v>
      </c>
      <c r="F85" s="20">
        <v>8.7928134730749785E-2</v>
      </c>
      <c r="G85" s="19"/>
      <c r="H85" s="19"/>
      <c r="I85" s="19"/>
      <c r="J85" s="19"/>
      <c r="L85" s="19"/>
      <c r="M85" s="19"/>
      <c r="N85" s="19"/>
      <c r="O85" s="19"/>
      <c r="P85" s="19"/>
      <c r="Q85" s="19"/>
      <c r="R85" s="19"/>
      <c r="S85" s="19"/>
      <c r="T85" s="19"/>
      <c r="U85" s="19"/>
      <c r="V85" s="19"/>
      <c r="W85" s="19"/>
      <c r="X85" s="19"/>
      <c r="Y85" s="19"/>
      <c r="AP85" s="127"/>
      <c r="AQ85" s="127"/>
      <c r="AR85" s="127"/>
      <c r="AS85" s="127"/>
      <c r="AT85" s="127"/>
      <c r="AU85" s="127"/>
      <c r="AV85" s="127"/>
      <c r="AW85" s="127"/>
      <c r="AY85" s="127"/>
      <c r="AZ85" s="127"/>
      <c r="CD85">
        <v>5040</v>
      </c>
      <c r="CE85">
        <v>576</v>
      </c>
      <c r="CF85">
        <v>144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</row>
    <row r="86" spans="1:91" x14ac:dyDescent="0.25">
      <c r="A86">
        <v>83</v>
      </c>
      <c r="B86" s="121">
        <v>41.5</v>
      </c>
      <c r="C86" s="20">
        <v>1.3519420775686371E-11</v>
      </c>
      <c r="D86" s="20">
        <v>1.6339586340183969E-6</v>
      </c>
      <c r="E86" s="20">
        <v>6.4550537530684128E-3</v>
      </c>
      <c r="F86" s="20">
        <v>7.7715601659602548E-2</v>
      </c>
      <c r="G86" s="19"/>
      <c r="H86" s="19"/>
      <c r="I86" s="19"/>
      <c r="J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AP86" s="127"/>
      <c r="AQ86" s="127"/>
      <c r="AR86" s="127"/>
      <c r="AS86" s="127"/>
      <c r="AT86" s="127"/>
      <c r="AU86" s="127"/>
      <c r="AV86" s="127"/>
      <c r="AW86" s="127"/>
      <c r="AY86" s="127"/>
      <c r="AZ86" s="127"/>
      <c r="CD86">
        <v>5040</v>
      </c>
      <c r="CE86">
        <v>576</v>
      </c>
      <c r="CF86">
        <v>144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</row>
    <row r="87" spans="1:91" x14ac:dyDescent="0.25">
      <c r="A87">
        <v>84</v>
      </c>
      <c r="B87" s="121">
        <v>42</v>
      </c>
      <c r="C87" s="20">
        <v>1.0429534487160752E-11</v>
      </c>
      <c r="D87" s="20">
        <v>1.3505676158865248E-6</v>
      </c>
      <c r="E87" s="20">
        <v>5.5433542325018167E-3</v>
      </c>
      <c r="F87" s="20">
        <v>6.8654829580478277E-2</v>
      </c>
      <c r="G87" s="19"/>
      <c r="H87" s="19"/>
      <c r="I87" s="19"/>
      <c r="J87" s="19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  <c r="AP87" s="127"/>
      <c r="AQ87" s="127"/>
      <c r="AR87" s="127"/>
      <c r="AS87" s="127"/>
      <c r="AT87" s="127"/>
      <c r="AU87" s="127"/>
      <c r="AV87" s="127"/>
      <c r="AW87" s="127"/>
      <c r="AY87" s="127"/>
      <c r="AZ87" s="127"/>
      <c r="CD87">
        <v>5040</v>
      </c>
      <c r="CE87">
        <v>576</v>
      </c>
      <c r="CF87">
        <v>144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</row>
    <row r="88" spans="1:91" x14ac:dyDescent="0.25">
      <c r="A88">
        <v>85</v>
      </c>
      <c r="B88" s="121">
        <v>42.5</v>
      </c>
      <c r="C88" s="20">
        <v>8.0613158843452606E-12</v>
      </c>
      <c r="D88" s="20">
        <v>1.1176311101105123E-6</v>
      </c>
      <c r="E88" s="20">
        <v>4.7752720228031453E-3</v>
      </c>
      <c r="F88" s="20">
        <v>6.0622209401463983E-2</v>
      </c>
      <c r="G88" s="19"/>
      <c r="H88" s="19"/>
      <c r="I88" s="19"/>
      <c r="J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19"/>
      <c r="AP88" s="127"/>
      <c r="AQ88" s="127"/>
      <c r="AR88" s="127"/>
      <c r="AS88" s="127"/>
      <c r="AT88" s="127"/>
      <c r="AU88" s="127"/>
      <c r="AV88" s="127"/>
      <c r="AW88" s="127"/>
      <c r="AY88" s="127"/>
      <c r="AZ88" s="127"/>
      <c r="CD88">
        <v>5040</v>
      </c>
      <c r="CE88">
        <v>576</v>
      </c>
      <c r="CF88">
        <v>144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</row>
    <row r="89" spans="1:91" x14ac:dyDescent="0.25">
      <c r="A89">
        <v>86</v>
      </c>
      <c r="B89" s="121">
        <v>43</v>
      </c>
      <c r="C89" s="20">
        <v>6.2426275466839757E-12</v>
      </c>
      <c r="D89" s="20">
        <v>9.2593636574373028E-7</v>
      </c>
      <c r="E89" s="20">
        <v>4.1237536375567452E-3</v>
      </c>
      <c r="F89" s="20">
        <v>5.3506273378940372E-2</v>
      </c>
      <c r="G89" s="19"/>
      <c r="H89" s="19"/>
      <c r="I89" s="19"/>
      <c r="J89" s="19"/>
      <c r="L89" s="19"/>
      <c r="M89" s="19"/>
      <c r="N89" s="19"/>
      <c r="O89" s="19"/>
      <c r="P89" s="19"/>
      <c r="Q89" s="19"/>
      <c r="R89" s="19"/>
      <c r="S89" s="19"/>
      <c r="T89" s="19"/>
      <c r="U89" s="19"/>
      <c r="V89" s="19"/>
      <c r="W89" s="19"/>
      <c r="X89" s="19"/>
      <c r="Y89" s="19"/>
      <c r="AP89" s="127"/>
      <c r="AQ89" s="127"/>
      <c r="AR89" s="127"/>
      <c r="AS89" s="127"/>
      <c r="AT89" s="127"/>
      <c r="AU89" s="127"/>
      <c r="AV89" s="127"/>
      <c r="AW89" s="127"/>
      <c r="AY89" s="127"/>
      <c r="AZ89" s="127"/>
      <c r="CD89">
        <v>5040</v>
      </c>
      <c r="CE89">
        <v>576</v>
      </c>
      <c r="CF89">
        <v>144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</row>
    <row r="90" spans="1:91" x14ac:dyDescent="0.25">
      <c r="A90">
        <v>87</v>
      </c>
      <c r="B90" s="121">
        <v>43.5</v>
      </c>
      <c r="C90" s="20">
        <v>4.8432402855673834E-12</v>
      </c>
      <c r="D90" s="20">
        <v>7.6799436991757661E-7</v>
      </c>
      <c r="E90" s="20">
        <v>3.5680214199863662E-3</v>
      </c>
      <c r="F90" s="20">
        <v>4.7206704979035265E-2</v>
      </c>
      <c r="G90" s="19"/>
      <c r="H90" s="19"/>
      <c r="I90" s="19"/>
      <c r="J90" s="19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  <c r="W90" s="19"/>
      <c r="X90" s="19"/>
      <c r="Y90" s="19"/>
      <c r="AP90" s="127"/>
      <c r="AQ90" s="127"/>
      <c r="AR90" s="127"/>
      <c r="AS90" s="127"/>
      <c r="AT90" s="127"/>
      <c r="AU90" s="127"/>
      <c r="AV90" s="127"/>
      <c r="AW90" s="127"/>
      <c r="AY90" s="127"/>
      <c r="AZ90" s="127"/>
      <c r="CD90">
        <v>5040</v>
      </c>
      <c r="CE90">
        <v>576</v>
      </c>
      <c r="CF90">
        <v>144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</row>
    <row r="91" spans="1:91" x14ac:dyDescent="0.25">
      <c r="A91">
        <v>88</v>
      </c>
      <c r="B91" s="121">
        <v>44</v>
      </c>
      <c r="C91" s="20">
        <v>3.7644252815713704E-12</v>
      </c>
      <c r="D91" s="20">
        <v>6.37709651035417E-7</v>
      </c>
      <c r="E91" s="20">
        <v>3.0918690114667695E-3</v>
      </c>
      <c r="F91" s="20">
        <v>4.1633391294259157E-2</v>
      </c>
      <c r="G91" s="19"/>
      <c r="H91" s="19"/>
      <c r="I91" s="19"/>
      <c r="J91" s="19"/>
      <c r="L91" s="19"/>
      <c r="M91" s="19"/>
      <c r="N91" s="19"/>
      <c r="O91" s="19"/>
      <c r="P91" s="19"/>
      <c r="Q91" s="19"/>
      <c r="R91" s="19"/>
      <c r="S91" s="19"/>
      <c r="T91" s="19"/>
      <c r="U91" s="19"/>
      <c r="V91" s="19"/>
      <c r="W91" s="19"/>
      <c r="X91" s="19"/>
      <c r="Y91" s="19"/>
      <c r="AP91" s="127"/>
      <c r="AQ91" s="127"/>
      <c r="AR91" s="127"/>
      <c r="AS91" s="127"/>
      <c r="AT91" s="127"/>
      <c r="AU91" s="127"/>
      <c r="AV91" s="127"/>
      <c r="AW91" s="127"/>
      <c r="AY91" s="127"/>
      <c r="AZ91" s="127"/>
      <c r="CD91">
        <v>5040</v>
      </c>
      <c r="CE91">
        <v>576</v>
      </c>
      <c r="CF91">
        <v>144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</row>
    <row r="92" spans="1:91" x14ac:dyDescent="0.25">
      <c r="A92">
        <v>89</v>
      </c>
      <c r="B92" s="121">
        <v>44.5</v>
      </c>
      <c r="C92" s="20">
        <v>2.9311814794537881E-12</v>
      </c>
      <c r="D92" s="20">
        <v>5.3011478577859964E-7</v>
      </c>
      <c r="E92" s="20">
        <v>2.6824555308151213E-3</v>
      </c>
      <c r="F92" s="20">
        <v>3.6705524541774573E-2</v>
      </c>
      <c r="G92" s="19"/>
      <c r="H92" s="19"/>
      <c r="I92" s="19"/>
      <c r="J92" s="19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19"/>
      <c r="Y92" s="19"/>
      <c r="AP92" s="127"/>
      <c r="AQ92" s="127"/>
      <c r="AR92" s="127"/>
      <c r="AS92" s="127"/>
      <c r="AT92" s="127"/>
      <c r="AU92" s="127"/>
      <c r="AV92" s="127"/>
      <c r="AW92" s="127"/>
      <c r="AY92" s="127"/>
      <c r="AZ92" s="127"/>
      <c r="CD92">
        <v>5040</v>
      </c>
      <c r="CE92">
        <v>576</v>
      </c>
      <c r="CF92">
        <v>144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</row>
    <row r="93" spans="1:91" x14ac:dyDescent="0.25">
      <c r="A93">
        <v>90</v>
      </c>
      <c r="B93" s="121">
        <v>45</v>
      </c>
      <c r="C93" s="20">
        <v>2.2864183272947833E-12</v>
      </c>
      <c r="D93" s="20">
        <v>4.4115665050177505E-7</v>
      </c>
      <c r="E93" s="20">
        <v>2.3294511022795214E-3</v>
      </c>
      <c r="F93" s="20">
        <v>3.2350756770644619E-2</v>
      </c>
      <c r="G93" s="19"/>
      <c r="H93" s="19"/>
      <c r="I93" s="19"/>
      <c r="J93" s="19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19"/>
      <c r="AP93" s="127"/>
      <c r="AQ93" s="127"/>
      <c r="AR93" s="127"/>
      <c r="AS93" s="127"/>
      <c r="AT93" s="127"/>
      <c r="AU93" s="127"/>
      <c r="AV93" s="127"/>
      <c r="AW93" s="127"/>
      <c r="AY93" s="127"/>
      <c r="AZ93" s="127"/>
      <c r="CD93">
        <v>5040</v>
      </c>
      <c r="CE93">
        <v>576</v>
      </c>
      <c r="CF93">
        <v>144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</row>
    <row r="94" spans="1:91" x14ac:dyDescent="0.25">
      <c r="A94">
        <v>91</v>
      </c>
      <c r="B94" s="121">
        <v>45.5</v>
      </c>
      <c r="C94" s="20">
        <v>1.7865926078701759E-12</v>
      </c>
      <c r="D94" s="20">
        <v>3.6752410847453483E-7</v>
      </c>
      <c r="E94" s="20">
        <v>2.0244285252440639E-3</v>
      </c>
      <c r="F94" s="20">
        <v>2.8504409985487238E-2</v>
      </c>
      <c r="G94" s="19"/>
      <c r="H94" s="19"/>
      <c r="I94" s="19"/>
      <c r="J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  <c r="AP94" s="127"/>
      <c r="AQ94" s="127"/>
      <c r="AR94" s="127"/>
      <c r="AS94" s="127"/>
      <c r="AT94" s="127"/>
      <c r="AU94" s="127"/>
      <c r="AV94" s="127"/>
      <c r="AW94" s="127"/>
      <c r="AY94" s="127"/>
      <c r="AZ94" s="127"/>
      <c r="CD94">
        <v>5040</v>
      </c>
      <c r="CE94">
        <v>576</v>
      </c>
      <c r="CF94">
        <v>144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</row>
    <row r="95" spans="1:91" x14ac:dyDescent="0.25">
      <c r="A95">
        <v>92</v>
      </c>
      <c r="B95" s="121">
        <v>46</v>
      </c>
      <c r="C95" s="20">
        <v>1.398428981486493E-12</v>
      </c>
      <c r="D95" s="20">
        <v>3.0650892195881193E-7</v>
      </c>
      <c r="E95" s="20">
        <v>1.7604267843418376E-3</v>
      </c>
      <c r="F95" s="20">
        <v>2.5108742380702851E-2</v>
      </c>
      <c r="G95" s="19"/>
      <c r="H95" s="19"/>
      <c r="I95" s="19"/>
      <c r="J95" s="19"/>
      <c r="L95" s="19"/>
      <c r="M95" s="19"/>
      <c r="N95" s="19"/>
      <c r="O95" s="19"/>
      <c r="P95" s="19"/>
      <c r="Q95" s="19"/>
      <c r="R95" s="19"/>
      <c r="S95" s="19"/>
      <c r="T95" s="19"/>
      <c r="U95" s="19"/>
      <c r="V95" s="19"/>
      <c r="W95" s="19"/>
      <c r="X95" s="19"/>
      <c r="Y95" s="19"/>
      <c r="AP95" s="127"/>
      <c r="AQ95" s="127"/>
      <c r="AR95" s="127"/>
      <c r="AS95" s="127"/>
      <c r="AT95" s="127"/>
      <c r="AU95" s="127"/>
      <c r="AV95" s="127"/>
      <c r="AW95" s="127"/>
      <c r="AY95" s="127"/>
      <c r="AZ95" s="127"/>
      <c r="CD95">
        <v>5040</v>
      </c>
      <c r="CE95">
        <v>576</v>
      </c>
      <c r="CF95">
        <v>144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</row>
    <row r="96" spans="1:91" x14ac:dyDescent="0.25">
      <c r="A96">
        <v>93</v>
      </c>
      <c r="B96" s="121">
        <v>46.5</v>
      </c>
      <c r="C96" s="20">
        <v>1.0964499471370086E-12</v>
      </c>
      <c r="D96" s="20">
        <v>2.5589334007523753E-7</v>
      </c>
      <c r="E96" s="20">
        <v>1.5316343990380847E-3</v>
      </c>
      <c r="F96" s="20">
        <v>2.2112270208144314E-2</v>
      </c>
      <c r="G96" s="19"/>
      <c r="H96" s="19"/>
      <c r="I96" s="19"/>
      <c r="J96" s="19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  <c r="AP96" s="127"/>
      <c r="AQ96" s="127"/>
      <c r="AR96" s="127"/>
      <c r="AS96" s="127"/>
      <c r="AT96" s="127"/>
      <c r="AU96" s="127"/>
      <c r="AV96" s="127"/>
      <c r="AW96" s="127"/>
      <c r="AY96" s="127"/>
      <c r="AZ96" s="127"/>
      <c r="CD96">
        <v>5040</v>
      </c>
      <c r="CE96">
        <v>576</v>
      </c>
      <c r="CF96">
        <v>144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</row>
    <row r="97" spans="1:91" x14ac:dyDescent="0.25">
      <c r="A97">
        <v>94</v>
      </c>
      <c r="B97" s="121">
        <v>47</v>
      </c>
      <c r="C97" s="20">
        <v>8.6111163969626034E-13</v>
      </c>
      <c r="D97" s="20">
        <v>2.1385913204398723E-7</v>
      </c>
      <c r="E97" s="20">
        <v>1.3331564833103404E-3</v>
      </c>
      <c r="F97" s="20">
        <v>1.9469143914789832E-2</v>
      </c>
      <c r="G97" s="19"/>
      <c r="H97" s="19"/>
      <c r="I97" s="19"/>
      <c r="J97" s="19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  <c r="W97" s="19"/>
      <c r="X97" s="19"/>
      <c r="Y97" s="19"/>
      <c r="AP97" s="127"/>
      <c r="AQ97" s="127"/>
      <c r="AR97" s="127"/>
      <c r="AS97" s="127"/>
      <c r="AT97" s="127"/>
      <c r="AU97" s="127"/>
      <c r="AV97" s="127"/>
      <c r="AW97" s="127"/>
      <c r="AY97" s="127"/>
      <c r="AZ97" s="127"/>
      <c r="CD97">
        <v>5040</v>
      </c>
      <c r="CE97">
        <v>576</v>
      </c>
      <c r="CF97">
        <v>144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</row>
    <row r="98" spans="1:91" x14ac:dyDescent="0.25">
      <c r="A98">
        <v>95</v>
      </c>
      <c r="B98" s="121">
        <v>47.5</v>
      </c>
      <c r="C98" s="20">
        <v>6.7739403441086221E-13</v>
      </c>
      <c r="D98" s="20">
        <v>1.7891388301968135E-7</v>
      </c>
      <c r="E98" s="20">
        <v>1.1608405489557374E-3</v>
      </c>
      <c r="F98" s="20">
        <v>1.7138576535906606E-2</v>
      </c>
      <c r="G98" s="19"/>
      <c r="H98" s="19"/>
      <c r="I98" s="19"/>
      <c r="J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AP98" s="127"/>
      <c r="AQ98" s="127"/>
      <c r="AR98" s="127"/>
      <c r="AS98" s="127"/>
      <c r="AT98" s="127"/>
      <c r="AU98" s="127"/>
      <c r="AV98" s="127"/>
      <c r="AW98" s="127"/>
      <c r="AY98" s="127"/>
      <c r="AZ98" s="127"/>
      <c r="CD98">
        <v>5040</v>
      </c>
      <c r="CE98">
        <v>576</v>
      </c>
      <c r="CF98">
        <v>144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</row>
    <row r="99" spans="1:91" x14ac:dyDescent="0.25">
      <c r="A99">
        <v>96</v>
      </c>
      <c r="B99" s="121">
        <v>48</v>
      </c>
      <c r="C99" s="20">
        <v>5.3373268178504371E-13</v>
      </c>
      <c r="D99" s="20">
        <v>1.4983120317972981E-7</v>
      </c>
      <c r="E99" s="20">
        <v>1.0111438578970563E-3</v>
      </c>
      <c r="F99" s="20">
        <v>1.5084321870406701E-2</v>
      </c>
      <c r="G99" s="19"/>
      <c r="H99" s="19"/>
      <c r="I99" s="19"/>
      <c r="J99" s="19"/>
      <c r="L99" s="19"/>
      <c r="M99" s="19"/>
      <c r="N99" s="19"/>
      <c r="O99" s="19"/>
      <c r="P99" s="19"/>
      <c r="Q99" s="19"/>
      <c r="R99" s="19"/>
      <c r="S99" s="19"/>
      <c r="T99" s="19"/>
      <c r="U99" s="19"/>
      <c r="V99" s="19"/>
      <c r="W99" s="19"/>
      <c r="X99" s="19"/>
      <c r="Y99" s="19"/>
      <c r="AP99" s="127"/>
      <c r="AQ99" s="127"/>
      <c r="AR99" s="127"/>
      <c r="AS99" s="127"/>
      <c r="AT99" s="127"/>
      <c r="AU99" s="127"/>
      <c r="AV99" s="127"/>
      <c r="AW99" s="127"/>
      <c r="AY99" s="127"/>
      <c r="AZ99" s="127"/>
      <c r="CD99">
        <v>5040</v>
      </c>
      <c r="CE99">
        <v>576</v>
      </c>
      <c r="CF99">
        <v>144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</row>
    <row r="100" spans="1:91" x14ac:dyDescent="0.25">
      <c r="A100">
        <v>97</v>
      </c>
      <c r="B100" s="121">
        <v>48.5</v>
      </c>
      <c r="C100" s="20">
        <v>4.2120765574335262E-13</v>
      </c>
      <c r="D100" s="20">
        <v>1.25602164640151E-7</v>
      </c>
      <c r="E100" s="20">
        <v>8.8103049382746773E-4</v>
      </c>
      <c r="F100" s="20">
        <v>1.3274199661789476E-2</v>
      </c>
      <c r="G100" s="19"/>
      <c r="H100" s="19"/>
      <c r="I100" s="19"/>
      <c r="J100" s="19"/>
      <c r="L100" s="19"/>
      <c r="M100" s="19"/>
      <c r="N100" s="19"/>
      <c r="O100" s="19"/>
      <c r="P100" s="19"/>
      <c r="Q100" s="19"/>
      <c r="R100" s="19"/>
      <c r="S100" s="19"/>
      <c r="T100" s="19"/>
      <c r="U100" s="19"/>
      <c r="V100" s="19"/>
      <c r="W100" s="19"/>
      <c r="X100" s="19"/>
      <c r="Y100" s="19"/>
      <c r="AP100" s="127"/>
      <c r="AQ100" s="127"/>
      <c r="AR100" s="127"/>
      <c r="AS100" s="127"/>
      <c r="AT100" s="127"/>
      <c r="AU100" s="127"/>
      <c r="AV100" s="127"/>
      <c r="AW100" s="127"/>
      <c r="AY100" s="127"/>
      <c r="AZ100" s="127"/>
      <c r="CD100">
        <v>5040</v>
      </c>
      <c r="CE100">
        <v>576</v>
      </c>
      <c r="CF100">
        <v>144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</row>
    <row r="101" spans="1:91" x14ac:dyDescent="0.25">
      <c r="A101">
        <v>98</v>
      </c>
      <c r="B101" s="121">
        <v>49</v>
      </c>
      <c r="C101" s="20">
        <v>3.3292660100570509E-13</v>
      </c>
      <c r="D101" s="20">
        <v>1.0539581033623035E-7</v>
      </c>
      <c r="E101" s="20">
        <v>7.67890001612799E-4</v>
      </c>
      <c r="F101" s="20">
        <v>1.167966482897391E-2</v>
      </c>
      <c r="G101" s="19"/>
      <c r="H101" s="19"/>
      <c r="I101" s="19"/>
      <c r="J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AP101" s="127"/>
      <c r="AQ101" s="127"/>
      <c r="AR101" s="127"/>
      <c r="AS101" s="127"/>
      <c r="AT101" s="127"/>
      <c r="AU101" s="127"/>
      <c r="AV101" s="127"/>
      <c r="AW101" s="127"/>
      <c r="AY101" s="127"/>
      <c r="AZ101" s="127"/>
      <c r="CD101">
        <v>5040</v>
      </c>
      <c r="CE101">
        <v>576</v>
      </c>
      <c r="CF101">
        <v>144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</row>
    <row r="102" spans="1:91" x14ac:dyDescent="0.25">
      <c r="A102">
        <v>99</v>
      </c>
      <c r="B102" s="121">
        <v>49.5</v>
      </c>
      <c r="C102" s="20">
        <v>2.6355454031103348E-13</v>
      </c>
      <c r="D102" s="20">
        <v>8.8527001952902417E-8</v>
      </c>
      <c r="E102" s="20">
        <v>6.6947195154864125E-4</v>
      </c>
      <c r="F102" s="20">
        <v>1.027541771012697E-2</v>
      </c>
      <c r="G102" s="19"/>
      <c r="H102" s="19"/>
      <c r="I102" s="19"/>
      <c r="J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AP102" s="127"/>
      <c r="AQ102" s="127"/>
      <c r="AR102" s="127"/>
      <c r="AS102" s="127"/>
      <c r="AT102" s="127"/>
      <c r="AU102" s="127"/>
      <c r="AV102" s="127"/>
      <c r="AW102" s="127"/>
      <c r="AY102" s="127"/>
      <c r="AZ102" s="127"/>
      <c r="CD102">
        <v>5040</v>
      </c>
      <c r="CE102">
        <v>576</v>
      </c>
      <c r="CF102">
        <v>144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</row>
    <row r="103" spans="1:91" x14ac:dyDescent="0.25">
      <c r="A103">
        <v>100</v>
      </c>
      <c r="B103" s="121">
        <v>50</v>
      </c>
      <c r="C103" s="20">
        <v>2.0895486271267467E-13</v>
      </c>
      <c r="D103" s="20">
        <v>7.4430212219406415E-8</v>
      </c>
      <c r="E103" s="20">
        <v>5.8383249118446317E-4</v>
      </c>
      <c r="F103" s="20">
        <v>9.039052277273885E-3</v>
      </c>
      <c r="G103" s="19"/>
      <c r="H103" s="19"/>
      <c r="I103" s="19"/>
      <c r="J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AP103" s="127"/>
      <c r="AQ103" s="127"/>
      <c r="AR103" s="127"/>
      <c r="AS103" s="127"/>
      <c r="AT103" s="127"/>
      <c r="AU103" s="127"/>
      <c r="AV103" s="127"/>
      <c r="AW103" s="127"/>
      <c r="AY103" s="127"/>
      <c r="AZ103" s="127"/>
      <c r="CD103">
        <v>5040</v>
      </c>
      <c r="CE103">
        <v>576</v>
      </c>
      <c r="CF103">
        <v>144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</row>
    <row r="104" spans="1:91" x14ac:dyDescent="0.25">
      <c r="B104" s="121"/>
      <c r="C104" s="121"/>
      <c r="D104" s="121"/>
      <c r="E104" s="121"/>
      <c r="F104" s="121"/>
      <c r="CD104">
        <v>5040</v>
      </c>
      <c r="CE104">
        <v>576</v>
      </c>
      <c r="CF104">
        <v>144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</row>
    <row r="105" spans="1:91" x14ac:dyDescent="0.25">
      <c r="B105" s="121"/>
      <c r="C105" s="121"/>
      <c r="D105" s="121"/>
      <c r="E105" s="121"/>
      <c r="F105" s="121"/>
      <c r="CD105">
        <v>5040</v>
      </c>
      <c r="CE105">
        <v>576</v>
      </c>
      <c r="CF105">
        <v>144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</row>
    <row r="106" spans="1:91" x14ac:dyDescent="0.25">
      <c r="B106" s="121"/>
      <c r="C106" s="121"/>
      <c r="D106" s="121"/>
      <c r="E106" s="121"/>
      <c r="F106" s="121"/>
      <c r="CD106">
        <v>5040</v>
      </c>
      <c r="CE106">
        <v>576</v>
      </c>
      <c r="CF106">
        <v>144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</row>
    <row r="107" spans="1:91" x14ac:dyDescent="0.25">
      <c r="B107" s="121"/>
      <c r="C107" s="121"/>
      <c r="D107" s="121"/>
      <c r="E107" s="121"/>
      <c r="F107" s="121"/>
      <c r="CD107">
        <v>5040</v>
      </c>
      <c r="CE107">
        <v>576</v>
      </c>
      <c r="CF107">
        <v>144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</row>
    <row r="108" spans="1:91" x14ac:dyDescent="0.25">
      <c r="B108" s="121"/>
      <c r="C108" s="121"/>
      <c r="D108" s="121"/>
      <c r="E108" s="121"/>
      <c r="F108" s="121"/>
      <c r="CD108">
        <v>5040</v>
      </c>
      <c r="CE108">
        <v>576</v>
      </c>
      <c r="CF108">
        <v>144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</row>
    <row r="109" spans="1:91" x14ac:dyDescent="0.25">
      <c r="CD109">
        <v>5040</v>
      </c>
      <c r="CE109">
        <v>576</v>
      </c>
      <c r="CF109">
        <v>144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</row>
    <row r="110" spans="1:91" x14ac:dyDescent="0.25">
      <c r="CD110">
        <v>5040</v>
      </c>
      <c r="CE110">
        <v>576</v>
      </c>
      <c r="CF110">
        <v>144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</row>
    <row r="111" spans="1:91" x14ac:dyDescent="0.25">
      <c r="CD111">
        <v>5040</v>
      </c>
      <c r="CE111">
        <v>576</v>
      </c>
      <c r="CF111">
        <v>144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</row>
    <row r="112" spans="1:91" x14ac:dyDescent="0.25">
      <c r="CD112">
        <v>5040</v>
      </c>
      <c r="CE112">
        <v>576</v>
      </c>
      <c r="CF112">
        <v>144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</row>
    <row r="113" spans="82:91" x14ac:dyDescent="0.25">
      <c r="CD113">
        <v>5040</v>
      </c>
      <c r="CE113">
        <v>576</v>
      </c>
      <c r="CF113">
        <v>144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</row>
    <row r="114" spans="82:91" x14ac:dyDescent="0.25">
      <c r="CD114">
        <v>5040</v>
      </c>
      <c r="CE114">
        <v>576</v>
      </c>
      <c r="CF114">
        <v>144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</row>
    <row r="115" spans="82:91" x14ac:dyDescent="0.25">
      <c r="CD115">
        <v>5040</v>
      </c>
      <c r="CE115">
        <v>576</v>
      </c>
      <c r="CF115">
        <v>144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</row>
    <row r="116" spans="82:91" x14ac:dyDescent="0.25">
      <c r="CD116">
        <v>5040</v>
      </c>
      <c r="CE116">
        <v>576</v>
      </c>
      <c r="CF116">
        <v>144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</row>
    <row r="117" spans="82:91" x14ac:dyDescent="0.25">
      <c r="CD117">
        <v>5040</v>
      </c>
      <c r="CE117">
        <v>576</v>
      </c>
      <c r="CF117">
        <v>144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</row>
    <row r="118" spans="82:91" x14ac:dyDescent="0.25">
      <c r="CD118">
        <v>5040</v>
      </c>
      <c r="CE118">
        <v>576</v>
      </c>
      <c r="CF118">
        <v>144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</row>
    <row r="119" spans="82:91" x14ac:dyDescent="0.25">
      <c r="CD119">
        <v>5040</v>
      </c>
      <c r="CE119">
        <v>576</v>
      </c>
      <c r="CF119">
        <v>144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</row>
    <row r="120" spans="82:91" x14ac:dyDescent="0.25">
      <c r="CD120">
        <v>5040</v>
      </c>
      <c r="CE120">
        <v>576</v>
      </c>
      <c r="CF120">
        <v>144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</row>
    <row r="121" spans="82:91" x14ac:dyDescent="0.25">
      <c r="CD121">
        <v>5040</v>
      </c>
      <c r="CE121">
        <v>576</v>
      </c>
      <c r="CF121">
        <v>144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</row>
    <row r="122" spans="82:91" x14ac:dyDescent="0.25">
      <c r="CD122">
        <v>5040</v>
      </c>
      <c r="CE122">
        <v>576</v>
      </c>
      <c r="CF122">
        <v>144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</row>
    <row r="123" spans="82:91" x14ac:dyDescent="0.25">
      <c r="CD123">
        <v>5040</v>
      </c>
      <c r="CE123">
        <v>576</v>
      </c>
      <c r="CF123">
        <v>144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</row>
    <row r="124" spans="82:91" x14ac:dyDescent="0.25">
      <c r="CD124">
        <v>5040</v>
      </c>
      <c r="CE124">
        <v>576</v>
      </c>
      <c r="CF124">
        <v>144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</row>
    <row r="125" spans="82:91" x14ac:dyDescent="0.25">
      <c r="CD125">
        <v>5040</v>
      </c>
      <c r="CE125">
        <v>576</v>
      </c>
      <c r="CF125">
        <v>144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</row>
    <row r="126" spans="82:91" x14ac:dyDescent="0.25">
      <c r="CD126">
        <v>5040</v>
      </c>
      <c r="CE126">
        <v>576</v>
      </c>
      <c r="CF126">
        <v>144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</row>
    <row r="127" spans="82:91" x14ac:dyDescent="0.25">
      <c r="CD127">
        <v>5040</v>
      </c>
      <c r="CE127">
        <v>576</v>
      </c>
      <c r="CF127">
        <v>144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</row>
    <row r="128" spans="82:91" x14ac:dyDescent="0.25">
      <c r="CD128">
        <v>5040</v>
      </c>
      <c r="CE128">
        <v>576</v>
      </c>
      <c r="CF128">
        <v>144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</row>
    <row r="129" spans="82:91" x14ac:dyDescent="0.25">
      <c r="CD129">
        <v>5040</v>
      </c>
      <c r="CE129">
        <v>576</v>
      </c>
      <c r="CF129">
        <v>144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</row>
    <row r="130" spans="82:91" x14ac:dyDescent="0.25">
      <c r="CD130">
        <v>5040</v>
      </c>
      <c r="CE130">
        <v>576</v>
      </c>
      <c r="CF130">
        <v>144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</row>
    <row r="131" spans="82:91" x14ac:dyDescent="0.25">
      <c r="CD131">
        <v>5040</v>
      </c>
      <c r="CE131">
        <v>576</v>
      </c>
      <c r="CF131">
        <v>144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</row>
    <row r="132" spans="82:91" x14ac:dyDescent="0.25">
      <c r="CD132">
        <v>5040</v>
      </c>
      <c r="CE132">
        <v>576</v>
      </c>
      <c r="CF132">
        <v>96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</row>
    <row r="133" spans="82:91" x14ac:dyDescent="0.25">
      <c r="CD133">
        <v>5040</v>
      </c>
      <c r="CE133">
        <v>576</v>
      </c>
      <c r="CF133">
        <v>96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</row>
    <row r="134" spans="82:91" x14ac:dyDescent="0.25">
      <c r="CD134">
        <v>5040</v>
      </c>
      <c r="CE134">
        <v>576</v>
      </c>
      <c r="CF134">
        <v>96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</row>
    <row r="135" spans="82:91" x14ac:dyDescent="0.25">
      <c r="CD135">
        <v>5040</v>
      </c>
      <c r="CE135">
        <v>576</v>
      </c>
      <c r="CF135">
        <v>96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</row>
    <row r="136" spans="82:91" x14ac:dyDescent="0.25">
      <c r="CD136">
        <v>5040</v>
      </c>
      <c r="CE136">
        <v>576</v>
      </c>
      <c r="CF136">
        <v>96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</row>
    <row r="137" spans="82:91" x14ac:dyDescent="0.25">
      <c r="CD137">
        <v>5040</v>
      </c>
      <c r="CE137">
        <v>576</v>
      </c>
      <c r="CF137">
        <v>96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</row>
    <row r="138" spans="82:91" x14ac:dyDescent="0.25">
      <c r="CD138">
        <v>5040</v>
      </c>
      <c r="CE138">
        <v>576</v>
      </c>
      <c r="CF138">
        <v>96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</row>
    <row r="139" spans="82:91" x14ac:dyDescent="0.25">
      <c r="CD139">
        <v>5040</v>
      </c>
      <c r="CE139">
        <v>576</v>
      </c>
      <c r="CF139">
        <v>96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</row>
    <row r="140" spans="82:91" x14ac:dyDescent="0.25">
      <c r="CD140">
        <v>5040</v>
      </c>
      <c r="CE140">
        <v>576</v>
      </c>
      <c r="CF140">
        <v>96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</row>
    <row r="141" spans="82:91" x14ac:dyDescent="0.25">
      <c r="CD141">
        <v>5040</v>
      </c>
      <c r="CE141">
        <v>576</v>
      </c>
      <c r="CF141">
        <v>96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</row>
    <row r="142" spans="82:91" x14ac:dyDescent="0.25">
      <c r="CD142">
        <v>5040</v>
      </c>
      <c r="CE142">
        <v>576</v>
      </c>
      <c r="CF142">
        <v>96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</row>
    <row r="143" spans="82:91" x14ac:dyDescent="0.25">
      <c r="CD143">
        <v>5040</v>
      </c>
      <c r="CE143">
        <v>576</v>
      </c>
      <c r="CF143">
        <v>96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</row>
    <row r="144" spans="82:91" x14ac:dyDescent="0.25">
      <c r="CD144">
        <v>5040</v>
      </c>
      <c r="CE144">
        <v>576</v>
      </c>
      <c r="CF144">
        <v>96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</row>
    <row r="145" spans="82:91" x14ac:dyDescent="0.25">
      <c r="CD145">
        <v>5040</v>
      </c>
      <c r="CE145">
        <v>576</v>
      </c>
      <c r="CF145">
        <v>96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</row>
    <row r="146" spans="82:91" x14ac:dyDescent="0.25">
      <c r="CD146">
        <v>5040</v>
      </c>
      <c r="CE146">
        <v>576</v>
      </c>
      <c r="CF146">
        <v>96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</row>
    <row r="147" spans="82:91" x14ac:dyDescent="0.25">
      <c r="CD147">
        <v>5040</v>
      </c>
      <c r="CE147">
        <v>576</v>
      </c>
      <c r="CF147">
        <v>96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</row>
    <row r="148" spans="82:91" x14ac:dyDescent="0.25">
      <c r="CD148">
        <v>5040</v>
      </c>
      <c r="CE148">
        <v>576</v>
      </c>
      <c r="CF148">
        <v>96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</row>
    <row r="149" spans="82:91" x14ac:dyDescent="0.25">
      <c r="CD149">
        <v>5040</v>
      </c>
      <c r="CE149">
        <v>576</v>
      </c>
      <c r="CF149">
        <v>96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</row>
    <row r="150" spans="82:91" x14ac:dyDescent="0.25">
      <c r="CD150">
        <v>5040</v>
      </c>
      <c r="CE150">
        <v>576</v>
      </c>
      <c r="CF150">
        <v>96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</row>
    <row r="151" spans="82:91" x14ac:dyDescent="0.25">
      <c r="CD151">
        <v>5040</v>
      </c>
      <c r="CE151">
        <v>576</v>
      </c>
      <c r="CF151">
        <v>96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</row>
    <row r="152" spans="82:91" x14ac:dyDescent="0.25">
      <c r="CD152">
        <v>5040</v>
      </c>
      <c r="CE152">
        <v>576</v>
      </c>
      <c r="CF152">
        <v>96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</row>
    <row r="153" spans="82:91" x14ac:dyDescent="0.25">
      <c r="CD153">
        <v>5040</v>
      </c>
      <c r="CE153">
        <v>576</v>
      </c>
      <c r="CF153">
        <v>96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</row>
    <row r="154" spans="82:91" x14ac:dyDescent="0.25">
      <c r="CD154">
        <v>5040</v>
      </c>
      <c r="CE154">
        <v>576</v>
      </c>
      <c r="CF154">
        <v>96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</row>
    <row r="155" spans="82:91" x14ac:dyDescent="0.25">
      <c r="CD155">
        <v>5040</v>
      </c>
      <c r="CE155">
        <v>576</v>
      </c>
      <c r="CF155">
        <v>96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</row>
    <row r="156" spans="82:91" x14ac:dyDescent="0.25">
      <c r="CD156">
        <v>5040</v>
      </c>
      <c r="CE156">
        <v>576</v>
      </c>
      <c r="CF156">
        <v>96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</row>
    <row r="157" spans="82:91" x14ac:dyDescent="0.25">
      <c r="CD157">
        <v>5040</v>
      </c>
      <c r="CE157">
        <v>576</v>
      </c>
      <c r="CF157">
        <v>96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</row>
    <row r="158" spans="82:91" x14ac:dyDescent="0.25">
      <c r="CD158">
        <v>5040</v>
      </c>
      <c r="CE158">
        <v>576</v>
      </c>
      <c r="CF158">
        <v>96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</row>
    <row r="159" spans="82:91" x14ac:dyDescent="0.25">
      <c r="CD159">
        <v>5040</v>
      </c>
      <c r="CE159">
        <v>576</v>
      </c>
      <c r="CF159">
        <v>96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</row>
    <row r="160" spans="82:91" x14ac:dyDescent="0.25">
      <c r="CD160">
        <v>5040</v>
      </c>
      <c r="CE160">
        <v>576</v>
      </c>
      <c r="CF160">
        <v>96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</row>
    <row r="161" spans="82:91" x14ac:dyDescent="0.25">
      <c r="CD161">
        <v>5040</v>
      </c>
      <c r="CE161">
        <v>576</v>
      </c>
      <c r="CF161">
        <v>96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</row>
    <row r="162" spans="82:91" x14ac:dyDescent="0.25">
      <c r="CD162">
        <v>5040</v>
      </c>
      <c r="CE162">
        <v>576</v>
      </c>
      <c r="CF162">
        <v>96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</row>
    <row r="163" spans="82:91" x14ac:dyDescent="0.25">
      <c r="CD163">
        <v>5040</v>
      </c>
      <c r="CE163">
        <v>576</v>
      </c>
      <c r="CF163">
        <v>96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</row>
    <row r="164" spans="82:91" x14ac:dyDescent="0.25">
      <c r="CD164">
        <v>5040</v>
      </c>
      <c r="CE164">
        <v>576</v>
      </c>
      <c r="CF164">
        <v>96</v>
      </c>
      <c r="CG164">
        <v>0</v>
      </c>
      <c r="CH164">
        <v>0</v>
      </c>
      <c r="CI164">
        <v>0</v>
      </c>
      <c r="CJ164">
        <v>0</v>
      </c>
      <c r="CK164">
        <v>0</v>
      </c>
      <c r="CL164">
        <v>0</v>
      </c>
      <c r="CM164">
        <v>0</v>
      </c>
    </row>
    <row r="165" spans="82:91" x14ac:dyDescent="0.25">
      <c r="CD165">
        <v>5040</v>
      </c>
      <c r="CE165">
        <v>576</v>
      </c>
      <c r="CF165">
        <v>96</v>
      </c>
      <c r="CG165">
        <v>0</v>
      </c>
      <c r="CH165">
        <v>0</v>
      </c>
      <c r="CI165">
        <v>0</v>
      </c>
      <c r="CJ165">
        <v>0</v>
      </c>
      <c r="CK165">
        <v>0</v>
      </c>
      <c r="CL165">
        <v>0</v>
      </c>
      <c r="CM165">
        <v>0</v>
      </c>
    </row>
    <row r="166" spans="82:91" x14ac:dyDescent="0.25">
      <c r="CD166">
        <v>5040</v>
      </c>
      <c r="CE166">
        <v>576</v>
      </c>
      <c r="CF166">
        <v>96</v>
      </c>
      <c r="CG166">
        <v>0</v>
      </c>
      <c r="CH166">
        <v>0</v>
      </c>
      <c r="CI166">
        <v>0</v>
      </c>
      <c r="CJ166">
        <v>0</v>
      </c>
      <c r="CK166">
        <v>0</v>
      </c>
      <c r="CL166">
        <v>0</v>
      </c>
      <c r="CM166">
        <v>0</v>
      </c>
    </row>
    <row r="167" spans="82:91" x14ac:dyDescent="0.25">
      <c r="CD167">
        <v>5040</v>
      </c>
      <c r="CE167">
        <v>576</v>
      </c>
      <c r="CF167">
        <v>96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0</v>
      </c>
      <c r="CM167">
        <v>0</v>
      </c>
    </row>
    <row r="168" spans="82:91" x14ac:dyDescent="0.25">
      <c r="CD168">
        <v>5040</v>
      </c>
      <c r="CE168">
        <v>576</v>
      </c>
      <c r="CF168">
        <v>96</v>
      </c>
      <c r="CG168">
        <v>0</v>
      </c>
      <c r="CH168">
        <v>0</v>
      </c>
      <c r="CI168">
        <v>0</v>
      </c>
      <c r="CJ168">
        <v>0</v>
      </c>
      <c r="CK168">
        <v>0</v>
      </c>
      <c r="CL168">
        <v>0</v>
      </c>
      <c r="CM168">
        <v>0</v>
      </c>
    </row>
    <row r="169" spans="82:91" x14ac:dyDescent="0.25">
      <c r="CD169">
        <v>5040</v>
      </c>
      <c r="CE169">
        <v>576</v>
      </c>
      <c r="CF169">
        <v>96</v>
      </c>
      <c r="CG169">
        <v>0</v>
      </c>
      <c r="CH169">
        <v>0</v>
      </c>
      <c r="CI169">
        <v>0</v>
      </c>
      <c r="CJ169">
        <v>0</v>
      </c>
      <c r="CK169">
        <v>0</v>
      </c>
      <c r="CL169">
        <v>0</v>
      </c>
      <c r="CM169">
        <v>0</v>
      </c>
    </row>
    <row r="170" spans="82:91" x14ac:dyDescent="0.25">
      <c r="CD170">
        <v>5040</v>
      </c>
      <c r="CE170">
        <v>576</v>
      </c>
      <c r="CF170">
        <v>96</v>
      </c>
      <c r="CG170">
        <v>0</v>
      </c>
      <c r="CH170">
        <v>0</v>
      </c>
      <c r="CI170">
        <v>0</v>
      </c>
      <c r="CJ170">
        <v>0</v>
      </c>
      <c r="CK170">
        <v>0</v>
      </c>
      <c r="CL170">
        <v>0</v>
      </c>
      <c r="CM170">
        <v>0</v>
      </c>
    </row>
    <row r="171" spans="82:91" x14ac:dyDescent="0.25">
      <c r="CD171">
        <v>5040</v>
      </c>
      <c r="CE171">
        <v>576</v>
      </c>
      <c r="CF171">
        <v>96</v>
      </c>
      <c r="CG171">
        <v>0</v>
      </c>
      <c r="CH171">
        <v>0</v>
      </c>
      <c r="CI171">
        <v>0</v>
      </c>
      <c r="CJ171">
        <v>0</v>
      </c>
      <c r="CK171">
        <v>0</v>
      </c>
      <c r="CL171">
        <v>0</v>
      </c>
      <c r="CM171">
        <v>0</v>
      </c>
    </row>
    <row r="172" spans="82:91" x14ac:dyDescent="0.25">
      <c r="CD172">
        <v>5040</v>
      </c>
      <c r="CE172">
        <v>576</v>
      </c>
      <c r="CF172">
        <v>96</v>
      </c>
      <c r="CG172">
        <v>0</v>
      </c>
      <c r="CH172">
        <v>0</v>
      </c>
      <c r="CI172">
        <v>0</v>
      </c>
      <c r="CJ172">
        <v>0</v>
      </c>
      <c r="CK172">
        <v>0</v>
      </c>
      <c r="CL172">
        <v>0</v>
      </c>
      <c r="CM172">
        <v>0</v>
      </c>
    </row>
    <row r="173" spans="82:91" x14ac:dyDescent="0.25">
      <c r="CD173">
        <v>5040</v>
      </c>
      <c r="CE173">
        <v>576</v>
      </c>
      <c r="CF173">
        <v>96</v>
      </c>
      <c r="CG173">
        <v>0</v>
      </c>
      <c r="CH173">
        <v>0</v>
      </c>
      <c r="CI173">
        <v>0</v>
      </c>
      <c r="CJ173">
        <v>0</v>
      </c>
      <c r="CK173">
        <v>0</v>
      </c>
      <c r="CL173">
        <v>0</v>
      </c>
      <c r="CM173">
        <v>0</v>
      </c>
    </row>
    <row r="174" spans="82:91" x14ac:dyDescent="0.25">
      <c r="CD174">
        <v>5040</v>
      </c>
      <c r="CE174">
        <v>576</v>
      </c>
      <c r="CF174">
        <v>96</v>
      </c>
      <c r="CG174">
        <v>0</v>
      </c>
      <c r="CH174">
        <v>0</v>
      </c>
      <c r="CI174">
        <v>0</v>
      </c>
      <c r="CJ174">
        <v>0</v>
      </c>
      <c r="CK174">
        <v>0</v>
      </c>
      <c r="CL174">
        <v>0</v>
      </c>
      <c r="CM174">
        <v>0</v>
      </c>
    </row>
    <row r="175" spans="82:91" x14ac:dyDescent="0.25">
      <c r="CD175">
        <v>5040</v>
      </c>
      <c r="CE175">
        <v>576</v>
      </c>
      <c r="CF175">
        <v>96</v>
      </c>
      <c r="CG175">
        <v>0</v>
      </c>
      <c r="CH175">
        <v>0</v>
      </c>
      <c r="CI175">
        <v>0</v>
      </c>
      <c r="CJ175">
        <v>0</v>
      </c>
      <c r="CK175">
        <v>0</v>
      </c>
      <c r="CL175">
        <v>0</v>
      </c>
      <c r="CM175">
        <v>0</v>
      </c>
    </row>
    <row r="176" spans="82:91" x14ac:dyDescent="0.25">
      <c r="CD176">
        <v>5040</v>
      </c>
      <c r="CE176">
        <v>576</v>
      </c>
      <c r="CF176">
        <v>96</v>
      </c>
      <c r="CG176">
        <v>0</v>
      </c>
      <c r="CH176">
        <v>0</v>
      </c>
      <c r="CI176">
        <v>0</v>
      </c>
      <c r="CJ176">
        <v>0</v>
      </c>
      <c r="CK176">
        <v>0</v>
      </c>
      <c r="CL176">
        <v>0</v>
      </c>
      <c r="CM176">
        <v>0</v>
      </c>
    </row>
    <row r="177" spans="82:91" x14ac:dyDescent="0.25">
      <c r="CD177">
        <v>5040</v>
      </c>
      <c r="CE177">
        <v>576</v>
      </c>
      <c r="CF177">
        <v>96</v>
      </c>
      <c r="CG177">
        <v>0</v>
      </c>
      <c r="CH177">
        <v>0</v>
      </c>
      <c r="CI177">
        <v>0</v>
      </c>
      <c r="CJ177">
        <v>0</v>
      </c>
      <c r="CK177">
        <v>0</v>
      </c>
      <c r="CL177">
        <v>0</v>
      </c>
      <c r="CM177">
        <v>0</v>
      </c>
    </row>
    <row r="178" spans="82:91" x14ac:dyDescent="0.25">
      <c r="CD178">
        <v>5040</v>
      </c>
      <c r="CE178">
        <v>576</v>
      </c>
      <c r="CF178">
        <v>96</v>
      </c>
      <c r="CG178">
        <v>0</v>
      </c>
      <c r="CH178">
        <v>0</v>
      </c>
      <c r="CI178">
        <v>0</v>
      </c>
      <c r="CJ178">
        <v>0</v>
      </c>
      <c r="CK178">
        <v>0</v>
      </c>
      <c r="CL178">
        <v>0</v>
      </c>
      <c r="CM178">
        <v>0</v>
      </c>
    </row>
    <row r="179" spans="82:91" x14ac:dyDescent="0.25">
      <c r="CD179">
        <v>5040</v>
      </c>
      <c r="CE179">
        <v>576</v>
      </c>
      <c r="CF179">
        <v>96</v>
      </c>
      <c r="CG179">
        <v>0</v>
      </c>
      <c r="CH179">
        <v>0</v>
      </c>
      <c r="CI179">
        <v>0</v>
      </c>
      <c r="CJ179">
        <v>0</v>
      </c>
      <c r="CK179">
        <v>0</v>
      </c>
      <c r="CL179">
        <v>0</v>
      </c>
      <c r="CM179">
        <v>0</v>
      </c>
    </row>
    <row r="180" spans="82:91" x14ac:dyDescent="0.25">
      <c r="CD180">
        <v>5040</v>
      </c>
      <c r="CE180">
        <v>576</v>
      </c>
      <c r="CF180">
        <v>96</v>
      </c>
      <c r="CG180">
        <v>0</v>
      </c>
      <c r="CH180">
        <v>0</v>
      </c>
      <c r="CI180">
        <v>0</v>
      </c>
      <c r="CJ180">
        <v>0</v>
      </c>
      <c r="CK180">
        <v>0</v>
      </c>
      <c r="CL180">
        <v>0</v>
      </c>
      <c r="CM180">
        <v>0</v>
      </c>
    </row>
    <row r="181" spans="82:91" x14ac:dyDescent="0.25">
      <c r="CD181">
        <v>5040</v>
      </c>
      <c r="CE181">
        <v>576</v>
      </c>
      <c r="CF181">
        <v>96</v>
      </c>
      <c r="CG181">
        <v>0</v>
      </c>
      <c r="CH181">
        <v>0</v>
      </c>
      <c r="CI181">
        <v>0</v>
      </c>
      <c r="CJ181">
        <v>0</v>
      </c>
      <c r="CK181">
        <v>0</v>
      </c>
      <c r="CL181">
        <v>0</v>
      </c>
      <c r="CM181">
        <v>0</v>
      </c>
    </row>
    <row r="182" spans="82:91" x14ac:dyDescent="0.25">
      <c r="CD182">
        <v>5040</v>
      </c>
      <c r="CE182">
        <v>576</v>
      </c>
      <c r="CF182">
        <v>96</v>
      </c>
      <c r="CG182">
        <v>0</v>
      </c>
      <c r="CH182">
        <v>0</v>
      </c>
      <c r="CI182">
        <v>0</v>
      </c>
      <c r="CJ182">
        <v>0</v>
      </c>
      <c r="CK182">
        <v>0</v>
      </c>
      <c r="CL182">
        <v>0</v>
      </c>
      <c r="CM182">
        <v>0</v>
      </c>
    </row>
    <row r="183" spans="82:91" x14ac:dyDescent="0.25">
      <c r="CD183">
        <v>5040</v>
      </c>
      <c r="CE183">
        <v>576</v>
      </c>
      <c r="CF183">
        <v>96</v>
      </c>
      <c r="CG183">
        <v>0</v>
      </c>
      <c r="CH183">
        <v>0</v>
      </c>
      <c r="CI183">
        <v>0</v>
      </c>
      <c r="CJ183">
        <v>0</v>
      </c>
      <c r="CK183">
        <v>0</v>
      </c>
      <c r="CL183">
        <v>0</v>
      </c>
      <c r="CM183">
        <v>0</v>
      </c>
    </row>
    <row r="184" spans="82:91" x14ac:dyDescent="0.25">
      <c r="CD184">
        <v>5040</v>
      </c>
      <c r="CE184">
        <v>576</v>
      </c>
      <c r="CF184">
        <v>96</v>
      </c>
      <c r="CG184">
        <v>0</v>
      </c>
      <c r="CH184">
        <v>0</v>
      </c>
      <c r="CI184">
        <v>0</v>
      </c>
      <c r="CJ184">
        <v>0</v>
      </c>
      <c r="CK184">
        <v>0</v>
      </c>
      <c r="CL184">
        <v>0</v>
      </c>
      <c r="CM184">
        <v>0</v>
      </c>
    </row>
    <row r="185" spans="82:91" x14ac:dyDescent="0.25">
      <c r="CD185">
        <v>5040</v>
      </c>
      <c r="CE185">
        <v>576</v>
      </c>
      <c r="CF185">
        <v>96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0</v>
      </c>
      <c r="CM185">
        <v>0</v>
      </c>
    </row>
    <row r="186" spans="82:91" x14ac:dyDescent="0.25">
      <c r="CD186">
        <v>5040</v>
      </c>
      <c r="CE186">
        <v>576</v>
      </c>
      <c r="CF186">
        <v>96</v>
      </c>
      <c r="CG186">
        <v>0</v>
      </c>
      <c r="CH186">
        <v>0</v>
      </c>
      <c r="CI186">
        <v>0</v>
      </c>
      <c r="CJ186">
        <v>0</v>
      </c>
      <c r="CK186">
        <v>0</v>
      </c>
      <c r="CL186">
        <v>0</v>
      </c>
      <c r="CM186">
        <v>0</v>
      </c>
    </row>
    <row r="187" spans="82:91" x14ac:dyDescent="0.25">
      <c r="CD187">
        <v>5040</v>
      </c>
      <c r="CE187">
        <v>576</v>
      </c>
      <c r="CF187">
        <v>96</v>
      </c>
      <c r="CG187">
        <v>0</v>
      </c>
      <c r="CH187">
        <v>0</v>
      </c>
      <c r="CI187">
        <v>0</v>
      </c>
      <c r="CJ187">
        <v>0</v>
      </c>
      <c r="CK187">
        <v>0</v>
      </c>
      <c r="CL187">
        <v>0</v>
      </c>
      <c r="CM187">
        <v>0</v>
      </c>
    </row>
    <row r="188" spans="82:91" x14ac:dyDescent="0.25">
      <c r="CD188">
        <v>5040</v>
      </c>
      <c r="CE188">
        <v>576</v>
      </c>
      <c r="CF188">
        <v>96</v>
      </c>
      <c r="CG188">
        <v>0</v>
      </c>
      <c r="CH188">
        <v>0</v>
      </c>
      <c r="CI188">
        <v>0</v>
      </c>
      <c r="CJ188">
        <v>0</v>
      </c>
      <c r="CK188">
        <v>0</v>
      </c>
      <c r="CL188">
        <v>0</v>
      </c>
      <c r="CM188">
        <v>0</v>
      </c>
    </row>
    <row r="189" spans="82:91" x14ac:dyDescent="0.25">
      <c r="CD189">
        <v>5040</v>
      </c>
      <c r="CE189">
        <v>576</v>
      </c>
      <c r="CF189">
        <v>96</v>
      </c>
      <c r="CG189">
        <v>0</v>
      </c>
      <c r="CH189">
        <v>0</v>
      </c>
      <c r="CI189">
        <v>0</v>
      </c>
      <c r="CJ189">
        <v>0</v>
      </c>
      <c r="CK189">
        <v>0</v>
      </c>
      <c r="CL189">
        <v>0</v>
      </c>
      <c r="CM189">
        <v>0</v>
      </c>
    </row>
    <row r="190" spans="82:91" x14ac:dyDescent="0.25">
      <c r="CD190">
        <v>5040</v>
      </c>
      <c r="CE190">
        <v>576</v>
      </c>
      <c r="CF190">
        <v>96</v>
      </c>
      <c r="CG190">
        <v>0</v>
      </c>
      <c r="CH190">
        <v>0</v>
      </c>
      <c r="CI190">
        <v>0</v>
      </c>
      <c r="CJ190">
        <v>0</v>
      </c>
      <c r="CK190">
        <v>0</v>
      </c>
      <c r="CL190">
        <v>0</v>
      </c>
      <c r="CM190">
        <v>0</v>
      </c>
    </row>
    <row r="191" spans="82:91" x14ac:dyDescent="0.25">
      <c r="CD191">
        <v>5040</v>
      </c>
      <c r="CE191">
        <v>576</v>
      </c>
      <c r="CF191">
        <v>96</v>
      </c>
      <c r="CG191">
        <v>0</v>
      </c>
      <c r="CH191">
        <v>0</v>
      </c>
      <c r="CI191">
        <v>0</v>
      </c>
      <c r="CJ191">
        <v>0</v>
      </c>
      <c r="CK191">
        <v>0</v>
      </c>
      <c r="CL191">
        <v>0</v>
      </c>
      <c r="CM191">
        <v>0</v>
      </c>
    </row>
    <row r="192" spans="82:91" x14ac:dyDescent="0.25">
      <c r="CD192">
        <v>5040</v>
      </c>
      <c r="CE192">
        <v>576</v>
      </c>
      <c r="CF192">
        <v>96</v>
      </c>
      <c r="CG192">
        <v>0</v>
      </c>
      <c r="CH192">
        <v>0</v>
      </c>
      <c r="CI192">
        <v>0</v>
      </c>
      <c r="CJ192">
        <v>0</v>
      </c>
      <c r="CK192">
        <v>0</v>
      </c>
      <c r="CL192">
        <v>0</v>
      </c>
      <c r="CM192">
        <v>0</v>
      </c>
    </row>
    <row r="193" spans="82:91" x14ac:dyDescent="0.25">
      <c r="CD193">
        <v>5040</v>
      </c>
      <c r="CE193">
        <v>576</v>
      </c>
      <c r="CF193">
        <v>96</v>
      </c>
      <c r="CG193">
        <v>0</v>
      </c>
      <c r="CH193">
        <v>0</v>
      </c>
      <c r="CI193">
        <v>0</v>
      </c>
      <c r="CJ193">
        <v>0</v>
      </c>
      <c r="CK193">
        <v>0</v>
      </c>
      <c r="CL193">
        <v>0</v>
      </c>
      <c r="CM193">
        <v>0</v>
      </c>
    </row>
    <row r="194" spans="82:91" x14ac:dyDescent="0.25">
      <c r="CD194">
        <v>5040</v>
      </c>
      <c r="CE194">
        <v>576</v>
      </c>
      <c r="CF194">
        <v>96</v>
      </c>
      <c r="CG194">
        <v>0</v>
      </c>
      <c r="CH194">
        <v>0</v>
      </c>
      <c r="CI194">
        <v>0</v>
      </c>
      <c r="CJ194">
        <v>0</v>
      </c>
      <c r="CK194">
        <v>0</v>
      </c>
      <c r="CL194">
        <v>0</v>
      </c>
      <c r="CM194">
        <v>0</v>
      </c>
    </row>
    <row r="195" spans="82:91" x14ac:dyDescent="0.25">
      <c r="CD195">
        <v>5040</v>
      </c>
      <c r="CE195">
        <v>576</v>
      </c>
      <c r="CF195">
        <v>96</v>
      </c>
      <c r="CG195">
        <v>0</v>
      </c>
      <c r="CH195">
        <v>0</v>
      </c>
      <c r="CI195">
        <v>0</v>
      </c>
      <c r="CJ195">
        <v>0</v>
      </c>
      <c r="CK195">
        <v>0</v>
      </c>
      <c r="CL195">
        <v>0</v>
      </c>
      <c r="CM195">
        <v>0</v>
      </c>
    </row>
    <row r="196" spans="82:91" x14ac:dyDescent="0.25">
      <c r="CD196">
        <v>5040</v>
      </c>
      <c r="CE196">
        <v>576</v>
      </c>
      <c r="CF196">
        <v>96</v>
      </c>
      <c r="CG196">
        <v>0</v>
      </c>
      <c r="CH196">
        <v>0</v>
      </c>
      <c r="CI196">
        <v>0</v>
      </c>
      <c r="CJ196">
        <v>0</v>
      </c>
      <c r="CK196">
        <v>0</v>
      </c>
      <c r="CL196">
        <v>0</v>
      </c>
      <c r="CM196">
        <v>0</v>
      </c>
    </row>
    <row r="197" spans="82:91" x14ac:dyDescent="0.25">
      <c r="CD197">
        <v>5040</v>
      </c>
      <c r="CE197">
        <v>576</v>
      </c>
      <c r="CF197">
        <v>96</v>
      </c>
      <c r="CG197">
        <v>0</v>
      </c>
      <c r="CH197">
        <v>0</v>
      </c>
      <c r="CI197">
        <v>0</v>
      </c>
      <c r="CJ197">
        <v>0</v>
      </c>
      <c r="CK197">
        <v>0</v>
      </c>
      <c r="CL197">
        <v>0</v>
      </c>
      <c r="CM197">
        <v>0</v>
      </c>
    </row>
    <row r="198" spans="82:91" x14ac:dyDescent="0.25">
      <c r="CD198">
        <v>5040</v>
      </c>
      <c r="CE198">
        <v>576</v>
      </c>
      <c r="CF198">
        <v>96</v>
      </c>
      <c r="CG198">
        <v>0</v>
      </c>
      <c r="CH198">
        <v>0</v>
      </c>
      <c r="CI198">
        <v>0</v>
      </c>
      <c r="CJ198">
        <v>0</v>
      </c>
      <c r="CK198">
        <v>0</v>
      </c>
      <c r="CL198">
        <v>0</v>
      </c>
      <c r="CM198">
        <v>0</v>
      </c>
    </row>
    <row r="199" spans="82:91" x14ac:dyDescent="0.25">
      <c r="CD199">
        <v>5040</v>
      </c>
      <c r="CE199">
        <v>576</v>
      </c>
      <c r="CF199">
        <v>96</v>
      </c>
      <c r="CG199">
        <v>0</v>
      </c>
      <c r="CH199">
        <v>0</v>
      </c>
      <c r="CI199">
        <v>0</v>
      </c>
      <c r="CJ199">
        <v>0</v>
      </c>
      <c r="CK199">
        <v>0</v>
      </c>
      <c r="CL199">
        <v>0</v>
      </c>
      <c r="CM199">
        <v>0</v>
      </c>
    </row>
    <row r="200" spans="82:91" x14ac:dyDescent="0.25">
      <c r="CD200">
        <v>5040</v>
      </c>
      <c r="CE200">
        <v>576</v>
      </c>
      <c r="CF200">
        <v>96</v>
      </c>
      <c r="CG200">
        <v>0</v>
      </c>
      <c r="CH200">
        <v>0</v>
      </c>
      <c r="CI200">
        <v>0</v>
      </c>
      <c r="CJ200">
        <v>0</v>
      </c>
      <c r="CK200">
        <v>0</v>
      </c>
      <c r="CL200">
        <v>0</v>
      </c>
      <c r="CM200">
        <v>0</v>
      </c>
    </row>
    <row r="201" spans="82:91" x14ac:dyDescent="0.25">
      <c r="CD201">
        <v>5040</v>
      </c>
      <c r="CE201">
        <v>576</v>
      </c>
      <c r="CF201">
        <v>96</v>
      </c>
      <c r="CG201">
        <v>0</v>
      </c>
      <c r="CH201">
        <v>0</v>
      </c>
      <c r="CI201">
        <v>0</v>
      </c>
      <c r="CJ201">
        <v>0</v>
      </c>
      <c r="CK201">
        <v>0</v>
      </c>
      <c r="CL201">
        <v>0</v>
      </c>
      <c r="CM201">
        <v>0</v>
      </c>
    </row>
    <row r="202" spans="82:91" x14ac:dyDescent="0.25">
      <c r="CD202">
        <v>5040</v>
      </c>
      <c r="CE202">
        <v>576</v>
      </c>
      <c r="CF202">
        <v>96</v>
      </c>
      <c r="CG202">
        <v>0</v>
      </c>
      <c r="CH202">
        <v>0</v>
      </c>
      <c r="CI202">
        <v>0</v>
      </c>
      <c r="CJ202">
        <v>0</v>
      </c>
      <c r="CK202">
        <v>0</v>
      </c>
      <c r="CL202">
        <v>0</v>
      </c>
      <c r="CM202">
        <v>0</v>
      </c>
    </row>
    <row r="203" spans="82:91" x14ac:dyDescent="0.25">
      <c r="CD203">
        <v>5040</v>
      </c>
      <c r="CE203">
        <v>576</v>
      </c>
      <c r="CF203">
        <v>96</v>
      </c>
      <c r="CG203">
        <v>0</v>
      </c>
      <c r="CH203">
        <v>0</v>
      </c>
      <c r="CI203">
        <v>0</v>
      </c>
      <c r="CJ203">
        <v>0</v>
      </c>
      <c r="CK203">
        <v>0</v>
      </c>
      <c r="CL203">
        <v>0</v>
      </c>
      <c r="CM203">
        <v>0</v>
      </c>
    </row>
    <row r="204" spans="82:91" x14ac:dyDescent="0.25">
      <c r="CD204">
        <v>5040</v>
      </c>
      <c r="CE204">
        <v>576</v>
      </c>
      <c r="CF204">
        <v>96</v>
      </c>
      <c r="CG204">
        <v>0</v>
      </c>
      <c r="CH204">
        <v>0</v>
      </c>
      <c r="CI204">
        <v>0</v>
      </c>
      <c r="CJ204">
        <v>0</v>
      </c>
      <c r="CK204">
        <v>0</v>
      </c>
      <c r="CL204">
        <v>0</v>
      </c>
      <c r="CM204">
        <v>0</v>
      </c>
    </row>
    <row r="205" spans="82:91" x14ac:dyDescent="0.25">
      <c r="CD205">
        <v>5040</v>
      </c>
      <c r="CE205">
        <v>576</v>
      </c>
      <c r="CF205">
        <v>96</v>
      </c>
      <c r="CG205">
        <v>0</v>
      </c>
      <c r="CH205">
        <v>0</v>
      </c>
      <c r="CI205">
        <v>0</v>
      </c>
      <c r="CJ205">
        <v>0</v>
      </c>
      <c r="CK205">
        <v>0</v>
      </c>
      <c r="CL205">
        <v>0</v>
      </c>
      <c r="CM205">
        <v>0</v>
      </c>
    </row>
    <row r="206" spans="82:91" x14ac:dyDescent="0.25">
      <c r="CD206">
        <v>5040</v>
      </c>
      <c r="CE206">
        <v>576</v>
      </c>
      <c r="CF206">
        <v>96</v>
      </c>
      <c r="CG206">
        <v>0</v>
      </c>
      <c r="CH206">
        <v>0</v>
      </c>
      <c r="CI206">
        <v>0</v>
      </c>
      <c r="CJ206">
        <v>0</v>
      </c>
      <c r="CK206">
        <v>0</v>
      </c>
      <c r="CL206">
        <v>0</v>
      </c>
      <c r="CM206">
        <v>0</v>
      </c>
    </row>
    <row r="207" spans="82:91" x14ac:dyDescent="0.25">
      <c r="CD207">
        <v>5040</v>
      </c>
      <c r="CE207">
        <v>576</v>
      </c>
      <c r="CF207">
        <v>96</v>
      </c>
      <c r="CG207">
        <v>0</v>
      </c>
      <c r="CH207">
        <v>0</v>
      </c>
      <c r="CI207">
        <v>0</v>
      </c>
      <c r="CJ207">
        <v>0</v>
      </c>
      <c r="CK207">
        <v>0</v>
      </c>
      <c r="CL207">
        <v>0</v>
      </c>
      <c r="CM207">
        <v>0</v>
      </c>
    </row>
    <row r="208" spans="82:91" x14ac:dyDescent="0.25">
      <c r="CD208">
        <v>5040</v>
      </c>
      <c r="CE208">
        <v>576</v>
      </c>
      <c r="CF208">
        <v>96</v>
      </c>
      <c r="CG208">
        <v>0</v>
      </c>
      <c r="CH208">
        <v>0</v>
      </c>
      <c r="CI208">
        <v>0</v>
      </c>
      <c r="CJ208">
        <v>0</v>
      </c>
      <c r="CK208">
        <v>0</v>
      </c>
      <c r="CL208">
        <v>0</v>
      </c>
      <c r="CM208">
        <v>0</v>
      </c>
    </row>
    <row r="209" spans="82:91" x14ac:dyDescent="0.25">
      <c r="CD209">
        <v>5040</v>
      </c>
      <c r="CE209">
        <v>576</v>
      </c>
      <c r="CF209">
        <v>96</v>
      </c>
      <c r="CG209">
        <v>0</v>
      </c>
      <c r="CH209">
        <v>0</v>
      </c>
      <c r="CI209">
        <v>0</v>
      </c>
      <c r="CJ209">
        <v>0</v>
      </c>
      <c r="CK209">
        <v>0</v>
      </c>
      <c r="CL209">
        <v>0</v>
      </c>
      <c r="CM209">
        <v>0</v>
      </c>
    </row>
    <row r="210" spans="82:91" x14ac:dyDescent="0.25">
      <c r="CD210">
        <v>5040</v>
      </c>
      <c r="CE210">
        <v>576</v>
      </c>
      <c r="CF210">
        <v>96</v>
      </c>
      <c r="CG210">
        <v>0</v>
      </c>
      <c r="CH210">
        <v>0</v>
      </c>
      <c r="CI210">
        <v>0</v>
      </c>
      <c r="CJ210">
        <v>0</v>
      </c>
      <c r="CK210">
        <v>0</v>
      </c>
      <c r="CL210">
        <v>0</v>
      </c>
      <c r="CM210">
        <v>0</v>
      </c>
    </row>
    <row r="211" spans="82:91" x14ac:dyDescent="0.25">
      <c r="CD211">
        <v>5040</v>
      </c>
      <c r="CE211">
        <v>576</v>
      </c>
      <c r="CF211">
        <v>96</v>
      </c>
      <c r="CG211">
        <v>0</v>
      </c>
      <c r="CH211">
        <v>0</v>
      </c>
      <c r="CI211">
        <v>0</v>
      </c>
      <c r="CJ211">
        <v>0</v>
      </c>
      <c r="CK211">
        <v>0</v>
      </c>
      <c r="CL211">
        <v>0</v>
      </c>
      <c r="CM211">
        <v>0</v>
      </c>
    </row>
    <row r="212" spans="82:91" x14ac:dyDescent="0.25">
      <c r="CD212">
        <v>5040</v>
      </c>
      <c r="CE212">
        <v>576</v>
      </c>
      <c r="CF212">
        <v>96</v>
      </c>
      <c r="CG212">
        <v>0</v>
      </c>
      <c r="CH212">
        <v>0</v>
      </c>
      <c r="CI212">
        <v>0</v>
      </c>
      <c r="CJ212">
        <v>0</v>
      </c>
      <c r="CK212">
        <v>0</v>
      </c>
      <c r="CL212">
        <v>0</v>
      </c>
      <c r="CM212">
        <v>0</v>
      </c>
    </row>
    <row r="213" spans="82:91" x14ac:dyDescent="0.25">
      <c r="CD213">
        <v>5040</v>
      </c>
      <c r="CE213">
        <v>576</v>
      </c>
      <c r="CF213">
        <v>96</v>
      </c>
      <c r="CG213">
        <v>0</v>
      </c>
      <c r="CH213">
        <v>0</v>
      </c>
      <c r="CI213">
        <v>0</v>
      </c>
      <c r="CJ213">
        <v>0</v>
      </c>
      <c r="CK213">
        <v>0</v>
      </c>
      <c r="CL213">
        <v>0</v>
      </c>
      <c r="CM213">
        <v>0</v>
      </c>
    </row>
    <row r="214" spans="82:91" x14ac:dyDescent="0.25">
      <c r="CD214">
        <v>5040</v>
      </c>
      <c r="CE214">
        <v>576</v>
      </c>
      <c r="CF214">
        <v>96</v>
      </c>
      <c r="CG214">
        <v>0</v>
      </c>
      <c r="CH214">
        <v>0</v>
      </c>
      <c r="CI214">
        <v>0</v>
      </c>
      <c r="CJ214">
        <v>0</v>
      </c>
      <c r="CK214">
        <v>0</v>
      </c>
      <c r="CL214">
        <v>0</v>
      </c>
      <c r="CM214">
        <v>0</v>
      </c>
    </row>
    <row r="215" spans="82:91" x14ac:dyDescent="0.25">
      <c r="CD215">
        <v>5040</v>
      </c>
      <c r="CE215">
        <v>576</v>
      </c>
      <c r="CF215">
        <v>96</v>
      </c>
      <c r="CG215">
        <v>0</v>
      </c>
      <c r="CH215">
        <v>0</v>
      </c>
      <c r="CI215">
        <v>0</v>
      </c>
      <c r="CJ215">
        <v>0</v>
      </c>
      <c r="CK215">
        <v>0</v>
      </c>
      <c r="CL215">
        <v>0</v>
      </c>
      <c r="CM215">
        <v>0</v>
      </c>
    </row>
    <row r="216" spans="82:91" x14ac:dyDescent="0.25">
      <c r="CD216">
        <v>5040</v>
      </c>
      <c r="CE216">
        <v>576</v>
      </c>
      <c r="CF216">
        <v>96</v>
      </c>
      <c r="CG216">
        <v>0</v>
      </c>
      <c r="CH216">
        <v>0</v>
      </c>
      <c r="CI216">
        <v>0</v>
      </c>
      <c r="CJ216">
        <v>0</v>
      </c>
      <c r="CK216">
        <v>0</v>
      </c>
      <c r="CL216">
        <v>0</v>
      </c>
      <c r="CM216">
        <v>0</v>
      </c>
    </row>
    <row r="217" spans="82:91" x14ac:dyDescent="0.25">
      <c r="CD217">
        <v>5040</v>
      </c>
      <c r="CE217">
        <v>576</v>
      </c>
      <c r="CF217">
        <v>96</v>
      </c>
      <c r="CG217">
        <v>0</v>
      </c>
      <c r="CH217">
        <v>0</v>
      </c>
      <c r="CI217">
        <v>0</v>
      </c>
      <c r="CJ217">
        <v>0</v>
      </c>
      <c r="CK217">
        <v>0</v>
      </c>
      <c r="CL217">
        <v>0</v>
      </c>
      <c r="CM217">
        <v>0</v>
      </c>
    </row>
    <row r="218" spans="82:91" x14ac:dyDescent="0.25">
      <c r="CD218">
        <v>5040</v>
      </c>
      <c r="CE218">
        <v>576</v>
      </c>
      <c r="CF218">
        <v>96</v>
      </c>
      <c r="CG218">
        <v>0</v>
      </c>
      <c r="CH218">
        <v>0</v>
      </c>
      <c r="CI218">
        <v>0</v>
      </c>
      <c r="CJ218">
        <v>0</v>
      </c>
      <c r="CK218">
        <v>0</v>
      </c>
      <c r="CL218">
        <v>0</v>
      </c>
      <c r="CM218">
        <v>0</v>
      </c>
    </row>
    <row r="219" spans="82:91" x14ac:dyDescent="0.25">
      <c r="CD219">
        <v>5040</v>
      </c>
      <c r="CE219">
        <v>576</v>
      </c>
      <c r="CF219">
        <v>96</v>
      </c>
      <c r="CG219">
        <v>0</v>
      </c>
      <c r="CH219">
        <v>0</v>
      </c>
      <c r="CI219">
        <v>0</v>
      </c>
      <c r="CJ219">
        <v>0</v>
      </c>
      <c r="CK219">
        <v>0</v>
      </c>
      <c r="CL219">
        <v>0</v>
      </c>
      <c r="CM219">
        <v>0</v>
      </c>
    </row>
    <row r="220" spans="82:91" x14ac:dyDescent="0.25">
      <c r="CD220">
        <v>5040</v>
      </c>
      <c r="CE220">
        <v>576</v>
      </c>
      <c r="CF220">
        <v>96</v>
      </c>
      <c r="CG220">
        <v>0</v>
      </c>
      <c r="CH220">
        <v>0</v>
      </c>
      <c r="CI220">
        <v>0</v>
      </c>
      <c r="CJ220">
        <v>0</v>
      </c>
      <c r="CK220">
        <v>0</v>
      </c>
      <c r="CL220">
        <v>0</v>
      </c>
      <c r="CM220">
        <v>0</v>
      </c>
    </row>
    <row r="221" spans="82:91" x14ac:dyDescent="0.25">
      <c r="CD221">
        <v>5040</v>
      </c>
      <c r="CE221">
        <v>576</v>
      </c>
      <c r="CF221">
        <v>96</v>
      </c>
      <c r="CG221">
        <v>0</v>
      </c>
      <c r="CH221">
        <v>0</v>
      </c>
      <c r="CI221">
        <v>0</v>
      </c>
      <c r="CJ221">
        <v>0</v>
      </c>
      <c r="CK221">
        <v>0</v>
      </c>
      <c r="CL221">
        <v>0</v>
      </c>
      <c r="CM221">
        <v>0</v>
      </c>
    </row>
    <row r="222" spans="82:91" x14ac:dyDescent="0.25">
      <c r="CD222">
        <v>5040</v>
      </c>
      <c r="CE222">
        <v>576</v>
      </c>
      <c r="CF222">
        <v>96</v>
      </c>
      <c r="CG222">
        <v>0</v>
      </c>
      <c r="CH222">
        <v>0</v>
      </c>
      <c r="CI222">
        <v>0</v>
      </c>
      <c r="CJ222">
        <v>0</v>
      </c>
      <c r="CK222">
        <v>0</v>
      </c>
      <c r="CL222">
        <v>0</v>
      </c>
      <c r="CM222">
        <v>0</v>
      </c>
    </row>
    <row r="223" spans="82:91" x14ac:dyDescent="0.25">
      <c r="CD223">
        <v>5040</v>
      </c>
      <c r="CE223">
        <v>576</v>
      </c>
      <c r="CF223">
        <v>96</v>
      </c>
      <c r="CG223">
        <v>0</v>
      </c>
      <c r="CH223">
        <v>0</v>
      </c>
      <c r="CI223">
        <v>0</v>
      </c>
      <c r="CJ223">
        <v>0</v>
      </c>
      <c r="CK223">
        <v>0</v>
      </c>
      <c r="CL223">
        <v>0</v>
      </c>
      <c r="CM223">
        <v>0</v>
      </c>
    </row>
    <row r="224" spans="82:91" x14ac:dyDescent="0.25">
      <c r="CD224">
        <v>5040</v>
      </c>
      <c r="CE224">
        <v>576</v>
      </c>
      <c r="CF224">
        <v>96</v>
      </c>
      <c r="CG224">
        <v>0</v>
      </c>
      <c r="CH224">
        <v>0</v>
      </c>
      <c r="CI224">
        <v>0</v>
      </c>
      <c r="CJ224">
        <v>0</v>
      </c>
      <c r="CK224">
        <v>0</v>
      </c>
      <c r="CL224">
        <v>0</v>
      </c>
      <c r="CM224">
        <v>0</v>
      </c>
    </row>
    <row r="225" spans="82:91" x14ac:dyDescent="0.25">
      <c r="CD225">
        <v>5040</v>
      </c>
      <c r="CE225">
        <v>576</v>
      </c>
      <c r="CF225">
        <v>96</v>
      </c>
      <c r="CG225">
        <v>0</v>
      </c>
      <c r="CH225">
        <v>0</v>
      </c>
      <c r="CI225">
        <v>0</v>
      </c>
      <c r="CJ225">
        <v>0</v>
      </c>
      <c r="CK225">
        <v>0</v>
      </c>
      <c r="CL225">
        <v>0</v>
      </c>
      <c r="CM225">
        <v>0</v>
      </c>
    </row>
    <row r="226" spans="82:91" x14ac:dyDescent="0.25">
      <c r="CD226">
        <v>5040</v>
      </c>
      <c r="CE226">
        <v>576</v>
      </c>
      <c r="CF226">
        <v>96</v>
      </c>
      <c r="CG226">
        <v>0</v>
      </c>
      <c r="CH226">
        <v>0</v>
      </c>
      <c r="CI226">
        <v>0</v>
      </c>
      <c r="CJ226">
        <v>0</v>
      </c>
      <c r="CK226">
        <v>0</v>
      </c>
      <c r="CL226">
        <v>0</v>
      </c>
      <c r="CM226">
        <v>0</v>
      </c>
    </row>
    <row r="227" spans="82:91" x14ac:dyDescent="0.25">
      <c r="CD227">
        <v>5040</v>
      </c>
      <c r="CE227">
        <v>576</v>
      </c>
      <c r="CF227">
        <v>96</v>
      </c>
      <c r="CG227">
        <v>0</v>
      </c>
      <c r="CH227">
        <v>0</v>
      </c>
      <c r="CI227">
        <v>0</v>
      </c>
      <c r="CJ227">
        <v>0</v>
      </c>
      <c r="CK227">
        <v>0</v>
      </c>
      <c r="CL227">
        <v>0</v>
      </c>
      <c r="CM227">
        <v>0</v>
      </c>
    </row>
    <row r="228" spans="82:91" x14ac:dyDescent="0.25">
      <c r="CD228">
        <v>5040</v>
      </c>
      <c r="CE228">
        <v>576</v>
      </c>
      <c r="CF228">
        <v>96</v>
      </c>
      <c r="CG228">
        <v>0</v>
      </c>
      <c r="CH228">
        <v>0</v>
      </c>
      <c r="CI228">
        <v>0</v>
      </c>
      <c r="CJ228">
        <v>0</v>
      </c>
      <c r="CK228">
        <v>0</v>
      </c>
      <c r="CL228">
        <v>0</v>
      </c>
      <c r="CM228">
        <v>0</v>
      </c>
    </row>
    <row r="229" spans="82:91" x14ac:dyDescent="0.25">
      <c r="CD229">
        <v>5040</v>
      </c>
      <c r="CE229">
        <v>576</v>
      </c>
      <c r="CF229">
        <v>96</v>
      </c>
      <c r="CG229">
        <v>0</v>
      </c>
      <c r="CH229">
        <v>0</v>
      </c>
      <c r="CI229">
        <v>0</v>
      </c>
      <c r="CJ229">
        <v>0</v>
      </c>
      <c r="CK229">
        <v>0</v>
      </c>
      <c r="CL229">
        <v>0</v>
      </c>
      <c r="CM229">
        <v>0</v>
      </c>
    </row>
    <row r="230" spans="82:91" x14ac:dyDescent="0.25">
      <c r="CD230">
        <v>5040</v>
      </c>
      <c r="CE230">
        <v>576</v>
      </c>
      <c r="CF230">
        <v>96</v>
      </c>
      <c r="CG230">
        <v>0</v>
      </c>
      <c r="CH230">
        <v>0</v>
      </c>
      <c r="CI230">
        <v>0</v>
      </c>
      <c r="CJ230">
        <v>0</v>
      </c>
      <c r="CK230">
        <v>0</v>
      </c>
      <c r="CL230">
        <v>0</v>
      </c>
      <c r="CM230">
        <v>0</v>
      </c>
    </row>
    <row r="231" spans="82:91" x14ac:dyDescent="0.25">
      <c r="CD231">
        <v>5040</v>
      </c>
      <c r="CE231">
        <v>576</v>
      </c>
      <c r="CF231">
        <v>96</v>
      </c>
      <c r="CG231">
        <v>0</v>
      </c>
      <c r="CH231">
        <v>0</v>
      </c>
      <c r="CI231">
        <v>0</v>
      </c>
      <c r="CJ231">
        <v>0</v>
      </c>
      <c r="CK231">
        <v>0</v>
      </c>
      <c r="CL231">
        <v>0</v>
      </c>
      <c r="CM231">
        <v>0</v>
      </c>
    </row>
    <row r="232" spans="82:91" x14ac:dyDescent="0.25">
      <c r="CD232">
        <v>5040</v>
      </c>
      <c r="CE232">
        <v>576</v>
      </c>
      <c r="CF232">
        <v>96</v>
      </c>
      <c r="CG232">
        <v>0</v>
      </c>
      <c r="CH232">
        <v>0</v>
      </c>
      <c r="CI232">
        <v>0</v>
      </c>
      <c r="CJ232">
        <v>0</v>
      </c>
      <c r="CK232">
        <v>0</v>
      </c>
      <c r="CL232">
        <v>0</v>
      </c>
      <c r="CM232">
        <v>0</v>
      </c>
    </row>
    <row r="233" spans="82:91" x14ac:dyDescent="0.25">
      <c r="CD233">
        <v>5040</v>
      </c>
      <c r="CE233">
        <v>576</v>
      </c>
      <c r="CF233">
        <v>96</v>
      </c>
      <c r="CG233">
        <v>0</v>
      </c>
      <c r="CH233">
        <v>0</v>
      </c>
      <c r="CI233">
        <v>0</v>
      </c>
      <c r="CJ233">
        <v>0</v>
      </c>
      <c r="CK233">
        <v>0</v>
      </c>
      <c r="CL233">
        <v>0</v>
      </c>
      <c r="CM233">
        <v>0</v>
      </c>
    </row>
    <row r="234" spans="82:91" x14ac:dyDescent="0.25">
      <c r="CD234">
        <v>5040</v>
      </c>
      <c r="CE234">
        <v>576</v>
      </c>
      <c r="CF234">
        <v>96</v>
      </c>
      <c r="CG234">
        <v>0</v>
      </c>
      <c r="CH234">
        <v>0</v>
      </c>
      <c r="CI234">
        <v>0</v>
      </c>
      <c r="CJ234">
        <v>0</v>
      </c>
      <c r="CK234">
        <v>0</v>
      </c>
      <c r="CL234">
        <v>0</v>
      </c>
      <c r="CM234">
        <v>0</v>
      </c>
    </row>
    <row r="235" spans="82:91" x14ac:dyDescent="0.25">
      <c r="CD235">
        <v>5040</v>
      </c>
      <c r="CE235">
        <v>576</v>
      </c>
      <c r="CF235">
        <v>96</v>
      </c>
      <c r="CG235">
        <v>0</v>
      </c>
      <c r="CH235">
        <v>0</v>
      </c>
      <c r="CI235">
        <v>0</v>
      </c>
      <c r="CJ235">
        <v>0</v>
      </c>
      <c r="CK235">
        <v>0</v>
      </c>
      <c r="CL235">
        <v>0</v>
      </c>
      <c r="CM235">
        <v>0</v>
      </c>
    </row>
    <row r="236" spans="82:91" x14ac:dyDescent="0.25">
      <c r="CD236">
        <v>5040</v>
      </c>
      <c r="CE236">
        <v>576</v>
      </c>
      <c r="CF236">
        <v>96</v>
      </c>
      <c r="CG236">
        <v>0</v>
      </c>
      <c r="CH236">
        <v>0</v>
      </c>
      <c r="CI236">
        <v>0</v>
      </c>
      <c r="CJ236">
        <v>0</v>
      </c>
      <c r="CK236">
        <v>0</v>
      </c>
      <c r="CL236">
        <v>0</v>
      </c>
      <c r="CM236">
        <v>0</v>
      </c>
    </row>
    <row r="237" spans="82:91" x14ac:dyDescent="0.25">
      <c r="CD237">
        <v>5040</v>
      </c>
      <c r="CE237">
        <v>576</v>
      </c>
      <c r="CF237">
        <v>96</v>
      </c>
      <c r="CG237">
        <v>0</v>
      </c>
      <c r="CH237">
        <v>0</v>
      </c>
      <c r="CI237">
        <v>0</v>
      </c>
      <c r="CJ237">
        <v>0</v>
      </c>
      <c r="CK237">
        <v>0</v>
      </c>
      <c r="CL237">
        <v>0</v>
      </c>
      <c r="CM237">
        <v>0</v>
      </c>
    </row>
    <row r="238" spans="82:91" x14ac:dyDescent="0.25">
      <c r="CD238">
        <v>5040</v>
      </c>
      <c r="CE238">
        <v>576</v>
      </c>
      <c r="CF238">
        <v>96</v>
      </c>
      <c r="CG238">
        <v>0</v>
      </c>
      <c r="CH238">
        <v>0</v>
      </c>
      <c r="CI238">
        <v>0</v>
      </c>
      <c r="CJ238">
        <v>0</v>
      </c>
      <c r="CK238">
        <v>0</v>
      </c>
      <c r="CL238">
        <v>0</v>
      </c>
      <c r="CM238">
        <v>0</v>
      </c>
    </row>
    <row r="239" spans="82:91" x14ac:dyDescent="0.25">
      <c r="CD239">
        <v>5040</v>
      </c>
      <c r="CE239">
        <v>576</v>
      </c>
      <c r="CF239">
        <v>96</v>
      </c>
      <c r="CG239">
        <v>0</v>
      </c>
      <c r="CH239">
        <v>0</v>
      </c>
      <c r="CI239">
        <v>0</v>
      </c>
      <c r="CJ239">
        <v>0</v>
      </c>
      <c r="CK239">
        <v>0</v>
      </c>
      <c r="CL239">
        <v>0</v>
      </c>
      <c r="CM239">
        <v>0</v>
      </c>
    </row>
    <row r="240" spans="82:91" x14ac:dyDescent="0.25">
      <c r="CD240">
        <v>5040</v>
      </c>
      <c r="CE240">
        <v>576</v>
      </c>
      <c r="CF240">
        <v>96</v>
      </c>
      <c r="CG240">
        <v>0</v>
      </c>
      <c r="CH240">
        <v>0</v>
      </c>
      <c r="CI240">
        <v>0</v>
      </c>
      <c r="CJ240">
        <v>0</v>
      </c>
      <c r="CK240">
        <v>0</v>
      </c>
      <c r="CL240">
        <v>0</v>
      </c>
      <c r="CM240">
        <v>0</v>
      </c>
    </row>
    <row r="241" spans="82:91" x14ac:dyDescent="0.25">
      <c r="CD241">
        <v>5040</v>
      </c>
      <c r="CE241">
        <v>576</v>
      </c>
      <c r="CF241">
        <v>96</v>
      </c>
      <c r="CG241">
        <v>0</v>
      </c>
      <c r="CH241">
        <v>0</v>
      </c>
      <c r="CI241">
        <v>0</v>
      </c>
      <c r="CJ241">
        <v>0</v>
      </c>
      <c r="CK241">
        <v>0</v>
      </c>
      <c r="CL241">
        <v>0</v>
      </c>
      <c r="CM241">
        <v>0</v>
      </c>
    </row>
    <row r="242" spans="82:91" x14ac:dyDescent="0.25">
      <c r="CD242">
        <v>5040</v>
      </c>
      <c r="CE242">
        <v>576</v>
      </c>
      <c r="CF242">
        <v>96</v>
      </c>
      <c r="CG242">
        <v>0</v>
      </c>
      <c r="CH242">
        <v>0</v>
      </c>
      <c r="CI242">
        <v>0</v>
      </c>
      <c r="CJ242">
        <v>0</v>
      </c>
      <c r="CK242">
        <v>0</v>
      </c>
      <c r="CL242">
        <v>0</v>
      </c>
      <c r="CM242">
        <v>0</v>
      </c>
    </row>
    <row r="243" spans="82:91" x14ac:dyDescent="0.25">
      <c r="CD243">
        <v>5040</v>
      </c>
      <c r="CE243">
        <v>576</v>
      </c>
      <c r="CF243">
        <v>96</v>
      </c>
      <c r="CG243">
        <v>0</v>
      </c>
      <c r="CH243">
        <v>0</v>
      </c>
      <c r="CI243">
        <v>0</v>
      </c>
      <c r="CJ243">
        <v>0</v>
      </c>
      <c r="CK243">
        <v>0</v>
      </c>
      <c r="CL243">
        <v>0</v>
      </c>
      <c r="CM243">
        <v>0</v>
      </c>
    </row>
    <row r="244" spans="82:91" x14ac:dyDescent="0.25">
      <c r="CD244">
        <v>5040</v>
      </c>
      <c r="CE244">
        <v>576</v>
      </c>
      <c r="CF244">
        <v>96</v>
      </c>
      <c r="CG244">
        <v>0</v>
      </c>
      <c r="CH244">
        <v>0</v>
      </c>
      <c r="CI244">
        <v>0</v>
      </c>
      <c r="CJ244">
        <v>0</v>
      </c>
      <c r="CK244">
        <v>0</v>
      </c>
      <c r="CL244">
        <v>0</v>
      </c>
      <c r="CM244">
        <v>0</v>
      </c>
    </row>
    <row r="245" spans="82:91" x14ac:dyDescent="0.25">
      <c r="CD245">
        <v>5040</v>
      </c>
      <c r="CE245">
        <v>576</v>
      </c>
      <c r="CF245">
        <v>96</v>
      </c>
      <c r="CG245">
        <v>0</v>
      </c>
      <c r="CH245">
        <v>0</v>
      </c>
      <c r="CI245">
        <v>0</v>
      </c>
      <c r="CJ245">
        <v>0</v>
      </c>
      <c r="CK245">
        <v>0</v>
      </c>
      <c r="CL245">
        <v>0</v>
      </c>
      <c r="CM245">
        <v>0</v>
      </c>
    </row>
    <row r="246" spans="82:91" x14ac:dyDescent="0.25">
      <c r="CD246">
        <v>5040</v>
      </c>
      <c r="CE246">
        <v>576</v>
      </c>
      <c r="CF246">
        <v>96</v>
      </c>
      <c r="CG246">
        <v>0</v>
      </c>
      <c r="CH246">
        <v>0</v>
      </c>
      <c r="CI246">
        <v>0</v>
      </c>
      <c r="CJ246">
        <v>0</v>
      </c>
      <c r="CK246">
        <v>0</v>
      </c>
      <c r="CL246">
        <v>0</v>
      </c>
      <c r="CM246">
        <v>0</v>
      </c>
    </row>
    <row r="247" spans="82:91" x14ac:dyDescent="0.25">
      <c r="CD247">
        <v>5040</v>
      </c>
      <c r="CE247">
        <v>576</v>
      </c>
      <c r="CF247">
        <v>96</v>
      </c>
      <c r="CG247">
        <v>0</v>
      </c>
      <c r="CH247">
        <v>0</v>
      </c>
      <c r="CI247">
        <v>0</v>
      </c>
      <c r="CJ247">
        <v>0</v>
      </c>
      <c r="CK247">
        <v>0</v>
      </c>
      <c r="CL247">
        <v>0</v>
      </c>
      <c r="CM247">
        <v>0</v>
      </c>
    </row>
    <row r="248" spans="82:91" x14ac:dyDescent="0.25">
      <c r="CD248">
        <v>5040</v>
      </c>
      <c r="CE248">
        <v>576</v>
      </c>
      <c r="CF248">
        <v>96</v>
      </c>
      <c r="CG248">
        <v>0</v>
      </c>
      <c r="CH248">
        <v>0</v>
      </c>
      <c r="CI248">
        <v>0</v>
      </c>
      <c r="CJ248">
        <v>0</v>
      </c>
      <c r="CK248">
        <v>0</v>
      </c>
      <c r="CL248">
        <v>0</v>
      </c>
      <c r="CM248">
        <v>0</v>
      </c>
    </row>
    <row r="249" spans="82:91" x14ac:dyDescent="0.25">
      <c r="CD249">
        <v>5040</v>
      </c>
      <c r="CE249">
        <v>576</v>
      </c>
      <c r="CF249">
        <v>96</v>
      </c>
      <c r="CG249">
        <v>0</v>
      </c>
      <c r="CH249">
        <v>0</v>
      </c>
      <c r="CI249">
        <v>0</v>
      </c>
      <c r="CJ249">
        <v>0</v>
      </c>
      <c r="CK249">
        <v>0</v>
      </c>
      <c r="CL249">
        <v>0</v>
      </c>
      <c r="CM249">
        <v>0</v>
      </c>
    </row>
    <row r="250" spans="82:91" x14ac:dyDescent="0.25">
      <c r="CD250">
        <v>5040</v>
      </c>
      <c r="CE250">
        <v>576</v>
      </c>
      <c r="CF250">
        <v>96</v>
      </c>
      <c r="CG250">
        <v>0</v>
      </c>
      <c r="CH250">
        <v>0</v>
      </c>
      <c r="CI250">
        <v>0</v>
      </c>
      <c r="CJ250">
        <v>0</v>
      </c>
      <c r="CK250">
        <v>0</v>
      </c>
      <c r="CL250">
        <v>0</v>
      </c>
      <c r="CM250">
        <v>0</v>
      </c>
    </row>
    <row r="251" spans="82:91" x14ac:dyDescent="0.25">
      <c r="CD251">
        <v>5040</v>
      </c>
      <c r="CE251">
        <v>576</v>
      </c>
      <c r="CF251">
        <v>96</v>
      </c>
      <c r="CG251">
        <v>0</v>
      </c>
      <c r="CH251">
        <v>0</v>
      </c>
      <c r="CI251">
        <v>0</v>
      </c>
      <c r="CJ251">
        <v>0</v>
      </c>
      <c r="CK251">
        <v>0</v>
      </c>
      <c r="CL251">
        <v>0</v>
      </c>
      <c r="CM251">
        <v>0</v>
      </c>
    </row>
    <row r="252" spans="82:91" x14ac:dyDescent="0.25">
      <c r="CD252">
        <v>5040</v>
      </c>
      <c r="CE252">
        <v>576</v>
      </c>
      <c r="CF252">
        <v>96</v>
      </c>
      <c r="CG252">
        <v>0</v>
      </c>
      <c r="CH252">
        <v>0</v>
      </c>
      <c r="CI252">
        <v>0</v>
      </c>
      <c r="CJ252">
        <v>0</v>
      </c>
      <c r="CK252">
        <v>0</v>
      </c>
      <c r="CL252">
        <v>0</v>
      </c>
      <c r="CM252">
        <v>0</v>
      </c>
    </row>
    <row r="253" spans="82:91" x14ac:dyDescent="0.25">
      <c r="CD253">
        <v>5040</v>
      </c>
      <c r="CE253">
        <v>576</v>
      </c>
      <c r="CF253">
        <v>96</v>
      </c>
      <c r="CG253">
        <v>0</v>
      </c>
      <c r="CH253">
        <v>0</v>
      </c>
      <c r="CI253">
        <v>0</v>
      </c>
      <c r="CJ253">
        <v>0</v>
      </c>
      <c r="CK253">
        <v>0</v>
      </c>
      <c r="CL253">
        <v>0</v>
      </c>
      <c r="CM253">
        <v>0</v>
      </c>
    </row>
    <row r="254" spans="82:91" x14ac:dyDescent="0.25">
      <c r="CD254">
        <v>5040</v>
      </c>
      <c r="CE254">
        <v>576</v>
      </c>
      <c r="CF254">
        <v>96</v>
      </c>
      <c r="CG254">
        <v>0</v>
      </c>
      <c r="CH254">
        <v>0</v>
      </c>
      <c r="CI254">
        <v>0</v>
      </c>
      <c r="CJ254">
        <v>0</v>
      </c>
      <c r="CK254">
        <v>0</v>
      </c>
      <c r="CL254">
        <v>0</v>
      </c>
      <c r="CM254">
        <v>0</v>
      </c>
    </row>
    <row r="255" spans="82:91" x14ac:dyDescent="0.25">
      <c r="CD255">
        <v>5040</v>
      </c>
      <c r="CE255">
        <v>576</v>
      </c>
      <c r="CF255">
        <v>96</v>
      </c>
      <c r="CG255">
        <v>0</v>
      </c>
      <c r="CH255">
        <v>0</v>
      </c>
      <c r="CI255">
        <v>0</v>
      </c>
      <c r="CJ255">
        <v>0</v>
      </c>
      <c r="CK255">
        <v>0</v>
      </c>
      <c r="CL255">
        <v>0</v>
      </c>
      <c r="CM255">
        <v>0</v>
      </c>
    </row>
    <row r="256" spans="82:91" x14ac:dyDescent="0.25">
      <c r="CD256">
        <v>5040</v>
      </c>
      <c r="CE256">
        <v>576</v>
      </c>
      <c r="CF256">
        <v>96</v>
      </c>
      <c r="CG256">
        <v>0</v>
      </c>
      <c r="CH256">
        <v>0</v>
      </c>
      <c r="CI256">
        <v>0</v>
      </c>
      <c r="CJ256">
        <v>0</v>
      </c>
      <c r="CK256">
        <v>0</v>
      </c>
      <c r="CL256">
        <v>0</v>
      </c>
      <c r="CM256">
        <v>0</v>
      </c>
    </row>
    <row r="257" spans="82:91" x14ac:dyDescent="0.25">
      <c r="CD257">
        <v>5040</v>
      </c>
      <c r="CE257">
        <v>576</v>
      </c>
      <c r="CF257">
        <v>96</v>
      </c>
      <c r="CG257">
        <v>0</v>
      </c>
      <c r="CH257">
        <v>0</v>
      </c>
      <c r="CI257">
        <v>0</v>
      </c>
      <c r="CJ257">
        <v>0</v>
      </c>
      <c r="CK257">
        <v>0</v>
      </c>
      <c r="CL257">
        <v>0</v>
      </c>
      <c r="CM257">
        <v>0</v>
      </c>
    </row>
    <row r="258" spans="82:91" x14ac:dyDescent="0.25">
      <c r="CD258">
        <v>5040</v>
      </c>
      <c r="CE258">
        <v>576</v>
      </c>
      <c r="CF258">
        <v>96</v>
      </c>
      <c r="CG258">
        <v>0</v>
      </c>
      <c r="CH258">
        <v>0</v>
      </c>
      <c r="CI258">
        <v>0</v>
      </c>
      <c r="CJ258">
        <v>0</v>
      </c>
      <c r="CK258">
        <v>0</v>
      </c>
      <c r="CL258">
        <v>0</v>
      </c>
      <c r="CM258">
        <v>0</v>
      </c>
    </row>
    <row r="259" spans="82:91" x14ac:dyDescent="0.25">
      <c r="CD259">
        <v>5040</v>
      </c>
      <c r="CE259">
        <v>576</v>
      </c>
      <c r="CF259">
        <v>96</v>
      </c>
      <c r="CG259">
        <v>0</v>
      </c>
      <c r="CH259">
        <v>0</v>
      </c>
      <c r="CI259">
        <v>0</v>
      </c>
      <c r="CJ259">
        <v>0</v>
      </c>
      <c r="CK259">
        <v>0</v>
      </c>
      <c r="CL259">
        <v>0</v>
      </c>
      <c r="CM259">
        <v>0</v>
      </c>
    </row>
    <row r="260" spans="82:91" x14ac:dyDescent="0.25">
      <c r="CD260">
        <v>5040</v>
      </c>
      <c r="CE260">
        <v>384</v>
      </c>
      <c r="CF260">
        <v>144</v>
      </c>
      <c r="CG260">
        <v>0</v>
      </c>
      <c r="CH260">
        <v>0</v>
      </c>
      <c r="CI260">
        <v>0</v>
      </c>
      <c r="CJ260">
        <v>0</v>
      </c>
      <c r="CK260">
        <v>0</v>
      </c>
      <c r="CL260">
        <v>0</v>
      </c>
      <c r="CM260">
        <v>0</v>
      </c>
    </row>
    <row r="261" spans="82:91" x14ac:dyDescent="0.25">
      <c r="CD261">
        <v>5040</v>
      </c>
      <c r="CE261">
        <v>384</v>
      </c>
      <c r="CF261">
        <v>144</v>
      </c>
      <c r="CG261">
        <v>0</v>
      </c>
      <c r="CH261">
        <v>0</v>
      </c>
      <c r="CI261">
        <v>0</v>
      </c>
      <c r="CJ261">
        <v>0</v>
      </c>
      <c r="CK261">
        <v>0</v>
      </c>
      <c r="CL261">
        <v>0</v>
      </c>
      <c r="CM261">
        <v>0</v>
      </c>
    </row>
    <row r="262" spans="82:91" x14ac:dyDescent="0.25">
      <c r="CD262">
        <v>5040</v>
      </c>
      <c r="CE262">
        <v>384</v>
      </c>
      <c r="CF262">
        <v>144</v>
      </c>
      <c r="CG262">
        <v>0</v>
      </c>
      <c r="CH262">
        <v>0</v>
      </c>
      <c r="CI262">
        <v>0</v>
      </c>
      <c r="CJ262">
        <v>0</v>
      </c>
      <c r="CK262">
        <v>0</v>
      </c>
      <c r="CL262">
        <v>0</v>
      </c>
      <c r="CM262">
        <v>0</v>
      </c>
    </row>
    <row r="263" spans="82:91" x14ac:dyDescent="0.25">
      <c r="CD263">
        <v>5040</v>
      </c>
      <c r="CE263">
        <v>384</v>
      </c>
      <c r="CF263">
        <v>144</v>
      </c>
      <c r="CG263">
        <v>0</v>
      </c>
      <c r="CH263">
        <v>0</v>
      </c>
      <c r="CI263">
        <v>0</v>
      </c>
      <c r="CJ263">
        <v>0</v>
      </c>
      <c r="CK263">
        <v>0</v>
      </c>
      <c r="CL263">
        <v>0</v>
      </c>
      <c r="CM263">
        <v>0</v>
      </c>
    </row>
    <row r="264" spans="82:91" x14ac:dyDescent="0.25">
      <c r="CD264">
        <v>5040</v>
      </c>
      <c r="CE264">
        <v>384</v>
      </c>
      <c r="CF264">
        <v>144</v>
      </c>
      <c r="CG264">
        <v>0</v>
      </c>
      <c r="CH264">
        <v>0</v>
      </c>
      <c r="CI264">
        <v>0</v>
      </c>
      <c r="CJ264">
        <v>0</v>
      </c>
      <c r="CK264">
        <v>0</v>
      </c>
      <c r="CL264">
        <v>0</v>
      </c>
      <c r="CM264">
        <v>0</v>
      </c>
    </row>
    <row r="265" spans="82:91" x14ac:dyDescent="0.25">
      <c r="CD265">
        <v>5040</v>
      </c>
      <c r="CE265">
        <v>384</v>
      </c>
      <c r="CF265">
        <v>144</v>
      </c>
      <c r="CG265">
        <v>0</v>
      </c>
      <c r="CH265">
        <v>0</v>
      </c>
      <c r="CI265">
        <v>0</v>
      </c>
      <c r="CJ265">
        <v>0</v>
      </c>
      <c r="CK265">
        <v>0</v>
      </c>
      <c r="CL265">
        <v>0</v>
      </c>
      <c r="CM265">
        <v>0</v>
      </c>
    </row>
    <row r="266" spans="82:91" x14ac:dyDescent="0.25">
      <c r="CD266">
        <v>5040</v>
      </c>
      <c r="CE266">
        <v>384</v>
      </c>
      <c r="CF266">
        <v>144</v>
      </c>
      <c r="CG266">
        <v>0</v>
      </c>
      <c r="CH266">
        <v>0</v>
      </c>
      <c r="CI266">
        <v>0</v>
      </c>
      <c r="CJ266">
        <v>0</v>
      </c>
      <c r="CK266">
        <v>0</v>
      </c>
      <c r="CL266">
        <v>0</v>
      </c>
      <c r="CM266">
        <v>0</v>
      </c>
    </row>
    <row r="267" spans="82:91" x14ac:dyDescent="0.25">
      <c r="CD267">
        <v>5040</v>
      </c>
      <c r="CE267">
        <v>384</v>
      </c>
      <c r="CF267">
        <v>144</v>
      </c>
      <c r="CG267">
        <v>0</v>
      </c>
      <c r="CH267">
        <v>0</v>
      </c>
      <c r="CI267">
        <v>0</v>
      </c>
      <c r="CJ267">
        <v>0</v>
      </c>
      <c r="CK267">
        <v>0</v>
      </c>
      <c r="CL267">
        <v>0</v>
      </c>
      <c r="CM267">
        <v>0</v>
      </c>
    </row>
    <row r="268" spans="82:91" x14ac:dyDescent="0.25">
      <c r="CD268">
        <v>5040</v>
      </c>
      <c r="CE268">
        <v>384</v>
      </c>
      <c r="CF268">
        <v>144</v>
      </c>
      <c r="CG268">
        <v>0</v>
      </c>
      <c r="CH268">
        <v>0</v>
      </c>
      <c r="CI268">
        <v>0</v>
      </c>
      <c r="CJ268">
        <v>0</v>
      </c>
      <c r="CK268">
        <v>0</v>
      </c>
      <c r="CL268">
        <v>0</v>
      </c>
      <c r="CM268">
        <v>0</v>
      </c>
    </row>
    <row r="269" spans="82:91" x14ac:dyDescent="0.25">
      <c r="CD269">
        <v>5040</v>
      </c>
      <c r="CE269">
        <v>384</v>
      </c>
      <c r="CF269">
        <v>144</v>
      </c>
      <c r="CG269">
        <v>0</v>
      </c>
      <c r="CH269">
        <v>0</v>
      </c>
      <c r="CI269">
        <v>0</v>
      </c>
      <c r="CJ269">
        <v>0</v>
      </c>
      <c r="CK269">
        <v>0</v>
      </c>
      <c r="CL269">
        <v>0</v>
      </c>
      <c r="CM269">
        <v>0</v>
      </c>
    </row>
    <row r="270" spans="82:91" x14ac:dyDescent="0.25">
      <c r="CD270">
        <v>5040</v>
      </c>
      <c r="CE270">
        <v>384</v>
      </c>
      <c r="CF270">
        <v>144</v>
      </c>
      <c r="CG270">
        <v>0</v>
      </c>
      <c r="CH270">
        <v>0</v>
      </c>
      <c r="CI270">
        <v>0</v>
      </c>
      <c r="CJ270">
        <v>0</v>
      </c>
      <c r="CK270">
        <v>0</v>
      </c>
      <c r="CL270">
        <v>0</v>
      </c>
      <c r="CM270">
        <v>0</v>
      </c>
    </row>
    <row r="271" spans="82:91" x14ac:dyDescent="0.25">
      <c r="CD271">
        <v>5040</v>
      </c>
      <c r="CE271">
        <v>384</v>
      </c>
      <c r="CF271">
        <v>144</v>
      </c>
      <c r="CG271">
        <v>0</v>
      </c>
      <c r="CH271">
        <v>0</v>
      </c>
      <c r="CI271">
        <v>0</v>
      </c>
      <c r="CJ271">
        <v>0</v>
      </c>
      <c r="CK271">
        <v>0</v>
      </c>
      <c r="CL271">
        <v>0</v>
      </c>
      <c r="CM271">
        <v>0</v>
      </c>
    </row>
    <row r="272" spans="82:91" x14ac:dyDescent="0.25">
      <c r="CD272">
        <v>5040</v>
      </c>
      <c r="CE272">
        <v>384</v>
      </c>
      <c r="CF272">
        <v>144</v>
      </c>
      <c r="CG272">
        <v>0</v>
      </c>
      <c r="CH272">
        <v>0</v>
      </c>
      <c r="CI272">
        <v>0</v>
      </c>
      <c r="CJ272">
        <v>0</v>
      </c>
      <c r="CK272">
        <v>0</v>
      </c>
      <c r="CL272">
        <v>0</v>
      </c>
      <c r="CM272">
        <v>0</v>
      </c>
    </row>
    <row r="273" spans="82:91" x14ac:dyDescent="0.25">
      <c r="CD273">
        <v>5040</v>
      </c>
      <c r="CE273">
        <v>384</v>
      </c>
      <c r="CF273">
        <v>144</v>
      </c>
      <c r="CG273">
        <v>0</v>
      </c>
      <c r="CH273">
        <v>0</v>
      </c>
      <c r="CI273">
        <v>0</v>
      </c>
      <c r="CJ273">
        <v>0</v>
      </c>
      <c r="CK273">
        <v>0</v>
      </c>
      <c r="CL273">
        <v>0</v>
      </c>
      <c r="CM273">
        <v>0</v>
      </c>
    </row>
    <row r="274" spans="82:91" x14ac:dyDescent="0.25">
      <c r="CD274">
        <v>5040</v>
      </c>
      <c r="CE274">
        <v>384</v>
      </c>
      <c r="CF274">
        <v>144</v>
      </c>
      <c r="CG274">
        <v>0</v>
      </c>
      <c r="CH274">
        <v>0</v>
      </c>
      <c r="CI274">
        <v>0</v>
      </c>
      <c r="CJ274">
        <v>0</v>
      </c>
      <c r="CK274">
        <v>0</v>
      </c>
      <c r="CL274">
        <v>0</v>
      </c>
      <c r="CM274">
        <v>0</v>
      </c>
    </row>
    <row r="275" spans="82:91" x14ac:dyDescent="0.25">
      <c r="CD275">
        <v>5040</v>
      </c>
      <c r="CE275">
        <v>384</v>
      </c>
      <c r="CF275">
        <v>144</v>
      </c>
      <c r="CG275">
        <v>0</v>
      </c>
      <c r="CH275">
        <v>0</v>
      </c>
      <c r="CI275">
        <v>0</v>
      </c>
      <c r="CJ275">
        <v>0</v>
      </c>
      <c r="CK275">
        <v>0</v>
      </c>
      <c r="CL275">
        <v>0</v>
      </c>
      <c r="CM275">
        <v>0</v>
      </c>
    </row>
    <row r="276" spans="82:91" x14ac:dyDescent="0.25">
      <c r="CD276">
        <v>5040</v>
      </c>
      <c r="CE276">
        <v>384</v>
      </c>
      <c r="CF276">
        <v>144</v>
      </c>
      <c r="CG276">
        <v>0</v>
      </c>
      <c r="CH276">
        <v>0</v>
      </c>
      <c r="CI276">
        <v>0</v>
      </c>
      <c r="CJ276">
        <v>0</v>
      </c>
      <c r="CK276">
        <v>0</v>
      </c>
      <c r="CL276">
        <v>0</v>
      </c>
      <c r="CM276">
        <v>0</v>
      </c>
    </row>
    <row r="277" spans="82:91" x14ac:dyDescent="0.25">
      <c r="CD277">
        <v>5040</v>
      </c>
      <c r="CE277">
        <v>384</v>
      </c>
      <c r="CF277">
        <v>144</v>
      </c>
      <c r="CG277">
        <v>0</v>
      </c>
      <c r="CH277">
        <v>0</v>
      </c>
      <c r="CI277">
        <v>0</v>
      </c>
      <c r="CJ277">
        <v>0</v>
      </c>
      <c r="CK277">
        <v>0</v>
      </c>
      <c r="CL277">
        <v>0</v>
      </c>
      <c r="CM277">
        <v>0</v>
      </c>
    </row>
    <row r="278" spans="82:91" x14ac:dyDescent="0.25">
      <c r="CD278">
        <v>5040</v>
      </c>
      <c r="CE278">
        <v>384</v>
      </c>
      <c r="CF278">
        <v>144</v>
      </c>
      <c r="CG278">
        <v>0</v>
      </c>
      <c r="CH278">
        <v>0</v>
      </c>
      <c r="CI278">
        <v>0</v>
      </c>
      <c r="CJ278">
        <v>0</v>
      </c>
      <c r="CK278">
        <v>0</v>
      </c>
      <c r="CL278">
        <v>0</v>
      </c>
      <c r="CM278">
        <v>0</v>
      </c>
    </row>
    <row r="279" spans="82:91" x14ac:dyDescent="0.25">
      <c r="CD279">
        <v>5040</v>
      </c>
      <c r="CE279">
        <v>384</v>
      </c>
      <c r="CF279">
        <v>144</v>
      </c>
      <c r="CG279">
        <v>0</v>
      </c>
      <c r="CH279">
        <v>0</v>
      </c>
      <c r="CI279">
        <v>0</v>
      </c>
      <c r="CJ279">
        <v>0</v>
      </c>
      <c r="CK279">
        <v>0</v>
      </c>
      <c r="CL279">
        <v>0</v>
      </c>
      <c r="CM279">
        <v>0</v>
      </c>
    </row>
    <row r="280" spans="82:91" x14ac:dyDescent="0.25">
      <c r="CD280">
        <v>5040</v>
      </c>
      <c r="CE280">
        <v>384</v>
      </c>
      <c r="CF280">
        <v>144</v>
      </c>
      <c r="CG280">
        <v>0</v>
      </c>
      <c r="CH280">
        <v>0</v>
      </c>
      <c r="CI280">
        <v>0</v>
      </c>
      <c r="CJ280">
        <v>0</v>
      </c>
      <c r="CK280">
        <v>0</v>
      </c>
      <c r="CL280">
        <v>0</v>
      </c>
      <c r="CM280">
        <v>0</v>
      </c>
    </row>
    <row r="281" spans="82:91" x14ac:dyDescent="0.25">
      <c r="CD281">
        <v>5040</v>
      </c>
      <c r="CE281">
        <v>384</v>
      </c>
      <c r="CF281">
        <v>144</v>
      </c>
      <c r="CG281">
        <v>0</v>
      </c>
      <c r="CH281">
        <v>0</v>
      </c>
      <c r="CI281">
        <v>0</v>
      </c>
      <c r="CJ281">
        <v>0</v>
      </c>
      <c r="CK281">
        <v>0</v>
      </c>
      <c r="CL281">
        <v>0</v>
      </c>
      <c r="CM281">
        <v>0</v>
      </c>
    </row>
    <row r="282" spans="82:91" x14ac:dyDescent="0.25">
      <c r="CD282">
        <v>5040</v>
      </c>
      <c r="CE282">
        <v>384</v>
      </c>
      <c r="CF282">
        <v>144</v>
      </c>
      <c r="CG282">
        <v>0</v>
      </c>
      <c r="CH282">
        <v>0</v>
      </c>
      <c r="CI282">
        <v>0</v>
      </c>
      <c r="CJ282">
        <v>0</v>
      </c>
      <c r="CK282">
        <v>0</v>
      </c>
      <c r="CL282">
        <v>0</v>
      </c>
      <c r="CM282">
        <v>0</v>
      </c>
    </row>
    <row r="283" spans="82:91" x14ac:dyDescent="0.25">
      <c r="CD283">
        <v>5040</v>
      </c>
      <c r="CE283">
        <v>384</v>
      </c>
      <c r="CF283">
        <v>144</v>
      </c>
      <c r="CG283">
        <v>0</v>
      </c>
      <c r="CH283">
        <v>0</v>
      </c>
      <c r="CI283">
        <v>0</v>
      </c>
      <c r="CJ283">
        <v>0</v>
      </c>
      <c r="CK283">
        <v>0</v>
      </c>
      <c r="CL283">
        <v>0</v>
      </c>
      <c r="CM283">
        <v>0</v>
      </c>
    </row>
    <row r="284" spans="82:91" x14ac:dyDescent="0.25">
      <c r="CD284">
        <v>5040</v>
      </c>
      <c r="CE284">
        <v>384</v>
      </c>
      <c r="CF284">
        <v>144</v>
      </c>
      <c r="CG284">
        <v>0</v>
      </c>
      <c r="CH284">
        <v>0</v>
      </c>
      <c r="CI284">
        <v>0</v>
      </c>
      <c r="CJ284">
        <v>0</v>
      </c>
      <c r="CK284">
        <v>0</v>
      </c>
      <c r="CL284">
        <v>0</v>
      </c>
      <c r="CM284">
        <v>0</v>
      </c>
    </row>
    <row r="285" spans="82:91" x14ac:dyDescent="0.25">
      <c r="CD285">
        <v>5040</v>
      </c>
      <c r="CE285">
        <v>384</v>
      </c>
      <c r="CF285">
        <v>144</v>
      </c>
      <c r="CG285">
        <v>0</v>
      </c>
      <c r="CH285">
        <v>0</v>
      </c>
      <c r="CI285">
        <v>0</v>
      </c>
      <c r="CJ285">
        <v>0</v>
      </c>
      <c r="CK285">
        <v>0</v>
      </c>
      <c r="CL285">
        <v>0</v>
      </c>
      <c r="CM285">
        <v>0</v>
      </c>
    </row>
    <row r="286" spans="82:91" x14ac:dyDescent="0.25">
      <c r="CD286">
        <v>5040</v>
      </c>
      <c r="CE286">
        <v>384</v>
      </c>
      <c r="CF286">
        <v>144</v>
      </c>
      <c r="CG286">
        <v>0</v>
      </c>
      <c r="CH286">
        <v>0</v>
      </c>
      <c r="CI286">
        <v>0</v>
      </c>
      <c r="CJ286">
        <v>0</v>
      </c>
      <c r="CK286">
        <v>0</v>
      </c>
      <c r="CL286">
        <v>0</v>
      </c>
      <c r="CM286">
        <v>0</v>
      </c>
    </row>
    <row r="287" spans="82:91" x14ac:dyDescent="0.25">
      <c r="CD287">
        <v>5040</v>
      </c>
      <c r="CE287">
        <v>384</v>
      </c>
      <c r="CF287">
        <v>144</v>
      </c>
      <c r="CG287">
        <v>0</v>
      </c>
      <c r="CH287">
        <v>0</v>
      </c>
      <c r="CI287">
        <v>0</v>
      </c>
      <c r="CJ287">
        <v>0</v>
      </c>
      <c r="CK287">
        <v>0</v>
      </c>
      <c r="CL287">
        <v>0</v>
      </c>
      <c r="CM287">
        <v>0</v>
      </c>
    </row>
    <row r="288" spans="82:91" x14ac:dyDescent="0.25">
      <c r="CD288">
        <v>5040</v>
      </c>
      <c r="CE288">
        <v>384</v>
      </c>
      <c r="CF288">
        <v>144</v>
      </c>
      <c r="CG288">
        <v>0</v>
      </c>
      <c r="CH288">
        <v>0</v>
      </c>
      <c r="CI288">
        <v>0</v>
      </c>
      <c r="CJ288">
        <v>0</v>
      </c>
      <c r="CK288">
        <v>0</v>
      </c>
      <c r="CL288">
        <v>0</v>
      </c>
      <c r="CM288">
        <v>0</v>
      </c>
    </row>
    <row r="289" spans="82:91" x14ac:dyDescent="0.25">
      <c r="CD289">
        <v>5040</v>
      </c>
      <c r="CE289">
        <v>384</v>
      </c>
      <c r="CF289">
        <v>144</v>
      </c>
      <c r="CG289">
        <v>0</v>
      </c>
      <c r="CH289">
        <v>0</v>
      </c>
      <c r="CI289">
        <v>0</v>
      </c>
      <c r="CJ289">
        <v>0</v>
      </c>
      <c r="CK289">
        <v>0</v>
      </c>
      <c r="CL289">
        <v>0</v>
      </c>
      <c r="CM289">
        <v>0</v>
      </c>
    </row>
    <row r="290" spans="82:91" x14ac:dyDescent="0.25">
      <c r="CD290">
        <v>5040</v>
      </c>
      <c r="CE290">
        <v>384</v>
      </c>
      <c r="CF290">
        <v>144</v>
      </c>
      <c r="CG290">
        <v>0</v>
      </c>
      <c r="CH290">
        <v>0</v>
      </c>
      <c r="CI290">
        <v>0</v>
      </c>
      <c r="CJ290">
        <v>0</v>
      </c>
      <c r="CK290">
        <v>0</v>
      </c>
      <c r="CL290">
        <v>0</v>
      </c>
      <c r="CM290">
        <v>0</v>
      </c>
    </row>
    <row r="291" spans="82:91" x14ac:dyDescent="0.25">
      <c r="CD291">
        <v>5040</v>
      </c>
      <c r="CE291">
        <v>384</v>
      </c>
      <c r="CF291">
        <v>144</v>
      </c>
      <c r="CG291">
        <v>0</v>
      </c>
      <c r="CH291">
        <v>0</v>
      </c>
      <c r="CI291">
        <v>0</v>
      </c>
      <c r="CJ291">
        <v>0</v>
      </c>
      <c r="CK291">
        <v>0</v>
      </c>
      <c r="CL291">
        <v>0</v>
      </c>
      <c r="CM291">
        <v>0</v>
      </c>
    </row>
    <row r="292" spans="82:91" x14ac:dyDescent="0.25">
      <c r="CD292">
        <v>5040</v>
      </c>
      <c r="CE292">
        <v>384</v>
      </c>
      <c r="CF292">
        <v>144</v>
      </c>
      <c r="CG292">
        <v>0</v>
      </c>
      <c r="CH292">
        <v>0</v>
      </c>
      <c r="CI292">
        <v>0</v>
      </c>
      <c r="CJ292">
        <v>0</v>
      </c>
      <c r="CK292">
        <v>0</v>
      </c>
      <c r="CL292">
        <v>0</v>
      </c>
      <c r="CM292">
        <v>0</v>
      </c>
    </row>
    <row r="293" spans="82:91" x14ac:dyDescent="0.25">
      <c r="CD293">
        <v>5040</v>
      </c>
      <c r="CE293">
        <v>384</v>
      </c>
      <c r="CF293">
        <v>144</v>
      </c>
      <c r="CG293">
        <v>0</v>
      </c>
      <c r="CH293">
        <v>0</v>
      </c>
      <c r="CI293">
        <v>0</v>
      </c>
      <c r="CJ293">
        <v>0</v>
      </c>
      <c r="CK293">
        <v>0</v>
      </c>
      <c r="CL293">
        <v>0</v>
      </c>
      <c r="CM293">
        <v>0</v>
      </c>
    </row>
    <row r="294" spans="82:91" x14ac:dyDescent="0.25">
      <c r="CD294">
        <v>5040</v>
      </c>
      <c r="CE294">
        <v>384</v>
      </c>
      <c r="CF294">
        <v>144</v>
      </c>
      <c r="CG294">
        <v>0</v>
      </c>
      <c r="CH294">
        <v>0</v>
      </c>
      <c r="CI294">
        <v>0</v>
      </c>
      <c r="CJ294">
        <v>0</v>
      </c>
      <c r="CK294">
        <v>0</v>
      </c>
      <c r="CL294">
        <v>0</v>
      </c>
      <c r="CM294">
        <v>0</v>
      </c>
    </row>
    <row r="295" spans="82:91" x14ac:dyDescent="0.25">
      <c r="CD295">
        <v>5040</v>
      </c>
      <c r="CE295">
        <v>384</v>
      </c>
      <c r="CF295">
        <v>144</v>
      </c>
      <c r="CG295">
        <v>0</v>
      </c>
      <c r="CH295">
        <v>0</v>
      </c>
      <c r="CI295">
        <v>0</v>
      </c>
      <c r="CJ295">
        <v>0</v>
      </c>
      <c r="CK295">
        <v>0</v>
      </c>
      <c r="CL295">
        <v>0</v>
      </c>
      <c r="CM295">
        <v>0</v>
      </c>
    </row>
    <row r="296" spans="82:91" x14ac:dyDescent="0.25">
      <c r="CD296">
        <v>5040</v>
      </c>
      <c r="CE296">
        <v>384</v>
      </c>
      <c r="CF296">
        <v>144</v>
      </c>
      <c r="CG296">
        <v>0</v>
      </c>
      <c r="CH296">
        <v>0</v>
      </c>
      <c r="CI296">
        <v>0</v>
      </c>
      <c r="CJ296">
        <v>0</v>
      </c>
      <c r="CK296">
        <v>0</v>
      </c>
      <c r="CL296">
        <v>0</v>
      </c>
      <c r="CM296">
        <v>0</v>
      </c>
    </row>
    <row r="297" spans="82:91" x14ac:dyDescent="0.25">
      <c r="CD297">
        <v>5040</v>
      </c>
      <c r="CE297">
        <v>384</v>
      </c>
      <c r="CF297">
        <v>144</v>
      </c>
      <c r="CG297">
        <v>0</v>
      </c>
      <c r="CH297">
        <v>0</v>
      </c>
      <c r="CI297">
        <v>0</v>
      </c>
      <c r="CJ297">
        <v>0</v>
      </c>
      <c r="CK297">
        <v>0</v>
      </c>
      <c r="CL297">
        <v>0</v>
      </c>
      <c r="CM297">
        <v>0</v>
      </c>
    </row>
    <row r="298" spans="82:91" x14ac:dyDescent="0.25">
      <c r="CD298">
        <v>5040</v>
      </c>
      <c r="CE298">
        <v>384</v>
      </c>
      <c r="CF298">
        <v>144</v>
      </c>
      <c r="CG298">
        <v>0</v>
      </c>
      <c r="CH298">
        <v>0</v>
      </c>
      <c r="CI298">
        <v>0</v>
      </c>
      <c r="CJ298">
        <v>0</v>
      </c>
      <c r="CK298">
        <v>0</v>
      </c>
      <c r="CL298">
        <v>0</v>
      </c>
      <c r="CM298">
        <v>0</v>
      </c>
    </row>
    <row r="299" spans="82:91" x14ac:dyDescent="0.25">
      <c r="CD299">
        <v>5040</v>
      </c>
      <c r="CE299">
        <v>384</v>
      </c>
      <c r="CF299">
        <v>144</v>
      </c>
      <c r="CG299">
        <v>0</v>
      </c>
      <c r="CH299">
        <v>0</v>
      </c>
      <c r="CI299">
        <v>0</v>
      </c>
      <c r="CJ299">
        <v>0</v>
      </c>
      <c r="CK299">
        <v>0</v>
      </c>
      <c r="CL299">
        <v>0</v>
      </c>
      <c r="CM299">
        <v>0</v>
      </c>
    </row>
    <row r="300" spans="82:91" x14ac:dyDescent="0.25">
      <c r="CD300">
        <v>5040</v>
      </c>
      <c r="CE300">
        <v>384</v>
      </c>
      <c r="CF300">
        <v>144</v>
      </c>
      <c r="CG300">
        <v>0</v>
      </c>
      <c r="CH300">
        <v>0</v>
      </c>
      <c r="CI300">
        <v>0</v>
      </c>
      <c r="CJ300">
        <v>0</v>
      </c>
      <c r="CK300">
        <v>0</v>
      </c>
      <c r="CL300">
        <v>0</v>
      </c>
      <c r="CM300">
        <v>0</v>
      </c>
    </row>
    <row r="301" spans="82:91" x14ac:dyDescent="0.25">
      <c r="CD301">
        <v>5040</v>
      </c>
      <c r="CE301">
        <v>384</v>
      </c>
      <c r="CF301">
        <v>144</v>
      </c>
      <c r="CG301">
        <v>0</v>
      </c>
      <c r="CH301">
        <v>0</v>
      </c>
      <c r="CI301">
        <v>0</v>
      </c>
      <c r="CJ301">
        <v>0</v>
      </c>
      <c r="CK301">
        <v>0</v>
      </c>
      <c r="CL301">
        <v>0</v>
      </c>
      <c r="CM301">
        <v>0</v>
      </c>
    </row>
    <row r="302" spans="82:91" x14ac:dyDescent="0.25">
      <c r="CD302">
        <v>5040</v>
      </c>
      <c r="CE302">
        <v>384</v>
      </c>
      <c r="CF302">
        <v>144</v>
      </c>
      <c r="CG302">
        <v>0</v>
      </c>
      <c r="CH302">
        <v>0</v>
      </c>
      <c r="CI302">
        <v>0</v>
      </c>
      <c r="CJ302">
        <v>0</v>
      </c>
      <c r="CK302">
        <v>0</v>
      </c>
      <c r="CL302">
        <v>0</v>
      </c>
      <c r="CM302">
        <v>0</v>
      </c>
    </row>
    <row r="303" spans="82:91" x14ac:dyDescent="0.25">
      <c r="CD303">
        <v>5040</v>
      </c>
      <c r="CE303">
        <v>384</v>
      </c>
      <c r="CF303">
        <v>144</v>
      </c>
      <c r="CG303">
        <v>0</v>
      </c>
      <c r="CH303">
        <v>0</v>
      </c>
      <c r="CI303">
        <v>0</v>
      </c>
      <c r="CJ303">
        <v>0</v>
      </c>
      <c r="CK303">
        <v>0</v>
      </c>
      <c r="CL303">
        <v>0</v>
      </c>
      <c r="CM303">
        <v>0</v>
      </c>
    </row>
    <row r="304" spans="82:91" x14ac:dyDescent="0.25">
      <c r="CD304">
        <v>5040</v>
      </c>
      <c r="CE304">
        <v>384</v>
      </c>
      <c r="CF304">
        <v>144</v>
      </c>
      <c r="CG304">
        <v>0</v>
      </c>
      <c r="CH304">
        <v>0</v>
      </c>
      <c r="CI304">
        <v>0</v>
      </c>
      <c r="CJ304">
        <v>0</v>
      </c>
      <c r="CK304">
        <v>0</v>
      </c>
      <c r="CL304">
        <v>0</v>
      </c>
      <c r="CM304">
        <v>0</v>
      </c>
    </row>
    <row r="305" spans="82:91" x14ac:dyDescent="0.25">
      <c r="CD305">
        <v>5040</v>
      </c>
      <c r="CE305">
        <v>384</v>
      </c>
      <c r="CF305">
        <v>144</v>
      </c>
      <c r="CG305">
        <v>0</v>
      </c>
      <c r="CH305">
        <v>0</v>
      </c>
      <c r="CI305">
        <v>0</v>
      </c>
      <c r="CJ305">
        <v>0</v>
      </c>
      <c r="CK305">
        <v>0</v>
      </c>
      <c r="CL305">
        <v>0</v>
      </c>
      <c r="CM305">
        <v>0</v>
      </c>
    </row>
    <row r="306" spans="82:91" x14ac:dyDescent="0.25">
      <c r="CD306">
        <v>5040</v>
      </c>
      <c r="CE306">
        <v>384</v>
      </c>
      <c r="CF306">
        <v>144</v>
      </c>
      <c r="CG306">
        <v>0</v>
      </c>
      <c r="CH306">
        <v>0</v>
      </c>
      <c r="CI306">
        <v>0</v>
      </c>
      <c r="CJ306">
        <v>0</v>
      </c>
      <c r="CK306">
        <v>0</v>
      </c>
      <c r="CL306">
        <v>0</v>
      </c>
      <c r="CM306">
        <v>0</v>
      </c>
    </row>
    <row r="307" spans="82:91" x14ac:dyDescent="0.25">
      <c r="CD307">
        <v>5040</v>
      </c>
      <c r="CE307">
        <v>384</v>
      </c>
      <c r="CF307">
        <v>144</v>
      </c>
      <c r="CG307">
        <v>0</v>
      </c>
      <c r="CH307">
        <v>0</v>
      </c>
      <c r="CI307">
        <v>0</v>
      </c>
      <c r="CJ307">
        <v>0</v>
      </c>
      <c r="CK307">
        <v>0</v>
      </c>
      <c r="CL307">
        <v>0</v>
      </c>
      <c r="CM307">
        <v>0</v>
      </c>
    </row>
    <row r="308" spans="82:91" x14ac:dyDescent="0.25">
      <c r="CD308">
        <v>5040</v>
      </c>
      <c r="CE308">
        <v>384</v>
      </c>
      <c r="CF308">
        <v>144</v>
      </c>
      <c r="CG308">
        <v>0</v>
      </c>
      <c r="CH308">
        <v>0</v>
      </c>
      <c r="CI308">
        <v>0</v>
      </c>
      <c r="CJ308">
        <v>0</v>
      </c>
      <c r="CK308">
        <v>0</v>
      </c>
      <c r="CL308">
        <v>0</v>
      </c>
      <c r="CM308">
        <v>0</v>
      </c>
    </row>
    <row r="309" spans="82:91" x14ac:dyDescent="0.25">
      <c r="CD309">
        <v>5040</v>
      </c>
      <c r="CE309">
        <v>384</v>
      </c>
      <c r="CF309">
        <v>144</v>
      </c>
      <c r="CG309">
        <v>0</v>
      </c>
      <c r="CH309">
        <v>0</v>
      </c>
      <c r="CI309">
        <v>0</v>
      </c>
      <c r="CJ309">
        <v>0</v>
      </c>
      <c r="CK309">
        <v>0</v>
      </c>
      <c r="CL309">
        <v>0</v>
      </c>
      <c r="CM309">
        <v>0</v>
      </c>
    </row>
    <row r="310" spans="82:91" x14ac:dyDescent="0.25">
      <c r="CD310">
        <v>5040</v>
      </c>
      <c r="CE310">
        <v>384</v>
      </c>
      <c r="CF310">
        <v>144</v>
      </c>
      <c r="CG310">
        <v>0</v>
      </c>
      <c r="CH310">
        <v>0</v>
      </c>
      <c r="CI310">
        <v>0</v>
      </c>
      <c r="CJ310">
        <v>0</v>
      </c>
      <c r="CK310">
        <v>0</v>
      </c>
      <c r="CL310">
        <v>0</v>
      </c>
      <c r="CM310">
        <v>0</v>
      </c>
    </row>
    <row r="311" spans="82:91" x14ac:dyDescent="0.25">
      <c r="CD311">
        <v>5040</v>
      </c>
      <c r="CE311">
        <v>384</v>
      </c>
      <c r="CF311">
        <v>144</v>
      </c>
      <c r="CG311">
        <v>0</v>
      </c>
      <c r="CH311">
        <v>0</v>
      </c>
      <c r="CI311">
        <v>0</v>
      </c>
      <c r="CJ311">
        <v>0</v>
      </c>
      <c r="CK311">
        <v>0</v>
      </c>
      <c r="CL311">
        <v>0</v>
      </c>
      <c r="CM311">
        <v>0</v>
      </c>
    </row>
    <row r="312" spans="82:91" x14ac:dyDescent="0.25">
      <c r="CD312">
        <v>5040</v>
      </c>
      <c r="CE312">
        <v>384</v>
      </c>
      <c r="CF312">
        <v>144</v>
      </c>
      <c r="CG312">
        <v>0</v>
      </c>
      <c r="CH312">
        <v>0</v>
      </c>
      <c r="CI312">
        <v>0</v>
      </c>
      <c r="CJ312">
        <v>0</v>
      </c>
      <c r="CK312">
        <v>0</v>
      </c>
      <c r="CL312">
        <v>0</v>
      </c>
      <c r="CM312">
        <v>0</v>
      </c>
    </row>
    <row r="313" spans="82:91" x14ac:dyDescent="0.25">
      <c r="CD313">
        <v>5040</v>
      </c>
      <c r="CE313">
        <v>384</v>
      </c>
      <c r="CF313">
        <v>144</v>
      </c>
      <c r="CG313">
        <v>0</v>
      </c>
      <c r="CH313">
        <v>0</v>
      </c>
      <c r="CI313">
        <v>0</v>
      </c>
      <c r="CJ313">
        <v>0</v>
      </c>
      <c r="CK313">
        <v>0</v>
      </c>
      <c r="CL313">
        <v>0</v>
      </c>
      <c r="CM313">
        <v>0</v>
      </c>
    </row>
    <row r="314" spans="82:91" x14ac:dyDescent="0.25">
      <c r="CD314">
        <v>5040</v>
      </c>
      <c r="CE314">
        <v>384</v>
      </c>
      <c r="CF314">
        <v>144</v>
      </c>
      <c r="CG314">
        <v>0</v>
      </c>
      <c r="CH314">
        <v>0</v>
      </c>
      <c r="CI314">
        <v>0</v>
      </c>
      <c r="CJ314">
        <v>0</v>
      </c>
      <c r="CK314">
        <v>0</v>
      </c>
      <c r="CL314">
        <v>0</v>
      </c>
      <c r="CM314">
        <v>0</v>
      </c>
    </row>
    <row r="315" spans="82:91" x14ac:dyDescent="0.25">
      <c r="CD315">
        <v>5040</v>
      </c>
      <c r="CE315">
        <v>384</v>
      </c>
      <c r="CF315">
        <v>144</v>
      </c>
      <c r="CG315">
        <v>0</v>
      </c>
      <c r="CH315">
        <v>0</v>
      </c>
      <c r="CI315">
        <v>0</v>
      </c>
      <c r="CJ315">
        <v>0</v>
      </c>
      <c r="CK315">
        <v>0</v>
      </c>
      <c r="CL315">
        <v>0</v>
      </c>
      <c r="CM315">
        <v>0</v>
      </c>
    </row>
    <row r="316" spans="82:91" x14ac:dyDescent="0.25">
      <c r="CD316">
        <v>5040</v>
      </c>
      <c r="CE316">
        <v>384</v>
      </c>
      <c r="CF316">
        <v>144</v>
      </c>
      <c r="CG316">
        <v>0</v>
      </c>
      <c r="CH316">
        <v>0</v>
      </c>
      <c r="CI316">
        <v>0</v>
      </c>
      <c r="CJ316">
        <v>0</v>
      </c>
      <c r="CK316">
        <v>0</v>
      </c>
      <c r="CL316">
        <v>0</v>
      </c>
      <c r="CM316">
        <v>0</v>
      </c>
    </row>
    <row r="317" spans="82:91" x14ac:dyDescent="0.25">
      <c r="CD317">
        <v>5040</v>
      </c>
      <c r="CE317">
        <v>384</v>
      </c>
      <c r="CF317">
        <v>144</v>
      </c>
      <c r="CG317">
        <v>0</v>
      </c>
      <c r="CH317">
        <v>0</v>
      </c>
      <c r="CI317">
        <v>0</v>
      </c>
      <c r="CJ317">
        <v>0</v>
      </c>
      <c r="CK317">
        <v>0</v>
      </c>
      <c r="CL317">
        <v>0</v>
      </c>
      <c r="CM317">
        <v>0</v>
      </c>
    </row>
    <row r="318" spans="82:91" x14ac:dyDescent="0.25">
      <c r="CD318">
        <v>5040</v>
      </c>
      <c r="CE318">
        <v>384</v>
      </c>
      <c r="CF318">
        <v>144</v>
      </c>
      <c r="CG318">
        <v>0</v>
      </c>
      <c r="CH318">
        <v>0</v>
      </c>
      <c r="CI318">
        <v>0</v>
      </c>
      <c r="CJ318">
        <v>0</v>
      </c>
      <c r="CK318">
        <v>0</v>
      </c>
      <c r="CL318">
        <v>0</v>
      </c>
      <c r="CM318">
        <v>0</v>
      </c>
    </row>
    <row r="319" spans="82:91" x14ac:dyDescent="0.25">
      <c r="CD319">
        <v>5040</v>
      </c>
      <c r="CE319">
        <v>384</v>
      </c>
      <c r="CF319">
        <v>144</v>
      </c>
      <c r="CG319">
        <v>0</v>
      </c>
      <c r="CH319">
        <v>0</v>
      </c>
      <c r="CI319">
        <v>0</v>
      </c>
      <c r="CJ319">
        <v>0</v>
      </c>
      <c r="CK319">
        <v>0</v>
      </c>
      <c r="CL319">
        <v>0</v>
      </c>
      <c r="CM319">
        <v>0</v>
      </c>
    </row>
    <row r="320" spans="82:91" x14ac:dyDescent="0.25">
      <c r="CD320">
        <v>5040</v>
      </c>
      <c r="CE320">
        <v>384</v>
      </c>
      <c r="CF320">
        <v>144</v>
      </c>
      <c r="CG320">
        <v>0</v>
      </c>
      <c r="CH320">
        <v>0</v>
      </c>
      <c r="CI320">
        <v>0</v>
      </c>
      <c r="CJ320">
        <v>0</v>
      </c>
      <c r="CK320">
        <v>0</v>
      </c>
      <c r="CL320">
        <v>0</v>
      </c>
      <c r="CM320">
        <v>0</v>
      </c>
    </row>
    <row r="321" spans="82:91" x14ac:dyDescent="0.25">
      <c r="CD321">
        <v>5040</v>
      </c>
      <c r="CE321">
        <v>384</v>
      </c>
      <c r="CF321">
        <v>144</v>
      </c>
      <c r="CG321">
        <v>0</v>
      </c>
      <c r="CH321">
        <v>0</v>
      </c>
      <c r="CI321">
        <v>0</v>
      </c>
      <c r="CJ321">
        <v>0</v>
      </c>
      <c r="CK321">
        <v>0</v>
      </c>
      <c r="CL321">
        <v>0</v>
      </c>
      <c r="CM321">
        <v>0</v>
      </c>
    </row>
    <row r="322" spans="82:91" x14ac:dyDescent="0.25">
      <c r="CD322">
        <v>5040</v>
      </c>
      <c r="CE322">
        <v>384</v>
      </c>
      <c r="CF322">
        <v>144</v>
      </c>
      <c r="CG322">
        <v>0</v>
      </c>
      <c r="CH322">
        <v>0</v>
      </c>
      <c r="CI322">
        <v>0</v>
      </c>
      <c r="CJ322">
        <v>0</v>
      </c>
      <c r="CK322">
        <v>0</v>
      </c>
      <c r="CL322">
        <v>0</v>
      </c>
      <c r="CM322">
        <v>0</v>
      </c>
    </row>
    <row r="323" spans="82:91" x14ac:dyDescent="0.25">
      <c r="CD323">
        <v>5040</v>
      </c>
      <c r="CE323">
        <v>384</v>
      </c>
      <c r="CF323">
        <v>144</v>
      </c>
      <c r="CG323">
        <v>0</v>
      </c>
      <c r="CH323">
        <v>0</v>
      </c>
      <c r="CI323">
        <v>0</v>
      </c>
      <c r="CJ323">
        <v>0</v>
      </c>
      <c r="CK323">
        <v>0</v>
      </c>
      <c r="CL323">
        <v>0</v>
      </c>
      <c r="CM323">
        <v>0</v>
      </c>
    </row>
    <row r="324" spans="82:91" x14ac:dyDescent="0.25">
      <c r="CD324">
        <v>5040</v>
      </c>
      <c r="CE324">
        <v>384</v>
      </c>
      <c r="CF324">
        <v>144</v>
      </c>
      <c r="CG324">
        <v>0</v>
      </c>
      <c r="CH324">
        <v>0</v>
      </c>
      <c r="CI324">
        <v>0</v>
      </c>
      <c r="CJ324">
        <v>0</v>
      </c>
      <c r="CK324">
        <v>0</v>
      </c>
      <c r="CL324">
        <v>0</v>
      </c>
      <c r="CM324">
        <v>0</v>
      </c>
    </row>
    <row r="325" spans="82:91" x14ac:dyDescent="0.25">
      <c r="CD325">
        <v>5040</v>
      </c>
      <c r="CE325">
        <v>384</v>
      </c>
      <c r="CF325">
        <v>144</v>
      </c>
      <c r="CG325">
        <v>0</v>
      </c>
      <c r="CH325">
        <v>0</v>
      </c>
      <c r="CI325">
        <v>0</v>
      </c>
      <c r="CJ325">
        <v>0</v>
      </c>
      <c r="CK325">
        <v>0</v>
      </c>
      <c r="CL325">
        <v>0</v>
      </c>
      <c r="CM325">
        <v>0</v>
      </c>
    </row>
    <row r="326" spans="82:91" x14ac:dyDescent="0.25">
      <c r="CD326">
        <v>5040</v>
      </c>
      <c r="CE326">
        <v>384</v>
      </c>
      <c r="CF326">
        <v>144</v>
      </c>
      <c r="CG326">
        <v>0</v>
      </c>
      <c r="CH326">
        <v>0</v>
      </c>
      <c r="CI326">
        <v>0</v>
      </c>
      <c r="CJ326">
        <v>0</v>
      </c>
      <c r="CK326">
        <v>0</v>
      </c>
      <c r="CL326">
        <v>0</v>
      </c>
      <c r="CM326">
        <v>0</v>
      </c>
    </row>
    <row r="327" spans="82:91" x14ac:dyDescent="0.25">
      <c r="CD327">
        <v>5040</v>
      </c>
      <c r="CE327">
        <v>384</v>
      </c>
      <c r="CF327">
        <v>144</v>
      </c>
      <c r="CG327">
        <v>0</v>
      </c>
      <c r="CH327">
        <v>0</v>
      </c>
      <c r="CI327">
        <v>0</v>
      </c>
      <c r="CJ327">
        <v>0</v>
      </c>
      <c r="CK327">
        <v>0</v>
      </c>
      <c r="CL327">
        <v>0</v>
      </c>
      <c r="CM327">
        <v>0</v>
      </c>
    </row>
    <row r="328" spans="82:91" x14ac:dyDescent="0.25">
      <c r="CD328">
        <v>5040</v>
      </c>
      <c r="CE328">
        <v>384</v>
      </c>
      <c r="CF328">
        <v>144</v>
      </c>
      <c r="CG328">
        <v>0</v>
      </c>
      <c r="CH328">
        <v>0</v>
      </c>
      <c r="CI328">
        <v>0</v>
      </c>
      <c r="CJ328">
        <v>0</v>
      </c>
      <c r="CK328">
        <v>0</v>
      </c>
      <c r="CL328">
        <v>0</v>
      </c>
      <c r="CM328">
        <v>0</v>
      </c>
    </row>
    <row r="329" spans="82:91" x14ac:dyDescent="0.25">
      <c r="CD329">
        <v>5040</v>
      </c>
      <c r="CE329">
        <v>384</v>
      </c>
      <c r="CF329">
        <v>144</v>
      </c>
      <c r="CG329">
        <v>0</v>
      </c>
      <c r="CH329">
        <v>0</v>
      </c>
      <c r="CI329">
        <v>0</v>
      </c>
      <c r="CJ329">
        <v>0</v>
      </c>
      <c r="CK329">
        <v>0</v>
      </c>
      <c r="CL329">
        <v>0</v>
      </c>
      <c r="CM329">
        <v>0</v>
      </c>
    </row>
    <row r="330" spans="82:91" x14ac:dyDescent="0.25">
      <c r="CD330">
        <v>5040</v>
      </c>
      <c r="CE330">
        <v>384</v>
      </c>
      <c r="CF330">
        <v>144</v>
      </c>
      <c r="CG330">
        <v>0</v>
      </c>
      <c r="CH330">
        <v>0</v>
      </c>
      <c r="CI330">
        <v>0</v>
      </c>
      <c r="CJ330">
        <v>0</v>
      </c>
      <c r="CK330">
        <v>0</v>
      </c>
      <c r="CL330">
        <v>0</v>
      </c>
      <c r="CM330">
        <v>0</v>
      </c>
    </row>
    <row r="331" spans="82:91" x14ac:dyDescent="0.25">
      <c r="CD331">
        <v>5040</v>
      </c>
      <c r="CE331">
        <v>384</v>
      </c>
      <c r="CF331">
        <v>144</v>
      </c>
      <c r="CG331">
        <v>0</v>
      </c>
      <c r="CH331">
        <v>0</v>
      </c>
      <c r="CI331">
        <v>0</v>
      </c>
      <c r="CJ331">
        <v>0</v>
      </c>
      <c r="CK331">
        <v>0</v>
      </c>
      <c r="CL331">
        <v>0</v>
      </c>
      <c r="CM331">
        <v>0</v>
      </c>
    </row>
    <row r="332" spans="82:91" x14ac:dyDescent="0.25">
      <c r="CD332">
        <v>5040</v>
      </c>
      <c r="CE332">
        <v>384</v>
      </c>
      <c r="CF332">
        <v>144</v>
      </c>
      <c r="CG332">
        <v>0</v>
      </c>
      <c r="CH332">
        <v>0</v>
      </c>
      <c r="CI332">
        <v>0</v>
      </c>
      <c r="CJ332">
        <v>0</v>
      </c>
      <c r="CK332">
        <v>0</v>
      </c>
      <c r="CL332">
        <v>0</v>
      </c>
      <c r="CM332">
        <v>0</v>
      </c>
    </row>
    <row r="333" spans="82:91" x14ac:dyDescent="0.25">
      <c r="CD333">
        <v>5040</v>
      </c>
      <c r="CE333">
        <v>384</v>
      </c>
      <c r="CF333">
        <v>144</v>
      </c>
      <c r="CG333">
        <v>0</v>
      </c>
      <c r="CH333">
        <v>0</v>
      </c>
      <c r="CI333">
        <v>0</v>
      </c>
      <c r="CJ333">
        <v>0</v>
      </c>
      <c r="CK333">
        <v>0</v>
      </c>
      <c r="CL333">
        <v>0</v>
      </c>
      <c r="CM333">
        <v>0</v>
      </c>
    </row>
    <row r="334" spans="82:91" x14ac:dyDescent="0.25">
      <c r="CD334">
        <v>5040</v>
      </c>
      <c r="CE334">
        <v>384</v>
      </c>
      <c r="CF334">
        <v>144</v>
      </c>
      <c r="CG334">
        <v>0</v>
      </c>
      <c r="CH334">
        <v>0</v>
      </c>
      <c r="CI334">
        <v>0</v>
      </c>
      <c r="CJ334">
        <v>0</v>
      </c>
      <c r="CK334">
        <v>0</v>
      </c>
      <c r="CL334">
        <v>0</v>
      </c>
      <c r="CM334">
        <v>0</v>
      </c>
    </row>
    <row r="335" spans="82:91" x14ac:dyDescent="0.25">
      <c r="CD335">
        <v>5040</v>
      </c>
      <c r="CE335">
        <v>384</v>
      </c>
      <c r="CF335">
        <v>144</v>
      </c>
      <c r="CG335">
        <v>0</v>
      </c>
      <c r="CH335">
        <v>0</v>
      </c>
      <c r="CI335">
        <v>0</v>
      </c>
      <c r="CJ335">
        <v>0</v>
      </c>
      <c r="CK335">
        <v>0</v>
      </c>
      <c r="CL335">
        <v>0</v>
      </c>
      <c r="CM335">
        <v>0</v>
      </c>
    </row>
    <row r="336" spans="82:91" x14ac:dyDescent="0.25">
      <c r="CD336">
        <v>5040</v>
      </c>
      <c r="CE336">
        <v>384</v>
      </c>
      <c r="CF336">
        <v>144</v>
      </c>
      <c r="CG336">
        <v>0</v>
      </c>
      <c r="CH336">
        <v>0</v>
      </c>
      <c r="CI336">
        <v>0</v>
      </c>
      <c r="CJ336">
        <v>0</v>
      </c>
      <c r="CK336">
        <v>0</v>
      </c>
      <c r="CL336">
        <v>0</v>
      </c>
      <c r="CM336">
        <v>0</v>
      </c>
    </row>
    <row r="337" spans="82:91" x14ac:dyDescent="0.25">
      <c r="CD337">
        <v>5040</v>
      </c>
      <c r="CE337">
        <v>384</v>
      </c>
      <c r="CF337">
        <v>144</v>
      </c>
      <c r="CG337">
        <v>0</v>
      </c>
      <c r="CH337">
        <v>0</v>
      </c>
      <c r="CI337">
        <v>0</v>
      </c>
      <c r="CJ337">
        <v>0</v>
      </c>
      <c r="CK337">
        <v>0</v>
      </c>
      <c r="CL337">
        <v>0</v>
      </c>
      <c r="CM337">
        <v>0</v>
      </c>
    </row>
    <row r="338" spans="82:91" x14ac:dyDescent="0.25">
      <c r="CD338">
        <v>5040</v>
      </c>
      <c r="CE338">
        <v>384</v>
      </c>
      <c r="CF338">
        <v>144</v>
      </c>
      <c r="CG338">
        <v>0</v>
      </c>
      <c r="CH338">
        <v>0</v>
      </c>
      <c r="CI338">
        <v>0</v>
      </c>
      <c r="CJ338">
        <v>0</v>
      </c>
      <c r="CK338">
        <v>0</v>
      </c>
      <c r="CL338">
        <v>0</v>
      </c>
      <c r="CM338">
        <v>0</v>
      </c>
    </row>
    <row r="339" spans="82:91" x14ac:dyDescent="0.25">
      <c r="CD339">
        <v>5040</v>
      </c>
      <c r="CE339">
        <v>384</v>
      </c>
      <c r="CF339">
        <v>144</v>
      </c>
      <c r="CG339">
        <v>0</v>
      </c>
      <c r="CH339">
        <v>0</v>
      </c>
      <c r="CI339">
        <v>0</v>
      </c>
      <c r="CJ339">
        <v>0</v>
      </c>
      <c r="CK339">
        <v>0</v>
      </c>
      <c r="CL339">
        <v>0</v>
      </c>
      <c r="CM339">
        <v>0</v>
      </c>
    </row>
    <row r="340" spans="82:91" x14ac:dyDescent="0.25">
      <c r="CD340">
        <v>5040</v>
      </c>
      <c r="CE340">
        <v>384</v>
      </c>
      <c r="CF340">
        <v>144</v>
      </c>
      <c r="CG340">
        <v>0</v>
      </c>
      <c r="CH340">
        <v>0</v>
      </c>
      <c r="CI340">
        <v>0</v>
      </c>
      <c r="CJ340">
        <v>0</v>
      </c>
      <c r="CK340">
        <v>0</v>
      </c>
      <c r="CL340">
        <v>0</v>
      </c>
      <c r="CM340">
        <v>0</v>
      </c>
    </row>
    <row r="341" spans="82:91" x14ac:dyDescent="0.25">
      <c r="CD341">
        <v>5040</v>
      </c>
      <c r="CE341">
        <v>384</v>
      </c>
      <c r="CF341">
        <v>144</v>
      </c>
      <c r="CG341">
        <v>0</v>
      </c>
      <c r="CH341">
        <v>0</v>
      </c>
      <c r="CI341">
        <v>0</v>
      </c>
      <c r="CJ341">
        <v>0</v>
      </c>
      <c r="CK341">
        <v>0</v>
      </c>
      <c r="CL341">
        <v>0</v>
      </c>
      <c r="CM341">
        <v>0</v>
      </c>
    </row>
    <row r="342" spans="82:91" x14ac:dyDescent="0.25">
      <c r="CD342">
        <v>5040</v>
      </c>
      <c r="CE342">
        <v>384</v>
      </c>
      <c r="CF342">
        <v>144</v>
      </c>
      <c r="CG342">
        <v>0</v>
      </c>
      <c r="CH342">
        <v>0</v>
      </c>
      <c r="CI342">
        <v>0</v>
      </c>
      <c r="CJ342">
        <v>0</v>
      </c>
      <c r="CK342">
        <v>0</v>
      </c>
      <c r="CL342">
        <v>0</v>
      </c>
      <c r="CM342">
        <v>0</v>
      </c>
    </row>
    <row r="343" spans="82:91" x14ac:dyDescent="0.25">
      <c r="CD343">
        <v>5040</v>
      </c>
      <c r="CE343">
        <v>384</v>
      </c>
      <c r="CF343">
        <v>144</v>
      </c>
      <c r="CG343">
        <v>0</v>
      </c>
      <c r="CH343">
        <v>0</v>
      </c>
      <c r="CI343">
        <v>0</v>
      </c>
      <c r="CJ343">
        <v>0</v>
      </c>
      <c r="CK343">
        <v>0</v>
      </c>
      <c r="CL343">
        <v>0</v>
      </c>
      <c r="CM343">
        <v>0</v>
      </c>
    </row>
    <row r="344" spans="82:91" x14ac:dyDescent="0.25">
      <c r="CD344">
        <v>5040</v>
      </c>
      <c r="CE344">
        <v>384</v>
      </c>
      <c r="CF344">
        <v>144</v>
      </c>
      <c r="CG344">
        <v>0</v>
      </c>
      <c r="CH344">
        <v>0</v>
      </c>
      <c r="CI344">
        <v>0</v>
      </c>
      <c r="CJ344">
        <v>0</v>
      </c>
      <c r="CK344">
        <v>0</v>
      </c>
      <c r="CL344">
        <v>0</v>
      </c>
      <c r="CM344">
        <v>0</v>
      </c>
    </row>
    <row r="345" spans="82:91" x14ac:dyDescent="0.25">
      <c r="CD345">
        <v>5040</v>
      </c>
      <c r="CE345">
        <v>384</v>
      </c>
      <c r="CF345">
        <v>144</v>
      </c>
      <c r="CG345">
        <v>0</v>
      </c>
      <c r="CH345">
        <v>0</v>
      </c>
      <c r="CI345">
        <v>0</v>
      </c>
      <c r="CJ345">
        <v>0</v>
      </c>
      <c r="CK345">
        <v>0</v>
      </c>
      <c r="CL345">
        <v>0</v>
      </c>
      <c r="CM345">
        <v>0</v>
      </c>
    </row>
    <row r="346" spans="82:91" x14ac:dyDescent="0.25">
      <c r="CD346">
        <v>5040</v>
      </c>
      <c r="CE346">
        <v>384</v>
      </c>
      <c r="CF346">
        <v>144</v>
      </c>
      <c r="CG346">
        <v>0</v>
      </c>
      <c r="CH346">
        <v>0</v>
      </c>
      <c r="CI346">
        <v>0</v>
      </c>
      <c r="CJ346">
        <v>0</v>
      </c>
      <c r="CK346">
        <v>0</v>
      </c>
      <c r="CL346">
        <v>0</v>
      </c>
      <c r="CM346">
        <v>0</v>
      </c>
    </row>
    <row r="347" spans="82:91" x14ac:dyDescent="0.25">
      <c r="CD347">
        <v>5040</v>
      </c>
      <c r="CE347">
        <v>384</v>
      </c>
      <c r="CF347">
        <v>144</v>
      </c>
      <c r="CG347">
        <v>0</v>
      </c>
      <c r="CH347">
        <v>0</v>
      </c>
      <c r="CI347">
        <v>0</v>
      </c>
      <c r="CJ347">
        <v>0</v>
      </c>
      <c r="CK347">
        <v>0</v>
      </c>
      <c r="CL347">
        <v>0</v>
      </c>
      <c r="CM347">
        <v>0</v>
      </c>
    </row>
    <row r="348" spans="82:91" x14ac:dyDescent="0.25">
      <c r="CD348">
        <v>5040</v>
      </c>
      <c r="CE348">
        <v>384</v>
      </c>
      <c r="CF348">
        <v>144</v>
      </c>
      <c r="CG348">
        <v>0</v>
      </c>
      <c r="CH348">
        <v>0</v>
      </c>
      <c r="CI348">
        <v>0</v>
      </c>
      <c r="CJ348">
        <v>0</v>
      </c>
      <c r="CK348">
        <v>0</v>
      </c>
      <c r="CL348">
        <v>0</v>
      </c>
      <c r="CM348">
        <v>0</v>
      </c>
    </row>
    <row r="349" spans="82:91" x14ac:dyDescent="0.25">
      <c r="CD349">
        <v>5040</v>
      </c>
      <c r="CE349">
        <v>384</v>
      </c>
      <c r="CF349">
        <v>144</v>
      </c>
      <c r="CG349">
        <v>0</v>
      </c>
      <c r="CH349">
        <v>0</v>
      </c>
      <c r="CI349">
        <v>0</v>
      </c>
      <c r="CJ349">
        <v>0</v>
      </c>
      <c r="CK349">
        <v>0</v>
      </c>
      <c r="CL349">
        <v>0</v>
      </c>
      <c r="CM349">
        <v>0</v>
      </c>
    </row>
    <row r="350" spans="82:91" x14ac:dyDescent="0.25">
      <c r="CD350">
        <v>5040</v>
      </c>
      <c r="CE350">
        <v>384</v>
      </c>
      <c r="CF350">
        <v>144</v>
      </c>
      <c r="CG350">
        <v>0</v>
      </c>
      <c r="CH350">
        <v>0</v>
      </c>
      <c r="CI350">
        <v>0</v>
      </c>
      <c r="CJ350">
        <v>0</v>
      </c>
      <c r="CK350">
        <v>0</v>
      </c>
      <c r="CL350">
        <v>0</v>
      </c>
      <c r="CM350">
        <v>0</v>
      </c>
    </row>
    <row r="351" spans="82:91" x14ac:dyDescent="0.25">
      <c r="CD351">
        <v>5040</v>
      </c>
      <c r="CE351">
        <v>384</v>
      </c>
      <c r="CF351">
        <v>144</v>
      </c>
      <c r="CG351">
        <v>0</v>
      </c>
      <c r="CH351">
        <v>0</v>
      </c>
      <c r="CI351">
        <v>0</v>
      </c>
      <c r="CJ351">
        <v>0</v>
      </c>
      <c r="CK351">
        <v>0</v>
      </c>
      <c r="CL351">
        <v>0</v>
      </c>
      <c r="CM351">
        <v>0</v>
      </c>
    </row>
    <row r="352" spans="82:91" x14ac:dyDescent="0.25">
      <c r="CD352">
        <v>5040</v>
      </c>
      <c r="CE352">
        <v>384</v>
      </c>
      <c r="CF352">
        <v>144</v>
      </c>
      <c r="CG352">
        <v>0</v>
      </c>
      <c r="CH352">
        <v>0</v>
      </c>
      <c r="CI352">
        <v>0</v>
      </c>
      <c r="CJ352">
        <v>0</v>
      </c>
      <c r="CK352">
        <v>0</v>
      </c>
      <c r="CL352">
        <v>0</v>
      </c>
      <c r="CM352">
        <v>0</v>
      </c>
    </row>
    <row r="353" spans="82:91" x14ac:dyDescent="0.25">
      <c r="CD353">
        <v>5040</v>
      </c>
      <c r="CE353">
        <v>384</v>
      </c>
      <c r="CF353">
        <v>144</v>
      </c>
      <c r="CG353">
        <v>0</v>
      </c>
      <c r="CH353">
        <v>0</v>
      </c>
      <c r="CI353">
        <v>0</v>
      </c>
      <c r="CJ353">
        <v>0</v>
      </c>
      <c r="CK353">
        <v>0</v>
      </c>
      <c r="CL353">
        <v>0</v>
      </c>
      <c r="CM353">
        <v>0</v>
      </c>
    </row>
    <row r="354" spans="82:91" x14ac:dyDescent="0.25">
      <c r="CD354">
        <v>5040</v>
      </c>
      <c r="CE354">
        <v>384</v>
      </c>
      <c r="CF354">
        <v>144</v>
      </c>
      <c r="CG354">
        <v>0</v>
      </c>
      <c r="CH354">
        <v>0</v>
      </c>
      <c r="CI354">
        <v>0</v>
      </c>
      <c r="CJ354">
        <v>0</v>
      </c>
      <c r="CK354">
        <v>0</v>
      </c>
      <c r="CL354">
        <v>0</v>
      </c>
      <c r="CM354">
        <v>0</v>
      </c>
    </row>
    <row r="355" spans="82:91" x14ac:dyDescent="0.25">
      <c r="CD355">
        <v>5040</v>
      </c>
      <c r="CE355">
        <v>384</v>
      </c>
      <c r="CF355">
        <v>144</v>
      </c>
      <c r="CG355">
        <v>0</v>
      </c>
      <c r="CH355">
        <v>0</v>
      </c>
      <c r="CI355">
        <v>0</v>
      </c>
      <c r="CJ355">
        <v>0</v>
      </c>
      <c r="CK355">
        <v>0</v>
      </c>
      <c r="CL355">
        <v>0</v>
      </c>
      <c r="CM355">
        <v>0</v>
      </c>
    </row>
    <row r="356" spans="82:91" x14ac:dyDescent="0.25">
      <c r="CD356">
        <v>5040</v>
      </c>
      <c r="CE356">
        <v>384</v>
      </c>
      <c r="CF356">
        <v>144</v>
      </c>
      <c r="CG356">
        <v>0</v>
      </c>
      <c r="CH356">
        <v>0</v>
      </c>
      <c r="CI356">
        <v>0</v>
      </c>
      <c r="CJ356">
        <v>0</v>
      </c>
      <c r="CK356">
        <v>0</v>
      </c>
      <c r="CL356">
        <v>0</v>
      </c>
      <c r="CM356">
        <v>0</v>
      </c>
    </row>
    <row r="357" spans="82:91" x14ac:dyDescent="0.25">
      <c r="CD357">
        <v>5040</v>
      </c>
      <c r="CE357">
        <v>384</v>
      </c>
      <c r="CF357">
        <v>144</v>
      </c>
      <c r="CG357">
        <v>0</v>
      </c>
      <c r="CH357">
        <v>0</v>
      </c>
      <c r="CI357">
        <v>0</v>
      </c>
      <c r="CJ357">
        <v>0</v>
      </c>
      <c r="CK357">
        <v>0</v>
      </c>
      <c r="CL357">
        <v>0</v>
      </c>
      <c r="CM357">
        <v>0</v>
      </c>
    </row>
    <row r="358" spans="82:91" x14ac:dyDescent="0.25">
      <c r="CD358">
        <v>5040</v>
      </c>
      <c r="CE358">
        <v>384</v>
      </c>
      <c r="CF358">
        <v>144</v>
      </c>
      <c r="CG358">
        <v>0</v>
      </c>
      <c r="CH358">
        <v>0</v>
      </c>
      <c r="CI358">
        <v>0</v>
      </c>
      <c r="CJ358">
        <v>0</v>
      </c>
      <c r="CK358">
        <v>0</v>
      </c>
      <c r="CL358">
        <v>0</v>
      </c>
      <c r="CM358">
        <v>0</v>
      </c>
    </row>
    <row r="359" spans="82:91" x14ac:dyDescent="0.25">
      <c r="CD359">
        <v>5040</v>
      </c>
      <c r="CE359">
        <v>384</v>
      </c>
      <c r="CF359">
        <v>144</v>
      </c>
      <c r="CG359">
        <v>0</v>
      </c>
      <c r="CH359">
        <v>0</v>
      </c>
      <c r="CI359">
        <v>0</v>
      </c>
      <c r="CJ359">
        <v>0</v>
      </c>
      <c r="CK359">
        <v>0</v>
      </c>
      <c r="CL359">
        <v>0</v>
      </c>
      <c r="CM359">
        <v>0</v>
      </c>
    </row>
    <row r="360" spans="82:91" x14ac:dyDescent="0.25">
      <c r="CD360">
        <v>5040</v>
      </c>
      <c r="CE360">
        <v>384</v>
      </c>
      <c r="CF360">
        <v>144</v>
      </c>
      <c r="CG360">
        <v>0</v>
      </c>
      <c r="CH360">
        <v>0</v>
      </c>
      <c r="CI360">
        <v>0</v>
      </c>
      <c r="CJ360">
        <v>0</v>
      </c>
      <c r="CK360">
        <v>0</v>
      </c>
      <c r="CL360">
        <v>0</v>
      </c>
      <c r="CM360">
        <v>0</v>
      </c>
    </row>
    <row r="361" spans="82:91" x14ac:dyDescent="0.25">
      <c r="CD361">
        <v>5040</v>
      </c>
      <c r="CE361">
        <v>384</v>
      </c>
      <c r="CF361">
        <v>144</v>
      </c>
      <c r="CG361">
        <v>0</v>
      </c>
      <c r="CH361">
        <v>0</v>
      </c>
      <c r="CI361">
        <v>0</v>
      </c>
      <c r="CJ361">
        <v>0</v>
      </c>
      <c r="CK361">
        <v>0</v>
      </c>
      <c r="CL361">
        <v>0</v>
      </c>
      <c r="CM361">
        <v>0</v>
      </c>
    </row>
    <row r="362" spans="82:91" x14ac:dyDescent="0.25">
      <c r="CD362">
        <v>5040</v>
      </c>
      <c r="CE362">
        <v>384</v>
      </c>
      <c r="CF362">
        <v>144</v>
      </c>
      <c r="CG362">
        <v>0</v>
      </c>
      <c r="CH362">
        <v>0</v>
      </c>
      <c r="CI362">
        <v>0</v>
      </c>
      <c r="CJ362">
        <v>0</v>
      </c>
      <c r="CK362">
        <v>0</v>
      </c>
      <c r="CL362">
        <v>0</v>
      </c>
      <c r="CM362">
        <v>0</v>
      </c>
    </row>
    <row r="363" spans="82:91" x14ac:dyDescent="0.25">
      <c r="CD363">
        <v>5040</v>
      </c>
      <c r="CE363">
        <v>384</v>
      </c>
      <c r="CF363">
        <v>144</v>
      </c>
      <c r="CG363">
        <v>0</v>
      </c>
      <c r="CH363">
        <v>0</v>
      </c>
      <c r="CI363">
        <v>0</v>
      </c>
      <c r="CJ363">
        <v>0</v>
      </c>
      <c r="CK363">
        <v>0</v>
      </c>
      <c r="CL363">
        <v>0</v>
      </c>
      <c r="CM363">
        <v>0</v>
      </c>
    </row>
    <row r="364" spans="82:91" x14ac:dyDescent="0.25">
      <c r="CD364">
        <v>5040</v>
      </c>
      <c r="CE364">
        <v>384</v>
      </c>
      <c r="CF364">
        <v>144</v>
      </c>
      <c r="CG364">
        <v>0</v>
      </c>
      <c r="CH364">
        <v>0</v>
      </c>
      <c r="CI364">
        <v>0</v>
      </c>
      <c r="CJ364">
        <v>0</v>
      </c>
      <c r="CK364">
        <v>0</v>
      </c>
      <c r="CL364">
        <v>0</v>
      </c>
      <c r="CM364">
        <v>0</v>
      </c>
    </row>
    <row r="365" spans="82:91" x14ac:dyDescent="0.25">
      <c r="CD365">
        <v>5040</v>
      </c>
      <c r="CE365">
        <v>384</v>
      </c>
      <c r="CF365">
        <v>144</v>
      </c>
      <c r="CG365">
        <v>0</v>
      </c>
      <c r="CH365">
        <v>0</v>
      </c>
      <c r="CI365">
        <v>0</v>
      </c>
      <c r="CJ365">
        <v>0</v>
      </c>
      <c r="CK365">
        <v>0</v>
      </c>
      <c r="CL365">
        <v>0</v>
      </c>
      <c r="CM365">
        <v>0</v>
      </c>
    </row>
    <row r="366" spans="82:91" x14ac:dyDescent="0.25">
      <c r="CD366">
        <v>5040</v>
      </c>
      <c r="CE366">
        <v>384</v>
      </c>
      <c r="CF366">
        <v>144</v>
      </c>
      <c r="CG366">
        <v>0</v>
      </c>
      <c r="CH366">
        <v>0</v>
      </c>
      <c r="CI366">
        <v>0</v>
      </c>
      <c r="CJ366">
        <v>0</v>
      </c>
      <c r="CK366">
        <v>0</v>
      </c>
      <c r="CL366">
        <v>0</v>
      </c>
      <c r="CM366">
        <v>0</v>
      </c>
    </row>
    <row r="367" spans="82:91" x14ac:dyDescent="0.25">
      <c r="CD367">
        <v>5040</v>
      </c>
      <c r="CE367">
        <v>384</v>
      </c>
      <c r="CF367">
        <v>144</v>
      </c>
      <c r="CG367">
        <v>0</v>
      </c>
      <c r="CH367">
        <v>0</v>
      </c>
      <c r="CI367">
        <v>0</v>
      </c>
      <c r="CJ367">
        <v>0</v>
      </c>
      <c r="CK367">
        <v>0</v>
      </c>
      <c r="CL367">
        <v>0</v>
      </c>
      <c r="CM367">
        <v>0</v>
      </c>
    </row>
    <row r="368" spans="82:91" x14ac:dyDescent="0.25">
      <c r="CD368">
        <v>5040</v>
      </c>
      <c r="CE368">
        <v>384</v>
      </c>
      <c r="CF368">
        <v>144</v>
      </c>
      <c r="CG368">
        <v>0</v>
      </c>
      <c r="CH368">
        <v>0</v>
      </c>
      <c r="CI368">
        <v>0</v>
      </c>
      <c r="CJ368">
        <v>0</v>
      </c>
      <c r="CK368">
        <v>0</v>
      </c>
      <c r="CL368">
        <v>0</v>
      </c>
      <c r="CM368">
        <v>0</v>
      </c>
    </row>
    <row r="369" spans="82:91" x14ac:dyDescent="0.25">
      <c r="CD369">
        <v>5040</v>
      </c>
      <c r="CE369">
        <v>384</v>
      </c>
      <c r="CF369">
        <v>144</v>
      </c>
      <c r="CG369">
        <v>0</v>
      </c>
      <c r="CH369">
        <v>0</v>
      </c>
      <c r="CI369">
        <v>0</v>
      </c>
      <c r="CJ369">
        <v>0</v>
      </c>
      <c r="CK369">
        <v>0</v>
      </c>
      <c r="CL369">
        <v>0</v>
      </c>
      <c r="CM369">
        <v>0</v>
      </c>
    </row>
    <row r="370" spans="82:91" x14ac:dyDescent="0.25">
      <c r="CD370">
        <v>5040</v>
      </c>
      <c r="CE370">
        <v>384</v>
      </c>
      <c r="CF370">
        <v>144</v>
      </c>
      <c r="CG370">
        <v>0</v>
      </c>
      <c r="CH370">
        <v>0</v>
      </c>
      <c r="CI370">
        <v>0</v>
      </c>
      <c r="CJ370">
        <v>0</v>
      </c>
      <c r="CK370">
        <v>0</v>
      </c>
      <c r="CL370">
        <v>0</v>
      </c>
      <c r="CM370">
        <v>0</v>
      </c>
    </row>
    <row r="371" spans="82:91" x14ac:dyDescent="0.25">
      <c r="CD371">
        <v>5040</v>
      </c>
      <c r="CE371">
        <v>384</v>
      </c>
      <c r="CF371">
        <v>144</v>
      </c>
      <c r="CG371">
        <v>0</v>
      </c>
      <c r="CH371">
        <v>0</v>
      </c>
      <c r="CI371">
        <v>0</v>
      </c>
      <c r="CJ371">
        <v>0</v>
      </c>
      <c r="CK371">
        <v>0</v>
      </c>
      <c r="CL371">
        <v>0</v>
      </c>
      <c r="CM371">
        <v>0</v>
      </c>
    </row>
    <row r="372" spans="82:91" x14ac:dyDescent="0.25">
      <c r="CD372">
        <v>5040</v>
      </c>
      <c r="CE372">
        <v>384</v>
      </c>
      <c r="CF372">
        <v>144</v>
      </c>
      <c r="CG372">
        <v>0</v>
      </c>
      <c r="CH372">
        <v>0</v>
      </c>
      <c r="CI372">
        <v>0</v>
      </c>
      <c r="CJ372">
        <v>0</v>
      </c>
      <c r="CK372">
        <v>0</v>
      </c>
      <c r="CL372">
        <v>0</v>
      </c>
      <c r="CM372">
        <v>0</v>
      </c>
    </row>
    <row r="373" spans="82:91" x14ac:dyDescent="0.25">
      <c r="CD373">
        <v>5040</v>
      </c>
      <c r="CE373">
        <v>384</v>
      </c>
      <c r="CF373">
        <v>144</v>
      </c>
      <c r="CG373">
        <v>0</v>
      </c>
      <c r="CH373">
        <v>0</v>
      </c>
      <c r="CI373">
        <v>0</v>
      </c>
      <c r="CJ373">
        <v>0</v>
      </c>
      <c r="CK373">
        <v>0</v>
      </c>
      <c r="CL373">
        <v>0</v>
      </c>
      <c r="CM373">
        <v>0</v>
      </c>
    </row>
    <row r="374" spans="82:91" x14ac:dyDescent="0.25">
      <c r="CD374">
        <v>5040</v>
      </c>
      <c r="CE374">
        <v>384</v>
      </c>
      <c r="CF374">
        <v>144</v>
      </c>
      <c r="CG374">
        <v>0</v>
      </c>
      <c r="CH374">
        <v>0</v>
      </c>
      <c r="CI374">
        <v>0</v>
      </c>
      <c r="CJ374">
        <v>0</v>
      </c>
      <c r="CK374">
        <v>0</v>
      </c>
      <c r="CL374">
        <v>0</v>
      </c>
      <c r="CM374">
        <v>0</v>
      </c>
    </row>
    <row r="375" spans="82:91" x14ac:dyDescent="0.25">
      <c r="CD375">
        <v>5040</v>
      </c>
      <c r="CE375">
        <v>384</v>
      </c>
      <c r="CF375">
        <v>144</v>
      </c>
      <c r="CG375">
        <v>0</v>
      </c>
      <c r="CH375">
        <v>0</v>
      </c>
      <c r="CI375">
        <v>0</v>
      </c>
      <c r="CJ375">
        <v>0</v>
      </c>
      <c r="CK375">
        <v>0</v>
      </c>
      <c r="CL375">
        <v>0</v>
      </c>
      <c r="CM375">
        <v>0</v>
      </c>
    </row>
    <row r="376" spans="82:91" x14ac:dyDescent="0.25">
      <c r="CD376">
        <v>5040</v>
      </c>
      <c r="CE376">
        <v>384</v>
      </c>
      <c r="CF376">
        <v>144</v>
      </c>
      <c r="CG376">
        <v>0</v>
      </c>
      <c r="CH376">
        <v>0</v>
      </c>
      <c r="CI376">
        <v>0</v>
      </c>
      <c r="CJ376">
        <v>0</v>
      </c>
      <c r="CK376">
        <v>0</v>
      </c>
      <c r="CL376">
        <v>0</v>
      </c>
      <c r="CM376">
        <v>0</v>
      </c>
    </row>
    <row r="377" spans="82:91" x14ac:dyDescent="0.25">
      <c r="CD377">
        <v>5040</v>
      </c>
      <c r="CE377">
        <v>384</v>
      </c>
      <c r="CF377">
        <v>144</v>
      </c>
      <c r="CG377">
        <v>0</v>
      </c>
      <c r="CH377">
        <v>0</v>
      </c>
      <c r="CI377">
        <v>0</v>
      </c>
      <c r="CJ377">
        <v>0</v>
      </c>
      <c r="CK377">
        <v>0</v>
      </c>
      <c r="CL377">
        <v>0</v>
      </c>
      <c r="CM377">
        <v>0</v>
      </c>
    </row>
    <row r="378" spans="82:91" x14ac:dyDescent="0.25">
      <c r="CD378">
        <v>5040</v>
      </c>
      <c r="CE378">
        <v>384</v>
      </c>
      <c r="CF378">
        <v>144</v>
      </c>
      <c r="CG378">
        <v>0</v>
      </c>
      <c r="CH378">
        <v>0</v>
      </c>
      <c r="CI378">
        <v>0</v>
      </c>
      <c r="CJ378">
        <v>0</v>
      </c>
      <c r="CK378">
        <v>0</v>
      </c>
      <c r="CL378">
        <v>0</v>
      </c>
      <c r="CM378">
        <v>0</v>
      </c>
    </row>
    <row r="379" spans="82:91" x14ac:dyDescent="0.25">
      <c r="CD379">
        <v>5040</v>
      </c>
      <c r="CE379">
        <v>384</v>
      </c>
      <c r="CF379">
        <v>144</v>
      </c>
      <c r="CG379">
        <v>0</v>
      </c>
      <c r="CH379">
        <v>0</v>
      </c>
      <c r="CI379">
        <v>0</v>
      </c>
      <c r="CJ379">
        <v>0</v>
      </c>
      <c r="CK379">
        <v>0</v>
      </c>
      <c r="CL379">
        <v>0</v>
      </c>
      <c r="CM379">
        <v>0</v>
      </c>
    </row>
    <row r="380" spans="82:91" x14ac:dyDescent="0.25">
      <c r="CD380">
        <v>5040</v>
      </c>
      <c r="CE380">
        <v>384</v>
      </c>
      <c r="CF380">
        <v>144</v>
      </c>
      <c r="CG380">
        <v>0</v>
      </c>
      <c r="CH380">
        <v>0</v>
      </c>
      <c r="CI380">
        <v>0</v>
      </c>
      <c r="CJ380">
        <v>0</v>
      </c>
      <c r="CK380">
        <v>0</v>
      </c>
      <c r="CL380">
        <v>0</v>
      </c>
      <c r="CM380">
        <v>0</v>
      </c>
    </row>
    <row r="381" spans="82:91" x14ac:dyDescent="0.25">
      <c r="CD381">
        <v>5040</v>
      </c>
      <c r="CE381">
        <v>384</v>
      </c>
      <c r="CF381">
        <v>144</v>
      </c>
      <c r="CG381">
        <v>0</v>
      </c>
      <c r="CH381">
        <v>0</v>
      </c>
      <c r="CI381">
        <v>0</v>
      </c>
      <c r="CJ381">
        <v>0</v>
      </c>
      <c r="CK381">
        <v>0</v>
      </c>
      <c r="CL381">
        <v>0</v>
      </c>
      <c r="CM381">
        <v>0</v>
      </c>
    </row>
    <row r="382" spans="82:91" x14ac:dyDescent="0.25">
      <c r="CD382">
        <v>5040</v>
      </c>
      <c r="CE382">
        <v>384</v>
      </c>
      <c r="CF382">
        <v>144</v>
      </c>
      <c r="CG382">
        <v>0</v>
      </c>
      <c r="CH382">
        <v>0</v>
      </c>
      <c r="CI382">
        <v>0</v>
      </c>
      <c r="CJ382">
        <v>0</v>
      </c>
      <c r="CK382">
        <v>0</v>
      </c>
      <c r="CL382">
        <v>0</v>
      </c>
      <c r="CM382">
        <v>0</v>
      </c>
    </row>
    <row r="383" spans="82:91" x14ac:dyDescent="0.25">
      <c r="CD383">
        <v>5040</v>
      </c>
      <c r="CE383">
        <v>384</v>
      </c>
      <c r="CF383">
        <v>144</v>
      </c>
      <c r="CG383">
        <v>0</v>
      </c>
      <c r="CH383">
        <v>0</v>
      </c>
      <c r="CI383">
        <v>0</v>
      </c>
      <c r="CJ383">
        <v>0</v>
      </c>
      <c r="CK383">
        <v>0</v>
      </c>
      <c r="CL383">
        <v>0</v>
      </c>
      <c r="CM383">
        <v>0</v>
      </c>
    </row>
    <row r="384" spans="82:91" x14ac:dyDescent="0.25">
      <c r="CD384">
        <v>5040</v>
      </c>
      <c r="CE384">
        <v>384</v>
      </c>
      <c r="CF384">
        <v>144</v>
      </c>
      <c r="CG384">
        <v>0</v>
      </c>
      <c r="CH384">
        <v>0</v>
      </c>
      <c r="CI384">
        <v>0</v>
      </c>
      <c r="CJ384">
        <v>0</v>
      </c>
      <c r="CK384">
        <v>0</v>
      </c>
      <c r="CL384">
        <v>0</v>
      </c>
      <c r="CM384">
        <v>0</v>
      </c>
    </row>
    <row r="385" spans="82:91" x14ac:dyDescent="0.25">
      <c r="CD385">
        <v>5040</v>
      </c>
      <c r="CE385">
        <v>384</v>
      </c>
      <c r="CF385">
        <v>144</v>
      </c>
      <c r="CG385">
        <v>0</v>
      </c>
      <c r="CH385">
        <v>0</v>
      </c>
      <c r="CI385">
        <v>0</v>
      </c>
      <c r="CJ385">
        <v>0</v>
      </c>
      <c r="CK385">
        <v>0</v>
      </c>
      <c r="CL385">
        <v>0</v>
      </c>
      <c r="CM385">
        <v>0</v>
      </c>
    </row>
    <row r="386" spans="82:91" x14ac:dyDescent="0.25">
      <c r="CD386">
        <v>5040</v>
      </c>
      <c r="CE386">
        <v>384</v>
      </c>
      <c r="CF386">
        <v>144</v>
      </c>
      <c r="CG386">
        <v>0</v>
      </c>
      <c r="CH386">
        <v>0</v>
      </c>
      <c r="CI386">
        <v>0</v>
      </c>
      <c r="CJ386">
        <v>0</v>
      </c>
      <c r="CK386">
        <v>0</v>
      </c>
      <c r="CL386">
        <v>0</v>
      </c>
      <c r="CM386">
        <v>0</v>
      </c>
    </row>
    <row r="387" spans="82:91" x14ac:dyDescent="0.25">
      <c r="CD387">
        <v>5040</v>
      </c>
      <c r="CE387">
        <v>384</v>
      </c>
      <c r="CF387">
        <v>144</v>
      </c>
      <c r="CG387">
        <v>0</v>
      </c>
      <c r="CH387">
        <v>0</v>
      </c>
      <c r="CI387">
        <v>0</v>
      </c>
      <c r="CJ387">
        <v>0</v>
      </c>
      <c r="CK387">
        <v>0</v>
      </c>
      <c r="CL387">
        <v>0</v>
      </c>
      <c r="CM387">
        <v>0</v>
      </c>
    </row>
    <row r="388" spans="82:91" x14ac:dyDescent="0.25">
      <c r="CD388">
        <v>5040</v>
      </c>
      <c r="CE388">
        <v>384</v>
      </c>
      <c r="CF388">
        <v>96</v>
      </c>
      <c r="CG388">
        <v>0</v>
      </c>
      <c r="CH388">
        <v>0</v>
      </c>
      <c r="CI388">
        <v>0</v>
      </c>
      <c r="CJ388">
        <v>0</v>
      </c>
      <c r="CK388">
        <v>0</v>
      </c>
      <c r="CL388">
        <v>0</v>
      </c>
      <c r="CM388">
        <v>0</v>
      </c>
    </row>
    <row r="389" spans="82:91" x14ac:dyDescent="0.25">
      <c r="CD389">
        <v>5040</v>
      </c>
      <c r="CE389">
        <v>384</v>
      </c>
      <c r="CF389">
        <v>96</v>
      </c>
      <c r="CG389">
        <v>0</v>
      </c>
      <c r="CH389">
        <v>0</v>
      </c>
      <c r="CI389">
        <v>0</v>
      </c>
      <c r="CJ389">
        <v>0</v>
      </c>
      <c r="CK389">
        <v>0</v>
      </c>
      <c r="CL389">
        <v>0</v>
      </c>
      <c r="CM389">
        <v>0</v>
      </c>
    </row>
    <row r="390" spans="82:91" x14ac:dyDescent="0.25">
      <c r="CD390">
        <v>5040</v>
      </c>
      <c r="CE390">
        <v>384</v>
      </c>
      <c r="CF390">
        <v>96</v>
      </c>
      <c r="CG390">
        <v>0</v>
      </c>
      <c r="CH390">
        <v>0</v>
      </c>
      <c r="CI390">
        <v>0</v>
      </c>
      <c r="CJ390">
        <v>0</v>
      </c>
      <c r="CK390">
        <v>0</v>
      </c>
      <c r="CL390">
        <v>0</v>
      </c>
      <c r="CM390">
        <v>0</v>
      </c>
    </row>
    <row r="391" spans="82:91" x14ac:dyDescent="0.25">
      <c r="CD391">
        <v>5040</v>
      </c>
      <c r="CE391">
        <v>384</v>
      </c>
      <c r="CF391">
        <v>96</v>
      </c>
      <c r="CG391">
        <v>0</v>
      </c>
      <c r="CH391">
        <v>0</v>
      </c>
      <c r="CI391">
        <v>0</v>
      </c>
      <c r="CJ391">
        <v>0</v>
      </c>
      <c r="CK391">
        <v>0</v>
      </c>
      <c r="CL391">
        <v>0</v>
      </c>
      <c r="CM391">
        <v>0</v>
      </c>
    </row>
    <row r="392" spans="82:91" x14ac:dyDescent="0.25">
      <c r="CD392">
        <v>5040</v>
      </c>
      <c r="CE392">
        <v>384</v>
      </c>
      <c r="CF392">
        <v>96</v>
      </c>
      <c r="CG392">
        <v>0</v>
      </c>
      <c r="CH392">
        <v>0</v>
      </c>
      <c r="CI392">
        <v>0</v>
      </c>
      <c r="CJ392">
        <v>0</v>
      </c>
      <c r="CK392">
        <v>0</v>
      </c>
      <c r="CL392">
        <v>0</v>
      </c>
      <c r="CM392">
        <v>0</v>
      </c>
    </row>
    <row r="393" spans="82:91" x14ac:dyDescent="0.25">
      <c r="CD393">
        <v>5040</v>
      </c>
      <c r="CE393">
        <v>384</v>
      </c>
      <c r="CF393">
        <v>96</v>
      </c>
      <c r="CG393">
        <v>0</v>
      </c>
      <c r="CH393">
        <v>0</v>
      </c>
      <c r="CI393">
        <v>0</v>
      </c>
      <c r="CJ393">
        <v>0</v>
      </c>
      <c r="CK393">
        <v>0</v>
      </c>
      <c r="CL393">
        <v>0</v>
      </c>
      <c r="CM393">
        <v>0</v>
      </c>
    </row>
    <row r="394" spans="82:91" x14ac:dyDescent="0.25">
      <c r="CD394">
        <v>5040</v>
      </c>
      <c r="CE394">
        <v>384</v>
      </c>
      <c r="CF394">
        <v>96</v>
      </c>
      <c r="CG394">
        <v>0</v>
      </c>
      <c r="CH394">
        <v>0</v>
      </c>
      <c r="CI394">
        <v>0</v>
      </c>
      <c r="CJ394">
        <v>0</v>
      </c>
      <c r="CK394">
        <v>0</v>
      </c>
      <c r="CL394">
        <v>0</v>
      </c>
      <c r="CM394">
        <v>0</v>
      </c>
    </row>
    <row r="395" spans="82:91" x14ac:dyDescent="0.25">
      <c r="CD395">
        <v>5040</v>
      </c>
      <c r="CE395">
        <v>384</v>
      </c>
      <c r="CF395">
        <v>96</v>
      </c>
      <c r="CG395">
        <v>0</v>
      </c>
      <c r="CH395">
        <v>0</v>
      </c>
      <c r="CI395">
        <v>0</v>
      </c>
      <c r="CJ395">
        <v>0</v>
      </c>
      <c r="CK395">
        <v>0</v>
      </c>
      <c r="CL395">
        <v>0</v>
      </c>
      <c r="CM395">
        <v>0</v>
      </c>
    </row>
    <row r="396" spans="82:91" x14ac:dyDescent="0.25">
      <c r="CD396">
        <v>5040</v>
      </c>
      <c r="CE396">
        <v>384</v>
      </c>
      <c r="CF396">
        <v>96</v>
      </c>
      <c r="CG396">
        <v>0</v>
      </c>
      <c r="CH396">
        <v>0</v>
      </c>
      <c r="CI396">
        <v>0</v>
      </c>
      <c r="CJ396">
        <v>0</v>
      </c>
      <c r="CK396">
        <v>0</v>
      </c>
      <c r="CL396">
        <v>0</v>
      </c>
      <c r="CM396">
        <v>0</v>
      </c>
    </row>
    <row r="397" spans="82:91" x14ac:dyDescent="0.25">
      <c r="CD397">
        <v>5040</v>
      </c>
      <c r="CE397">
        <v>384</v>
      </c>
      <c r="CF397">
        <v>96</v>
      </c>
      <c r="CG397">
        <v>0</v>
      </c>
      <c r="CH397">
        <v>0</v>
      </c>
      <c r="CI397">
        <v>0</v>
      </c>
      <c r="CJ397">
        <v>0</v>
      </c>
      <c r="CK397">
        <v>0</v>
      </c>
      <c r="CL397">
        <v>0</v>
      </c>
      <c r="CM397">
        <v>0</v>
      </c>
    </row>
    <row r="398" spans="82:91" x14ac:dyDescent="0.25">
      <c r="CD398">
        <v>5040</v>
      </c>
      <c r="CE398">
        <v>384</v>
      </c>
      <c r="CF398">
        <v>96</v>
      </c>
      <c r="CG398">
        <v>0</v>
      </c>
      <c r="CH398">
        <v>0</v>
      </c>
      <c r="CI398">
        <v>0</v>
      </c>
      <c r="CJ398">
        <v>0</v>
      </c>
      <c r="CK398">
        <v>0</v>
      </c>
      <c r="CL398">
        <v>0</v>
      </c>
      <c r="CM398">
        <v>0</v>
      </c>
    </row>
    <row r="399" spans="82:91" x14ac:dyDescent="0.25">
      <c r="CD399">
        <v>5040</v>
      </c>
      <c r="CE399">
        <v>384</v>
      </c>
      <c r="CF399">
        <v>96</v>
      </c>
      <c r="CG399">
        <v>0</v>
      </c>
      <c r="CH399">
        <v>0</v>
      </c>
      <c r="CI399">
        <v>0</v>
      </c>
      <c r="CJ399">
        <v>0</v>
      </c>
      <c r="CK399">
        <v>0</v>
      </c>
      <c r="CL399">
        <v>0</v>
      </c>
      <c r="CM399">
        <v>0</v>
      </c>
    </row>
    <row r="400" spans="82:91" x14ac:dyDescent="0.25">
      <c r="CD400">
        <v>5040</v>
      </c>
      <c r="CE400">
        <v>384</v>
      </c>
      <c r="CF400">
        <v>96</v>
      </c>
      <c r="CG400">
        <v>0</v>
      </c>
      <c r="CH400">
        <v>0</v>
      </c>
      <c r="CI400">
        <v>0</v>
      </c>
      <c r="CJ400">
        <v>0</v>
      </c>
      <c r="CK400">
        <v>0</v>
      </c>
      <c r="CL400">
        <v>0</v>
      </c>
      <c r="CM400">
        <v>0</v>
      </c>
    </row>
    <row r="401" spans="82:91" x14ac:dyDescent="0.25">
      <c r="CD401">
        <v>5040</v>
      </c>
      <c r="CE401">
        <v>384</v>
      </c>
      <c r="CF401">
        <v>96</v>
      </c>
      <c r="CG401">
        <v>0</v>
      </c>
      <c r="CH401">
        <v>0</v>
      </c>
      <c r="CI401">
        <v>0</v>
      </c>
      <c r="CJ401">
        <v>0</v>
      </c>
      <c r="CK401">
        <v>0</v>
      </c>
      <c r="CL401">
        <v>0</v>
      </c>
      <c r="CM401">
        <v>0</v>
      </c>
    </row>
    <row r="402" spans="82:91" x14ac:dyDescent="0.25">
      <c r="CD402">
        <v>5040</v>
      </c>
      <c r="CE402">
        <v>384</v>
      </c>
      <c r="CF402">
        <v>96</v>
      </c>
      <c r="CG402">
        <v>0</v>
      </c>
      <c r="CH402">
        <v>0</v>
      </c>
      <c r="CI402">
        <v>0</v>
      </c>
      <c r="CJ402">
        <v>0</v>
      </c>
      <c r="CK402">
        <v>0</v>
      </c>
      <c r="CL402">
        <v>0</v>
      </c>
      <c r="CM402">
        <v>0</v>
      </c>
    </row>
    <row r="403" spans="82:91" x14ac:dyDescent="0.25">
      <c r="CD403">
        <v>5040</v>
      </c>
      <c r="CE403">
        <v>384</v>
      </c>
      <c r="CF403">
        <v>96</v>
      </c>
      <c r="CG403">
        <v>0</v>
      </c>
      <c r="CH403">
        <v>0</v>
      </c>
      <c r="CI403">
        <v>0</v>
      </c>
      <c r="CJ403">
        <v>0</v>
      </c>
      <c r="CK403">
        <v>0</v>
      </c>
      <c r="CL403">
        <v>0</v>
      </c>
      <c r="CM403">
        <v>0</v>
      </c>
    </row>
    <row r="404" spans="82:91" x14ac:dyDescent="0.25">
      <c r="CD404">
        <v>5040</v>
      </c>
      <c r="CE404">
        <v>384</v>
      </c>
      <c r="CF404">
        <v>96</v>
      </c>
      <c r="CG404">
        <v>0</v>
      </c>
      <c r="CH404">
        <v>0</v>
      </c>
      <c r="CI404">
        <v>0</v>
      </c>
      <c r="CJ404">
        <v>0</v>
      </c>
      <c r="CK404">
        <v>0</v>
      </c>
      <c r="CL404">
        <v>0</v>
      </c>
      <c r="CM404">
        <v>0</v>
      </c>
    </row>
    <row r="405" spans="82:91" x14ac:dyDescent="0.25">
      <c r="CD405">
        <v>5040</v>
      </c>
      <c r="CE405">
        <v>384</v>
      </c>
      <c r="CF405">
        <v>96</v>
      </c>
      <c r="CG405">
        <v>0</v>
      </c>
      <c r="CH405">
        <v>0</v>
      </c>
      <c r="CI405">
        <v>0</v>
      </c>
      <c r="CJ405">
        <v>0</v>
      </c>
      <c r="CK405">
        <v>0</v>
      </c>
      <c r="CL405">
        <v>0</v>
      </c>
      <c r="CM405">
        <v>0</v>
      </c>
    </row>
    <row r="406" spans="82:91" x14ac:dyDescent="0.25">
      <c r="CD406">
        <v>5040</v>
      </c>
      <c r="CE406">
        <v>384</v>
      </c>
      <c r="CF406">
        <v>96</v>
      </c>
      <c r="CG406">
        <v>0</v>
      </c>
      <c r="CH406">
        <v>0</v>
      </c>
      <c r="CI406">
        <v>0</v>
      </c>
      <c r="CJ406">
        <v>0</v>
      </c>
      <c r="CK406">
        <v>0</v>
      </c>
      <c r="CL406">
        <v>0</v>
      </c>
      <c r="CM406">
        <v>0</v>
      </c>
    </row>
    <row r="407" spans="82:91" x14ac:dyDescent="0.25">
      <c r="CD407">
        <v>5040</v>
      </c>
      <c r="CE407">
        <v>384</v>
      </c>
      <c r="CF407">
        <v>96</v>
      </c>
      <c r="CG407">
        <v>0</v>
      </c>
      <c r="CH407">
        <v>0</v>
      </c>
      <c r="CI407">
        <v>0</v>
      </c>
      <c r="CJ407">
        <v>0</v>
      </c>
      <c r="CK407">
        <v>0</v>
      </c>
      <c r="CL407">
        <v>0</v>
      </c>
      <c r="CM407">
        <v>0</v>
      </c>
    </row>
    <row r="408" spans="82:91" x14ac:dyDescent="0.25">
      <c r="CD408">
        <v>5040</v>
      </c>
      <c r="CE408">
        <v>384</v>
      </c>
      <c r="CF408">
        <v>96</v>
      </c>
      <c r="CG408">
        <v>0</v>
      </c>
      <c r="CH408">
        <v>0</v>
      </c>
      <c r="CI408">
        <v>0</v>
      </c>
      <c r="CJ408">
        <v>0</v>
      </c>
      <c r="CK408">
        <v>0</v>
      </c>
      <c r="CL408">
        <v>0</v>
      </c>
      <c r="CM408">
        <v>0</v>
      </c>
    </row>
    <row r="409" spans="82:91" x14ac:dyDescent="0.25">
      <c r="CD409">
        <v>5040</v>
      </c>
      <c r="CE409">
        <v>384</v>
      </c>
      <c r="CF409">
        <v>96</v>
      </c>
      <c r="CG409">
        <v>0</v>
      </c>
      <c r="CH409">
        <v>0</v>
      </c>
      <c r="CI409">
        <v>0</v>
      </c>
      <c r="CJ409">
        <v>0</v>
      </c>
      <c r="CK409">
        <v>0</v>
      </c>
      <c r="CL409">
        <v>0</v>
      </c>
      <c r="CM409">
        <v>0</v>
      </c>
    </row>
    <row r="410" spans="82:91" x14ac:dyDescent="0.25">
      <c r="CD410">
        <v>5040</v>
      </c>
      <c r="CE410">
        <v>384</v>
      </c>
      <c r="CF410">
        <v>96</v>
      </c>
      <c r="CG410">
        <v>0</v>
      </c>
      <c r="CH410">
        <v>0</v>
      </c>
      <c r="CI410">
        <v>0</v>
      </c>
      <c r="CJ410">
        <v>0</v>
      </c>
      <c r="CK410">
        <v>0</v>
      </c>
      <c r="CL410">
        <v>0</v>
      </c>
      <c r="CM410">
        <v>0</v>
      </c>
    </row>
    <row r="411" spans="82:91" x14ac:dyDescent="0.25">
      <c r="CD411">
        <v>5040</v>
      </c>
      <c r="CE411">
        <v>384</v>
      </c>
      <c r="CF411">
        <v>96</v>
      </c>
      <c r="CG411">
        <v>0</v>
      </c>
      <c r="CH411">
        <v>0</v>
      </c>
      <c r="CI411">
        <v>0</v>
      </c>
      <c r="CJ411">
        <v>0</v>
      </c>
      <c r="CK411">
        <v>0</v>
      </c>
      <c r="CL411">
        <v>0</v>
      </c>
      <c r="CM411">
        <v>0</v>
      </c>
    </row>
    <row r="412" spans="82:91" x14ac:dyDescent="0.25">
      <c r="CD412">
        <v>5040</v>
      </c>
      <c r="CE412">
        <v>384</v>
      </c>
      <c r="CF412">
        <v>96</v>
      </c>
      <c r="CG412">
        <v>0</v>
      </c>
      <c r="CH412">
        <v>0</v>
      </c>
      <c r="CI412">
        <v>0</v>
      </c>
      <c r="CJ412">
        <v>0</v>
      </c>
      <c r="CK412">
        <v>0</v>
      </c>
      <c r="CL412">
        <v>0</v>
      </c>
      <c r="CM412">
        <v>0</v>
      </c>
    </row>
    <row r="413" spans="82:91" x14ac:dyDescent="0.25">
      <c r="CD413">
        <v>5040</v>
      </c>
      <c r="CE413">
        <v>384</v>
      </c>
      <c r="CF413">
        <v>96</v>
      </c>
      <c r="CG413">
        <v>0</v>
      </c>
      <c r="CH413">
        <v>0</v>
      </c>
      <c r="CI413">
        <v>0</v>
      </c>
      <c r="CJ413">
        <v>0</v>
      </c>
      <c r="CK413">
        <v>0</v>
      </c>
      <c r="CL413">
        <v>0</v>
      </c>
      <c r="CM413">
        <v>0</v>
      </c>
    </row>
    <row r="414" spans="82:91" x14ac:dyDescent="0.25">
      <c r="CD414">
        <v>5040</v>
      </c>
      <c r="CE414">
        <v>384</v>
      </c>
      <c r="CF414">
        <v>96</v>
      </c>
      <c r="CG414">
        <v>0</v>
      </c>
      <c r="CH414">
        <v>0</v>
      </c>
      <c r="CI414">
        <v>0</v>
      </c>
      <c r="CJ414">
        <v>0</v>
      </c>
      <c r="CK414">
        <v>0</v>
      </c>
      <c r="CL414">
        <v>0</v>
      </c>
      <c r="CM414">
        <v>0</v>
      </c>
    </row>
    <row r="415" spans="82:91" x14ac:dyDescent="0.25">
      <c r="CD415">
        <v>5040</v>
      </c>
      <c r="CE415">
        <v>384</v>
      </c>
      <c r="CF415">
        <v>96</v>
      </c>
      <c r="CG415">
        <v>0</v>
      </c>
      <c r="CH415">
        <v>0</v>
      </c>
      <c r="CI415">
        <v>0</v>
      </c>
      <c r="CJ415">
        <v>0</v>
      </c>
      <c r="CK415">
        <v>0</v>
      </c>
      <c r="CL415">
        <v>0</v>
      </c>
      <c r="CM415">
        <v>0</v>
      </c>
    </row>
    <row r="416" spans="82:91" x14ac:dyDescent="0.25">
      <c r="CD416">
        <v>5040</v>
      </c>
      <c r="CE416">
        <v>384</v>
      </c>
      <c r="CF416">
        <v>96</v>
      </c>
      <c r="CG416">
        <v>0</v>
      </c>
      <c r="CH416">
        <v>0</v>
      </c>
      <c r="CI416">
        <v>0</v>
      </c>
      <c r="CJ416">
        <v>0</v>
      </c>
      <c r="CK416">
        <v>0</v>
      </c>
      <c r="CL416">
        <v>0</v>
      </c>
      <c r="CM416">
        <v>0</v>
      </c>
    </row>
    <row r="417" spans="82:91" x14ac:dyDescent="0.25">
      <c r="CD417">
        <v>5040</v>
      </c>
      <c r="CE417">
        <v>384</v>
      </c>
      <c r="CF417">
        <v>96</v>
      </c>
      <c r="CG417">
        <v>0</v>
      </c>
      <c r="CH417">
        <v>0</v>
      </c>
      <c r="CI417">
        <v>0</v>
      </c>
      <c r="CJ417">
        <v>0</v>
      </c>
      <c r="CK417">
        <v>0</v>
      </c>
      <c r="CL417">
        <v>0</v>
      </c>
      <c r="CM417">
        <v>0</v>
      </c>
    </row>
    <row r="418" spans="82:91" x14ac:dyDescent="0.25">
      <c r="CD418">
        <v>5040</v>
      </c>
      <c r="CE418">
        <v>384</v>
      </c>
      <c r="CF418">
        <v>96</v>
      </c>
      <c r="CG418">
        <v>0</v>
      </c>
      <c r="CH418">
        <v>0</v>
      </c>
      <c r="CI418">
        <v>0</v>
      </c>
      <c r="CJ418">
        <v>0</v>
      </c>
      <c r="CK418">
        <v>0</v>
      </c>
      <c r="CL418">
        <v>0</v>
      </c>
      <c r="CM418">
        <v>0</v>
      </c>
    </row>
    <row r="419" spans="82:91" x14ac:dyDescent="0.25">
      <c r="CD419">
        <v>5040</v>
      </c>
      <c r="CE419">
        <v>384</v>
      </c>
      <c r="CF419">
        <v>96</v>
      </c>
      <c r="CG419">
        <v>0</v>
      </c>
      <c r="CH419">
        <v>0</v>
      </c>
      <c r="CI419">
        <v>0</v>
      </c>
      <c r="CJ419">
        <v>0</v>
      </c>
      <c r="CK419">
        <v>0</v>
      </c>
      <c r="CL419">
        <v>0</v>
      </c>
      <c r="CM419">
        <v>0</v>
      </c>
    </row>
    <row r="420" spans="82:91" x14ac:dyDescent="0.25">
      <c r="CD420">
        <v>5040</v>
      </c>
      <c r="CE420">
        <v>384</v>
      </c>
      <c r="CF420">
        <v>96</v>
      </c>
      <c r="CG420">
        <v>0</v>
      </c>
      <c r="CH420">
        <v>0</v>
      </c>
      <c r="CI420">
        <v>0</v>
      </c>
      <c r="CJ420">
        <v>0</v>
      </c>
      <c r="CK420">
        <v>0</v>
      </c>
      <c r="CL420">
        <v>0</v>
      </c>
      <c r="CM420">
        <v>0</v>
      </c>
    </row>
    <row r="421" spans="82:91" x14ac:dyDescent="0.25">
      <c r="CD421">
        <v>5040</v>
      </c>
      <c r="CE421">
        <v>384</v>
      </c>
      <c r="CF421">
        <v>96</v>
      </c>
      <c r="CG421">
        <v>0</v>
      </c>
      <c r="CH421">
        <v>0</v>
      </c>
      <c r="CI421">
        <v>0</v>
      </c>
      <c r="CJ421">
        <v>0</v>
      </c>
      <c r="CK421">
        <v>0</v>
      </c>
      <c r="CL421">
        <v>0</v>
      </c>
      <c r="CM421">
        <v>0</v>
      </c>
    </row>
    <row r="422" spans="82:91" x14ac:dyDescent="0.25">
      <c r="CD422">
        <v>5040</v>
      </c>
      <c r="CE422">
        <v>384</v>
      </c>
      <c r="CF422">
        <v>96</v>
      </c>
      <c r="CG422">
        <v>0</v>
      </c>
      <c r="CH422">
        <v>0</v>
      </c>
      <c r="CI422">
        <v>0</v>
      </c>
      <c r="CJ422">
        <v>0</v>
      </c>
      <c r="CK422">
        <v>0</v>
      </c>
      <c r="CL422">
        <v>0</v>
      </c>
      <c r="CM422">
        <v>0</v>
      </c>
    </row>
    <row r="423" spans="82:91" x14ac:dyDescent="0.25">
      <c r="CD423">
        <v>5040</v>
      </c>
      <c r="CE423">
        <v>384</v>
      </c>
      <c r="CF423">
        <v>96</v>
      </c>
      <c r="CG423">
        <v>0</v>
      </c>
      <c r="CH423">
        <v>0</v>
      </c>
      <c r="CI423">
        <v>0</v>
      </c>
      <c r="CJ423">
        <v>0</v>
      </c>
      <c r="CK423">
        <v>0</v>
      </c>
      <c r="CL423">
        <v>0</v>
      </c>
      <c r="CM423">
        <v>0</v>
      </c>
    </row>
    <row r="424" spans="82:91" x14ac:dyDescent="0.25">
      <c r="CD424">
        <v>5040</v>
      </c>
      <c r="CE424">
        <v>384</v>
      </c>
      <c r="CF424">
        <v>96</v>
      </c>
      <c r="CG424">
        <v>0</v>
      </c>
      <c r="CH424">
        <v>0</v>
      </c>
      <c r="CI424">
        <v>0</v>
      </c>
      <c r="CJ424">
        <v>0</v>
      </c>
      <c r="CK424">
        <v>0</v>
      </c>
      <c r="CL424">
        <v>0</v>
      </c>
      <c r="CM424">
        <v>0</v>
      </c>
    </row>
    <row r="425" spans="82:91" x14ac:dyDescent="0.25">
      <c r="CD425">
        <v>5040</v>
      </c>
      <c r="CE425">
        <v>384</v>
      </c>
      <c r="CF425">
        <v>96</v>
      </c>
      <c r="CG425">
        <v>0</v>
      </c>
      <c r="CH425">
        <v>0</v>
      </c>
      <c r="CI425">
        <v>0</v>
      </c>
      <c r="CJ425">
        <v>0</v>
      </c>
      <c r="CK425">
        <v>0</v>
      </c>
      <c r="CL425">
        <v>0</v>
      </c>
      <c r="CM425">
        <v>0</v>
      </c>
    </row>
    <row r="426" spans="82:91" x14ac:dyDescent="0.25">
      <c r="CD426">
        <v>5040</v>
      </c>
      <c r="CE426">
        <v>384</v>
      </c>
      <c r="CF426">
        <v>96</v>
      </c>
      <c r="CG426">
        <v>0</v>
      </c>
      <c r="CH426">
        <v>0</v>
      </c>
      <c r="CI426">
        <v>0</v>
      </c>
      <c r="CJ426">
        <v>0</v>
      </c>
      <c r="CK426">
        <v>0</v>
      </c>
      <c r="CL426">
        <v>0</v>
      </c>
      <c r="CM426">
        <v>0</v>
      </c>
    </row>
    <row r="427" spans="82:91" x14ac:dyDescent="0.25">
      <c r="CD427">
        <v>5040</v>
      </c>
      <c r="CE427">
        <v>384</v>
      </c>
      <c r="CF427">
        <v>96</v>
      </c>
      <c r="CG427">
        <v>0</v>
      </c>
      <c r="CH427">
        <v>0</v>
      </c>
      <c r="CI427">
        <v>0</v>
      </c>
      <c r="CJ427">
        <v>0</v>
      </c>
      <c r="CK427">
        <v>0</v>
      </c>
      <c r="CL427">
        <v>0</v>
      </c>
      <c r="CM427">
        <v>0</v>
      </c>
    </row>
    <row r="428" spans="82:91" x14ac:dyDescent="0.25">
      <c r="CD428">
        <v>5040</v>
      </c>
      <c r="CE428">
        <v>384</v>
      </c>
      <c r="CF428">
        <v>96</v>
      </c>
      <c r="CG428">
        <v>0</v>
      </c>
      <c r="CH428">
        <v>0</v>
      </c>
      <c r="CI428">
        <v>0</v>
      </c>
      <c r="CJ428">
        <v>0</v>
      </c>
      <c r="CK428">
        <v>0</v>
      </c>
      <c r="CL428">
        <v>0</v>
      </c>
      <c r="CM428">
        <v>0</v>
      </c>
    </row>
    <row r="429" spans="82:91" x14ac:dyDescent="0.25">
      <c r="CD429">
        <v>5040</v>
      </c>
      <c r="CE429">
        <v>384</v>
      </c>
      <c r="CF429">
        <v>96</v>
      </c>
      <c r="CG429">
        <v>0</v>
      </c>
      <c r="CH429">
        <v>0</v>
      </c>
      <c r="CI429">
        <v>0</v>
      </c>
      <c r="CJ429">
        <v>0</v>
      </c>
      <c r="CK429">
        <v>0</v>
      </c>
      <c r="CL429">
        <v>0</v>
      </c>
      <c r="CM429">
        <v>0</v>
      </c>
    </row>
    <row r="430" spans="82:91" x14ac:dyDescent="0.25">
      <c r="CD430">
        <v>5040</v>
      </c>
      <c r="CE430">
        <v>384</v>
      </c>
      <c r="CF430">
        <v>96</v>
      </c>
      <c r="CG430">
        <v>0</v>
      </c>
      <c r="CH430">
        <v>0</v>
      </c>
      <c r="CI430">
        <v>0</v>
      </c>
      <c r="CJ430">
        <v>0</v>
      </c>
      <c r="CK430">
        <v>0</v>
      </c>
      <c r="CL430">
        <v>0</v>
      </c>
      <c r="CM430">
        <v>0</v>
      </c>
    </row>
    <row r="431" spans="82:91" x14ac:dyDescent="0.25">
      <c r="CD431">
        <v>5040</v>
      </c>
      <c r="CE431">
        <v>384</v>
      </c>
      <c r="CF431">
        <v>96</v>
      </c>
      <c r="CG431">
        <v>0</v>
      </c>
      <c r="CH431">
        <v>0</v>
      </c>
      <c r="CI431">
        <v>0</v>
      </c>
      <c r="CJ431">
        <v>0</v>
      </c>
      <c r="CK431">
        <v>0</v>
      </c>
      <c r="CL431">
        <v>0</v>
      </c>
      <c r="CM431">
        <v>0</v>
      </c>
    </row>
    <row r="432" spans="82:91" x14ac:dyDescent="0.25">
      <c r="CD432">
        <v>5040</v>
      </c>
      <c r="CE432">
        <v>384</v>
      </c>
      <c r="CF432">
        <v>96</v>
      </c>
      <c r="CG432">
        <v>0</v>
      </c>
      <c r="CH432">
        <v>0</v>
      </c>
      <c r="CI432">
        <v>0</v>
      </c>
      <c r="CJ432">
        <v>0</v>
      </c>
      <c r="CK432">
        <v>0</v>
      </c>
      <c r="CL432">
        <v>0</v>
      </c>
      <c r="CM432">
        <v>0</v>
      </c>
    </row>
    <row r="433" spans="82:91" x14ac:dyDescent="0.25">
      <c r="CD433">
        <v>5040</v>
      </c>
      <c r="CE433">
        <v>384</v>
      </c>
      <c r="CF433">
        <v>96</v>
      </c>
      <c r="CG433">
        <v>0</v>
      </c>
      <c r="CH433">
        <v>0</v>
      </c>
      <c r="CI433">
        <v>0</v>
      </c>
      <c r="CJ433">
        <v>0</v>
      </c>
      <c r="CK433">
        <v>0</v>
      </c>
      <c r="CL433">
        <v>0</v>
      </c>
      <c r="CM433">
        <v>0</v>
      </c>
    </row>
    <row r="434" spans="82:91" x14ac:dyDescent="0.25">
      <c r="CD434">
        <v>5040</v>
      </c>
      <c r="CE434">
        <v>384</v>
      </c>
      <c r="CF434">
        <v>96</v>
      </c>
      <c r="CG434">
        <v>0</v>
      </c>
      <c r="CH434">
        <v>0</v>
      </c>
      <c r="CI434">
        <v>0</v>
      </c>
      <c r="CJ434">
        <v>0</v>
      </c>
      <c r="CK434">
        <v>0</v>
      </c>
      <c r="CL434">
        <v>0</v>
      </c>
      <c r="CM434">
        <v>0</v>
      </c>
    </row>
    <row r="435" spans="82:91" x14ac:dyDescent="0.25">
      <c r="CD435">
        <v>5040</v>
      </c>
      <c r="CE435">
        <v>384</v>
      </c>
      <c r="CF435">
        <v>96</v>
      </c>
      <c r="CG435">
        <v>0</v>
      </c>
      <c r="CH435">
        <v>0</v>
      </c>
      <c r="CI435">
        <v>0</v>
      </c>
      <c r="CJ435">
        <v>0</v>
      </c>
      <c r="CK435">
        <v>0</v>
      </c>
      <c r="CL435">
        <v>0</v>
      </c>
      <c r="CM435">
        <v>0</v>
      </c>
    </row>
    <row r="436" spans="82:91" x14ac:dyDescent="0.25">
      <c r="CD436">
        <v>5040</v>
      </c>
      <c r="CE436">
        <v>384</v>
      </c>
      <c r="CF436">
        <v>96</v>
      </c>
      <c r="CG436">
        <v>0</v>
      </c>
      <c r="CH436">
        <v>0</v>
      </c>
      <c r="CI436">
        <v>0</v>
      </c>
      <c r="CJ436">
        <v>0</v>
      </c>
      <c r="CK436">
        <v>0</v>
      </c>
      <c r="CL436">
        <v>0</v>
      </c>
      <c r="CM436">
        <v>0</v>
      </c>
    </row>
    <row r="437" spans="82:91" x14ac:dyDescent="0.25">
      <c r="CD437">
        <v>5040</v>
      </c>
      <c r="CE437">
        <v>384</v>
      </c>
      <c r="CF437">
        <v>96</v>
      </c>
      <c r="CG437">
        <v>0</v>
      </c>
      <c r="CH437">
        <v>0</v>
      </c>
      <c r="CI437">
        <v>0</v>
      </c>
      <c r="CJ437">
        <v>0</v>
      </c>
      <c r="CK437">
        <v>0</v>
      </c>
      <c r="CL437">
        <v>0</v>
      </c>
      <c r="CM437">
        <v>0</v>
      </c>
    </row>
    <row r="438" spans="82:91" x14ac:dyDescent="0.25">
      <c r="CD438">
        <v>5040</v>
      </c>
      <c r="CE438">
        <v>384</v>
      </c>
      <c r="CF438">
        <v>96</v>
      </c>
      <c r="CG438">
        <v>0</v>
      </c>
      <c r="CH438">
        <v>0</v>
      </c>
      <c r="CI438">
        <v>0</v>
      </c>
      <c r="CJ438">
        <v>0</v>
      </c>
      <c r="CK438">
        <v>0</v>
      </c>
      <c r="CL438">
        <v>0</v>
      </c>
      <c r="CM438">
        <v>0</v>
      </c>
    </row>
    <row r="439" spans="82:91" x14ac:dyDescent="0.25">
      <c r="CD439">
        <v>5040</v>
      </c>
      <c r="CE439">
        <v>384</v>
      </c>
      <c r="CF439">
        <v>96</v>
      </c>
      <c r="CG439">
        <v>0</v>
      </c>
      <c r="CH439">
        <v>0</v>
      </c>
      <c r="CI439">
        <v>0</v>
      </c>
      <c r="CJ439">
        <v>0</v>
      </c>
      <c r="CK439">
        <v>0</v>
      </c>
      <c r="CL439">
        <v>0</v>
      </c>
      <c r="CM439">
        <v>0</v>
      </c>
    </row>
    <row r="440" spans="82:91" x14ac:dyDescent="0.25">
      <c r="CD440">
        <v>5040</v>
      </c>
      <c r="CE440">
        <v>384</v>
      </c>
      <c r="CF440">
        <v>96</v>
      </c>
      <c r="CG440">
        <v>0</v>
      </c>
      <c r="CH440">
        <v>0</v>
      </c>
      <c r="CI440">
        <v>0</v>
      </c>
      <c r="CJ440">
        <v>0</v>
      </c>
      <c r="CK440">
        <v>0</v>
      </c>
      <c r="CL440">
        <v>0</v>
      </c>
      <c r="CM440">
        <v>0</v>
      </c>
    </row>
    <row r="441" spans="82:91" x14ac:dyDescent="0.25">
      <c r="CD441">
        <v>5040</v>
      </c>
      <c r="CE441">
        <v>384</v>
      </c>
      <c r="CF441">
        <v>96</v>
      </c>
      <c r="CG441">
        <v>0</v>
      </c>
      <c r="CH441">
        <v>0</v>
      </c>
      <c r="CI441">
        <v>0</v>
      </c>
      <c r="CJ441">
        <v>0</v>
      </c>
      <c r="CK441">
        <v>0</v>
      </c>
      <c r="CL441">
        <v>0</v>
      </c>
      <c r="CM441">
        <v>0</v>
      </c>
    </row>
    <row r="442" spans="82:91" x14ac:dyDescent="0.25">
      <c r="CD442">
        <v>5040</v>
      </c>
      <c r="CE442">
        <v>384</v>
      </c>
      <c r="CF442">
        <v>96</v>
      </c>
      <c r="CG442">
        <v>0</v>
      </c>
      <c r="CH442">
        <v>0</v>
      </c>
      <c r="CI442">
        <v>0</v>
      </c>
      <c r="CJ442">
        <v>0</v>
      </c>
      <c r="CK442">
        <v>0</v>
      </c>
      <c r="CL442">
        <v>0</v>
      </c>
      <c r="CM442">
        <v>0</v>
      </c>
    </row>
    <row r="443" spans="82:91" x14ac:dyDescent="0.25">
      <c r="CD443">
        <v>5040</v>
      </c>
      <c r="CE443">
        <v>384</v>
      </c>
      <c r="CF443">
        <v>96</v>
      </c>
      <c r="CG443">
        <v>0</v>
      </c>
      <c r="CH443">
        <v>0</v>
      </c>
      <c r="CI443">
        <v>0</v>
      </c>
      <c r="CJ443">
        <v>0</v>
      </c>
      <c r="CK443">
        <v>0</v>
      </c>
      <c r="CL443">
        <v>0</v>
      </c>
      <c r="CM443">
        <v>0</v>
      </c>
    </row>
    <row r="444" spans="82:91" x14ac:dyDescent="0.25">
      <c r="CD444">
        <v>5040</v>
      </c>
      <c r="CE444">
        <v>384</v>
      </c>
      <c r="CF444">
        <v>96</v>
      </c>
      <c r="CG444">
        <v>0</v>
      </c>
      <c r="CH444">
        <v>0</v>
      </c>
      <c r="CI444">
        <v>0</v>
      </c>
      <c r="CJ444">
        <v>0</v>
      </c>
      <c r="CK444">
        <v>0</v>
      </c>
      <c r="CL444">
        <v>0</v>
      </c>
      <c r="CM444">
        <v>0</v>
      </c>
    </row>
    <row r="445" spans="82:91" x14ac:dyDescent="0.25">
      <c r="CD445">
        <v>5040</v>
      </c>
      <c r="CE445">
        <v>384</v>
      </c>
      <c r="CF445">
        <v>96</v>
      </c>
      <c r="CG445">
        <v>0</v>
      </c>
      <c r="CH445">
        <v>0</v>
      </c>
      <c r="CI445">
        <v>0</v>
      </c>
      <c r="CJ445">
        <v>0</v>
      </c>
      <c r="CK445">
        <v>0</v>
      </c>
      <c r="CL445">
        <v>0</v>
      </c>
      <c r="CM445">
        <v>0</v>
      </c>
    </row>
    <row r="446" spans="82:91" x14ac:dyDescent="0.25">
      <c r="CD446">
        <v>5040</v>
      </c>
      <c r="CE446">
        <v>384</v>
      </c>
      <c r="CF446">
        <v>96</v>
      </c>
      <c r="CG446">
        <v>0</v>
      </c>
      <c r="CH446">
        <v>0</v>
      </c>
      <c r="CI446">
        <v>0</v>
      </c>
      <c r="CJ446">
        <v>0</v>
      </c>
      <c r="CK446">
        <v>0</v>
      </c>
      <c r="CL446">
        <v>0</v>
      </c>
      <c r="CM446">
        <v>0</v>
      </c>
    </row>
    <row r="447" spans="82:91" x14ac:dyDescent="0.25">
      <c r="CD447">
        <v>5040</v>
      </c>
      <c r="CE447">
        <v>384</v>
      </c>
      <c r="CF447">
        <v>96</v>
      </c>
      <c r="CG447">
        <v>0</v>
      </c>
      <c r="CH447">
        <v>0</v>
      </c>
      <c r="CI447">
        <v>0</v>
      </c>
      <c r="CJ447">
        <v>0</v>
      </c>
      <c r="CK447">
        <v>0</v>
      </c>
      <c r="CL447">
        <v>0</v>
      </c>
      <c r="CM447">
        <v>0</v>
      </c>
    </row>
    <row r="448" spans="82:91" x14ac:dyDescent="0.25">
      <c r="CD448">
        <v>5040</v>
      </c>
      <c r="CE448">
        <v>384</v>
      </c>
      <c r="CF448">
        <v>96</v>
      </c>
      <c r="CG448">
        <v>0</v>
      </c>
      <c r="CH448">
        <v>0</v>
      </c>
      <c r="CI448">
        <v>0</v>
      </c>
      <c r="CJ448">
        <v>0</v>
      </c>
      <c r="CK448">
        <v>0</v>
      </c>
      <c r="CL448">
        <v>0</v>
      </c>
      <c r="CM448">
        <v>0</v>
      </c>
    </row>
    <row r="449" spans="82:91" x14ac:dyDescent="0.25">
      <c r="CD449">
        <v>5040</v>
      </c>
      <c r="CE449">
        <v>384</v>
      </c>
      <c r="CF449">
        <v>96</v>
      </c>
      <c r="CG449">
        <v>0</v>
      </c>
      <c r="CH449">
        <v>0</v>
      </c>
      <c r="CI449">
        <v>0</v>
      </c>
      <c r="CJ449">
        <v>0</v>
      </c>
      <c r="CK449">
        <v>0</v>
      </c>
      <c r="CL449">
        <v>0</v>
      </c>
      <c r="CM449">
        <v>0</v>
      </c>
    </row>
    <row r="450" spans="82:91" x14ac:dyDescent="0.25">
      <c r="CD450">
        <v>5040</v>
      </c>
      <c r="CE450">
        <v>384</v>
      </c>
      <c r="CF450">
        <v>96</v>
      </c>
      <c r="CG450">
        <v>0</v>
      </c>
      <c r="CH450">
        <v>0</v>
      </c>
      <c r="CI450">
        <v>0</v>
      </c>
      <c r="CJ450">
        <v>0</v>
      </c>
      <c r="CK450">
        <v>0</v>
      </c>
      <c r="CL450">
        <v>0</v>
      </c>
      <c r="CM450">
        <v>0</v>
      </c>
    </row>
    <row r="451" spans="82:91" x14ac:dyDescent="0.25">
      <c r="CD451">
        <v>5040</v>
      </c>
      <c r="CE451">
        <v>384</v>
      </c>
      <c r="CF451">
        <v>96</v>
      </c>
      <c r="CG451">
        <v>0</v>
      </c>
      <c r="CH451">
        <v>0</v>
      </c>
      <c r="CI451">
        <v>0</v>
      </c>
      <c r="CJ451">
        <v>0</v>
      </c>
      <c r="CK451">
        <v>0</v>
      </c>
      <c r="CL451">
        <v>0</v>
      </c>
      <c r="CM451">
        <v>0</v>
      </c>
    </row>
    <row r="452" spans="82:91" x14ac:dyDescent="0.25">
      <c r="CD452">
        <v>5040</v>
      </c>
      <c r="CE452">
        <v>384</v>
      </c>
      <c r="CF452">
        <v>96</v>
      </c>
      <c r="CG452">
        <v>0</v>
      </c>
      <c r="CH452">
        <v>0</v>
      </c>
      <c r="CI452">
        <v>0</v>
      </c>
      <c r="CJ452">
        <v>0</v>
      </c>
      <c r="CK452">
        <v>0</v>
      </c>
      <c r="CL452">
        <v>0</v>
      </c>
      <c r="CM452">
        <v>0</v>
      </c>
    </row>
    <row r="453" spans="82:91" x14ac:dyDescent="0.25">
      <c r="CD453">
        <v>5040</v>
      </c>
      <c r="CE453">
        <v>384</v>
      </c>
      <c r="CF453">
        <v>96</v>
      </c>
      <c r="CG453">
        <v>0</v>
      </c>
      <c r="CH453">
        <v>0</v>
      </c>
      <c r="CI453">
        <v>0</v>
      </c>
      <c r="CJ453">
        <v>0</v>
      </c>
      <c r="CK453">
        <v>0</v>
      </c>
      <c r="CL453">
        <v>0</v>
      </c>
      <c r="CM453">
        <v>0</v>
      </c>
    </row>
    <row r="454" spans="82:91" x14ac:dyDescent="0.25">
      <c r="CD454">
        <v>5040</v>
      </c>
      <c r="CE454">
        <v>384</v>
      </c>
      <c r="CF454">
        <v>96</v>
      </c>
      <c r="CG454">
        <v>0</v>
      </c>
      <c r="CH454">
        <v>0</v>
      </c>
      <c r="CI454">
        <v>0</v>
      </c>
      <c r="CJ454">
        <v>0</v>
      </c>
      <c r="CK454">
        <v>0</v>
      </c>
      <c r="CL454">
        <v>0</v>
      </c>
      <c r="CM454">
        <v>0</v>
      </c>
    </row>
    <row r="455" spans="82:91" x14ac:dyDescent="0.25">
      <c r="CD455">
        <v>5040</v>
      </c>
      <c r="CE455">
        <v>384</v>
      </c>
      <c r="CF455">
        <v>96</v>
      </c>
      <c r="CG455">
        <v>0</v>
      </c>
      <c r="CH455">
        <v>0</v>
      </c>
      <c r="CI455">
        <v>0</v>
      </c>
      <c r="CJ455">
        <v>0</v>
      </c>
      <c r="CK455">
        <v>0</v>
      </c>
      <c r="CL455">
        <v>0</v>
      </c>
      <c r="CM455">
        <v>0</v>
      </c>
    </row>
    <row r="456" spans="82:91" x14ac:dyDescent="0.25">
      <c r="CD456">
        <v>5040</v>
      </c>
      <c r="CE456">
        <v>384</v>
      </c>
      <c r="CF456">
        <v>96</v>
      </c>
      <c r="CG456">
        <v>0</v>
      </c>
      <c r="CH456">
        <v>0</v>
      </c>
      <c r="CI456">
        <v>0</v>
      </c>
      <c r="CJ456">
        <v>0</v>
      </c>
      <c r="CK456">
        <v>0</v>
      </c>
      <c r="CL456">
        <v>0</v>
      </c>
      <c r="CM456">
        <v>0</v>
      </c>
    </row>
    <row r="457" spans="82:91" x14ac:dyDescent="0.25">
      <c r="CD457">
        <v>5040</v>
      </c>
      <c r="CE457">
        <v>384</v>
      </c>
      <c r="CF457">
        <v>96</v>
      </c>
      <c r="CG457">
        <v>0</v>
      </c>
      <c r="CH457">
        <v>0</v>
      </c>
      <c r="CI457">
        <v>0</v>
      </c>
      <c r="CJ457">
        <v>0</v>
      </c>
      <c r="CK457">
        <v>0</v>
      </c>
      <c r="CL457">
        <v>0</v>
      </c>
      <c r="CM457">
        <v>0</v>
      </c>
    </row>
    <row r="458" spans="82:91" x14ac:dyDescent="0.25">
      <c r="CD458">
        <v>5040</v>
      </c>
      <c r="CE458">
        <v>384</v>
      </c>
      <c r="CF458">
        <v>96</v>
      </c>
      <c r="CG458">
        <v>0</v>
      </c>
      <c r="CH458">
        <v>0</v>
      </c>
      <c r="CI458">
        <v>0</v>
      </c>
      <c r="CJ458">
        <v>0</v>
      </c>
      <c r="CK458">
        <v>0</v>
      </c>
      <c r="CL458">
        <v>0</v>
      </c>
      <c r="CM458">
        <v>0</v>
      </c>
    </row>
    <row r="459" spans="82:91" x14ac:dyDescent="0.25">
      <c r="CD459">
        <v>5040</v>
      </c>
      <c r="CE459">
        <v>384</v>
      </c>
      <c r="CF459">
        <v>96</v>
      </c>
      <c r="CG459">
        <v>0</v>
      </c>
      <c r="CH459">
        <v>0</v>
      </c>
      <c r="CI459">
        <v>0</v>
      </c>
      <c r="CJ459">
        <v>0</v>
      </c>
      <c r="CK459">
        <v>0</v>
      </c>
      <c r="CL459">
        <v>0</v>
      </c>
      <c r="CM459">
        <v>0</v>
      </c>
    </row>
    <row r="460" spans="82:91" x14ac:dyDescent="0.25">
      <c r="CD460">
        <v>5040</v>
      </c>
      <c r="CE460">
        <v>384</v>
      </c>
      <c r="CF460">
        <v>96</v>
      </c>
      <c r="CG460">
        <v>0</v>
      </c>
      <c r="CH460">
        <v>0</v>
      </c>
      <c r="CI460">
        <v>0</v>
      </c>
      <c r="CJ460">
        <v>0</v>
      </c>
      <c r="CK460">
        <v>0</v>
      </c>
      <c r="CL460">
        <v>0</v>
      </c>
      <c r="CM460">
        <v>0</v>
      </c>
    </row>
    <row r="461" spans="82:91" x14ac:dyDescent="0.25">
      <c r="CD461">
        <v>5040</v>
      </c>
      <c r="CE461">
        <v>384</v>
      </c>
      <c r="CF461">
        <v>96</v>
      </c>
      <c r="CG461">
        <v>0</v>
      </c>
      <c r="CH461">
        <v>0</v>
      </c>
      <c r="CI461">
        <v>0</v>
      </c>
      <c r="CJ461">
        <v>0</v>
      </c>
      <c r="CK461">
        <v>0</v>
      </c>
      <c r="CL461">
        <v>0</v>
      </c>
      <c r="CM461">
        <v>0</v>
      </c>
    </row>
    <row r="462" spans="82:91" x14ac:dyDescent="0.25">
      <c r="CD462">
        <v>5040</v>
      </c>
      <c r="CE462">
        <v>384</v>
      </c>
      <c r="CF462">
        <v>96</v>
      </c>
      <c r="CG462">
        <v>0</v>
      </c>
      <c r="CH462">
        <v>0</v>
      </c>
      <c r="CI462">
        <v>0</v>
      </c>
      <c r="CJ462">
        <v>0</v>
      </c>
      <c r="CK462">
        <v>0</v>
      </c>
      <c r="CL462">
        <v>0</v>
      </c>
      <c r="CM462">
        <v>0</v>
      </c>
    </row>
    <row r="463" spans="82:91" x14ac:dyDescent="0.25">
      <c r="CD463">
        <v>5040</v>
      </c>
      <c r="CE463">
        <v>384</v>
      </c>
      <c r="CF463">
        <v>96</v>
      </c>
      <c r="CG463">
        <v>0</v>
      </c>
      <c r="CH463">
        <v>0</v>
      </c>
      <c r="CI463">
        <v>0</v>
      </c>
      <c r="CJ463">
        <v>0</v>
      </c>
      <c r="CK463">
        <v>0</v>
      </c>
      <c r="CL463">
        <v>0</v>
      </c>
      <c r="CM463">
        <v>0</v>
      </c>
    </row>
    <row r="464" spans="82:91" x14ac:dyDescent="0.25">
      <c r="CD464">
        <v>5040</v>
      </c>
      <c r="CE464">
        <v>384</v>
      </c>
      <c r="CF464">
        <v>96</v>
      </c>
      <c r="CG464">
        <v>0</v>
      </c>
      <c r="CH464">
        <v>0</v>
      </c>
      <c r="CI464">
        <v>0</v>
      </c>
      <c r="CJ464">
        <v>0</v>
      </c>
      <c r="CK464">
        <v>0</v>
      </c>
      <c r="CL464">
        <v>0</v>
      </c>
      <c r="CM464">
        <v>0</v>
      </c>
    </row>
    <row r="465" spans="82:91" x14ac:dyDescent="0.25">
      <c r="CD465">
        <v>5040</v>
      </c>
      <c r="CE465">
        <v>384</v>
      </c>
      <c r="CF465">
        <v>96</v>
      </c>
      <c r="CG465">
        <v>0</v>
      </c>
      <c r="CH465">
        <v>0</v>
      </c>
      <c r="CI465">
        <v>0</v>
      </c>
      <c r="CJ465">
        <v>0</v>
      </c>
      <c r="CK465">
        <v>0</v>
      </c>
      <c r="CL465">
        <v>0</v>
      </c>
      <c r="CM465">
        <v>0</v>
      </c>
    </row>
    <row r="466" spans="82:91" x14ac:dyDescent="0.25">
      <c r="CD466">
        <v>5040</v>
      </c>
      <c r="CE466">
        <v>384</v>
      </c>
      <c r="CF466">
        <v>96</v>
      </c>
      <c r="CG466">
        <v>0</v>
      </c>
      <c r="CH466">
        <v>0</v>
      </c>
      <c r="CI466">
        <v>0</v>
      </c>
      <c r="CJ466">
        <v>0</v>
      </c>
      <c r="CK466">
        <v>0</v>
      </c>
      <c r="CL466">
        <v>0</v>
      </c>
      <c r="CM466">
        <v>0</v>
      </c>
    </row>
    <row r="467" spans="82:91" x14ac:dyDescent="0.25">
      <c r="CD467">
        <v>5040</v>
      </c>
      <c r="CE467">
        <v>384</v>
      </c>
      <c r="CF467">
        <v>96</v>
      </c>
      <c r="CG467">
        <v>0</v>
      </c>
      <c r="CH467">
        <v>0</v>
      </c>
      <c r="CI467">
        <v>0</v>
      </c>
      <c r="CJ467">
        <v>0</v>
      </c>
      <c r="CK467">
        <v>0</v>
      </c>
      <c r="CL467">
        <v>0</v>
      </c>
      <c r="CM467">
        <v>0</v>
      </c>
    </row>
    <row r="468" spans="82:91" x14ac:dyDescent="0.25">
      <c r="CD468">
        <v>5040</v>
      </c>
      <c r="CE468">
        <v>384</v>
      </c>
      <c r="CF468">
        <v>96</v>
      </c>
      <c r="CG468">
        <v>0</v>
      </c>
      <c r="CH468">
        <v>0</v>
      </c>
      <c r="CI468">
        <v>0</v>
      </c>
      <c r="CJ468">
        <v>0</v>
      </c>
      <c r="CK468">
        <v>0</v>
      </c>
      <c r="CL468">
        <v>0</v>
      </c>
      <c r="CM468">
        <v>0</v>
      </c>
    </row>
    <row r="469" spans="82:91" x14ac:dyDescent="0.25">
      <c r="CD469">
        <v>5040</v>
      </c>
      <c r="CE469">
        <v>384</v>
      </c>
      <c r="CF469">
        <v>96</v>
      </c>
      <c r="CG469">
        <v>0</v>
      </c>
      <c r="CH469">
        <v>0</v>
      </c>
      <c r="CI469">
        <v>0</v>
      </c>
      <c r="CJ469">
        <v>0</v>
      </c>
      <c r="CK469">
        <v>0</v>
      </c>
      <c r="CL469">
        <v>0</v>
      </c>
      <c r="CM469">
        <v>0</v>
      </c>
    </row>
    <row r="470" spans="82:91" x14ac:dyDescent="0.25">
      <c r="CD470">
        <v>5040</v>
      </c>
      <c r="CE470">
        <v>384</v>
      </c>
      <c r="CF470">
        <v>96</v>
      </c>
      <c r="CG470">
        <v>0</v>
      </c>
      <c r="CH470">
        <v>0</v>
      </c>
      <c r="CI470">
        <v>0</v>
      </c>
      <c r="CJ470">
        <v>0</v>
      </c>
      <c r="CK470">
        <v>0</v>
      </c>
      <c r="CL470">
        <v>0</v>
      </c>
      <c r="CM470">
        <v>0</v>
      </c>
    </row>
    <row r="471" spans="82:91" x14ac:dyDescent="0.25">
      <c r="CD471">
        <v>5040</v>
      </c>
      <c r="CE471">
        <v>384</v>
      </c>
      <c r="CF471">
        <v>96</v>
      </c>
      <c r="CG471">
        <v>0</v>
      </c>
      <c r="CH471">
        <v>0</v>
      </c>
      <c r="CI471">
        <v>0</v>
      </c>
      <c r="CJ471">
        <v>0</v>
      </c>
      <c r="CK471">
        <v>0</v>
      </c>
      <c r="CL471">
        <v>0</v>
      </c>
      <c r="CM471">
        <v>0</v>
      </c>
    </row>
    <row r="472" spans="82:91" x14ac:dyDescent="0.25">
      <c r="CD472">
        <v>5040</v>
      </c>
      <c r="CE472">
        <v>384</v>
      </c>
      <c r="CF472">
        <v>96</v>
      </c>
      <c r="CG472">
        <v>0</v>
      </c>
      <c r="CH472">
        <v>0</v>
      </c>
      <c r="CI472">
        <v>0</v>
      </c>
      <c r="CJ472">
        <v>0</v>
      </c>
      <c r="CK472">
        <v>0</v>
      </c>
      <c r="CL472">
        <v>0</v>
      </c>
      <c r="CM472">
        <v>0</v>
      </c>
    </row>
    <row r="473" spans="82:91" x14ac:dyDescent="0.25">
      <c r="CD473">
        <v>5040</v>
      </c>
      <c r="CE473">
        <v>384</v>
      </c>
      <c r="CF473">
        <v>96</v>
      </c>
      <c r="CG473">
        <v>0</v>
      </c>
      <c r="CH473">
        <v>0</v>
      </c>
      <c r="CI473">
        <v>0</v>
      </c>
      <c r="CJ473">
        <v>0</v>
      </c>
      <c r="CK473">
        <v>0</v>
      </c>
      <c r="CL473">
        <v>0</v>
      </c>
      <c r="CM473">
        <v>0</v>
      </c>
    </row>
    <row r="474" spans="82:91" x14ac:dyDescent="0.25">
      <c r="CD474">
        <v>5040</v>
      </c>
      <c r="CE474">
        <v>384</v>
      </c>
      <c r="CF474">
        <v>96</v>
      </c>
      <c r="CG474">
        <v>0</v>
      </c>
      <c r="CH474">
        <v>0</v>
      </c>
      <c r="CI474">
        <v>0</v>
      </c>
      <c r="CJ474">
        <v>0</v>
      </c>
      <c r="CK474">
        <v>0</v>
      </c>
      <c r="CL474">
        <v>0</v>
      </c>
      <c r="CM474">
        <v>0</v>
      </c>
    </row>
    <row r="475" spans="82:91" x14ac:dyDescent="0.25">
      <c r="CD475">
        <v>5040</v>
      </c>
      <c r="CE475">
        <v>384</v>
      </c>
      <c r="CF475">
        <v>96</v>
      </c>
      <c r="CG475">
        <v>0</v>
      </c>
      <c r="CH475">
        <v>0</v>
      </c>
      <c r="CI475">
        <v>0</v>
      </c>
      <c r="CJ475">
        <v>0</v>
      </c>
      <c r="CK475">
        <v>0</v>
      </c>
      <c r="CL475">
        <v>0</v>
      </c>
      <c r="CM475">
        <v>0</v>
      </c>
    </row>
    <row r="476" spans="82:91" x14ac:dyDescent="0.25">
      <c r="CD476">
        <v>5040</v>
      </c>
      <c r="CE476">
        <v>384</v>
      </c>
      <c r="CF476">
        <v>96</v>
      </c>
      <c r="CG476">
        <v>0</v>
      </c>
      <c r="CH476">
        <v>0</v>
      </c>
      <c r="CI476">
        <v>0</v>
      </c>
      <c r="CJ476">
        <v>0</v>
      </c>
      <c r="CK476">
        <v>0</v>
      </c>
      <c r="CL476">
        <v>0</v>
      </c>
      <c r="CM476">
        <v>0</v>
      </c>
    </row>
    <row r="477" spans="82:91" x14ac:dyDescent="0.25">
      <c r="CD477">
        <v>5040</v>
      </c>
      <c r="CE477">
        <v>384</v>
      </c>
      <c r="CF477">
        <v>96</v>
      </c>
      <c r="CG477">
        <v>0</v>
      </c>
      <c r="CH477">
        <v>0</v>
      </c>
      <c r="CI477">
        <v>0</v>
      </c>
      <c r="CJ477">
        <v>0</v>
      </c>
      <c r="CK477">
        <v>0</v>
      </c>
      <c r="CL477">
        <v>0</v>
      </c>
      <c r="CM477">
        <v>0</v>
      </c>
    </row>
    <row r="478" spans="82:91" x14ac:dyDescent="0.25">
      <c r="CD478">
        <v>5040</v>
      </c>
      <c r="CE478">
        <v>384</v>
      </c>
      <c r="CF478">
        <v>96</v>
      </c>
      <c r="CG478">
        <v>0</v>
      </c>
      <c r="CH478">
        <v>0</v>
      </c>
      <c r="CI478">
        <v>0</v>
      </c>
      <c r="CJ478">
        <v>0</v>
      </c>
      <c r="CK478">
        <v>0</v>
      </c>
      <c r="CL478">
        <v>0</v>
      </c>
      <c r="CM478">
        <v>0</v>
      </c>
    </row>
    <row r="479" spans="82:91" x14ac:dyDescent="0.25">
      <c r="CD479">
        <v>5040</v>
      </c>
      <c r="CE479">
        <v>384</v>
      </c>
      <c r="CF479">
        <v>96</v>
      </c>
      <c r="CG479">
        <v>0</v>
      </c>
      <c r="CH479">
        <v>0</v>
      </c>
      <c r="CI479">
        <v>0</v>
      </c>
      <c r="CJ479">
        <v>0</v>
      </c>
      <c r="CK479">
        <v>0</v>
      </c>
      <c r="CL479">
        <v>0</v>
      </c>
      <c r="CM479">
        <v>0</v>
      </c>
    </row>
    <row r="480" spans="82:91" x14ac:dyDescent="0.25">
      <c r="CD480">
        <v>5040</v>
      </c>
      <c r="CE480">
        <v>384</v>
      </c>
      <c r="CF480">
        <v>96</v>
      </c>
      <c r="CG480">
        <v>0</v>
      </c>
      <c r="CH480">
        <v>0</v>
      </c>
      <c r="CI480">
        <v>0</v>
      </c>
      <c r="CJ480">
        <v>0</v>
      </c>
      <c r="CK480">
        <v>0</v>
      </c>
      <c r="CL480">
        <v>0</v>
      </c>
      <c r="CM480">
        <v>0</v>
      </c>
    </row>
    <row r="481" spans="82:91" x14ac:dyDescent="0.25">
      <c r="CD481">
        <v>5040</v>
      </c>
      <c r="CE481">
        <v>384</v>
      </c>
      <c r="CF481">
        <v>96</v>
      </c>
      <c r="CG481">
        <v>0</v>
      </c>
      <c r="CH481">
        <v>0</v>
      </c>
      <c r="CI481">
        <v>0</v>
      </c>
      <c r="CJ481">
        <v>0</v>
      </c>
      <c r="CK481">
        <v>0</v>
      </c>
      <c r="CL481">
        <v>0</v>
      </c>
      <c r="CM481">
        <v>0</v>
      </c>
    </row>
    <row r="482" spans="82:91" x14ac:dyDescent="0.25">
      <c r="CD482">
        <v>5040</v>
      </c>
      <c r="CE482">
        <v>384</v>
      </c>
      <c r="CF482">
        <v>96</v>
      </c>
      <c r="CG482">
        <v>0</v>
      </c>
      <c r="CH482">
        <v>0</v>
      </c>
      <c r="CI482">
        <v>0</v>
      </c>
      <c r="CJ482">
        <v>0</v>
      </c>
      <c r="CK482">
        <v>0</v>
      </c>
      <c r="CL482">
        <v>0</v>
      </c>
      <c r="CM482">
        <v>0</v>
      </c>
    </row>
    <row r="483" spans="82:91" x14ac:dyDescent="0.25">
      <c r="CD483">
        <v>5040</v>
      </c>
      <c r="CE483">
        <v>384</v>
      </c>
      <c r="CF483">
        <v>96</v>
      </c>
      <c r="CG483">
        <v>0</v>
      </c>
      <c r="CH483">
        <v>0</v>
      </c>
      <c r="CI483">
        <v>0</v>
      </c>
      <c r="CJ483">
        <v>0</v>
      </c>
      <c r="CK483">
        <v>0</v>
      </c>
      <c r="CL483">
        <v>0</v>
      </c>
      <c r="CM483">
        <v>0</v>
      </c>
    </row>
    <row r="484" spans="82:91" x14ac:dyDescent="0.25">
      <c r="CD484">
        <v>5040</v>
      </c>
      <c r="CE484">
        <v>384</v>
      </c>
      <c r="CF484">
        <v>96</v>
      </c>
      <c r="CG484">
        <v>0</v>
      </c>
      <c r="CH484">
        <v>0</v>
      </c>
      <c r="CI484">
        <v>0</v>
      </c>
      <c r="CJ484">
        <v>0</v>
      </c>
      <c r="CK484">
        <v>0</v>
      </c>
      <c r="CL484">
        <v>0</v>
      </c>
      <c r="CM484">
        <v>0</v>
      </c>
    </row>
    <row r="485" spans="82:91" x14ac:dyDescent="0.25">
      <c r="CD485">
        <v>5040</v>
      </c>
      <c r="CE485">
        <v>384</v>
      </c>
      <c r="CF485">
        <v>96</v>
      </c>
      <c r="CG485">
        <v>0</v>
      </c>
      <c r="CH485">
        <v>0</v>
      </c>
      <c r="CI485">
        <v>0</v>
      </c>
      <c r="CJ485">
        <v>0</v>
      </c>
      <c r="CK485">
        <v>0</v>
      </c>
      <c r="CL485">
        <v>0</v>
      </c>
      <c r="CM485">
        <v>0</v>
      </c>
    </row>
    <row r="486" spans="82:91" x14ac:dyDescent="0.25">
      <c r="CD486">
        <v>5040</v>
      </c>
      <c r="CE486">
        <v>384</v>
      </c>
      <c r="CF486">
        <v>96</v>
      </c>
      <c r="CG486">
        <v>0</v>
      </c>
      <c r="CH486">
        <v>0</v>
      </c>
      <c r="CI486">
        <v>0</v>
      </c>
      <c r="CJ486">
        <v>0</v>
      </c>
      <c r="CK486">
        <v>0</v>
      </c>
      <c r="CL486">
        <v>0</v>
      </c>
      <c r="CM486">
        <v>0</v>
      </c>
    </row>
    <row r="487" spans="82:91" x14ac:dyDescent="0.25">
      <c r="CD487">
        <v>5040</v>
      </c>
      <c r="CE487">
        <v>384</v>
      </c>
      <c r="CF487">
        <v>96</v>
      </c>
      <c r="CG487">
        <v>0</v>
      </c>
      <c r="CH487">
        <v>0</v>
      </c>
      <c r="CI487">
        <v>0</v>
      </c>
      <c r="CJ487">
        <v>0</v>
      </c>
      <c r="CK487">
        <v>0</v>
      </c>
      <c r="CL487">
        <v>0</v>
      </c>
      <c r="CM487">
        <v>0</v>
      </c>
    </row>
    <row r="488" spans="82:91" x14ac:dyDescent="0.25">
      <c r="CD488">
        <v>5040</v>
      </c>
      <c r="CE488">
        <v>384</v>
      </c>
      <c r="CF488">
        <v>96</v>
      </c>
      <c r="CG488">
        <v>0</v>
      </c>
      <c r="CH488">
        <v>0</v>
      </c>
      <c r="CI488">
        <v>0</v>
      </c>
      <c r="CJ488">
        <v>0</v>
      </c>
      <c r="CK488">
        <v>0</v>
      </c>
      <c r="CL488">
        <v>0</v>
      </c>
      <c r="CM488">
        <v>0</v>
      </c>
    </row>
    <row r="489" spans="82:91" x14ac:dyDescent="0.25">
      <c r="CD489">
        <v>5040</v>
      </c>
      <c r="CE489">
        <v>384</v>
      </c>
      <c r="CF489">
        <v>96</v>
      </c>
      <c r="CG489">
        <v>0</v>
      </c>
      <c r="CH489">
        <v>0</v>
      </c>
      <c r="CI489">
        <v>0</v>
      </c>
      <c r="CJ489">
        <v>0</v>
      </c>
      <c r="CK489">
        <v>0</v>
      </c>
      <c r="CL489">
        <v>0</v>
      </c>
      <c r="CM489">
        <v>0</v>
      </c>
    </row>
    <row r="490" spans="82:91" x14ac:dyDescent="0.25">
      <c r="CD490">
        <v>5040</v>
      </c>
      <c r="CE490">
        <v>384</v>
      </c>
      <c r="CF490">
        <v>96</v>
      </c>
      <c r="CG490">
        <v>0</v>
      </c>
      <c r="CH490">
        <v>0</v>
      </c>
      <c r="CI490">
        <v>0</v>
      </c>
      <c r="CJ490">
        <v>0</v>
      </c>
      <c r="CK490">
        <v>0</v>
      </c>
      <c r="CL490">
        <v>0</v>
      </c>
      <c r="CM490">
        <v>0</v>
      </c>
    </row>
    <row r="491" spans="82:91" x14ac:dyDescent="0.25">
      <c r="CD491">
        <v>5040</v>
      </c>
      <c r="CE491">
        <v>384</v>
      </c>
      <c r="CF491">
        <v>96</v>
      </c>
      <c r="CG491">
        <v>0</v>
      </c>
      <c r="CH491">
        <v>0</v>
      </c>
      <c r="CI491">
        <v>0</v>
      </c>
      <c r="CJ491">
        <v>0</v>
      </c>
      <c r="CK491">
        <v>0</v>
      </c>
      <c r="CL491">
        <v>0</v>
      </c>
      <c r="CM491">
        <v>0</v>
      </c>
    </row>
    <row r="492" spans="82:91" x14ac:dyDescent="0.25">
      <c r="CD492">
        <v>5040</v>
      </c>
      <c r="CE492">
        <v>384</v>
      </c>
      <c r="CF492">
        <v>96</v>
      </c>
      <c r="CG492">
        <v>0</v>
      </c>
      <c r="CH492">
        <v>0</v>
      </c>
      <c r="CI492">
        <v>0</v>
      </c>
      <c r="CJ492">
        <v>0</v>
      </c>
      <c r="CK492">
        <v>0</v>
      </c>
      <c r="CL492">
        <v>0</v>
      </c>
      <c r="CM492">
        <v>0</v>
      </c>
    </row>
    <row r="493" spans="82:91" x14ac:dyDescent="0.25">
      <c r="CD493">
        <v>5040</v>
      </c>
      <c r="CE493">
        <v>384</v>
      </c>
      <c r="CF493">
        <v>96</v>
      </c>
      <c r="CG493">
        <v>0</v>
      </c>
      <c r="CH493">
        <v>0</v>
      </c>
      <c r="CI493">
        <v>0</v>
      </c>
      <c r="CJ493">
        <v>0</v>
      </c>
      <c r="CK493">
        <v>0</v>
      </c>
      <c r="CL493">
        <v>0</v>
      </c>
      <c r="CM493">
        <v>0</v>
      </c>
    </row>
    <row r="494" spans="82:91" x14ac:dyDescent="0.25">
      <c r="CD494">
        <v>5040</v>
      </c>
      <c r="CE494">
        <v>384</v>
      </c>
      <c r="CF494">
        <v>96</v>
      </c>
      <c r="CG494">
        <v>0</v>
      </c>
      <c r="CH494">
        <v>0</v>
      </c>
      <c r="CI494">
        <v>0</v>
      </c>
      <c r="CJ494">
        <v>0</v>
      </c>
      <c r="CK494">
        <v>0</v>
      </c>
      <c r="CL494">
        <v>0</v>
      </c>
      <c r="CM494">
        <v>0</v>
      </c>
    </row>
    <row r="495" spans="82:91" x14ac:dyDescent="0.25">
      <c r="CD495">
        <v>5040</v>
      </c>
      <c r="CE495">
        <v>384</v>
      </c>
      <c r="CF495">
        <v>96</v>
      </c>
      <c r="CG495">
        <v>0</v>
      </c>
      <c r="CH495">
        <v>0</v>
      </c>
      <c r="CI495">
        <v>0</v>
      </c>
      <c r="CJ495">
        <v>0</v>
      </c>
      <c r="CK495">
        <v>0</v>
      </c>
      <c r="CL495">
        <v>0</v>
      </c>
      <c r="CM495">
        <v>0</v>
      </c>
    </row>
    <row r="496" spans="82:91" x14ac:dyDescent="0.25">
      <c r="CD496">
        <v>5040</v>
      </c>
      <c r="CE496">
        <v>384</v>
      </c>
      <c r="CF496">
        <v>96</v>
      </c>
      <c r="CG496">
        <v>0</v>
      </c>
      <c r="CH496">
        <v>0</v>
      </c>
      <c r="CI496">
        <v>0</v>
      </c>
      <c r="CJ496">
        <v>0</v>
      </c>
      <c r="CK496">
        <v>0</v>
      </c>
      <c r="CL496">
        <v>0</v>
      </c>
      <c r="CM496">
        <v>0</v>
      </c>
    </row>
    <row r="497" spans="82:91" x14ac:dyDescent="0.25">
      <c r="CD497">
        <v>5040</v>
      </c>
      <c r="CE497">
        <v>384</v>
      </c>
      <c r="CF497">
        <v>96</v>
      </c>
      <c r="CG497">
        <v>0</v>
      </c>
      <c r="CH497">
        <v>0</v>
      </c>
      <c r="CI497">
        <v>0</v>
      </c>
      <c r="CJ497">
        <v>0</v>
      </c>
      <c r="CK497">
        <v>0</v>
      </c>
      <c r="CL497">
        <v>0</v>
      </c>
      <c r="CM497">
        <v>0</v>
      </c>
    </row>
    <row r="498" spans="82:91" x14ac:dyDescent="0.25">
      <c r="CD498">
        <v>5040</v>
      </c>
      <c r="CE498">
        <v>384</v>
      </c>
      <c r="CF498">
        <v>96</v>
      </c>
      <c r="CG498">
        <v>0</v>
      </c>
      <c r="CH498">
        <v>0</v>
      </c>
      <c r="CI498">
        <v>0</v>
      </c>
      <c r="CJ498">
        <v>0</v>
      </c>
      <c r="CK498">
        <v>0</v>
      </c>
      <c r="CL498">
        <v>0</v>
      </c>
      <c r="CM498">
        <v>0</v>
      </c>
    </row>
    <row r="499" spans="82:91" x14ac:dyDescent="0.25">
      <c r="CD499">
        <v>5040</v>
      </c>
      <c r="CE499">
        <v>384</v>
      </c>
      <c r="CF499">
        <v>96</v>
      </c>
      <c r="CG499">
        <v>0</v>
      </c>
      <c r="CH499">
        <v>0</v>
      </c>
      <c r="CI499">
        <v>0</v>
      </c>
      <c r="CJ499">
        <v>0</v>
      </c>
      <c r="CK499">
        <v>0</v>
      </c>
      <c r="CL499">
        <v>0</v>
      </c>
      <c r="CM499">
        <v>0</v>
      </c>
    </row>
    <row r="500" spans="82:91" x14ac:dyDescent="0.25">
      <c r="CD500">
        <v>5040</v>
      </c>
      <c r="CE500">
        <v>384</v>
      </c>
      <c r="CF500">
        <v>96</v>
      </c>
      <c r="CG500">
        <v>0</v>
      </c>
      <c r="CH500">
        <v>0</v>
      </c>
      <c r="CI500">
        <v>0</v>
      </c>
      <c r="CJ500">
        <v>0</v>
      </c>
      <c r="CK500">
        <v>0</v>
      </c>
      <c r="CL500">
        <v>0</v>
      </c>
      <c r="CM500">
        <v>0</v>
      </c>
    </row>
    <row r="501" spans="82:91" x14ac:dyDescent="0.25">
      <c r="CD501">
        <v>5040</v>
      </c>
      <c r="CE501">
        <v>384</v>
      </c>
      <c r="CF501">
        <v>96</v>
      </c>
      <c r="CG501">
        <v>0</v>
      </c>
      <c r="CH501">
        <v>0</v>
      </c>
      <c r="CI501">
        <v>0</v>
      </c>
      <c r="CJ501">
        <v>0</v>
      </c>
      <c r="CK501">
        <v>0</v>
      </c>
      <c r="CL501">
        <v>0</v>
      </c>
      <c r="CM501">
        <v>0</v>
      </c>
    </row>
    <row r="502" spans="82:91" x14ac:dyDescent="0.25">
      <c r="CD502">
        <v>5040</v>
      </c>
      <c r="CE502">
        <v>384</v>
      </c>
      <c r="CF502">
        <v>96</v>
      </c>
      <c r="CG502">
        <v>0</v>
      </c>
      <c r="CH502">
        <v>0</v>
      </c>
      <c r="CI502">
        <v>0</v>
      </c>
      <c r="CJ502">
        <v>0</v>
      </c>
      <c r="CK502">
        <v>0</v>
      </c>
      <c r="CL502">
        <v>0</v>
      </c>
      <c r="CM502">
        <v>0</v>
      </c>
    </row>
    <row r="503" spans="82:91" x14ac:dyDescent="0.25">
      <c r="CD503">
        <v>5040</v>
      </c>
      <c r="CE503">
        <v>384</v>
      </c>
      <c r="CF503">
        <v>96</v>
      </c>
      <c r="CG503">
        <v>0</v>
      </c>
      <c r="CH503">
        <v>0</v>
      </c>
      <c r="CI503">
        <v>0</v>
      </c>
      <c r="CJ503">
        <v>0</v>
      </c>
      <c r="CK503">
        <v>0</v>
      </c>
      <c r="CL503">
        <v>0</v>
      </c>
      <c r="CM503">
        <v>0</v>
      </c>
    </row>
    <row r="504" spans="82:91" x14ac:dyDescent="0.25">
      <c r="CD504">
        <v>5040</v>
      </c>
      <c r="CE504">
        <v>384</v>
      </c>
      <c r="CF504">
        <v>96</v>
      </c>
      <c r="CG504">
        <v>0</v>
      </c>
      <c r="CH504">
        <v>0</v>
      </c>
      <c r="CI504">
        <v>0</v>
      </c>
      <c r="CJ504">
        <v>0</v>
      </c>
      <c r="CK504">
        <v>0</v>
      </c>
      <c r="CL504">
        <v>0</v>
      </c>
      <c r="CM504">
        <v>0</v>
      </c>
    </row>
    <row r="505" spans="82:91" x14ac:dyDescent="0.25">
      <c r="CD505">
        <v>5040</v>
      </c>
      <c r="CE505">
        <v>384</v>
      </c>
      <c r="CF505">
        <v>96</v>
      </c>
      <c r="CG505">
        <v>0</v>
      </c>
      <c r="CH505">
        <v>0</v>
      </c>
      <c r="CI505">
        <v>0</v>
      </c>
      <c r="CJ505">
        <v>0</v>
      </c>
      <c r="CK505">
        <v>0</v>
      </c>
      <c r="CL505">
        <v>0</v>
      </c>
      <c r="CM505">
        <v>0</v>
      </c>
    </row>
    <row r="506" spans="82:91" x14ac:dyDescent="0.25">
      <c r="CD506">
        <v>5040</v>
      </c>
      <c r="CE506">
        <v>384</v>
      </c>
      <c r="CF506">
        <v>96</v>
      </c>
      <c r="CG506">
        <v>0</v>
      </c>
      <c r="CH506">
        <v>0</v>
      </c>
      <c r="CI506">
        <v>0</v>
      </c>
      <c r="CJ506">
        <v>0</v>
      </c>
      <c r="CK506">
        <v>0</v>
      </c>
      <c r="CL506">
        <v>0</v>
      </c>
      <c r="CM506">
        <v>0</v>
      </c>
    </row>
    <row r="507" spans="82:91" x14ac:dyDescent="0.25">
      <c r="CD507">
        <v>5040</v>
      </c>
      <c r="CE507">
        <v>384</v>
      </c>
      <c r="CF507">
        <v>96</v>
      </c>
      <c r="CG507">
        <v>0</v>
      </c>
      <c r="CH507">
        <v>0</v>
      </c>
      <c r="CI507">
        <v>0</v>
      </c>
      <c r="CJ507">
        <v>0</v>
      </c>
      <c r="CK507">
        <v>0</v>
      </c>
      <c r="CL507">
        <v>0</v>
      </c>
      <c r="CM507">
        <v>0</v>
      </c>
    </row>
    <row r="508" spans="82:91" x14ac:dyDescent="0.25">
      <c r="CD508">
        <v>5040</v>
      </c>
      <c r="CE508">
        <v>384</v>
      </c>
      <c r="CF508">
        <v>96</v>
      </c>
      <c r="CG508">
        <v>0</v>
      </c>
      <c r="CH508">
        <v>0</v>
      </c>
      <c r="CI508">
        <v>0</v>
      </c>
      <c r="CJ508">
        <v>0</v>
      </c>
      <c r="CK508">
        <v>0</v>
      </c>
      <c r="CL508">
        <v>0</v>
      </c>
      <c r="CM508">
        <v>0</v>
      </c>
    </row>
    <row r="509" spans="82:91" x14ac:dyDescent="0.25">
      <c r="CD509">
        <v>5040</v>
      </c>
      <c r="CE509">
        <v>384</v>
      </c>
      <c r="CF509">
        <v>96</v>
      </c>
      <c r="CG509">
        <v>0</v>
      </c>
      <c r="CH509">
        <v>0</v>
      </c>
      <c r="CI509">
        <v>0</v>
      </c>
      <c r="CJ509">
        <v>0</v>
      </c>
      <c r="CK509">
        <v>0</v>
      </c>
      <c r="CL509">
        <v>0</v>
      </c>
      <c r="CM509">
        <v>0</v>
      </c>
    </row>
    <row r="510" spans="82:91" x14ac:dyDescent="0.25">
      <c r="CD510">
        <v>5040</v>
      </c>
      <c r="CE510">
        <v>384</v>
      </c>
      <c r="CF510">
        <v>96</v>
      </c>
      <c r="CG510">
        <v>0</v>
      </c>
      <c r="CH510">
        <v>0</v>
      </c>
      <c r="CI510">
        <v>0</v>
      </c>
      <c r="CJ510">
        <v>0</v>
      </c>
      <c r="CK510">
        <v>0</v>
      </c>
      <c r="CL510">
        <v>0</v>
      </c>
      <c r="CM510">
        <v>0</v>
      </c>
    </row>
    <row r="511" spans="82:91" x14ac:dyDescent="0.25">
      <c r="CD511">
        <v>5040</v>
      </c>
      <c r="CE511">
        <v>384</v>
      </c>
      <c r="CF511">
        <v>96</v>
      </c>
      <c r="CG511">
        <v>0</v>
      </c>
      <c r="CH511">
        <v>0</v>
      </c>
      <c r="CI511">
        <v>0</v>
      </c>
      <c r="CJ511">
        <v>0</v>
      </c>
      <c r="CK511">
        <v>0</v>
      </c>
      <c r="CL511">
        <v>0</v>
      </c>
      <c r="CM511">
        <v>0</v>
      </c>
    </row>
    <row r="512" spans="82:91" x14ac:dyDescent="0.25">
      <c r="CD512">
        <v>5040</v>
      </c>
      <c r="CE512">
        <v>384</v>
      </c>
      <c r="CF512">
        <v>96</v>
      </c>
      <c r="CG512">
        <v>0</v>
      </c>
      <c r="CH512">
        <v>0</v>
      </c>
      <c r="CI512">
        <v>0</v>
      </c>
      <c r="CJ512">
        <v>0</v>
      </c>
      <c r="CK512">
        <v>0</v>
      </c>
      <c r="CL512">
        <v>0</v>
      </c>
      <c r="CM512">
        <v>0</v>
      </c>
    </row>
    <row r="513" spans="82:91" x14ac:dyDescent="0.25">
      <c r="CD513">
        <v>5040</v>
      </c>
      <c r="CE513">
        <v>384</v>
      </c>
      <c r="CF513">
        <v>96</v>
      </c>
      <c r="CG513">
        <v>0</v>
      </c>
      <c r="CH513">
        <v>0</v>
      </c>
      <c r="CI513">
        <v>0</v>
      </c>
      <c r="CJ513">
        <v>0</v>
      </c>
      <c r="CK513">
        <v>0</v>
      </c>
      <c r="CL513">
        <v>0</v>
      </c>
      <c r="CM513">
        <v>0</v>
      </c>
    </row>
    <row r="514" spans="82:91" x14ac:dyDescent="0.25">
      <c r="CD514">
        <v>5040</v>
      </c>
      <c r="CE514">
        <v>384</v>
      </c>
      <c r="CF514">
        <v>96</v>
      </c>
      <c r="CG514">
        <v>0</v>
      </c>
      <c r="CH514">
        <v>0</v>
      </c>
      <c r="CI514">
        <v>0</v>
      </c>
      <c r="CJ514">
        <v>0</v>
      </c>
      <c r="CK514">
        <v>0</v>
      </c>
      <c r="CL514">
        <v>0</v>
      </c>
      <c r="CM514">
        <v>0</v>
      </c>
    </row>
    <row r="515" spans="82:91" x14ac:dyDescent="0.25">
      <c r="CD515">
        <v>5040</v>
      </c>
      <c r="CE515">
        <v>384</v>
      </c>
      <c r="CF515">
        <v>96</v>
      </c>
      <c r="CG515">
        <v>0</v>
      </c>
      <c r="CH515">
        <v>0</v>
      </c>
      <c r="CI515">
        <v>0</v>
      </c>
      <c r="CJ515">
        <v>0</v>
      </c>
      <c r="CK515">
        <v>0</v>
      </c>
      <c r="CL515">
        <v>0</v>
      </c>
      <c r="CM515">
        <v>0</v>
      </c>
    </row>
    <row r="516" spans="82:91" x14ac:dyDescent="0.25">
      <c r="CD516">
        <v>3360</v>
      </c>
      <c r="CE516">
        <v>576</v>
      </c>
      <c r="CF516">
        <v>144</v>
      </c>
      <c r="CG516">
        <v>0</v>
      </c>
      <c r="CH516">
        <v>0</v>
      </c>
      <c r="CI516">
        <v>0</v>
      </c>
      <c r="CJ516">
        <v>0</v>
      </c>
      <c r="CK516">
        <v>0</v>
      </c>
      <c r="CL516">
        <v>0</v>
      </c>
      <c r="CM516">
        <v>0</v>
      </c>
    </row>
    <row r="517" spans="82:91" x14ac:dyDescent="0.25">
      <c r="CD517">
        <v>3360</v>
      </c>
      <c r="CE517">
        <v>576</v>
      </c>
      <c r="CF517">
        <v>144</v>
      </c>
      <c r="CG517">
        <v>0</v>
      </c>
      <c r="CH517">
        <v>0</v>
      </c>
      <c r="CI517">
        <v>0</v>
      </c>
      <c r="CJ517">
        <v>0</v>
      </c>
      <c r="CK517">
        <v>0</v>
      </c>
      <c r="CL517">
        <v>0</v>
      </c>
      <c r="CM517">
        <v>0</v>
      </c>
    </row>
    <row r="518" spans="82:91" x14ac:dyDescent="0.25">
      <c r="CD518">
        <v>3360</v>
      </c>
      <c r="CE518">
        <v>576</v>
      </c>
      <c r="CF518">
        <v>144</v>
      </c>
      <c r="CG518">
        <v>0</v>
      </c>
      <c r="CH518">
        <v>0</v>
      </c>
      <c r="CI518">
        <v>0</v>
      </c>
      <c r="CJ518">
        <v>0</v>
      </c>
      <c r="CK518">
        <v>0</v>
      </c>
      <c r="CL518">
        <v>0</v>
      </c>
      <c r="CM518">
        <v>0</v>
      </c>
    </row>
    <row r="519" spans="82:91" x14ac:dyDescent="0.25">
      <c r="CD519">
        <v>3360</v>
      </c>
      <c r="CE519">
        <v>576</v>
      </c>
      <c r="CF519">
        <v>144</v>
      </c>
      <c r="CG519">
        <v>0</v>
      </c>
      <c r="CH519">
        <v>0</v>
      </c>
      <c r="CI519">
        <v>0</v>
      </c>
      <c r="CJ519">
        <v>0</v>
      </c>
      <c r="CK519">
        <v>0</v>
      </c>
      <c r="CL519">
        <v>0</v>
      </c>
      <c r="CM519">
        <v>0</v>
      </c>
    </row>
    <row r="520" spans="82:91" x14ac:dyDescent="0.25">
      <c r="CD520">
        <v>3360</v>
      </c>
      <c r="CE520">
        <v>576</v>
      </c>
      <c r="CF520">
        <v>144</v>
      </c>
      <c r="CG520">
        <v>0</v>
      </c>
      <c r="CH520">
        <v>0</v>
      </c>
      <c r="CI520">
        <v>0</v>
      </c>
      <c r="CJ520">
        <v>0</v>
      </c>
      <c r="CK520">
        <v>0</v>
      </c>
      <c r="CL520">
        <v>0</v>
      </c>
      <c r="CM520">
        <v>0</v>
      </c>
    </row>
    <row r="521" spans="82:91" x14ac:dyDescent="0.25">
      <c r="CD521">
        <v>3360</v>
      </c>
      <c r="CE521">
        <v>576</v>
      </c>
      <c r="CF521">
        <v>144</v>
      </c>
      <c r="CG521">
        <v>0</v>
      </c>
      <c r="CH521">
        <v>0</v>
      </c>
      <c r="CI521">
        <v>0</v>
      </c>
      <c r="CJ521">
        <v>0</v>
      </c>
      <c r="CK521">
        <v>0</v>
      </c>
      <c r="CL521">
        <v>0</v>
      </c>
      <c r="CM521">
        <v>0</v>
      </c>
    </row>
    <row r="522" spans="82:91" x14ac:dyDescent="0.25">
      <c r="CD522">
        <v>3360</v>
      </c>
      <c r="CE522">
        <v>576</v>
      </c>
      <c r="CF522">
        <v>144</v>
      </c>
      <c r="CG522">
        <v>0</v>
      </c>
      <c r="CH522">
        <v>0</v>
      </c>
      <c r="CI522">
        <v>0</v>
      </c>
      <c r="CJ522">
        <v>0</v>
      </c>
      <c r="CK522">
        <v>0</v>
      </c>
      <c r="CL522">
        <v>0</v>
      </c>
      <c r="CM522">
        <v>0</v>
      </c>
    </row>
    <row r="523" spans="82:91" x14ac:dyDescent="0.25">
      <c r="CD523">
        <v>3360</v>
      </c>
      <c r="CE523">
        <v>576</v>
      </c>
      <c r="CF523">
        <v>144</v>
      </c>
      <c r="CG523">
        <v>0</v>
      </c>
      <c r="CH523">
        <v>0</v>
      </c>
      <c r="CI523">
        <v>0</v>
      </c>
      <c r="CJ523">
        <v>0</v>
      </c>
      <c r="CK523">
        <v>0</v>
      </c>
      <c r="CL523">
        <v>0</v>
      </c>
      <c r="CM523">
        <v>0</v>
      </c>
    </row>
    <row r="524" spans="82:91" x14ac:dyDescent="0.25">
      <c r="CD524">
        <v>3360</v>
      </c>
      <c r="CE524">
        <v>576</v>
      </c>
      <c r="CF524">
        <v>144</v>
      </c>
      <c r="CG524">
        <v>0</v>
      </c>
      <c r="CH524">
        <v>0</v>
      </c>
      <c r="CI524">
        <v>0</v>
      </c>
      <c r="CJ524">
        <v>0</v>
      </c>
      <c r="CK524">
        <v>0</v>
      </c>
      <c r="CL524">
        <v>0</v>
      </c>
      <c r="CM524">
        <v>0</v>
      </c>
    </row>
    <row r="525" spans="82:91" x14ac:dyDescent="0.25">
      <c r="CD525">
        <v>3360</v>
      </c>
      <c r="CE525">
        <v>576</v>
      </c>
      <c r="CF525">
        <v>144</v>
      </c>
      <c r="CG525">
        <v>0</v>
      </c>
      <c r="CH525">
        <v>0</v>
      </c>
      <c r="CI525">
        <v>0</v>
      </c>
      <c r="CJ525">
        <v>0</v>
      </c>
      <c r="CK525">
        <v>0</v>
      </c>
      <c r="CL525">
        <v>0</v>
      </c>
      <c r="CM525">
        <v>0</v>
      </c>
    </row>
    <row r="526" spans="82:91" x14ac:dyDescent="0.25">
      <c r="CD526">
        <v>3360</v>
      </c>
      <c r="CE526">
        <v>576</v>
      </c>
      <c r="CF526">
        <v>144</v>
      </c>
      <c r="CG526">
        <v>0</v>
      </c>
      <c r="CH526">
        <v>0</v>
      </c>
      <c r="CI526">
        <v>0</v>
      </c>
      <c r="CJ526">
        <v>0</v>
      </c>
      <c r="CK526">
        <v>0</v>
      </c>
      <c r="CL526">
        <v>0</v>
      </c>
      <c r="CM526">
        <v>0</v>
      </c>
    </row>
    <row r="527" spans="82:91" x14ac:dyDescent="0.25">
      <c r="CD527">
        <v>3360</v>
      </c>
      <c r="CE527">
        <v>576</v>
      </c>
      <c r="CF527">
        <v>144</v>
      </c>
      <c r="CG527">
        <v>0</v>
      </c>
      <c r="CH527">
        <v>0</v>
      </c>
      <c r="CI527">
        <v>0</v>
      </c>
      <c r="CJ527">
        <v>0</v>
      </c>
      <c r="CK527">
        <v>0</v>
      </c>
      <c r="CL527">
        <v>0</v>
      </c>
      <c r="CM527">
        <v>0</v>
      </c>
    </row>
    <row r="528" spans="82:91" x14ac:dyDescent="0.25">
      <c r="CD528">
        <v>3360</v>
      </c>
      <c r="CE528">
        <v>576</v>
      </c>
      <c r="CF528">
        <v>144</v>
      </c>
      <c r="CG528">
        <v>0</v>
      </c>
      <c r="CH528">
        <v>0</v>
      </c>
      <c r="CI528">
        <v>0</v>
      </c>
      <c r="CJ528">
        <v>0</v>
      </c>
      <c r="CK528">
        <v>0</v>
      </c>
      <c r="CL528">
        <v>0</v>
      </c>
      <c r="CM528">
        <v>0</v>
      </c>
    </row>
    <row r="529" spans="82:91" x14ac:dyDescent="0.25">
      <c r="CD529">
        <v>3360</v>
      </c>
      <c r="CE529">
        <v>576</v>
      </c>
      <c r="CF529">
        <v>144</v>
      </c>
      <c r="CG529">
        <v>0</v>
      </c>
      <c r="CH529">
        <v>0</v>
      </c>
      <c r="CI529">
        <v>0</v>
      </c>
      <c r="CJ529">
        <v>0</v>
      </c>
      <c r="CK529">
        <v>0</v>
      </c>
      <c r="CL529">
        <v>0</v>
      </c>
      <c r="CM529">
        <v>0</v>
      </c>
    </row>
    <row r="530" spans="82:91" x14ac:dyDescent="0.25">
      <c r="CD530">
        <v>3360</v>
      </c>
      <c r="CE530">
        <v>576</v>
      </c>
      <c r="CF530">
        <v>144</v>
      </c>
      <c r="CG530">
        <v>0</v>
      </c>
      <c r="CH530">
        <v>0</v>
      </c>
      <c r="CI530">
        <v>0</v>
      </c>
      <c r="CJ530">
        <v>0</v>
      </c>
      <c r="CK530">
        <v>0</v>
      </c>
      <c r="CL530">
        <v>0</v>
      </c>
      <c r="CM530">
        <v>0</v>
      </c>
    </row>
    <row r="531" spans="82:91" x14ac:dyDescent="0.25">
      <c r="CD531">
        <v>3360</v>
      </c>
      <c r="CE531">
        <v>576</v>
      </c>
      <c r="CF531">
        <v>144</v>
      </c>
      <c r="CG531">
        <v>0</v>
      </c>
      <c r="CH531">
        <v>0</v>
      </c>
      <c r="CI531">
        <v>0</v>
      </c>
      <c r="CJ531">
        <v>0</v>
      </c>
      <c r="CK531">
        <v>0</v>
      </c>
      <c r="CL531">
        <v>0</v>
      </c>
      <c r="CM531">
        <v>0</v>
      </c>
    </row>
    <row r="532" spans="82:91" x14ac:dyDescent="0.25">
      <c r="CD532">
        <v>3360</v>
      </c>
      <c r="CE532">
        <v>576</v>
      </c>
      <c r="CF532">
        <v>144</v>
      </c>
      <c r="CG532">
        <v>0</v>
      </c>
      <c r="CH532">
        <v>0</v>
      </c>
      <c r="CI532">
        <v>0</v>
      </c>
      <c r="CJ532">
        <v>0</v>
      </c>
      <c r="CK532">
        <v>0</v>
      </c>
      <c r="CL532">
        <v>0</v>
      </c>
      <c r="CM532">
        <v>0</v>
      </c>
    </row>
    <row r="533" spans="82:91" x14ac:dyDescent="0.25">
      <c r="CD533">
        <v>3360</v>
      </c>
      <c r="CE533">
        <v>576</v>
      </c>
      <c r="CF533">
        <v>144</v>
      </c>
      <c r="CG533">
        <v>0</v>
      </c>
      <c r="CH533">
        <v>0</v>
      </c>
      <c r="CI533">
        <v>0</v>
      </c>
      <c r="CJ533">
        <v>0</v>
      </c>
      <c r="CK533">
        <v>0</v>
      </c>
      <c r="CL533">
        <v>0</v>
      </c>
      <c r="CM533">
        <v>0</v>
      </c>
    </row>
    <row r="534" spans="82:91" x14ac:dyDescent="0.25">
      <c r="CD534">
        <v>3360</v>
      </c>
      <c r="CE534">
        <v>576</v>
      </c>
      <c r="CF534">
        <v>144</v>
      </c>
      <c r="CG534">
        <v>0</v>
      </c>
      <c r="CH534">
        <v>0</v>
      </c>
      <c r="CI534">
        <v>0</v>
      </c>
      <c r="CJ534">
        <v>0</v>
      </c>
      <c r="CK534">
        <v>0</v>
      </c>
      <c r="CL534">
        <v>0</v>
      </c>
      <c r="CM534">
        <v>0</v>
      </c>
    </row>
    <row r="535" spans="82:91" x14ac:dyDescent="0.25">
      <c r="CD535">
        <v>3360</v>
      </c>
      <c r="CE535">
        <v>576</v>
      </c>
      <c r="CF535">
        <v>144</v>
      </c>
      <c r="CG535">
        <v>0</v>
      </c>
      <c r="CH535">
        <v>0</v>
      </c>
      <c r="CI535">
        <v>0</v>
      </c>
      <c r="CJ535">
        <v>0</v>
      </c>
      <c r="CK535">
        <v>0</v>
      </c>
      <c r="CL535">
        <v>0</v>
      </c>
      <c r="CM535">
        <v>0</v>
      </c>
    </row>
    <row r="536" spans="82:91" x14ac:dyDescent="0.25">
      <c r="CD536">
        <v>3360</v>
      </c>
      <c r="CE536">
        <v>576</v>
      </c>
      <c r="CF536">
        <v>144</v>
      </c>
      <c r="CG536">
        <v>0</v>
      </c>
      <c r="CH536">
        <v>0</v>
      </c>
      <c r="CI536">
        <v>0</v>
      </c>
      <c r="CJ536">
        <v>0</v>
      </c>
      <c r="CK536">
        <v>0</v>
      </c>
      <c r="CL536">
        <v>0</v>
      </c>
      <c r="CM536">
        <v>0</v>
      </c>
    </row>
    <row r="537" spans="82:91" x14ac:dyDescent="0.25">
      <c r="CD537">
        <v>3360</v>
      </c>
      <c r="CE537">
        <v>576</v>
      </c>
      <c r="CF537">
        <v>144</v>
      </c>
      <c r="CG537">
        <v>0</v>
      </c>
      <c r="CH537">
        <v>0</v>
      </c>
      <c r="CI537">
        <v>0</v>
      </c>
      <c r="CJ537">
        <v>0</v>
      </c>
      <c r="CK537">
        <v>0</v>
      </c>
      <c r="CL537">
        <v>0</v>
      </c>
      <c r="CM537">
        <v>0</v>
      </c>
    </row>
    <row r="538" spans="82:91" x14ac:dyDescent="0.25">
      <c r="CD538">
        <v>3360</v>
      </c>
      <c r="CE538">
        <v>576</v>
      </c>
      <c r="CF538">
        <v>144</v>
      </c>
      <c r="CG538">
        <v>0</v>
      </c>
      <c r="CH538">
        <v>0</v>
      </c>
      <c r="CI538">
        <v>0</v>
      </c>
      <c r="CJ538">
        <v>0</v>
      </c>
      <c r="CK538">
        <v>0</v>
      </c>
      <c r="CL538">
        <v>0</v>
      </c>
      <c r="CM538">
        <v>0</v>
      </c>
    </row>
    <row r="539" spans="82:91" x14ac:dyDescent="0.25">
      <c r="CD539">
        <v>3360</v>
      </c>
      <c r="CE539">
        <v>576</v>
      </c>
      <c r="CF539">
        <v>144</v>
      </c>
      <c r="CG539">
        <v>0</v>
      </c>
      <c r="CH539">
        <v>0</v>
      </c>
      <c r="CI539">
        <v>0</v>
      </c>
      <c r="CJ539">
        <v>0</v>
      </c>
      <c r="CK539">
        <v>0</v>
      </c>
      <c r="CL539">
        <v>0</v>
      </c>
      <c r="CM539">
        <v>0</v>
      </c>
    </row>
    <row r="540" spans="82:91" x14ac:dyDescent="0.25">
      <c r="CD540">
        <v>3360</v>
      </c>
      <c r="CE540">
        <v>576</v>
      </c>
      <c r="CF540">
        <v>144</v>
      </c>
      <c r="CG540">
        <v>0</v>
      </c>
      <c r="CH540">
        <v>0</v>
      </c>
      <c r="CI540">
        <v>0</v>
      </c>
      <c r="CJ540">
        <v>0</v>
      </c>
      <c r="CK540">
        <v>0</v>
      </c>
      <c r="CL540">
        <v>0</v>
      </c>
      <c r="CM540">
        <v>0</v>
      </c>
    </row>
    <row r="541" spans="82:91" x14ac:dyDescent="0.25">
      <c r="CD541">
        <v>3360</v>
      </c>
      <c r="CE541">
        <v>576</v>
      </c>
      <c r="CF541">
        <v>144</v>
      </c>
      <c r="CG541">
        <v>0</v>
      </c>
      <c r="CH541">
        <v>0</v>
      </c>
      <c r="CI541">
        <v>0</v>
      </c>
      <c r="CJ541">
        <v>0</v>
      </c>
      <c r="CK541">
        <v>0</v>
      </c>
      <c r="CL541">
        <v>0</v>
      </c>
      <c r="CM541">
        <v>0</v>
      </c>
    </row>
    <row r="542" spans="82:91" x14ac:dyDescent="0.25">
      <c r="CD542">
        <v>3360</v>
      </c>
      <c r="CE542">
        <v>576</v>
      </c>
      <c r="CF542">
        <v>144</v>
      </c>
      <c r="CG542">
        <v>0</v>
      </c>
      <c r="CH542">
        <v>0</v>
      </c>
      <c r="CI542">
        <v>0</v>
      </c>
      <c r="CJ542">
        <v>0</v>
      </c>
      <c r="CK542">
        <v>0</v>
      </c>
      <c r="CL542">
        <v>0</v>
      </c>
      <c r="CM542">
        <v>0</v>
      </c>
    </row>
    <row r="543" spans="82:91" x14ac:dyDescent="0.25">
      <c r="CD543">
        <v>3360</v>
      </c>
      <c r="CE543">
        <v>576</v>
      </c>
      <c r="CF543">
        <v>144</v>
      </c>
      <c r="CG543">
        <v>0</v>
      </c>
      <c r="CH543">
        <v>0</v>
      </c>
      <c r="CI543">
        <v>0</v>
      </c>
      <c r="CJ543">
        <v>0</v>
      </c>
      <c r="CK543">
        <v>0</v>
      </c>
      <c r="CL543">
        <v>0</v>
      </c>
      <c r="CM543">
        <v>0</v>
      </c>
    </row>
    <row r="544" spans="82:91" x14ac:dyDescent="0.25">
      <c r="CD544">
        <v>3360</v>
      </c>
      <c r="CE544">
        <v>576</v>
      </c>
      <c r="CF544">
        <v>144</v>
      </c>
      <c r="CG544">
        <v>0</v>
      </c>
      <c r="CH544">
        <v>0</v>
      </c>
      <c r="CI544">
        <v>0</v>
      </c>
      <c r="CJ544">
        <v>0</v>
      </c>
      <c r="CK544">
        <v>0</v>
      </c>
      <c r="CL544">
        <v>0</v>
      </c>
      <c r="CM544">
        <v>0</v>
      </c>
    </row>
    <row r="545" spans="82:91" x14ac:dyDescent="0.25">
      <c r="CD545">
        <v>3360</v>
      </c>
      <c r="CE545">
        <v>576</v>
      </c>
      <c r="CF545">
        <v>144</v>
      </c>
      <c r="CG545">
        <v>0</v>
      </c>
      <c r="CH545">
        <v>0</v>
      </c>
      <c r="CI545">
        <v>0</v>
      </c>
      <c r="CJ545">
        <v>0</v>
      </c>
      <c r="CK545">
        <v>0</v>
      </c>
      <c r="CL545">
        <v>0</v>
      </c>
      <c r="CM545">
        <v>0</v>
      </c>
    </row>
    <row r="546" spans="82:91" x14ac:dyDescent="0.25">
      <c r="CD546">
        <v>3360</v>
      </c>
      <c r="CE546">
        <v>576</v>
      </c>
      <c r="CF546">
        <v>144</v>
      </c>
      <c r="CG546">
        <v>0</v>
      </c>
      <c r="CH546">
        <v>0</v>
      </c>
      <c r="CI546">
        <v>0</v>
      </c>
      <c r="CJ546">
        <v>0</v>
      </c>
      <c r="CK546">
        <v>0</v>
      </c>
      <c r="CL546">
        <v>0</v>
      </c>
      <c r="CM546">
        <v>0</v>
      </c>
    </row>
    <row r="547" spans="82:91" x14ac:dyDescent="0.25">
      <c r="CD547">
        <v>3360</v>
      </c>
      <c r="CE547">
        <v>576</v>
      </c>
      <c r="CF547">
        <v>144</v>
      </c>
      <c r="CG547">
        <v>0</v>
      </c>
      <c r="CH547">
        <v>0</v>
      </c>
      <c r="CI547">
        <v>0</v>
      </c>
      <c r="CJ547">
        <v>0</v>
      </c>
      <c r="CK547">
        <v>0</v>
      </c>
      <c r="CL547">
        <v>0</v>
      </c>
      <c r="CM547">
        <v>0</v>
      </c>
    </row>
    <row r="548" spans="82:91" x14ac:dyDescent="0.25">
      <c r="CD548">
        <v>3360</v>
      </c>
      <c r="CE548">
        <v>576</v>
      </c>
      <c r="CF548">
        <v>144</v>
      </c>
      <c r="CG548">
        <v>0</v>
      </c>
      <c r="CH548">
        <v>0</v>
      </c>
      <c r="CI548">
        <v>0</v>
      </c>
      <c r="CJ548">
        <v>0</v>
      </c>
      <c r="CK548">
        <v>0</v>
      </c>
      <c r="CL548">
        <v>0</v>
      </c>
      <c r="CM548">
        <v>0</v>
      </c>
    </row>
    <row r="549" spans="82:91" x14ac:dyDescent="0.25">
      <c r="CD549">
        <v>3360</v>
      </c>
      <c r="CE549">
        <v>576</v>
      </c>
      <c r="CF549">
        <v>144</v>
      </c>
      <c r="CG549">
        <v>0</v>
      </c>
      <c r="CH549">
        <v>0</v>
      </c>
      <c r="CI549">
        <v>0</v>
      </c>
      <c r="CJ549">
        <v>0</v>
      </c>
      <c r="CK549">
        <v>0</v>
      </c>
      <c r="CL549">
        <v>0</v>
      </c>
      <c r="CM549">
        <v>0</v>
      </c>
    </row>
    <row r="550" spans="82:91" x14ac:dyDescent="0.25">
      <c r="CD550">
        <v>3360</v>
      </c>
      <c r="CE550">
        <v>576</v>
      </c>
      <c r="CF550">
        <v>144</v>
      </c>
      <c r="CG550">
        <v>0</v>
      </c>
      <c r="CH550">
        <v>0</v>
      </c>
      <c r="CI550">
        <v>0</v>
      </c>
      <c r="CJ550">
        <v>0</v>
      </c>
      <c r="CK550">
        <v>0</v>
      </c>
      <c r="CL550">
        <v>0</v>
      </c>
      <c r="CM550">
        <v>0</v>
      </c>
    </row>
    <row r="551" spans="82:91" x14ac:dyDescent="0.25">
      <c r="CD551">
        <v>3360</v>
      </c>
      <c r="CE551">
        <v>576</v>
      </c>
      <c r="CF551">
        <v>144</v>
      </c>
      <c r="CG551">
        <v>0</v>
      </c>
      <c r="CH551">
        <v>0</v>
      </c>
      <c r="CI551">
        <v>0</v>
      </c>
      <c r="CJ551">
        <v>0</v>
      </c>
      <c r="CK551">
        <v>0</v>
      </c>
      <c r="CL551">
        <v>0</v>
      </c>
      <c r="CM551">
        <v>0</v>
      </c>
    </row>
    <row r="552" spans="82:91" x14ac:dyDescent="0.25">
      <c r="CD552">
        <v>3360</v>
      </c>
      <c r="CE552">
        <v>576</v>
      </c>
      <c r="CF552">
        <v>144</v>
      </c>
      <c r="CG552">
        <v>0</v>
      </c>
      <c r="CH552">
        <v>0</v>
      </c>
      <c r="CI552">
        <v>0</v>
      </c>
      <c r="CJ552">
        <v>0</v>
      </c>
      <c r="CK552">
        <v>0</v>
      </c>
      <c r="CL552">
        <v>0</v>
      </c>
      <c r="CM552">
        <v>0</v>
      </c>
    </row>
    <row r="553" spans="82:91" x14ac:dyDescent="0.25">
      <c r="CD553">
        <v>3360</v>
      </c>
      <c r="CE553">
        <v>576</v>
      </c>
      <c r="CF553">
        <v>144</v>
      </c>
      <c r="CG553">
        <v>0</v>
      </c>
      <c r="CH553">
        <v>0</v>
      </c>
      <c r="CI553">
        <v>0</v>
      </c>
      <c r="CJ553">
        <v>0</v>
      </c>
      <c r="CK553">
        <v>0</v>
      </c>
      <c r="CL553">
        <v>0</v>
      </c>
      <c r="CM553">
        <v>0</v>
      </c>
    </row>
    <row r="554" spans="82:91" x14ac:dyDescent="0.25">
      <c r="CD554">
        <v>3360</v>
      </c>
      <c r="CE554">
        <v>576</v>
      </c>
      <c r="CF554">
        <v>144</v>
      </c>
      <c r="CG554">
        <v>0</v>
      </c>
      <c r="CH554">
        <v>0</v>
      </c>
      <c r="CI554">
        <v>0</v>
      </c>
      <c r="CJ554">
        <v>0</v>
      </c>
      <c r="CK554">
        <v>0</v>
      </c>
      <c r="CL554">
        <v>0</v>
      </c>
      <c r="CM554">
        <v>0</v>
      </c>
    </row>
    <row r="555" spans="82:91" x14ac:dyDescent="0.25">
      <c r="CD555">
        <v>3360</v>
      </c>
      <c r="CE555">
        <v>576</v>
      </c>
      <c r="CF555">
        <v>144</v>
      </c>
      <c r="CG555">
        <v>0</v>
      </c>
      <c r="CH555">
        <v>0</v>
      </c>
      <c r="CI555">
        <v>0</v>
      </c>
      <c r="CJ555">
        <v>0</v>
      </c>
      <c r="CK555">
        <v>0</v>
      </c>
      <c r="CL555">
        <v>0</v>
      </c>
      <c r="CM555">
        <v>0</v>
      </c>
    </row>
    <row r="556" spans="82:91" x14ac:dyDescent="0.25">
      <c r="CD556">
        <v>3360</v>
      </c>
      <c r="CE556">
        <v>576</v>
      </c>
      <c r="CF556">
        <v>144</v>
      </c>
      <c r="CG556">
        <v>0</v>
      </c>
      <c r="CH556">
        <v>0</v>
      </c>
      <c r="CI556">
        <v>0</v>
      </c>
      <c r="CJ556">
        <v>0</v>
      </c>
      <c r="CK556">
        <v>0</v>
      </c>
      <c r="CL556">
        <v>0</v>
      </c>
      <c r="CM556">
        <v>0</v>
      </c>
    </row>
    <row r="557" spans="82:91" x14ac:dyDescent="0.25">
      <c r="CD557">
        <v>3360</v>
      </c>
      <c r="CE557">
        <v>576</v>
      </c>
      <c r="CF557">
        <v>144</v>
      </c>
      <c r="CG557">
        <v>0</v>
      </c>
      <c r="CH557">
        <v>0</v>
      </c>
      <c r="CI557">
        <v>0</v>
      </c>
      <c r="CJ557">
        <v>0</v>
      </c>
      <c r="CK557">
        <v>0</v>
      </c>
      <c r="CL557">
        <v>0</v>
      </c>
      <c r="CM557">
        <v>0</v>
      </c>
    </row>
    <row r="558" spans="82:91" x14ac:dyDescent="0.25">
      <c r="CD558">
        <v>3360</v>
      </c>
      <c r="CE558">
        <v>576</v>
      </c>
      <c r="CF558">
        <v>144</v>
      </c>
      <c r="CG558">
        <v>0</v>
      </c>
      <c r="CH558">
        <v>0</v>
      </c>
      <c r="CI558">
        <v>0</v>
      </c>
      <c r="CJ558">
        <v>0</v>
      </c>
      <c r="CK558">
        <v>0</v>
      </c>
      <c r="CL558">
        <v>0</v>
      </c>
      <c r="CM558">
        <v>0</v>
      </c>
    </row>
    <row r="559" spans="82:91" x14ac:dyDescent="0.25">
      <c r="CD559">
        <v>3360</v>
      </c>
      <c r="CE559">
        <v>576</v>
      </c>
      <c r="CF559">
        <v>144</v>
      </c>
      <c r="CG559">
        <v>0</v>
      </c>
      <c r="CH559">
        <v>0</v>
      </c>
      <c r="CI559">
        <v>0</v>
      </c>
      <c r="CJ559">
        <v>0</v>
      </c>
      <c r="CK559">
        <v>0</v>
      </c>
      <c r="CL559">
        <v>0</v>
      </c>
      <c r="CM559">
        <v>0</v>
      </c>
    </row>
    <row r="560" spans="82:91" x14ac:dyDescent="0.25">
      <c r="CD560">
        <v>3360</v>
      </c>
      <c r="CE560">
        <v>576</v>
      </c>
      <c r="CF560">
        <v>144</v>
      </c>
      <c r="CG560">
        <v>0</v>
      </c>
      <c r="CH560">
        <v>0</v>
      </c>
      <c r="CI560">
        <v>0</v>
      </c>
      <c r="CJ560">
        <v>0</v>
      </c>
      <c r="CK560">
        <v>0</v>
      </c>
      <c r="CL560">
        <v>0</v>
      </c>
      <c r="CM560">
        <v>0</v>
      </c>
    </row>
    <row r="561" spans="82:91" x14ac:dyDescent="0.25">
      <c r="CD561">
        <v>3360</v>
      </c>
      <c r="CE561">
        <v>576</v>
      </c>
      <c r="CF561">
        <v>144</v>
      </c>
      <c r="CG561">
        <v>0</v>
      </c>
      <c r="CH561">
        <v>0</v>
      </c>
      <c r="CI561">
        <v>0</v>
      </c>
      <c r="CJ561">
        <v>0</v>
      </c>
      <c r="CK561">
        <v>0</v>
      </c>
      <c r="CL561">
        <v>0</v>
      </c>
      <c r="CM561">
        <v>0</v>
      </c>
    </row>
    <row r="562" spans="82:91" x14ac:dyDescent="0.25">
      <c r="CD562">
        <v>3360</v>
      </c>
      <c r="CE562">
        <v>576</v>
      </c>
      <c r="CF562">
        <v>144</v>
      </c>
      <c r="CG562">
        <v>0</v>
      </c>
      <c r="CH562">
        <v>0</v>
      </c>
      <c r="CI562">
        <v>0</v>
      </c>
      <c r="CJ562">
        <v>0</v>
      </c>
      <c r="CK562">
        <v>0</v>
      </c>
      <c r="CL562">
        <v>0</v>
      </c>
      <c r="CM562">
        <v>0</v>
      </c>
    </row>
    <row r="563" spans="82:91" x14ac:dyDescent="0.25">
      <c r="CD563">
        <v>3360</v>
      </c>
      <c r="CE563">
        <v>576</v>
      </c>
      <c r="CF563">
        <v>144</v>
      </c>
      <c r="CG563">
        <v>0</v>
      </c>
      <c r="CH563">
        <v>0</v>
      </c>
      <c r="CI563">
        <v>0</v>
      </c>
      <c r="CJ563">
        <v>0</v>
      </c>
      <c r="CK563">
        <v>0</v>
      </c>
      <c r="CL563">
        <v>0</v>
      </c>
      <c r="CM563">
        <v>0</v>
      </c>
    </row>
    <row r="564" spans="82:91" x14ac:dyDescent="0.25">
      <c r="CD564">
        <v>3360</v>
      </c>
      <c r="CE564">
        <v>576</v>
      </c>
      <c r="CF564">
        <v>144</v>
      </c>
      <c r="CG564">
        <v>0</v>
      </c>
      <c r="CH564">
        <v>0</v>
      </c>
      <c r="CI564">
        <v>0</v>
      </c>
      <c r="CJ564">
        <v>0</v>
      </c>
      <c r="CK564">
        <v>0</v>
      </c>
      <c r="CL564">
        <v>0</v>
      </c>
      <c r="CM564">
        <v>0</v>
      </c>
    </row>
    <row r="565" spans="82:91" x14ac:dyDescent="0.25">
      <c r="CD565">
        <v>3360</v>
      </c>
      <c r="CE565">
        <v>576</v>
      </c>
      <c r="CF565">
        <v>144</v>
      </c>
      <c r="CG565">
        <v>0</v>
      </c>
      <c r="CH565">
        <v>0</v>
      </c>
      <c r="CI565">
        <v>0</v>
      </c>
      <c r="CJ565">
        <v>0</v>
      </c>
      <c r="CK565">
        <v>0</v>
      </c>
      <c r="CL565">
        <v>0</v>
      </c>
      <c r="CM565">
        <v>0</v>
      </c>
    </row>
    <row r="566" spans="82:91" x14ac:dyDescent="0.25">
      <c r="CD566">
        <v>3360</v>
      </c>
      <c r="CE566">
        <v>576</v>
      </c>
      <c r="CF566">
        <v>144</v>
      </c>
      <c r="CG566">
        <v>0</v>
      </c>
      <c r="CH566">
        <v>0</v>
      </c>
      <c r="CI566">
        <v>0</v>
      </c>
      <c r="CJ566">
        <v>0</v>
      </c>
      <c r="CK566">
        <v>0</v>
      </c>
      <c r="CL566">
        <v>0</v>
      </c>
      <c r="CM566">
        <v>0</v>
      </c>
    </row>
    <row r="567" spans="82:91" x14ac:dyDescent="0.25">
      <c r="CD567">
        <v>3360</v>
      </c>
      <c r="CE567">
        <v>576</v>
      </c>
      <c r="CF567">
        <v>144</v>
      </c>
      <c r="CG567">
        <v>0</v>
      </c>
      <c r="CH567">
        <v>0</v>
      </c>
      <c r="CI567">
        <v>0</v>
      </c>
      <c r="CJ567">
        <v>0</v>
      </c>
      <c r="CK567">
        <v>0</v>
      </c>
      <c r="CL567">
        <v>0</v>
      </c>
      <c r="CM567">
        <v>0</v>
      </c>
    </row>
    <row r="568" spans="82:91" x14ac:dyDescent="0.25">
      <c r="CD568">
        <v>3360</v>
      </c>
      <c r="CE568">
        <v>576</v>
      </c>
      <c r="CF568">
        <v>144</v>
      </c>
      <c r="CG568">
        <v>0</v>
      </c>
      <c r="CH568">
        <v>0</v>
      </c>
      <c r="CI568">
        <v>0</v>
      </c>
      <c r="CJ568">
        <v>0</v>
      </c>
      <c r="CK568">
        <v>0</v>
      </c>
      <c r="CL568">
        <v>0</v>
      </c>
      <c r="CM568">
        <v>0</v>
      </c>
    </row>
    <row r="569" spans="82:91" x14ac:dyDescent="0.25">
      <c r="CD569">
        <v>3360</v>
      </c>
      <c r="CE569">
        <v>576</v>
      </c>
      <c r="CF569">
        <v>144</v>
      </c>
      <c r="CG569">
        <v>0</v>
      </c>
      <c r="CH569">
        <v>0</v>
      </c>
      <c r="CI569">
        <v>0</v>
      </c>
      <c r="CJ569">
        <v>0</v>
      </c>
      <c r="CK569">
        <v>0</v>
      </c>
      <c r="CL569">
        <v>0</v>
      </c>
      <c r="CM569">
        <v>0</v>
      </c>
    </row>
    <row r="570" spans="82:91" x14ac:dyDescent="0.25">
      <c r="CD570">
        <v>3360</v>
      </c>
      <c r="CE570">
        <v>576</v>
      </c>
      <c r="CF570">
        <v>144</v>
      </c>
      <c r="CG570">
        <v>0</v>
      </c>
      <c r="CH570">
        <v>0</v>
      </c>
      <c r="CI570">
        <v>0</v>
      </c>
      <c r="CJ570">
        <v>0</v>
      </c>
      <c r="CK570">
        <v>0</v>
      </c>
      <c r="CL570">
        <v>0</v>
      </c>
      <c r="CM570">
        <v>0</v>
      </c>
    </row>
    <row r="571" spans="82:91" x14ac:dyDescent="0.25">
      <c r="CD571">
        <v>3360</v>
      </c>
      <c r="CE571">
        <v>576</v>
      </c>
      <c r="CF571">
        <v>144</v>
      </c>
      <c r="CG571">
        <v>0</v>
      </c>
      <c r="CH571">
        <v>0</v>
      </c>
      <c r="CI571">
        <v>0</v>
      </c>
      <c r="CJ571">
        <v>0</v>
      </c>
      <c r="CK571">
        <v>0</v>
      </c>
      <c r="CL571">
        <v>0</v>
      </c>
      <c r="CM571">
        <v>0</v>
      </c>
    </row>
    <row r="572" spans="82:91" x14ac:dyDescent="0.25">
      <c r="CD572">
        <v>3360</v>
      </c>
      <c r="CE572">
        <v>576</v>
      </c>
      <c r="CF572">
        <v>144</v>
      </c>
      <c r="CG572">
        <v>0</v>
      </c>
      <c r="CH572">
        <v>0</v>
      </c>
      <c r="CI572">
        <v>0</v>
      </c>
      <c r="CJ572">
        <v>0</v>
      </c>
      <c r="CK572">
        <v>0</v>
      </c>
      <c r="CL572">
        <v>0</v>
      </c>
      <c r="CM572">
        <v>0</v>
      </c>
    </row>
    <row r="573" spans="82:91" x14ac:dyDescent="0.25">
      <c r="CD573">
        <v>3360</v>
      </c>
      <c r="CE573">
        <v>576</v>
      </c>
      <c r="CF573">
        <v>144</v>
      </c>
      <c r="CG573">
        <v>0</v>
      </c>
      <c r="CH573">
        <v>0</v>
      </c>
      <c r="CI573">
        <v>0</v>
      </c>
      <c r="CJ573">
        <v>0</v>
      </c>
      <c r="CK573">
        <v>0</v>
      </c>
      <c r="CL573">
        <v>0</v>
      </c>
      <c r="CM573">
        <v>0</v>
      </c>
    </row>
    <row r="574" spans="82:91" x14ac:dyDescent="0.25">
      <c r="CD574">
        <v>3360</v>
      </c>
      <c r="CE574">
        <v>576</v>
      </c>
      <c r="CF574">
        <v>144</v>
      </c>
      <c r="CG574">
        <v>0</v>
      </c>
      <c r="CH574">
        <v>0</v>
      </c>
      <c r="CI574">
        <v>0</v>
      </c>
      <c r="CJ574">
        <v>0</v>
      </c>
      <c r="CK574">
        <v>0</v>
      </c>
      <c r="CL574">
        <v>0</v>
      </c>
      <c r="CM574">
        <v>0</v>
      </c>
    </row>
    <row r="575" spans="82:91" x14ac:dyDescent="0.25">
      <c r="CD575">
        <v>3360</v>
      </c>
      <c r="CE575">
        <v>576</v>
      </c>
      <c r="CF575">
        <v>144</v>
      </c>
      <c r="CG575">
        <v>0</v>
      </c>
      <c r="CH575">
        <v>0</v>
      </c>
      <c r="CI575">
        <v>0</v>
      </c>
      <c r="CJ575">
        <v>0</v>
      </c>
      <c r="CK575">
        <v>0</v>
      </c>
      <c r="CL575">
        <v>0</v>
      </c>
      <c r="CM575">
        <v>0</v>
      </c>
    </row>
    <row r="576" spans="82:91" x14ac:dyDescent="0.25">
      <c r="CD576">
        <v>3360</v>
      </c>
      <c r="CE576">
        <v>576</v>
      </c>
      <c r="CF576">
        <v>144</v>
      </c>
      <c r="CG576">
        <v>0</v>
      </c>
      <c r="CH576">
        <v>0</v>
      </c>
      <c r="CI576">
        <v>0</v>
      </c>
      <c r="CJ576">
        <v>0</v>
      </c>
      <c r="CK576">
        <v>0</v>
      </c>
      <c r="CL576">
        <v>0</v>
      </c>
      <c r="CM576">
        <v>0</v>
      </c>
    </row>
    <row r="577" spans="82:91" x14ac:dyDescent="0.25">
      <c r="CD577">
        <v>3360</v>
      </c>
      <c r="CE577">
        <v>576</v>
      </c>
      <c r="CF577">
        <v>144</v>
      </c>
      <c r="CG577">
        <v>0</v>
      </c>
      <c r="CH577">
        <v>0</v>
      </c>
      <c r="CI577">
        <v>0</v>
      </c>
      <c r="CJ577">
        <v>0</v>
      </c>
      <c r="CK577">
        <v>0</v>
      </c>
      <c r="CL577">
        <v>0</v>
      </c>
      <c r="CM577">
        <v>0</v>
      </c>
    </row>
    <row r="578" spans="82:91" x14ac:dyDescent="0.25">
      <c r="CD578">
        <v>3360</v>
      </c>
      <c r="CE578">
        <v>576</v>
      </c>
      <c r="CF578">
        <v>144</v>
      </c>
      <c r="CG578">
        <v>0</v>
      </c>
      <c r="CH578">
        <v>0</v>
      </c>
      <c r="CI578">
        <v>0</v>
      </c>
      <c r="CJ578">
        <v>0</v>
      </c>
      <c r="CK578">
        <v>0</v>
      </c>
      <c r="CL578">
        <v>0</v>
      </c>
      <c r="CM578">
        <v>0</v>
      </c>
    </row>
    <row r="579" spans="82:91" x14ac:dyDescent="0.25">
      <c r="CD579">
        <v>3360</v>
      </c>
      <c r="CE579">
        <v>576</v>
      </c>
      <c r="CF579">
        <v>144</v>
      </c>
      <c r="CG579">
        <v>0</v>
      </c>
      <c r="CH579">
        <v>0</v>
      </c>
      <c r="CI579">
        <v>0</v>
      </c>
      <c r="CJ579">
        <v>0</v>
      </c>
      <c r="CK579">
        <v>0</v>
      </c>
      <c r="CL579">
        <v>0</v>
      </c>
      <c r="CM579">
        <v>0</v>
      </c>
    </row>
    <row r="580" spans="82:91" x14ac:dyDescent="0.25">
      <c r="CD580">
        <v>3360</v>
      </c>
      <c r="CE580">
        <v>576</v>
      </c>
      <c r="CF580">
        <v>144</v>
      </c>
      <c r="CG580">
        <v>0</v>
      </c>
      <c r="CH580">
        <v>0</v>
      </c>
      <c r="CI580">
        <v>0</v>
      </c>
      <c r="CJ580">
        <v>0</v>
      </c>
      <c r="CK580">
        <v>0</v>
      </c>
      <c r="CL580">
        <v>0</v>
      </c>
      <c r="CM580">
        <v>0</v>
      </c>
    </row>
    <row r="581" spans="82:91" x14ac:dyDescent="0.25">
      <c r="CD581">
        <v>3360</v>
      </c>
      <c r="CE581">
        <v>576</v>
      </c>
      <c r="CF581">
        <v>144</v>
      </c>
      <c r="CG581">
        <v>0</v>
      </c>
      <c r="CH581">
        <v>0</v>
      </c>
      <c r="CI581">
        <v>0</v>
      </c>
      <c r="CJ581">
        <v>0</v>
      </c>
      <c r="CK581">
        <v>0</v>
      </c>
      <c r="CL581">
        <v>0</v>
      </c>
      <c r="CM581">
        <v>0</v>
      </c>
    </row>
    <row r="582" spans="82:91" x14ac:dyDescent="0.25">
      <c r="CD582">
        <v>3360</v>
      </c>
      <c r="CE582">
        <v>576</v>
      </c>
      <c r="CF582">
        <v>144</v>
      </c>
      <c r="CG582">
        <v>0</v>
      </c>
      <c r="CH582">
        <v>0</v>
      </c>
      <c r="CI582">
        <v>0</v>
      </c>
      <c r="CJ582">
        <v>0</v>
      </c>
      <c r="CK582">
        <v>0</v>
      </c>
      <c r="CL582">
        <v>0</v>
      </c>
      <c r="CM582">
        <v>0</v>
      </c>
    </row>
    <row r="583" spans="82:91" x14ac:dyDescent="0.25">
      <c r="CD583">
        <v>3360</v>
      </c>
      <c r="CE583">
        <v>576</v>
      </c>
      <c r="CF583">
        <v>144</v>
      </c>
      <c r="CG583">
        <v>0</v>
      </c>
      <c r="CH583">
        <v>0</v>
      </c>
      <c r="CI583">
        <v>0</v>
      </c>
      <c r="CJ583">
        <v>0</v>
      </c>
      <c r="CK583">
        <v>0</v>
      </c>
      <c r="CL583">
        <v>0</v>
      </c>
      <c r="CM583">
        <v>0</v>
      </c>
    </row>
    <row r="584" spans="82:91" x14ac:dyDescent="0.25">
      <c r="CD584">
        <v>3360</v>
      </c>
      <c r="CE584">
        <v>576</v>
      </c>
      <c r="CF584">
        <v>144</v>
      </c>
      <c r="CG584">
        <v>0</v>
      </c>
      <c r="CH584">
        <v>0</v>
      </c>
      <c r="CI584">
        <v>0</v>
      </c>
      <c r="CJ584">
        <v>0</v>
      </c>
      <c r="CK584">
        <v>0</v>
      </c>
      <c r="CL584">
        <v>0</v>
      </c>
      <c r="CM584">
        <v>0</v>
      </c>
    </row>
    <row r="585" spans="82:91" x14ac:dyDescent="0.25">
      <c r="CD585">
        <v>3360</v>
      </c>
      <c r="CE585">
        <v>576</v>
      </c>
      <c r="CF585">
        <v>144</v>
      </c>
      <c r="CG585">
        <v>0</v>
      </c>
      <c r="CH585">
        <v>0</v>
      </c>
      <c r="CI585">
        <v>0</v>
      </c>
      <c r="CJ585">
        <v>0</v>
      </c>
      <c r="CK585">
        <v>0</v>
      </c>
      <c r="CL585">
        <v>0</v>
      </c>
      <c r="CM585">
        <v>0</v>
      </c>
    </row>
    <row r="586" spans="82:91" x14ac:dyDescent="0.25">
      <c r="CD586">
        <v>3360</v>
      </c>
      <c r="CE586">
        <v>576</v>
      </c>
      <c r="CF586">
        <v>144</v>
      </c>
      <c r="CG586">
        <v>0</v>
      </c>
      <c r="CH586">
        <v>0</v>
      </c>
      <c r="CI586">
        <v>0</v>
      </c>
      <c r="CJ586">
        <v>0</v>
      </c>
      <c r="CK586">
        <v>0</v>
      </c>
      <c r="CL586">
        <v>0</v>
      </c>
      <c r="CM586">
        <v>0</v>
      </c>
    </row>
    <row r="587" spans="82:91" x14ac:dyDescent="0.25">
      <c r="CD587">
        <v>3360</v>
      </c>
      <c r="CE587">
        <v>576</v>
      </c>
      <c r="CF587">
        <v>144</v>
      </c>
      <c r="CG587">
        <v>0</v>
      </c>
      <c r="CH587">
        <v>0</v>
      </c>
      <c r="CI587">
        <v>0</v>
      </c>
      <c r="CJ587">
        <v>0</v>
      </c>
      <c r="CK587">
        <v>0</v>
      </c>
      <c r="CL587">
        <v>0</v>
      </c>
      <c r="CM587">
        <v>0</v>
      </c>
    </row>
    <row r="588" spans="82:91" x14ac:dyDescent="0.25">
      <c r="CD588">
        <v>3360</v>
      </c>
      <c r="CE588">
        <v>576</v>
      </c>
      <c r="CF588">
        <v>144</v>
      </c>
      <c r="CG588">
        <v>0</v>
      </c>
      <c r="CH588">
        <v>0</v>
      </c>
      <c r="CI588">
        <v>0</v>
      </c>
      <c r="CJ588">
        <v>0</v>
      </c>
      <c r="CK588">
        <v>0</v>
      </c>
      <c r="CL588">
        <v>0</v>
      </c>
      <c r="CM588">
        <v>0</v>
      </c>
    </row>
    <row r="589" spans="82:91" x14ac:dyDescent="0.25">
      <c r="CD589">
        <v>3360</v>
      </c>
      <c r="CE589">
        <v>576</v>
      </c>
      <c r="CF589">
        <v>144</v>
      </c>
      <c r="CG589">
        <v>0</v>
      </c>
      <c r="CH589">
        <v>0</v>
      </c>
      <c r="CI589">
        <v>0</v>
      </c>
      <c r="CJ589">
        <v>0</v>
      </c>
      <c r="CK589">
        <v>0</v>
      </c>
      <c r="CL589">
        <v>0</v>
      </c>
      <c r="CM589">
        <v>0</v>
      </c>
    </row>
    <row r="590" spans="82:91" x14ac:dyDescent="0.25">
      <c r="CD590">
        <v>3360</v>
      </c>
      <c r="CE590">
        <v>576</v>
      </c>
      <c r="CF590">
        <v>144</v>
      </c>
      <c r="CG590">
        <v>0</v>
      </c>
      <c r="CH590">
        <v>0</v>
      </c>
      <c r="CI590">
        <v>0</v>
      </c>
      <c r="CJ590">
        <v>0</v>
      </c>
      <c r="CK590">
        <v>0</v>
      </c>
      <c r="CL590">
        <v>0</v>
      </c>
      <c r="CM590">
        <v>0</v>
      </c>
    </row>
    <row r="591" spans="82:91" x14ac:dyDescent="0.25">
      <c r="CD591">
        <v>3360</v>
      </c>
      <c r="CE591">
        <v>576</v>
      </c>
      <c r="CF591">
        <v>144</v>
      </c>
      <c r="CG591">
        <v>0</v>
      </c>
      <c r="CH591">
        <v>0</v>
      </c>
      <c r="CI591">
        <v>0</v>
      </c>
      <c r="CJ591">
        <v>0</v>
      </c>
      <c r="CK591">
        <v>0</v>
      </c>
      <c r="CL591">
        <v>0</v>
      </c>
      <c r="CM591">
        <v>0</v>
      </c>
    </row>
    <row r="592" spans="82:91" x14ac:dyDescent="0.25">
      <c r="CD592">
        <v>3360</v>
      </c>
      <c r="CE592">
        <v>576</v>
      </c>
      <c r="CF592">
        <v>144</v>
      </c>
      <c r="CG592">
        <v>0</v>
      </c>
      <c r="CH592">
        <v>0</v>
      </c>
      <c r="CI592">
        <v>0</v>
      </c>
      <c r="CJ592">
        <v>0</v>
      </c>
      <c r="CK592">
        <v>0</v>
      </c>
      <c r="CL592">
        <v>0</v>
      </c>
      <c r="CM592">
        <v>0</v>
      </c>
    </row>
    <row r="593" spans="82:91" x14ac:dyDescent="0.25">
      <c r="CD593">
        <v>3360</v>
      </c>
      <c r="CE593">
        <v>576</v>
      </c>
      <c r="CF593">
        <v>144</v>
      </c>
      <c r="CG593">
        <v>0</v>
      </c>
      <c r="CH593">
        <v>0</v>
      </c>
      <c r="CI593">
        <v>0</v>
      </c>
      <c r="CJ593">
        <v>0</v>
      </c>
      <c r="CK593">
        <v>0</v>
      </c>
      <c r="CL593">
        <v>0</v>
      </c>
      <c r="CM593">
        <v>0</v>
      </c>
    </row>
    <row r="594" spans="82:91" x14ac:dyDescent="0.25">
      <c r="CD594">
        <v>3360</v>
      </c>
      <c r="CE594">
        <v>576</v>
      </c>
      <c r="CF594">
        <v>144</v>
      </c>
      <c r="CG594">
        <v>0</v>
      </c>
      <c r="CH594">
        <v>0</v>
      </c>
      <c r="CI594">
        <v>0</v>
      </c>
      <c r="CJ594">
        <v>0</v>
      </c>
      <c r="CK594">
        <v>0</v>
      </c>
      <c r="CL594">
        <v>0</v>
      </c>
      <c r="CM594">
        <v>0</v>
      </c>
    </row>
    <row r="595" spans="82:91" x14ac:dyDescent="0.25">
      <c r="CD595">
        <v>3360</v>
      </c>
      <c r="CE595">
        <v>576</v>
      </c>
      <c r="CF595">
        <v>144</v>
      </c>
      <c r="CG595">
        <v>0</v>
      </c>
      <c r="CH595">
        <v>0</v>
      </c>
      <c r="CI595">
        <v>0</v>
      </c>
      <c r="CJ595">
        <v>0</v>
      </c>
      <c r="CK595">
        <v>0</v>
      </c>
      <c r="CL595">
        <v>0</v>
      </c>
      <c r="CM595">
        <v>0</v>
      </c>
    </row>
    <row r="596" spans="82:91" x14ac:dyDescent="0.25">
      <c r="CD596">
        <v>3360</v>
      </c>
      <c r="CE596">
        <v>576</v>
      </c>
      <c r="CF596">
        <v>144</v>
      </c>
      <c r="CG596">
        <v>0</v>
      </c>
      <c r="CH596">
        <v>0</v>
      </c>
      <c r="CI596">
        <v>0</v>
      </c>
      <c r="CJ596">
        <v>0</v>
      </c>
      <c r="CK596">
        <v>0</v>
      </c>
      <c r="CL596">
        <v>0</v>
      </c>
      <c r="CM596">
        <v>0</v>
      </c>
    </row>
    <row r="597" spans="82:91" x14ac:dyDescent="0.25">
      <c r="CD597">
        <v>3360</v>
      </c>
      <c r="CE597">
        <v>576</v>
      </c>
      <c r="CF597">
        <v>144</v>
      </c>
      <c r="CG597">
        <v>0</v>
      </c>
      <c r="CH597">
        <v>0</v>
      </c>
      <c r="CI597">
        <v>0</v>
      </c>
      <c r="CJ597">
        <v>0</v>
      </c>
      <c r="CK597">
        <v>0</v>
      </c>
      <c r="CL597">
        <v>0</v>
      </c>
      <c r="CM597">
        <v>0</v>
      </c>
    </row>
    <row r="598" spans="82:91" x14ac:dyDescent="0.25">
      <c r="CD598">
        <v>3360</v>
      </c>
      <c r="CE598">
        <v>576</v>
      </c>
      <c r="CF598">
        <v>144</v>
      </c>
      <c r="CG598">
        <v>0</v>
      </c>
      <c r="CH598">
        <v>0</v>
      </c>
      <c r="CI598">
        <v>0</v>
      </c>
      <c r="CJ598">
        <v>0</v>
      </c>
      <c r="CK598">
        <v>0</v>
      </c>
      <c r="CL598">
        <v>0</v>
      </c>
      <c r="CM598">
        <v>0</v>
      </c>
    </row>
    <row r="599" spans="82:91" x14ac:dyDescent="0.25">
      <c r="CD599">
        <v>3360</v>
      </c>
      <c r="CE599">
        <v>576</v>
      </c>
      <c r="CF599">
        <v>144</v>
      </c>
      <c r="CG599">
        <v>0</v>
      </c>
      <c r="CH599">
        <v>0</v>
      </c>
      <c r="CI599">
        <v>0</v>
      </c>
      <c r="CJ599">
        <v>0</v>
      </c>
      <c r="CK599">
        <v>0</v>
      </c>
      <c r="CL599">
        <v>0</v>
      </c>
      <c r="CM599">
        <v>0</v>
      </c>
    </row>
    <row r="600" spans="82:91" x14ac:dyDescent="0.25">
      <c r="CD600">
        <v>3360</v>
      </c>
      <c r="CE600">
        <v>576</v>
      </c>
      <c r="CF600">
        <v>144</v>
      </c>
      <c r="CG600">
        <v>0</v>
      </c>
      <c r="CH600">
        <v>0</v>
      </c>
      <c r="CI600">
        <v>0</v>
      </c>
      <c r="CJ600">
        <v>0</v>
      </c>
      <c r="CK600">
        <v>0</v>
      </c>
      <c r="CL600">
        <v>0</v>
      </c>
      <c r="CM600">
        <v>0</v>
      </c>
    </row>
    <row r="601" spans="82:91" x14ac:dyDescent="0.25">
      <c r="CD601">
        <v>3360</v>
      </c>
      <c r="CE601">
        <v>576</v>
      </c>
      <c r="CF601">
        <v>144</v>
      </c>
      <c r="CG601">
        <v>0</v>
      </c>
      <c r="CH601">
        <v>0</v>
      </c>
      <c r="CI601">
        <v>0</v>
      </c>
      <c r="CJ601">
        <v>0</v>
      </c>
      <c r="CK601">
        <v>0</v>
      </c>
      <c r="CL601">
        <v>0</v>
      </c>
      <c r="CM601">
        <v>0</v>
      </c>
    </row>
    <row r="602" spans="82:91" x14ac:dyDescent="0.25">
      <c r="CD602">
        <v>3360</v>
      </c>
      <c r="CE602">
        <v>576</v>
      </c>
      <c r="CF602">
        <v>144</v>
      </c>
      <c r="CG602">
        <v>0</v>
      </c>
      <c r="CH602">
        <v>0</v>
      </c>
      <c r="CI602">
        <v>0</v>
      </c>
      <c r="CJ602">
        <v>0</v>
      </c>
      <c r="CK602">
        <v>0</v>
      </c>
      <c r="CL602">
        <v>0</v>
      </c>
      <c r="CM602">
        <v>0</v>
      </c>
    </row>
    <row r="603" spans="82:91" x14ac:dyDescent="0.25">
      <c r="CD603">
        <v>3360</v>
      </c>
      <c r="CE603">
        <v>576</v>
      </c>
      <c r="CF603">
        <v>144</v>
      </c>
      <c r="CG603">
        <v>0</v>
      </c>
      <c r="CH603">
        <v>0</v>
      </c>
      <c r="CI603">
        <v>0</v>
      </c>
      <c r="CJ603">
        <v>0</v>
      </c>
      <c r="CK603">
        <v>0</v>
      </c>
      <c r="CL603">
        <v>0</v>
      </c>
      <c r="CM603">
        <v>0</v>
      </c>
    </row>
    <row r="604" spans="82:91" x14ac:dyDescent="0.25">
      <c r="CD604">
        <v>3360</v>
      </c>
      <c r="CE604">
        <v>576</v>
      </c>
      <c r="CF604">
        <v>144</v>
      </c>
      <c r="CG604">
        <v>0</v>
      </c>
      <c r="CH604">
        <v>0</v>
      </c>
      <c r="CI604">
        <v>0</v>
      </c>
      <c r="CJ604">
        <v>0</v>
      </c>
      <c r="CK604">
        <v>0</v>
      </c>
      <c r="CL604">
        <v>0</v>
      </c>
      <c r="CM604">
        <v>0</v>
      </c>
    </row>
    <row r="605" spans="82:91" x14ac:dyDescent="0.25">
      <c r="CD605">
        <v>3360</v>
      </c>
      <c r="CE605">
        <v>576</v>
      </c>
      <c r="CF605">
        <v>144</v>
      </c>
      <c r="CG605">
        <v>0</v>
      </c>
      <c r="CH605">
        <v>0</v>
      </c>
      <c r="CI605">
        <v>0</v>
      </c>
      <c r="CJ605">
        <v>0</v>
      </c>
      <c r="CK605">
        <v>0</v>
      </c>
      <c r="CL605">
        <v>0</v>
      </c>
      <c r="CM605">
        <v>0</v>
      </c>
    </row>
    <row r="606" spans="82:91" x14ac:dyDescent="0.25">
      <c r="CD606">
        <v>3360</v>
      </c>
      <c r="CE606">
        <v>576</v>
      </c>
      <c r="CF606">
        <v>144</v>
      </c>
      <c r="CG606">
        <v>0</v>
      </c>
      <c r="CH606">
        <v>0</v>
      </c>
      <c r="CI606">
        <v>0</v>
      </c>
      <c r="CJ606">
        <v>0</v>
      </c>
      <c r="CK606">
        <v>0</v>
      </c>
      <c r="CL606">
        <v>0</v>
      </c>
      <c r="CM606">
        <v>0</v>
      </c>
    </row>
    <row r="607" spans="82:91" x14ac:dyDescent="0.25">
      <c r="CD607">
        <v>3360</v>
      </c>
      <c r="CE607">
        <v>576</v>
      </c>
      <c r="CF607">
        <v>144</v>
      </c>
      <c r="CG607">
        <v>0</v>
      </c>
      <c r="CH607">
        <v>0</v>
      </c>
      <c r="CI607">
        <v>0</v>
      </c>
      <c r="CJ607">
        <v>0</v>
      </c>
      <c r="CK607">
        <v>0</v>
      </c>
      <c r="CL607">
        <v>0</v>
      </c>
      <c r="CM607">
        <v>0</v>
      </c>
    </row>
    <row r="608" spans="82:91" x14ac:dyDescent="0.25">
      <c r="CD608">
        <v>3360</v>
      </c>
      <c r="CE608">
        <v>576</v>
      </c>
      <c r="CF608">
        <v>144</v>
      </c>
      <c r="CG608">
        <v>0</v>
      </c>
      <c r="CH608">
        <v>0</v>
      </c>
      <c r="CI608">
        <v>0</v>
      </c>
      <c r="CJ608">
        <v>0</v>
      </c>
      <c r="CK608">
        <v>0</v>
      </c>
      <c r="CL608">
        <v>0</v>
      </c>
      <c r="CM608">
        <v>0</v>
      </c>
    </row>
    <row r="609" spans="82:91" x14ac:dyDescent="0.25">
      <c r="CD609">
        <v>3360</v>
      </c>
      <c r="CE609">
        <v>576</v>
      </c>
      <c r="CF609">
        <v>144</v>
      </c>
      <c r="CG609">
        <v>0</v>
      </c>
      <c r="CH609">
        <v>0</v>
      </c>
      <c r="CI609">
        <v>0</v>
      </c>
      <c r="CJ609">
        <v>0</v>
      </c>
      <c r="CK609">
        <v>0</v>
      </c>
      <c r="CL609">
        <v>0</v>
      </c>
      <c r="CM609">
        <v>0</v>
      </c>
    </row>
    <row r="610" spans="82:91" x14ac:dyDescent="0.25">
      <c r="CD610">
        <v>3360</v>
      </c>
      <c r="CE610">
        <v>576</v>
      </c>
      <c r="CF610">
        <v>144</v>
      </c>
      <c r="CG610">
        <v>0</v>
      </c>
      <c r="CH610">
        <v>0</v>
      </c>
      <c r="CI610">
        <v>0</v>
      </c>
      <c r="CJ610">
        <v>0</v>
      </c>
      <c r="CK610">
        <v>0</v>
      </c>
      <c r="CL610">
        <v>0</v>
      </c>
      <c r="CM610">
        <v>0</v>
      </c>
    </row>
    <row r="611" spans="82:91" x14ac:dyDescent="0.25">
      <c r="CD611">
        <v>3360</v>
      </c>
      <c r="CE611">
        <v>576</v>
      </c>
      <c r="CF611">
        <v>144</v>
      </c>
      <c r="CG611">
        <v>0</v>
      </c>
      <c r="CH611">
        <v>0</v>
      </c>
      <c r="CI611">
        <v>0</v>
      </c>
      <c r="CJ611">
        <v>0</v>
      </c>
      <c r="CK611">
        <v>0</v>
      </c>
      <c r="CL611">
        <v>0</v>
      </c>
      <c r="CM611">
        <v>0</v>
      </c>
    </row>
    <row r="612" spans="82:91" x14ac:dyDescent="0.25">
      <c r="CD612">
        <v>3360</v>
      </c>
      <c r="CE612">
        <v>576</v>
      </c>
      <c r="CF612">
        <v>144</v>
      </c>
      <c r="CG612">
        <v>0</v>
      </c>
      <c r="CH612">
        <v>0</v>
      </c>
      <c r="CI612">
        <v>0</v>
      </c>
      <c r="CJ612">
        <v>0</v>
      </c>
      <c r="CK612">
        <v>0</v>
      </c>
      <c r="CL612">
        <v>0</v>
      </c>
      <c r="CM612">
        <v>0</v>
      </c>
    </row>
    <row r="613" spans="82:91" x14ac:dyDescent="0.25">
      <c r="CD613">
        <v>3360</v>
      </c>
      <c r="CE613">
        <v>576</v>
      </c>
      <c r="CF613">
        <v>144</v>
      </c>
      <c r="CG613">
        <v>0</v>
      </c>
      <c r="CH613">
        <v>0</v>
      </c>
      <c r="CI613">
        <v>0</v>
      </c>
      <c r="CJ613">
        <v>0</v>
      </c>
      <c r="CK613">
        <v>0</v>
      </c>
      <c r="CL613">
        <v>0</v>
      </c>
      <c r="CM613">
        <v>0</v>
      </c>
    </row>
    <row r="614" spans="82:91" x14ac:dyDescent="0.25">
      <c r="CD614">
        <v>3360</v>
      </c>
      <c r="CE614">
        <v>576</v>
      </c>
      <c r="CF614">
        <v>144</v>
      </c>
      <c r="CG614">
        <v>0</v>
      </c>
      <c r="CH614">
        <v>0</v>
      </c>
      <c r="CI614">
        <v>0</v>
      </c>
      <c r="CJ614">
        <v>0</v>
      </c>
      <c r="CK614">
        <v>0</v>
      </c>
      <c r="CL614">
        <v>0</v>
      </c>
      <c r="CM614">
        <v>0</v>
      </c>
    </row>
    <row r="615" spans="82:91" x14ac:dyDescent="0.25">
      <c r="CD615">
        <v>3360</v>
      </c>
      <c r="CE615">
        <v>576</v>
      </c>
      <c r="CF615">
        <v>144</v>
      </c>
      <c r="CG615">
        <v>0</v>
      </c>
      <c r="CH615">
        <v>0</v>
      </c>
      <c r="CI615">
        <v>0</v>
      </c>
      <c r="CJ615">
        <v>0</v>
      </c>
      <c r="CK615">
        <v>0</v>
      </c>
      <c r="CL615">
        <v>0</v>
      </c>
      <c r="CM615">
        <v>0</v>
      </c>
    </row>
    <row r="616" spans="82:91" x14ac:dyDescent="0.25">
      <c r="CD616">
        <v>3360</v>
      </c>
      <c r="CE616">
        <v>576</v>
      </c>
      <c r="CF616">
        <v>144</v>
      </c>
      <c r="CG616">
        <v>0</v>
      </c>
      <c r="CH616">
        <v>0</v>
      </c>
      <c r="CI616">
        <v>0</v>
      </c>
      <c r="CJ616">
        <v>0</v>
      </c>
      <c r="CK616">
        <v>0</v>
      </c>
      <c r="CL616">
        <v>0</v>
      </c>
      <c r="CM616">
        <v>0</v>
      </c>
    </row>
    <row r="617" spans="82:91" x14ac:dyDescent="0.25">
      <c r="CD617">
        <v>3360</v>
      </c>
      <c r="CE617">
        <v>576</v>
      </c>
      <c r="CF617">
        <v>144</v>
      </c>
      <c r="CG617">
        <v>0</v>
      </c>
      <c r="CH617">
        <v>0</v>
      </c>
      <c r="CI617">
        <v>0</v>
      </c>
      <c r="CJ617">
        <v>0</v>
      </c>
      <c r="CK617">
        <v>0</v>
      </c>
      <c r="CL617">
        <v>0</v>
      </c>
      <c r="CM617">
        <v>0</v>
      </c>
    </row>
    <row r="618" spans="82:91" x14ac:dyDescent="0.25">
      <c r="CD618">
        <v>3360</v>
      </c>
      <c r="CE618">
        <v>576</v>
      </c>
      <c r="CF618">
        <v>144</v>
      </c>
      <c r="CG618">
        <v>0</v>
      </c>
      <c r="CH618">
        <v>0</v>
      </c>
      <c r="CI618">
        <v>0</v>
      </c>
      <c r="CJ618">
        <v>0</v>
      </c>
      <c r="CK618">
        <v>0</v>
      </c>
      <c r="CL618">
        <v>0</v>
      </c>
      <c r="CM618">
        <v>0</v>
      </c>
    </row>
    <row r="619" spans="82:91" x14ac:dyDescent="0.25">
      <c r="CD619">
        <v>3360</v>
      </c>
      <c r="CE619">
        <v>576</v>
      </c>
      <c r="CF619">
        <v>144</v>
      </c>
      <c r="CG619">
        <v>0</v>
      </c>
      <c r="CH619">
        <v>0</v>
      </c>
      <c r="CI619">
        <v>0</v>
      </c>
      <c r="CJ619">
        <v>0</v>
      </c>
      <c r="CK619">
        <v>0</v>
      </c>
      <c r="CL619">
        <v>0</v>
      </c>
      <c r="CM619">
        <v>0</v>
      </c>
    </row>
    <row r="620" spans="82:91" x14ac:dyDescent="0.25">
      <c r="CD620">
        <v>3360</v>
      </c>
      <c r="CE620">
        <v>576</v>
      </c>
      <c r="CF620">
        <v>144</v>
      </c>
      <c r="CG620">
        <v>0</v>
      </c>
      <c r="CH620">
        <v>0</v>
      </c>
      <c r="CI620">
        <v>0</v>
      </c>
      <c r="CJ620">
        <v>0</v>
      </c>
      <c r="CK620">
        <v>0</v>
      </c>
      <c r="CL620">
        <v>0</v>
      </c>
      <c r="CM620">
        <v>0</v>
      </c>
    </row>
    <row r="621" spans="82:91" x14ac:dyDescent="0.25">
      <c r="CD621">
        <v>3360</v>
      </c>
      <c r="CE621">
        <v>576</v>
      </c>
      <c r="CF621">
        <v>144</v>
      </c>
      <c r="CG621">
        <v>0</v>
      </c>
      <c r="CH621">
        <v>0</v>
      </c>
      <c r="CI621">
        <v>0</v>
      </c>
      <c r="CJ621">
        <v>0</v>
      </c>
      <c r="CK621">
        <v>0</v>
      </c>
      <c r="CL621">
        <v>0</v>
      </c>
      <c r="CM621">
        <v>0</v>
      </c>
    </row>
    <row r="622" spans="82:91" x14ac:dyDescent="0.25">
      <c r="CD622">
        <v>3360</v>
      </c>
      <c r="CE622">
        <v>576</v>
      </c>
      <c r="CF622">
        <v>144</v>
      </c>
      <c r="CG622">
        <v>0</v>
      </c>
      <c r="CH622">
        <v>0</v>
      </c>
      <c r="CI622">
        <v>0</v>
      </c>
      <c r="CJ622">
        <v>0</v>
      </c>
      <c r="CK622">
        <v>0</v>
      </c>
      <c r="CL622">
        <v>0</v>
      </c>
      <c r="CM622">
        <v>0</v>
      </c>
    </row>
    <row r="623" spans="82:91" x14ac:dyDescent="0.25">
      <c r="CD623">
        <v>3360</v>
      </c>
      <c r="CE623">
        <v>576</v>
      </c>
      <c r="CF623">
        <v>144</v>
      </c>
      <c r="CG623">
        <v>0</v>
      </c>
      <c r="CH623">
        <v>0</v>
      </c>
      <c r="CI623">
        <v>0</v>
      </c>
      <c r="CJ623">
        <v>0</v>
      </c>
      <c r="CK623">
        <v>0</v>
      </c>
      <c r="CL623">
        <v>0</v>
      </c>
      <c r="CM623">
        <v>0</v>
      </c>
    </row>
    <row r="624" spans="82:91" x14ac:dyDescent="0.25">
      <c r="CD624">
        <v>3360</v>
      </c>
      <c r="CE624">
        <v>576</v>
      </c>
      <c r="CF624">
        <v>144</v>
      </c>
      <c r="CG624">
        <v>0</v>
      </c>
      <c r="CH624">
        <v>0</v>
      </c>
      <c r="CI624">
        <v>0</v>
      </c>
      <c r="CJ624">
        <v>0</v>
      </c>
      <c r="CK624">
        <v>0</v>
      </c>
      <c r="CL624">
        <v>0</v>
      </c>
      <c r="CM624">
        <v>0</v>
      </c>
    </row>
    <row r="625" spans="82:91" x14ac:dyDescent="0.25">
      <c r="CD625">
        <v>3360</v>
      </c>
      <c r="CE625">
        <v>576</v>
      </c>
      <c r="CF625">
        <v>144</v>
      </c>
      <c r="CG625">
        <v>0</v>
      </c>
      <c r="CH625">
        <v>0</v>
      </c>
      <c r="CI625">
        <v>0</v>
      </c>
      <c r="CJ625">
        <v>0</v>
      </c>
      <c r="CK625">
        <v>0</v>
      </c>
      <c r="CL625">
        <v>0</v>
      </c>
      <c r="CM625">
        <v>0</v>
      </c>
    </row>
    <row r="626" spans="82:91" x14ac:dyDescent="0.25">
      <c r="CD626">
        <v>3360</v>
      </c>
      <c r="CE626">
        <v>576</v>
      </c>
      <c r="CF626">
        <v>144</v>
      </c>
      <c r="CG626">
        <v>0</v>
      </c>
      <c r="CH626">
        <v>0</v>
      </c>
      <c r="CI626">
        <v>0</v>
      </c>
      <c r="CJ626">
        <v>0</v>
      </c>
      <c r="CK626">
        <v>0</v>
      </c>
      <c r="CL626">
        <v>0</v>
      </c>
      <c r="CM626">
        <v>0</v>
      </c>
    </row>
    <row r="627" spans="82:91" x14ac:dyDescent="0.25">
      <c r="CD627">
        <v>3360</v>
      </c>
      <c r="CE627">
        <v>576</v>
      </c>
      <c r="CF627">
        <v>144</v>
      </c>
      <c r="CG627">
        <v>0</v>
      </c>
      <c r="CH627">
        <v>0</v>
      </c>
      <c r="CI627">
        <v>0</v>
      </c>
      <c r="CJ627">
        <v>0</v>
      </c>
      <c r="CK627">
        <v>0</v>
      </c>
      <c r="CL627">
        <v>0</v>
      </c>
      <c r="CM627">
        <v>0</v>
      </c>
    </row>
    <row r="628" spans="82:91" x14ac:dyDescent="0.25">
      <c r="CD628">
        <v>3360</v>
      </c>
      <c r="CE628">
        <v>576</v>
      </c>
      <c r="CF628">
        <v>144</v>
      </c>
      <c r="CG628">
        <v>0</v>
      </c>
      <c r="CH628">
        <v>0</v>
      </c>
      <c r="CI628">
        <v>0</v>
      </c>
      <c r="CJ628">
        <v>0</v>
      </c>
      <c r="CK628">
        <v>0</v>
      </c>
      <c r="CL628">
        <v>0</v>
      </c>
      <c r="CM628">
        <v>0</v>
      </c>
    </row>
    <row r="629" spans="82:91" x14ac:dyDescent="0.25">
      <c r="CD629">
        <v>3360</v>
      </c>
      <c r="CE629">
        <v>576</v>
      </c>
      <c r="CF629">
        <v>144</v>
      </c>
      <c r="CG629">
        <v>0</v>
      </c>
      <c r="CH629">
        <v>0</v>
      </c>
      <c r="CI629">
        <v>0</v>
      </c>
      <c r="CJ629">
        <v>0</v>
      </c>
      <c r="CK629">
        <v>0</v>
      </c>
      <c r="CL629">
        <v>0</v>
      </c>
      <c r="CM629">
        <v>0</v>
      </c>
    </row>
    <row r="630" spans="82:91" x14ac:dyDescent="0.25">
      <c r="CD630">
        <v>3360</v>
      </c>
      <c r="CE630">
        <v>576</v>
      </c>
      <c r="CF630">
        <v>144</v>
      </c>
      <c r="CG630">
        <v>0</v>
      </c>
      <c r="CH630">
        <v>0</v>
      </c>
      <c r="CI630">
        <v>0</v>
      </c>
      <c r="CJ630">
        <v>0</v>
      </c>
      <c r="CK630">
        <v>0</v>
      </c>
      <c r="CL630">
        <v>0</v>
      </c>
      <c r="CM630">
        <v>0</v>
      </c>
    </row>
    <row r="631" spans="82:91" x14ac:dyDescent="0.25">
      <c r="CD631">
        <v>3360</v>
      </c>
      <c r="CE631">
        <v>576</v>
      </c>
      <c r="CF631">
        <v>144</v>
      </c>
      <c r="CG631">
        <v>0</v>
      </c>
      <c r="CH631">
        <v>0</v>
      </c>
      <c r="CI631">
        <v>0</v>
      </c>
      <c r="CJ631">
        <v>0</v>
      </c>
      <c r="CK631">
        <v>0</v>
      </c>
      <c r="CL631">
        <v>0</v>
      </c>
      <c r="CM631">
        <v>0</v>
      </c>
    </row>
    <row r="632" spans="82:91" x14ac:dyDescent="0.25">
      <c r="CD632">
        <v>3360</v>
      </c>
      <c r="CE632">
        <v>576</v>
      </c>
      <c r="CF632">
        <v>144</v>
      </c>
      <c r="CG632">
        <v>0</v>
      </c>
      <c r="CH632">
        <v>0</v>
      </c>
      <c r="CI632">
        <v>0</v>
      </c>
      <c r="CJ632">
        <v>0</v>
      </c>
      <c r="CK632">
        <v>0</v>
      </c>
      <c r="CL632">
        <v>0</v>
      </c>
      <c r="CM632">
        <v>0</v>
      </c>
    </row>
    <row r="633" spans="82:91" x14ac:dyDescent="0.25">
      <c r="CD633">
        <v>3360</v>
      </c>
      <c r="CE633">
        <v>576</v>
      </c>
      <c r="CF633">
        <v>144</v>
      </c>
      <c r="CG633">
        <v>0</v>
      </c>
      <c r="CH633">
        <v>0</v>
      </c>
      <c r="CI633">
        <v>0</v>
      </c>
      <c r="CJ633">
        <v>0</v>
      </c>
      <c r="CK633">
        <v>0</v>
      </c>
      <c r="CL633">
        <v>0</v>
      </c>
      <c r="CM633">
        <v>0</v>
      </c>
    </row>
    <row r="634" spans="82:91" x14ac:dyDescent="0.25">
      <c r="CD634">
        <v>3360</v>
      </c>
      <c r="CE634">
        <v>576</v>
      </c>
      <c r="CF634">
        <v>144</v>
      </c>
      <c r="CG634">
        <v>0</v>
      </c>
      <c r="CH634">
        <v>0</v>
      </c>
      <c r="CI634">
        <v>0</v>
      </c>
      <c r="CJ634">
        <v>0</v>
      </c>
      <c r="CK634">
        <v>0</v>
      </c>
      <c r="CL634">
        <v>0</v>
      </c>
      <c r="CM634">
        <v>0</v>
      </c>
    </row>
    <row r="635" spans="82:91" x14ac:dyDescent="0.25">
      <c r="CD635">
        <v>3360</v>
      </c>
      <c r="CE635">
        <v>576</v>
      </c>
      <c r="CF635">
        <v>144</v>
      </c>
      <c r="CG635">
        <v>0</v>
      </c>
      <c r="CH635">
        <v>0</v>
      </c>
      <c r="CI635">
        <v>0</v>
      </c>
      <c r="CJ635">
        <v>0</v>
      </c>
      <c r="CK635">
        <v>0</v>
      </c>
      <c r="CL635">
        <v>0</v>
      </c>
      <c r="CM635">
        <v>0</v>
      </c>
    </row>
    <row r="636" spans="82:91" x14ac:dyDescent="0.25">
      <c r="CD636">
        <v>3360</v>
      </c>
      <c r="CE636">
        <v>576</v>
      </c>
      <c r="CF636">
        <v>144</v>
      </c>
      <c r="CG636">
        <v>0</v>
      </c>
      <c r="CH636">
        <v>0</v>
      </c>
      <c r="CI636">
        <v>0</v>
      </c>
      <c r="CJ636">
        <v>0</v>
      </c>
      <c r="CK636">
        <v>0</v>
      </c>
      <c r="CL636">
        <v>0</v>
      </c>
      <c r="CM636">
        <v>0</v>
      </c>
    </row>
    <row r="637" spans="82:91" x14ac:dyDescent="0.25">
      <c r="CD637">
        <v>3360</v>
      </c>
      <c r="CE637">
        <v>576</v>
      </c>
      <c r="CF637">
        <v>144</v>
      </c>
      <c r="CG637">
        <v>0</v>
      </c>
      <c r="CH637">
        <v>0</v>
      </c>
      <c r="CI637">
        <v>0</v>
      </c>
      <c r="CJ637">
        <v>0</v>
      </c>
      <c r="CK637">
        <v>0</v>
      </c>
      <c r="CL637">
        <v>0</v>
      </c>
      <c r="CM637">
        <v>0</v>
      </c>
    </row>
    <row r="638" spans="82:91" x14ac:dyDescent="0.25">
      <c r="CD638">
        <v>3360</v>
      </c>
      <c r="CE638">
        <v>576</v>
      </c>
      <c r="CF638">
        <v>144</v>
      </c>
      <c r="CG638">
        <v>0</v>
      </c>
      <c r="CH638">
        <v>0</v>
      </c>
      <c r="CI638">
        <v>0</v>
      </c>
      <c r="CJ638">
        <v>0</v>
      </c>
      <c r="CK638">
        <v>0</v>
      </c>
      <c r="CL638">
        <v>0</v>
      </c>
      <c r="CM638">
        <v>0</v>
      </c>
    </row>
    <row r="639" spans="82:91" x14ac:dyDescent="0.25">
      <c r="CD639">
        <v>3360</v>
      </c>
      <c r="CE639">
        <v>576</v>
      </c>
      <c r="CF639">
        <v>144</v>
      </c>
      <c r="CG639">
        <v>0</v>
      </c>
      <c r="CH639">
        <v>0</v>
      </c>
      <c r="CI639">
        <v>0</v>
      </c>
      <c r="CJ639">
        <v>0</v>
      </c>
      <c r="CK639">
        <v>0</v>
      </c>
      <c r="CL639">
        <v>0</v>
      </c>
      <c r="CM639">
        <v>0</v>
      </c>
    </row>
    <row r="640" spans="82:91" x14ac:dyDescent="0.25">
      <c r="CD640">
        <v>3360</v>
      </c>
      <c r="CE640">
        <v>576</v>
      </c>
      <c r="CF640">
        <v>144</v>
      </c>
      <c r="CG640">
        <v>0</v>
      </c>
      <c r="CH640">
        <v>0</v>
      </c>
      <c r="CI640">
        <v>0</v>
      </c>
      <c r="CJ640">
        <v>0</v>
      </c>
      <c r="CK640">
        <v>0</v>
      </c>
      <c r="CL640">
        <v>0</v>
      </c>
      <c r="CM640">
        <v>0</v>
      </c>
    </row>
    <row r="641" spans="82:91" x14ac:dyDescent="0.25">
      <c r="CD641">
        <v>3360</v>
      </c>
      <c r="CE641">
        <v>576</v>
      </c>
      <c r="CF641">
        <v>144</v>
      </c>
      <c r="CG641">
        <v>0</v>
      </c>
      <c r="CH641">
        <v>0</v>
      </c>
      <c r="CI641">
        <v>0</v>
      </c>
      <c r="CJ641">
        <v>0</v>
      </c>
      <c r="CK641">
        <v>0</v>
      </c>
      <c r="CL641">
        <v>0</v>
      </c>
      <c r="CM641">
        <v>0</v>
      </c>
    </row>
    <row r="642" spans="82:91" x14ac:dyDescent="0.25">
      <c r="CD642">
        <v>3360</v>
      </c>
      <c r="CE642">
        <v>576</v>
      </c>
      <c r="CF642">
        <v>144</v>
      </c>
      <c r="CG642">
        <v>0</v>
      </c>
      <c r="CH642">
        <v>0</v>
      </c>
      <c r="CI642">
        <v>0</v>
      </c>
      <c r="CJ642">
        <v>0</v>
      </c>
      <c r="CK642">
        <v>0</v>
      </c>
      <c r="CL642">
        <v>0</v>
      </c>
      <c r="CM642">
        <v>0</v>
      </c>
    </row>
    <row r="643" spans="82:91" x14ac:dyDescent="0.25">
      <c r="CD643">
        <v>3360</v>
      </c>
      <c r="CE643">
        <v>576</v>
      </c>
      <c r="CF643">
        <v>144</v>
      </c>
      <c r="CG643">
        <v>0</v>
      </c>
      <c r="CH643">
        <v>0</v>
      </c>
      <c r="CI643">
        <v>0</v>
      </c>
      <c r="CJ643">
        <v>0</v>
      </c>
      <c r="CK643">
        <v>0</v>
      </c>
      <c r="CL643">
        <v>0</v>
      </c>
      <c r="CM643">
        <v>0</v>
      </c>
    </row>
    <row r="644" spans="82:91" x14ac:dyDescent="0.25">
      <c r="CD644">
        <v>3360</v>
      </c>
      <c r="CE644">
        <v>576</v>
      </c>
      <c r="CF644">
        <v>96</v>
      </c>
      <c r="CG644">
        <v>0</v>
      </c>
      <c r="CH644">
        <v>0</v>
      </c>
      <c r="CI644">
        <v>0</v>
      </c>
      <c r="CJ644">
        <v>0</v>
      </c>
      <c r="CK644">
        <v>0</v>
      </c>
      <c r="CL644">
        <v>0</v>
      </c>
      <c r="CM644">
        <v>0</v>
      </c>
    </row>
    <row r="645" spans="82:91" x14ac:dyDescent="0.25">
      <c r="CD645">
        <v>3360</v>
      </c>
      <c r="CE645">
        <v>576</v>
      </c>
      <c r="CF645">
        <v>96</v>
      </c>
      <c r="CG645">
        <v>0</v>
      </c>
      <c r="CH645">
        <v>0</v>
      </c>
      <c r="CI645">
        <v>0</v>
      </c>
      <c r="CJ645">
        <v>0</v>
      </c>
      <c r="CK645">
        <v>0</v>
      </c>
      <c r="CL645">
        <v>0</v>
      </c>
      <c r="CM645">
        <v>0</v>
      </c>
    </row>
    <row r="646" spans="82:91" x14ac:dyDescent="0.25">
      <c r="CD646">
        <v>3360</v>
      </c>
      <c r="CE646">
        <v>576</v>
      </c>
      <c r="CF646">
        <v>96</v>
      </c>
      <c r="CG646">
        <v>0</v>
      </c>
      <c r="CH646">
        <v>0</v>
      </c>
      <c r="CI646">
        <v>0</v>
      </c>
      <c r="CJ646">
        <v>0</v>
      </c>
      <c r="CK646">
        <v>0</v>
      </c>
      <c r="CL646">
        <v>0</v>
      </c>
      <c r="CM646">
        <v>0</v>
      </c>
    </row>
    <row r="647" spans="82:91" x14ac:dyDescent="0.25">
      <c r="CD647">
        <v>3360</v>
      </c>
      <c r="CE647">
        <v>576</v>
      </c>
      <c r="CF647">
        <v>96</v>
      </c>
      <c r="CG647">
        <v>0</v>
      </c>
      <c r="CH647">
        <v>0</v>
      </c>
      <c r="CI647">
        <v>0</v>
      </c>
      <c r="CJ647">
        <v>0</v>
      </c>
      <c r="CK647">
        <v>0</v>
      </c>
      <c r="CL647">
        <v>0</v>
      </c>
      <c r="CM647">
        <v>0</v>
      </c>
    </row>
    <row r="648" spans="82:91" x14ac:dyDescent="0.25">
      <c r="CD648">
        <v>3360</v>
      </c>
      <c r="CE648">
        <v>576</v>
      </c>
      <c r="CF648">
        <v>96</v>
      </c>
      <c r="CG648">
        <v>0</v>
      </c>
      <c r="CH648">
        <v>0</v>
      </c>
      <c r="CI648">
        <v>0</v>
      </c>
      <c r="CJ648">
        <v>0</v>
      </c>
      <c r="CK648">
        <v>0</v>
      </c>
      <c r="CL648">
        <v>0</v>
      </c>
      <c r="CM648">
        <v>0</v>
      </c>
    </row>
    <row r="649" spans="82:91" x14ac:dyDescent="0.25">
      <c r="CD649">
        <v>3360</v>
      </c>
      <c r="CE649">
        <v>576</v>
      </c>
      <c r="CF649">
        <v>96</v>
      </c>
      <c r="CG649">
        <v>0</v>
      </c>
      <c r="CH649">
        <v>0</v>
      </c>
      <c r="CI649">
        <v>0</v>
      </c>
      <c r="CJ649">
        <v>0</v>
      </c>
      <c r="CK649">
        <v>0</v>
      </c>
      <c r="CL649">
        <v>0</v>
      </c>
      <c r="CM649">
        <v>0</v>
      </c>
    </row>
    <row r="650" spans="82:91" x14ac:dyDescent="0.25">
      <c r="CD650">
        <v>3360</v>
      </c>
      <c r="CE650">
        <v>576</v>
      </c>
      <c r="CF650">
        <v>96</v>
      </c>
      <c r="CG650">
        <v>0</v>
      </c>
      <c r="CH650">
        <v>0</v>
      </c>
      <c r="CI650">
        <v>0</v>
      </c>
      <c r="CJ650">
        <v>0</v>
      </c>
      <c r="CK650">
        <v>0</v>
      </c>
      <c r="CL650">
        <v>0</v>
      </c>
      <c r="CM650">
        <v>0</v>
      </c>
    </row>
    <row r="651" spans="82:91" x14ac:dyDescent="0.25">
      <c r="CD651">
        <v>3360</v>
      </c>
      <c r="CE651">
        <v>576</v>
      </c>
      <c r="CF651">
        <v>96</v>
      </c>
      <c r="CG651">
        <v>0</v>
      </c>
      <c r="CH651">
        <v>0</v>
      </c>
      <c r="CI651">
        <v>0</v>
      </c>
      <c r="CJ651">
        <v>0</v>
      </c>
      <c r="CK651">
        <v>0</v>
      </c>
      <c r="CL651">
        <v>0</v>
      </c>
      <c r="CM651">
        <v>0</v>
      </c>
    </row>
    <row r="652" spans="82:91" x14ac:dyDescent="0.25">
      <c r="CD652">
        <v>3360</v>
      </c>
      <c r="CE652">
        <v>576</v>
      </c>
      <c r="CF652">
        <v>96</v>
      </c>
      <c r="CG652">
        <v>0</v>
      </c>
      <c r="CH652">
        <v>0</v>
      </c>
      <c r="CI652">
        <v>0</v>
      </c>
      <c r="CJ652">
        <v>0</v>
      </c>
      <c r="CK652">
        <v>0</v>
      </c>
      <c r="CL652">
        <v>0</v>
      </c>
      <c r="CM652">
        <v>0</v>
      </c>
    </row>
    <row r="653" spans="82:91" x14ac:dyDescent="0.25">
      <c r="CD653">
        <v>3360</v>
      </c>
      <c r="CE653">
        <v>576</v>
      </c>
      <c r="CF653">
        <v>96</v>
      </c>
      <c r="CG653">
        <v>0</v>
      </c>
      <c r="CH653">
        <v>0</v>
      </c>
      <c r="CI653">
        <v>0</v>
      </c>
      <c r="CJ653">
        <v>0</v>
      </c>
      <c r="CK653">
        <v>0</v>
      </c>
      <c r="CL653">
        <v>0</v>
      </c>
      <c r="CM653">
        <v>0</v>
      </c>
    </row>
    <row r="654" spans="82:91" x14ac:dyDescent="0.25">
      <c r="CD654">
        <v>3360</v>
      </c>
      <c r="CE654">
        <v>576</v>
      </c>
      <c r="CF654">
        <v>96</v>
      </c>
      <c r="CG654">
        <v>0</v>
      </c>
      <c r="CH654">
        <v>0</v>
      </c>
      <c r="CI654">
        <v>0</v>
      </c>
      <c r="CJ654">
        <v>0</v>
      </c>
      <c r="CK654">
        <v>0</v>
      </c>
      <c r="CL654">
        <v>0</v>
      </c>
      <c r="CM654">
        <v>0</v>
      </c>
    </row>
    <row r="655" spans="82:91" x14ac:dyDescent="0.25">
      <c r="CD655">
        <v>3360</v>
      </c>
      <c r="CE655">
        <v>576</v>
      </c>
      <c r="CF655">
        <v>96</v>
      </c>
      <c r="CG655">
        <v>0</v>
      </c>
      <c r="CH655">
        <v>0</v>
      </c>
      <c r="CI655">
        <v>0</v>
      </c>
      <c r="CJ655">
        <v>0</v>
      </c>
      <c r="CK655">
        <v>0</v>
      </c>
      <c r="CL655">
        <v>0</v>
      </c>
      <c r="CM655">
        <v>0</v>
      </c>
    </row>
    <row r="656" spans="82:91" x14ac:dyDescent="0.25">
      <c r="CD656">
        <v>3360</v>
      </c>
      <c r="CE656">
        <v>576</v>
      </c>
      <c r="CF656">
        <v>96</v>
      </c>
      <c r="CG656">
        <v>0</v>
      </c>
      <c r="CH656">
        <v>0</v>
      </c>
      <c r="CI656">
        <v>0</v>
      </c>
      <c r="CJ656">
        <v>0</v>
      </c>
      <c r="CK656">
        <v>0</v>
      </c>
      <c r="CL656">
        <v>0</v>
      </c>
      <c r="CM656">
        <v>0</v>
      </c>
    </row>
    <row r="657" spans="82:91" x14ac:dyDescent="0.25">
      <c r="CD657">
        <v>3360</v>
      </c>
      <c r="CE657">
        <v>576</v>
      </c>
      <c r="CF657">
        <v>96</v>
      </c>
      <c r="CG657">
        <v>0</v>
      </c>
      <c r="CH657">
        <v>0</v>
      </c>
      <c r="CI657">
        <v>0</v>
      </c>
      <c r="CJ657">
        <v>0</v>
      </c>
      <c r="CK657">
        <v>0</v>
      </c>
      <c r="CL657">
        <v>0</v>
      </c>
      <c r="CM657">
        <v>0</v>
      </c>
    </row>
    <row r="658" spans="82:91" x14ac:dyDescent="0.25">
      <c r="CD658">
        <v>3360</v>
      </c>
      <c r="CE658">
        <v>576</v>
      </c>
      <c r="CF658">
        <v>96</v>
      </c>
      <c r="CG658">
        <v>0</v>
      </c>
      <c r="CH658">
        <v>0</v>
      </c>
      <c r="CI658">
        <v>0</v>
      </c>
      <c r="CJ658">
        <v>0</v>
      </c>
      <c r="CK658">
        <v>0</v>
      </c>
      <c r="CL658">
        <v>0</v>
      </c>
      <c r="CM658">
        <v>0</v>
      </c>
    </row>
    <row r="659" spans="82:91" x14ac:dyDescent="0.25">
      <c r="CD659">
        <v>3360</v>
      </c>
      <c r="CE659">
        <v>576</v>
      </c>
      <c r="CF659">
        <v>96</v>
      </c>
      <c r="CG659">
        <v>0</v>
      </c>
      <c r="CH659">
        <v>0</v>
      </c>
      <c r="CI659">
        <v>0</v>
      </c>
      <c r="CJ659">
        <v>0</v>
      </c>
      <c r="CK659">
        <v>0</v>
      </c>
      <c r="CL659">
        <v>0</v>
      </c>
      <c r="CM659">
        <v>0</v>
      </c>
    </row>
    <row r="660" spans="82:91" x14ac:dyDescent="0.25">
      <c r="CD660">
        <v>3360</v>
      </c>
      <c r="CE660">
        <v>576</v>
      </c>
      <c r="CF660">
        <v>96</v>
      </c>
      <c r="CG660">
        <v>0</v>
      </c>
      <c r="CH660">
        <v>0</v>
      </c>
      <c r="CI660">
        <v>0</v>
      </c>
      <c r="CJ660">
        <v>0</v>
      </c>
      <c r="CK660">
        <v>0</v>
      </c>
      <c r="CL660">
        <v>0</v>
      </c>
      <c r="CM660">
        <v>0</v>
      </c>
    </row>
    <row r="661" spans="82:91" x14ac:dyDescent="0.25">
      <c r="CD661">
        <v>3360</v>
      </c>
      <c r="CE661">
        <v>576</v>
      </c>
      <c r="CF661">
        <v>96</v>
      </c>
      <c r="CG661">
        <v>0</v>
      </c>
      <c r="CH661">
        <v>0</v>
      </c>
      <c r="CI661">
        <v>0</v>
      </c>
      <c r="CJ661">
        <v>0</v>
      </c>
      <c r="CK661">
        <v>0</v>
      </c>
      <c r="CL661">
        <v>0</v>
      </c>
      <c r="CM661">
        <v>0</v>
      </c>
    </row>
    <row r="662" spans="82:91" x14ac:dyDescent="0.25">
      <c r="CD662">
        <v>3360</v>
      </c>
      <c r="CE662">
        <v>576</v>
      </c>
      <c r="CF662">
        <v>96</v>
      </c>
      <c r="CG662">
        <v>0</v>
      </c>
      <c r="CH662">
        <v>0</v>
      </c>
      <c r="CI662">
        <v>0</v>
      </c>
      <c r="CJ662">
        <v>0</v>
      </c>
      <c r="CK662">
        <v>0</v>
      </c>
      <c r="CL662">
        <v>0</v>
      </c>
      <c r="CM662">
        <v>0</v>
      </c>
    </row>
    <row r="663" spans="82:91" x14ac:dyDescent="0.25">
      <c r="CD663">
        <v>3360</v>
      </c>
      <c r="CE663">
        <v>576</v>
      </c>
      <c r="CF663">
        <v>96</v>
      </c>
      <c r="CG663">
        <v>0</v>
      </c>
      <c r="CH663">
        <v>0</v>
      </c>
      <c r="CI663">
        <v>0</v>
      </c>
      <c r="CJ663">
        <v>0</v>
      </c>
      <c r="CK663">
        <v>0</v>
      </c>
      <c r="CL663">
        <v>0</v>
      </c>
      <c r="CM663">
        <v>0</v>
      </c>
    </row>
    <row r="664" spans="82:91" x14ac:dyDescent="0.25">
      <c r="CD664">
        <v>3360</v>
      </c>
      <c r="CE664">
        <v>576</v>
      </c>
      <c r="CF664">
        <v>96</v>
      </c>
      <c r="CG664">
        <v>0</v>
      </c>
      <c r="CH664">
        <v>0</v>
      </c>
      <c r="CI664">
        <v>0</v>
      </c>
      <c r="CJ664">
        <v>0</v>
      </c>
      <c r="CK664">
        <v>0</v>
      </c>
      <c r="CL664">
        <v>0</v>
      </c>
      <c r="CM664">
        <v>0</v>
      </c>
    </row>
    <row r="665" spans="82:91" x14ac:dyDescent="0.25">
      <c r="CD665">
        <v>3360</v>
      </c>
      <c r="CE665">
        <v>576</v>
      </c>
      <c r="CF665">
        <v>96</v>
      </c>
      <c r="CG665">
        <v>0</v>
      </c>
      <c r="CH665">
        <v>0</v>
      </c>
      <c r="CI665">
        <v>0</v>
      </c>
      <c r="CJ665">
        <v>0</v>
      </c>
      <c r="CK665">
        <v>0</v>
      </c>
      <c r="CL665">
        <v>0</v>
      </c>
      <c r="CM665">
        <v>0</v>
      </c>
    </row>
    <row r="666" spans="82:91" x14ac:dyDescent="0.25">
      <c r="CD666">
        <v>3360</v>
      </c>
      <c r="CE666">
        <v>576</v>
      </c>
      <c r="CF666">
        <v>96</v>
      </c>
      <c r="CG666">
        <v>0</v>
      </c>
      <c r="CH666">
        <v>0</v>
      </c>
      <c r="CI666">
        <v>0</v>
      </c>
      <c r="CJ666">
        <v>0</v>
      </c>
      <c r="CK666">
        <v>0</v>
      </c>
      <c r="CL666">
        <v>0</v>
      </c>
      <c r="CM666">
        <v>0</v>
      </c>
    </row>
    <row r="667" spans="82:91" x14ac:dyDescent="0.25">
      <c r="CD667">
        <v>3360</v>
      </c>
      <c r="CE667">
        <v>576</v>
      </c>
      <c r="CF667">
        <v>96</v>
      </c>
      <c r="CG667">
        <v>0</v>
      </c>
      <c r="CH667">
        <v>0</v>
      </c>
      <c r="CI667">
        <v>0</v>
      </c>
      <c r="CJ667">
        <v>0</v>
      </c>
      <c r="CK667">
        <v>0</v>
      </c>
      <c r="CL667">
        <v>0</v>
      </c>
      <c r="CM667">
        <v>0</v>
      </c>
    </row>
    <row r="668" spans="82:91" x14ac:dyDescent="0.25">
      <c r="CD668">
        <v>3360</v>
      </c>
      <c r="CE668">
        <v>576</v>
      </c>
      <c r="CF668">
        <v>96</v>
      </c>
      <c r="CG668">
        <v>0</v>
      </c>
      <c r="CH668">
        <v>0</v>
      </c>
      <c r="CI668">
        <v>0</v>
      </c>
      <c r="CJ668">
        <v>0</v>
      </c>
      <c r="CK668">
        <v>0</v>
      </c>
      <c r="CL668">
        <v>0</v>
      </c>
      <c r="CM668">
        <v>0</v>
      </c>
    </row>
    <row r="669" spans="82:91" x14ac:dyDescent="0.25">
      <c r="CD669">
        <v>3360</v>
      </c>
      <c r="CE669">
        <v>576</v>
      </c>
      <c r="CF669">
        <v>96</v>
      </c>
      <c r="CG669">
        <v>0</v>
      </c>
      <c r="CH669">
        <v>0</v>
      </c>
      <c r="CI669">
        <v>0</v>
      </c>
      <c r="CJ669">
        <v>0</v>
      </c>
      <c r="CK669">
        <v>0</v>
      </c>
      <c r="CL669">
        <v>0</v>
      </c>
      <c r="CM669">
        <v>0</v>
      </c>
    </row>
    <row r="670" spans="82:91" x14ac:dyDescent="0.25">
      <c r="CD670">
        <v>3360</v>
      </c>
      <c r="CE670">
        <v>576</v>
      </c>
      <c r="CF670">
        <v>96</v>
      </c>
      <c r="CG670">
        <v>0</v>
      </c>
      <c r="CH670">
        <v>0</v>
      </c>
      <c r="CI670">
        <v>0</v>
      </c>
      <c r="CJ670">
        <v>0</v>
      </c>
      <c r="CK670">
        <v>0</v>
      </c>
      <c r="CL670">
        <v>0</v>
      </c>
      <c r="CM670">
        <v>0</v>
      </c>
    </row>
    <row r="671" spans="82:91" x14ac:dyDescent="0.25">
      <c r="CD671">
        <v>3360</v>
      </c>
      <c r="CE671">
        <v>576</v>
      </c>
      <c r="CF671">
        <v>96</v>
      </c>
      <c r="CG671">
        <v>0</v>
      </c>
      <c r="CH671">
        <v>0</v>
      </c>
      <c r="CI671">
        <v>0</v>
      </c>
      <c r="CJ671">
        <v>0</v>
      </c>
      <c r="CK671">
        <v>0</v>
      </c>
      <c r="CL671">
        <v>0</v>
      </c>
      <c r="CM671">
        <v>0</v>
      </c>
    </row>
    <row r="672" spans="82:91" x14ac:dyDescent="0.25">
      <c r="CD672">
        <v>3360</v>
      </c>
      <c r="CE672">
        <v>576</v>
      </c>
      <c r="CF672">
        <v>96</v>
      </c>
      <c r="CG672">
        <v>0</v>
      </c>
      <c r="CH672">
        <v>0</v>
      </c>
      <c r="CI672">
        <v>0</v>
      </c>
      <c r="CJ672">
        <v>0</v>
      </c>
      <c r="CK672">
        <v>0</v>
      </c>
      <c r="CL672">
        <v>0</v>
      </c>
      <c r="CM672">
        <v>0</v>
      </c>
    </row>
    <row r="673" spans="82:91" x14ac:dyDescent="0.25">
      <c r="CD673">
        <v>3360</v>
      </c>
      <c r="CE673">
        <v>576</v>
      </c>
      <c r="CF673">
        <v>96</v>
      </c>
      <c r="CG673">
        <v>0</v>
      </c>
      <c r="CH673">
        <v>0</v>
      </c>
      <c r="CI673">
        <v>0</v>
      </c>
      <c r="CJ673">
        <v>0</v>
      </c>
      <c r="CK673">
        <v>0</v>
      </c>
      <c r="CL673">
        <v>0</v>
      </c>
      <c r="CM673">
        <v>0</v>
      </c>
    </row>
    <row r="674" spans="82:91" x14ac:dyDescent="0.25">
      <c r="CD674">
        <v>3360</v>
      </c>
      <c r="CE674">
        <v>576</v>
      </c>
      <c r="CF674">
        <v>96</v>
      </c>
      <c r="CG674">
        <v>0</v>
      </c>
      <c r="CH674">
        <v>0</v>
      </c>
      <c r="CI674">
        <v>0</v>
      </c>
      <c r="CJ674">
        <v>0</v>
      </c>
      <c r="CK674">
        <v>0</v>
      </c>
      <c r="CL674">
        <v>0</v>
      </c>
      <c r="CM674">
        <v>0</v>
      </c>
    </row>
    <row r="675" spans="82:91" x14ac:dyDescent="0.25">
      <c r="CD675">
        <v>3360</v>
      </c>
      <c r="CE675">
        <v>576</v>
      </c>
      <c r="CF675">
        <v>96</v>
      </c>
      <c r="CG675">
        <v>0</v>
      </c>
      <c r="CH675">
        <v>0</v>
      </c>
      <c r="CI675">
        <v>0</v>
      </c>
      <c r="CJ675">
        <v>0</v>
      </c>
      <c r="CK675">
        <v>0</v>
      </c>
      <c r="CL675">
        <v>0</v>
      </c>
      <c r="CM675">
        <v>0</v>
      </c>
    </row>
    <row r="676" spans="82:91" x14ac:dyDescent="0.25">
      <c r="CD676">
        <v>3360</v>
      </c>
      <c r="CE676">
        <v>576</v>
      </c>
      <c r="CF676">
        <v>96</v>
      </c>
      <c r="CG676">
        <v>0</v>
      </c>
      <c r="CH676">
        <v>0</v>
      </c>
      <c r="CI676">
        <v>0</v>
      </c>
      <c r="CJ676">
        <v>0</v>
      </c>
      <c r="CK676">
        <v>0</v>
      </c>
      <c r="CL676">
        <v>0</v>
      </c>
      <c r="CM676">
        <v>0</v>
      </c>
    </row>
    <row r="677" spans="82:91" x14ac:dyDescent="0.25">
      <c r="CD677">
        <v>3360</v>
      </c>
      <c r="CE677">
        <v>576</v>
      </c>
      <c r="CF677">
        <v>96</v>
      </c>
      <c r="CG677">
        <v>0</v>
      </c>
      <c r="CH677">
        <v>0</v>
      </c>
      <c r="CI677">
        <v>0</v>
      </c>
      <c r="CJ677">
        <v>0</v>
      </c>
      <c r="CK677">
        <v>0</v>
      </c>
      <c r="CL677">
        <v>0</v>
      </c>
      <c r="CM677">
        <v>0</v>
      </c>
    </row>
    <row r="678" spans="82:91" x14ac:dyDescent="0.25">
      <c r="CD678">
        <v>3360</v>
      </c>
      <c r="CE678">
        <v>576</v>
      </c>
      <c r="CF678">
        <v>96</v>
      </c>
      <c r="CG678">
        <v>0</v>
      </c>
      <c r="CH678">
        <v>0</v>
      </c>
      <c r="CI678">
        <v>0</v>
      </c>
      <c r="CJ678">
        <v>0</v>
      </c>
      <c r="CK678">
        <v>0</v>
      </c>
      <c r="CL678">
        <v>0</v>
      </c>
      <c r="CM678">
        <v>0</v>
      </c>
    </row>
    <row r="679" spans="82:91" x14ac:dyDescent="0.25">
      <c r="CD679">
        <v>3360</v>
      </c>
      <c r="CE679">
        <v>576</v>
      </c>
      <c r="CF679">
        <v>96</v>
      </c>
      <c r="CG679">
        <v>0</v>
      </c>
      <c r="CH679">
        <v>0</v>
      </c>
      <c r="CI679">
        <v>0</v>
      </c>
      <c r="CJ679">
        <v>0</v>
      </c>
      <c r="CK679">
        <v>0</v>
      </c>
      <c r="CL679">
        <v>0</v>
      </c>
      <c r="CM679">
        <v>0</v>
      </c>
    </row>
    <row r="680" spans="82:91" x14ac:dyDescent="0.25">
      <c r="CD680">
        <v>3360</v>
      </c>
      <c r="CE680">
        <v>576</v>
      </c>
      <c r="CF680">
        <v>96</v>
      </c>
      <c r="CG680">
        <v>0</v>
      </c>
      <c r="CH680">
        <v>0</v>
      </c>
      <c r="CI680">
        <v>0</v>
      </c>
      <c r="CJ680">
        <v>0</v>
      </c>
      <c r="CK680">
        <v>0</v>
      </c>
      <c r="CL680">
        <v>0</v>
      </c>
      <c r="CM680">
        <v>0</v>
      </c>
    </row>
    <row r="681" spans="82:91" x14ac:dyDescent="0.25">
      <c r="CD681">
        <v>3360</v>
      </c>
      <c r="CE681">
        <v>576</v>
      </c>
      <c r="CF681">
        <v>96</v>
      </c>
      <c r="CG681">
        <v>0</v>
      </c>
      <c r="CH681">
        <v>0</v>
      </c>
      <c r="CI681">
        <v>0</v>
      </c>
      <c r="CJ681">
        <v>0</v>
      </c>
      <c r="CK681">
        <v>0</v>
      </c>
      <c r="CL681">
        <v>0</v>
      </c>
      <c r="CM681">
        <v>0</v>
      </c>
    </row>
    <row r="682" spans="82:91" x14ac:dyDescent="0.25">
      <c r="CD682">
        <v>3360</v>
      </c>
      <c r="CE682">
        <v>576</v>
      </c>
      <c r="CF682">
        <v>96</v>
      </c>
      <c r="CG682">
        <v>0</v>
      </c>
      <c r="CH682">
        <v>0</v>
      </c>
      <c r="CI682">
        <v>0</v>
      </c>
      <c r="CJ682">
        <v>0</v>
      </c>
      <c r="CK682">
        <v>0</v>
      </c>
      <c r="CL682">
        <v>0</v>
      </c>
      <c r="CM682">
        <v>0</v>
      </c>
    </row>
    <row r="683" spans="82:91" x14ac:dyDescent="0.25">
      <c r="CD683">
        <v>3360</v>
      </c>
      <c r="CE683">
        <v>576</v>
      </c>
      <c r="CF683">
        <v>96</v>
      </c>
      <c r="CG683">
        <v>0</v>
      </c>
      <c r="CH683">
        <v>0</v>
      </c>
      <c r="CI683">
        <v>0</v>
      </c>
      <c r="CJ683">
        <v>0</v>
      </c>
      <c r="CK683">
        <v>0</v>
      </c>
      <c r="CL683">
        <v>0</v>
      </c>
      <c r="CM683">
        <v>0</v>
      </c>
    </row>
    <row r="684" spans="82:91" x14ac:dyDescent="0.25">
      <c r="CD684">
        <v>3360</v>
      </c>
      <c r="CE684">
        <v>576</v>
      </c>
      <c r="CF684">
        <v>96</v>
      </c>
      <c r="CG684">
        <v>0</v>
      </c>
      <c r="CH684">
        <v>0</v>
      </c>
      <c r="CI684">
        <v>0</v>
      </c>
      <c r="CJ684">
        <v>0</v>
      </c>
      <c r="CK684">
        <v>0</v>
      </c>
      <c r="CL684">
        <v>0</v>
      </c>
      <c r="CM684">
        <v>0</v>
      </c>
    </row>
    <row r="685" spans="82:91" x14ac:dyDescent="0.25">
      <c r="CD685">
        <v>3360</v>
      </c>
      <c r="CE685">
        <v>576</v>
      </c>
      <c r="CF685">
        <v>96</v>
      </c>
      <c r="CG685">
        <v>0</v>
      </c>
      <c r="CH685">
        <v>0</v>
      </c>
      <c r="CI685">
        <v>0</v>
      </c>
      <c r="CJ685">
        <v>0</v>
      </c>
      <c r="CK685">
        <v>0</v>
      </c>
      <c r="CL685">
        <v>0</v>
      </c>
      <c r="CM685">
        <v>0</v>
      </c>
    </row>
    <row r="686" spans="82:91" x14ac:dyDescent="0.25">
      <c r="CD686">
        <v>3360</v>
      </c>
      <c r="CE686">
        <v>576</v>
      </c>
      <c r="CF686">
        <v>96</v>
      </c>
      <c r="CG686">
        <v>0</v>
      </c>
      <c r="CH686">
        <v>0</v>
      </c>
      <c r="CI686">
        <v>0</v>
      </c>
      <c r="CJ686">
        <v>0</v>
      </c>
      <c r="CK686">
        <v>0</v>
      </c>
      <c r="CL686">
        <v>0</v>
      </c>
      <c r="CM686">
        <v>0</v>
      </c>
    </row>
    <row r="687" spans="82:91" x14ac:dyDescent="0.25">
      <c r="CD687">
        <v>3360</v>
      </c>
      <c r="CE687">
        <v>576</v>
      </c>
      <c r="CF687">
        <v>96</v>
      </c>
      <c r="CG687">
        <v>0</v>
      </c>
      <c r="CH687">
        <v>0</v>
      </c>
      <c r="CI687">
        <v>0</v>
      </c>
      <c r="CJ687">
        <v>0</v>
      </c>
      <c r="CK687">
        <v>0</v>
      </c>
      <c r="CL687">
        <v>0</v>
      </c>
      <c r="CM687">
        <v>0</v>
      </c>
    </row>
    <row r="688" spans="82:91" x14ac:dyDescent="0.25">
      <c r="CD688">
        <v>3360</v>
      </c>
      <c r="CE688">
        <v>576</v>
      </c>
      <c r="CF688">
        <v>96</v>
      </c>
      <c r="CG688">
        <v>0</v>
      </c>
      <c r="CH688">
        <v>0</v>
      </c>
      <c r="CI688">
        <v>0</v>
      </c>
      <c r="CJ688">
        <v>0</v>
      </c>
      <c r="CK688">
        <v>0</v>
      </c>
      <c r="CL688">
        <v>0</v>
      </c>
      <c r="CM688">
        <v>0</v>
      </c>
    </row>
    <row r="689" spans="82:91" x14ac:dyDescent="0.25">
      <c r="CD689">
        <v>3360</v>
      </c>
      <c r="CE689">
        <v>576</v>
      </c>
      <c r="CF689">
        <v>96</v>
      </c>
      <c r="CG689">
        <v>0</v>
      </c>
      <c r="CH689">
        <v>0</v>
      </c>
      <c r="CI689">
        <v>0</v>
      </c>
      <c r="CJ689">
        <v>0</v>
      </c>
      <c r="CK689">
        <v>0</v>
      </c>
      <c r="CL689">
        <v>0</v>
      </c>
      <c r="CM689">
        <v>0</v>
      </c>
    </row>
    <row r="690" spans="82:91" x14ac:dyDescent="0.25">
      <c r="CD690">
        <v>3360</v>
      </c>
      <c r="CE690">
        <v>576</v>
      </c>
      <c r="CF690">
        <v>96</v>
      </c>
      <c r="CG690">
        <v>0</v>
      </c>
      <c r="CH690">
        <v>0</v>
      </c>
      <c r="CI690">
        <v>0</v>
      </c>
      <c r="CJ690">
        <v>0</v>
      </c>
      <c r="CK690">
        <v>0</v>
      </c>
      <c r="CL690">
        <v>0</v>
      </c>
      <c r="CM690">
        <v>0</v>
      </c>
    </row>
    <row r="691" spans="82:91" x14ac:dyDescent="0.25">
      <c r="CD691">
        <v>3360</v>
      </c>
      <c r="CE691">
        <v>576</v>
      </c>
      <c r="CF691">
        <v>96</v>
      </c>
      <c r="CG691">
        <v>0</v>
      </c>
      <c r="CH691">
        <v>0</v>
      </c>
      <c r="CI691">
        <v>0</v>
      </c>
      <c r="CJ691">
        <v>0</v>
      </c>
      <c r="CK691">
        <v>0</v>
      </c>
      <c r="CL691">
        <v>0</v>
      </c>
      <c r="CM691">
        <v>0</v>
      </c>
    </row>
    <row r="692" spans="82:91" x14ac:dyDescent="0.25">
      <c r="CD692">
        <v>3360</v>
      </c>
      <c r="CE692">
        <v>576</v>
      </c>
      <c r="CF692">
        <v>96</v>
      </c>
      <c r="CG692">
        <v>0</v>
      </c>
      <c r="CH692">
        <v>0</v>
      </c>
      <c r="CI692">
        <v>0</v>
      </c>
      <c r="CJ692">
        <v>0</v>
      </c>
      <c r="CK692">
        <v>0</v>
      </c>
      <c r="CL692">
        <v>0</v>
      </c>
      <c r="CM692">
        <v>0</v>
      </c>
    </row>
    <row r="693" spans="82:91" x14ac:dyDescent="0.25">
      <c r="CD693">
        <v>3360</v>
      </c>
      <c r="CE693">
        <v>576</v>
      </c>
      <c r="CF693">
        <v>96</v>
      </c>
      <c r="CG693">
        <v>0</v>
      </c>
      <c r="CH693">
        <v>0</v>
      </c>
      <c r="CI693">
        <v>0</v>
      </c>
      <c r="CJ693">
        <v>0</v>
      </c>
      <c r="CK693">
        <v>0</v>
      </c>
      <c r="CL693">
        <v>0</v>
      </c>
      <c r="CM693">
        <v>0</v>
      </c>
    </row>
    <row r="694" spans="82:91" x14ac:dyDescent="0.25">
      <c r="CD694">
        <v>3360</v>
      </c>
      <c r="CE694">
        <v>576</v>
      </c>
      <c r="CF694">
        <v>96</v>
      </c>
      <c r="CG694">
        <v>0</v>
      </c>
      <c r="CH694">
        <v>0</v>
      </c>
      <c r="CI694">
        <v>0</v>
      </c>
      <c r="CJ694">
        <v>0</v>
      </c>
      <c r="CK694">
        <v>0</v>
      </c>
      <c r="CL694">
        <v>0</v>
      </c>
      <c r="CM694">
        <v>0</v>
      </c>
    </row>
    <row r="695" spans="82:91" x14ac:dyDescent="0.25">
      <c r="CD695">
        <v>3360</v>
      </c>
      <c r="CE695">
        <v>576</v>
      </c>
      <c r="CF695">
        <v>96</v>
      </c>
      <c r="CG695">
        <v>0</v>
      </c>
      <c r="CH695">
        <v>0</v>
      </c>
      <c r="CI695">
        <v>0</v>
      </c>
      <c r="CJ695">
        <v>0</v>
      </c>
      <c r="CK695">
        <v>0</v>
      </c>
      <c r="CL695">
        <v>0</v>
      </c>
      <c r="CM695">
        <v>0</v>
      </c>
    </row>
    <row r="696" spans="82:91" x14ac:dyDescent="0.25">
      <c r="CD696">
        <v>3360</v>
      </c>
      <c r="CE696">
        <v>576</v>
      </c>
      <c r="CF696">
        <v>96</v>
      </c>
      <c r="CG696">
        <v>0</v>
      </c>
      <c r="CH696">
        <v>0</v>
      </c>
      <c r="CI696">
        <v>0</v>
      </c>
      <c r="CJ696">
        <v>0</v>
      </c>
      <c r="CK696">
        <v>0</v>
      </c>
      <c r="CL696">
        <v>0</v>
      </c>
      <c r="CM696">
        <v>0</v>
      </c>
    </row>
    <row r="697" spans="82:91" x14ac:dyDescent="0.25">
      <c r="CD697">
        <v>3360</v>
      </c>
      <c r="CE697">
        <v>576</v>
      </c>
      <c r="CF697">
        <v>96</v>
      </c>
      <c r="CG697">
        <v>0</v>
      </c>
      <c r="CH697">
        <v>0</v>
      </c>
      <c r="CI697">
        <v>0</v>
      </c>
      <c r="CJ697">
        <v>0</v>
      </c>
      <c r="CK697">
        <v>0</v>
      </c>
      <c r="CL697">
        <v>0</v>
      </c>
      <c r="CM697">
        <v>0</v>
      </c>
    </row>
    <row r="698" spans="82:91" x14ac:dyDescent="0.25">
      <c r="CD698">
        <v>3360</v>
      </c>
      <c r="CE698">
        <v>576</v>
      </c>
      <c r="CF698">
        <v>96</v>
      </c>
      <c r="CG698">
        <v>0</v>
      </c>
      <c r="CH698">
        <v>0</v>
      </c>
      <c r="CI698">
        <v>0</v>
      </c>
      <c r="CJ698">
        <v>0</v>
      </c>
      <c r="CK698">
        <v>0</v>
      </c>
      <c r="CL698">
        <v>0</v>
      </c>
      <c r="CM698">
        <v>0</v>
      </c>
    </row>
    <row r="699" spans="82:91" x14ac:dyDescent="0.25">
      <c r="CD699">
        <v>3360</v>
      </c>
      <c r="CE699">
        <v>576</v>
      </c>
      <c r="CF699">
        <v>96</v>
      </c>
      <c r="CG699">
        <v>0</v>
      </c>
      <c r="CH699">
        <v>0</v>
      </c>
      <c r="CI699">
        <v>0</v>
      </c>
      <c r="CJ699">
        <v>0</v>
      </c>
      <c r="CK699">
        <v>0</v>
      </c>
      <c r="CL699">
        <v>0</v>
      </c>
      <c r="CM699">
        <v>0</v>
      </c>
    </row>
    <row r="700" spans="82:91" x14ac:dyDescent="0.25">
      <c r="CD700">
        <v>3360</v>
      </c>
      <c r="CE700">
        <v>576</v>
      </c>
      <c r="CF700">
        <v>96</v>
      </c>
      <c r="CG700">
        <v>0</v>
      </c>
      <c r="CH700">
        <v>0</v>
      </c>
      <c r="CI700">
        <v>0</v>
      </c>
      <c r="CJ700">
        <v>0</v>
      </c>
      <c r="CK700">
        <v>0</v>
      </c>
      <c r="CL700">
        <v>0</v>
      </c>
      <c r="CM700">
        <v>0</v>
      </c>
    </row>
    <row r="701" spans="82:91" x14ac:dyDescent="0.25">
      <c r="CD701">
        <v>3360</v>
      </c>
      <c r="CE701">
        <v>576</v>
      </c>
      <c r="CF701">
        <v>96</v>
      </c>
      <c r="CG701">
        <v>0</v>
      </c>
      <c r="CH701">
        <v>0</v>
      </c>
      <c r="CI701">
        <v>0</v>
      </c>
      <c r="CJ701">
        <v>0</v>
      </c>
      <c r="CK701">
        <v>0</v>
      </c>
      <c r="CL701">
        <v>0</v>
      </c>
      <c r="CM701">
        <v>0</v>
      </c>
    </row>
    <row r="702" spans="82:91" x14ac:dyDescent="0.25">
      <c r="CD702">
        <v>3360</v>
      </c>
      <c r="CE702">
        <v>576</v>
      </c>
      <c r="CF702">
        <v>96</v>
      </c>
      <c r="CG702">
        <v>0</v>
      </c>
      <c r="CH702">
        <v>0</v>
      </c>
      <c r="CI702">
        <v>0</v>
      </c>
      <c r="CJ702">
        <v>0</v>
      </c>
      <c r="CK702">
        <v>0</v>
      </c>
      <c r="CL702">
        <v>0</v>
      </c>
      <c r="CM702">
        <v>0</v>
      </c>
    </row>
    <row r="703" spans="82:91" x14ac:dyDescent="0.25">
      <c r="CD703">
        <v>3360</v>
      </c>
      <c r="CE703">
        <v>576</v>
      </c>
      <c r="CF703">
        <v>96</v>
      </c>
      <c r="CG703">
        <v>0</v>
      </c>
      <c r="CH703">
        <v>0</v>
      </c>
      <c r="CI703">
        <v>0</v>
      </c>
      <c r="CJ703">
        <v>0</v>
      </c>
      <c r="CK703">
        <v>0</v>
      </c>
      <c r="CL703">
        <v>0</v>
      </c>
      <c r="CM703">
        <v>0</v>
      </c>
    </row>
    <row r="704" spans="82:91" x14ac:dyDescent="0.25">
      <c r="CD704">
        <v>3360</v>
      </c>
      <c r="CE704">
        <v>576</v>
      </c>
      <c r="CF704">
        <v>96</v>
      </c>
      <c r="CG704">
        <v>0</v>
      </c>
      <c r="CH704">
        <v>0</v>
      </c>
      <c r="CI704">
        <v>0</v>
      </c>
      <c r="CJ704">
        <v>0</v>
      </c>
      <c r="CK704">
        <v>0</v>
      </c>
      <c r="CL704">
        <v>0</v>
      </c>
      <c r="CM704">
        <v>0</v>
      </c>
    </row>
    <row r="705" spans="82:91" x14ac:dyDescent="0.25">
      <c r="CD705">
        <v>3360</v>
      </c>
      <c r="CE705">
        <v>576</v>
      </c>
      <c r="CF705">
        <v>96</v>
      </c>
      <c r="CG705">
        <v>0</v>
      </c>
      <c r="CH705">
        <v>0</v>
      </c>
      <c r="CI705">
        <v>0</v>
      </c>
      <c r="CJ705">
        <v>0</v>
      </c>
      <c r="CK705">
        <v>0</v>
      </c>
      <c r="CL705">
        <v>0</v>
      </c>
      <c r="CM705">
        <v>0</v>
      </c>
    </row>
    <row r="706" spans="82:91" x14ac:dyDescent="0.25">
      <c r="CD706">
        <v>3360</v>
      </c>
      <c r="CE706">
        <v>576</v>
      </c>
      <c r="CF706">
        <v>96</v>
      </c>
      <c r="CG706">
        <v>0</v>
      </c>
      <c r="CH706">
        <v>0</v>
      </c>
      <c r="CI706">
        <v>0</v>
      </c>
      <c r="CJ706">
        <v>0</v>
      </c>
      <c r="CK706">
        <v>0</v>
      </c>
      <c r="CL706">
        <v>0</v>
      </c>
      <c r="CM706">
        <v>0</v>
      </c>
    </row>
    <row r="707" spans="82:91" x14ac:dyDescent="0.25">
      <c r="CD707">
        <v>3360</v>
      </c>
      <c r="CE707">
        <v>576</v>
      </c>
      <c r="CF707">
        <v>96</v>
      </c>
      <c r="CG707">
        <v>0</v>
      </c>
      <c r="CH707">
        <v>0</v>
      </c>
      <c r="CI707">
        <v>0</v>
      </c>
      <c r="CJ707">
        <v>0</v>
      </c>
      <c r="CK707">
        <v>0</v>
      </c>
      <c r="CL707">
        <v>0</v>
      </c>
      <c r="CM707">
        <v>0</v>
      </c>
    </row>
    <row r="708" spans="82:91" x14ac:dyDescent="0.25">
      <c r="CD708">
        <v>3360</v>
      </c>
      <c r="CE708">
        <v>576</v>
      </c>
      <c r="CF708">
        <v>96</v>
      </c>
      <c r="CG708">
        <v>0</v>
      </c>
      <c r="CH708">
        <v>0</v>
      </c>
      <c r="CI708">
        <v>0</v>
      </c>
      <c r="CJ708">
        <v>0</v>
      </c>
      <c r="CK708">
        <v>0</v>
      </c>
      <c r="CL708">
        <v>0</v>
      </c>
      <c r="CM708">
        <v>0</v>
      </c>
    </row>
    <row r="709" spans="82:91" x14ac:dyDescent="0.25">
      <c r="CD709">
        <v>3360</v>
      </c>
      <c r="CE709">
        <v>576</v>
      </c>
      <c r="CF709">
        <v>96</v>
      </c>
      <c r="CG709">
        <v>0</v>
      </c>
      <c r="CH709">
        <v>0</v>
      </c>
      <c r="CI709">
        <v>0</v>
      </c>
      <c r="CJ709">
        <v>0</v>
      </c>
      <c r="CK709">
        <v>0</v>
      </c>
      <c r="CL709">
        <v>0</v>
      </c>
      <c r="CM709">
        <v>0</v>
      </c>
    </row>
    <row r="710" spans="82:91" x14ac:dyDescent="0.25">
      <c r="CD710">
        <v>3360</v>
      </c>
      <c r="CE710">
        <v>576</v>
      </c>
      <c r="CF710">
        <v>96</v>
      </c>
      <c r="CG710">
        <v>0</v>
      </c>
      <c r="CH710">
        <v>0</v>
      </c>
      <c r="CI710">
        <v>0</v>
      </c>
      <c r="CJ710">
        <v>0</v>
      </c>
      <c r="CK710">
        <v>0</v>
      </c>
      <c r="CL710">
        <v>0</v>
      </c>
      <c r="CM710">
        <v>0</v>
      </c>
    </row>
    <row r="711" spans="82:91" x14ac:dyDescent="0.25">
      <c r="CD711">
        <v>3360</v>
      </c>
      <c r="CE711">
        <v>576</v>
      </c>
      <c r="CF711">
        <v>96</v>
      </c>
      <c r="CG711">
        <v>0</v>
      </c>
      <c r="CH711">
        <v>0</v>
      </c>
      <c r="CI711">
        <v>0</v>
      </c>
      <c r="CJ711">
        <v>0</v>
      </c>
      <c r="CK711">
        <v>0</v>
      </c>
      <c r="CL711">
        <v>0</v>
      </c>
      <c r="CM711">
        <v>0</v>
      </c>
    </row>
    <row r="712" spans="82:91" x14ac:dyDescent="0.25">
      <c r="CD712">
        <v>3360</v>
      </c>
      <c r="CE712">
        <v>576</v>
      </c>
      <c r="CF712">
        <v>96</v>
      </c>
      <c r="CG712">
        <v>0</v>
      </c>
      <c r="CH712">
        <v>0</v>
      </c>
      <c r="CI712">
        <v>0</v>
      </c>
      <c r="CJ712">
        <v>0</v>
      </c>
      <c r="CK712">
        <v>0</v>
      </c>
      <c r="CL712">
        <v>0</v>
      </c>
      <c r="CM712">
        <v>0</v>
      </c>
    </row>
    <row r="713" spans="82:91" x14ac:dyDescent="0.25">
      <c r="CD713">
        <v>3360</v>
      </c>
      <c r="CE713">
        <v>576</v>
      </c>
      <c r="CF713">
        <v>96</v>
      </c>
      <c r="CG713">
        <v>0</v>
      </c>
      <c r="CH713">
        <v>0</v>
      </c>
      <c r="CI713">
        <v>0</v>
      </c>
      <c r="CJ713">
        <v>0</v>
      </c>
      <c r="CK713">
        <v>0</v>
      </c>
      <c r="CL713">
        <v>0</v>
      </c>
      <c r="CM713">
        <v>0</v>
      </c>
    </row>
    <row r="714" spans="82:91" x14ac:dyDescent="0.25">
      <c r="CD714">
        <v>3360</v>
      </c>
      <c r="CE714">
        <v>576</v>
      </c>
      <c r="CF714">
        <v>96</v>
      </c>
      <c r="CG714">
        <v>0</v>
      </c>
      <c r="CH714">
        <v>0</v>
      </c>
      <c r="CI714">
        <v>0</v>
      </c>
      <c r="CJ714">
        <v>0</v>
      </c>
      <c r="CK714">
        <v>0</v>
      </c>
      <c r="CL714">
        <v>0</v>
      </c>
      <c r="CM714">
        <v>0</v>
      </c>
    </row>
    <row r="715" spans="82:91" x14ac:dyDescent="0.25">
      <c r="CD715">
        <v>3360</v>
      </c>
      <c r="CE715">
        <v>576</v>
      </c>
      <c r="CF715">
        <v>96</v>
      </c>
      <c r="CG715">
        <v>0</v>
      </c>
      <c r="CH715">
        <v>0</v>
      </c>
      <c r="CI715">
        <v>0</v>
      </c>
      <c r="CJ715">
        <v>0</v>
      </c>
      <c r="CK715">
        <v>0</v>
      </c>
      <c r="CL715">
        <v>0</v>
      </c>
      <c r="CM715">
        <v>0</v>
      </c>
    </row>
    <row r="716" spans="82:91" x14ac:dyDescent="0.25">
      <c r="CD716">
        <v>3360</v>
      </c>
      <c r="CE716">
        <v>576</v>
      </c>
      <c r="CF716">
        <v>96</v>
      </c>
      <c r="CG716">
        <v>0</v>
      </c>
      <c r="CH716">
        <v>0</v>
      </c>
      <c r="CI716">
        <v>0</v>
      </c>
      <c r="CJ716">
        <v>0</v>
      </c>
      <c r="CK716">
        <v>0</v>
      </c>
      <c r="CL716">
        <v>0</v>
      </c>
      <c r="CM716">
        <v>0</v>
      </c>
    </row>
    <row r="717" spans="82:91" x14ac:dyDescent="0.25">
      <c r="CD717">
        <v>3360</v>
      </c>
      <c r="CE717">
        <v>576</v>
      </c>
      <c r="CF717">
        <v>96</v>
      </c>
      <c r="CG717">
        <v>0</v>
      </c>
      <c r="CH717">
        <v>0</v>
      </c>
      <c r="CI717">
        <v>0</v>
      </c>
      <c r="CJ717">
        <v>0</v>
      </c>
      <c r="CK717">
        <v>0</v>
      </c>
      <c r="CL717">
        <v>0</v>
      </c>
      <c r="CM717">
        <v>0</v>
      </c>
    </row>
    <row r="718" spans="82:91" x14ac:dyDescent="0.25">
      <c r="CD718">
        <v>3360</v>
      </c>
      <c r="CE718">
        <v>576</v>
      </c>
      <c r="CF718">
        <v>96</v>
      </c>
      <c r="CG718">
        <v>0</v>
      </c>
      <c r="CH718">
        <v>0</v>
      </c>
      <c r="CI718">
        <v>0</v>
      </c>
      <c r="CJ718">
        <v>0</v>
      </c>
      <c r="CK718">
        <v>0</v>
      </c>
      <c r="CL718">
        <v>0</v>
      </c>
      <c r="CM718">
        <v>0</v>
      </c>
    </row>
    <row r="719" spans="82:91" x14ac:dyDescent="0.25">
      <c r="CD719">
        <v>3360</v>
      </c>
      <c r="CE719">
        <v>576</v>
      </c>
      <c r="CF719">
        <v>96</v>
      </c>
      <c r="CG719">
        <v>0</v>
      </c>
      <c r="CH719">
        <v>0</v>
      </c>
      <c r="CI719">
        <v>0</v>
      </c>
      <c r="CJ719">
        <v>0</v>
      </c>
      <c r="CK719">
        <v>0</v>
      </c>
      <c r="CL719">
        <v>0</v>
      </c>
      <c r="CM719">
        <v>0</v>
      </c>
    </row>
    <row r="720" spans="82:91" x14ac:dyDescent="0.25">
      <c r="CD720">
        <v>3360</v>
      </c>
      <c r="CE720">
        <v>576</v>
      </c>
      <c r="CF720">
        <v>96</v>
      </c>
      <c r="CG720">
        <v>0</v>
      </c>
      <c r="CH720">
        <v>0</v>
      </c>
      <c r="CI720">
        <v>0</v>
      </c>
      <c r="CJ720">
        <v>0</v>
      </c>
      <c r="CK720">
        <v>0</v>
      </c>
      <c r="CL720">
        <v>0</v>
      </c>
      <c r="CM720">
        <v>0</v>
      </c>
    </row>
    <row r="721" spans="82:91" x14ac:dyDescent="0.25">
      <c r="CD721">
        <v>3360</v>
      </c>
      <c r="CE721">
        <v>576</v>
      </c>
      <c r="CF721">
        <v>96</v>
      </c>
      <c r="CG721">
        <v>0</v>
      </c>
      <c r="CH721">
        <v>0</v>
      </c>
      <c r="CI721">
        <v>0</v>
      </c>
      <c r="CJ721">
        <v>0</v>
      </c>
      <c r="CK721">
        <v>0</v>
      </c>
      <c r="CL721">
        <v>0</v>
      </c>
      <c r="CM721">
        <v>0</v>
      </c>
    </row>
    <row r="722" spans="82:91" x14ac:dyDescent="0.25">
      <c r="CD722">
        <v>3360</v>
      </c>
      <c r="CE722">
        <v>576</v>
      </c>
      <c r="CF722">
        <v>96</v>
      </c>
      <c r="CG722">
        <v>0</v>
      </c>
      <c r="CH722">
        <v>0</v>
      </c>
      <c r="CI722">
        <v>0</v>
      </c>
      <c r="CJ722">
        <v>0</v>
      </c>
      <c r="CK722">
        <v>0</v>
      </c>
      <c r="CL722">
        <v>0</v>
      </c>
      <c r="CM722">
        <v>0</v>
      </c>
    </row>
    <row r="723" spans="82:91" x14ac:dyDescent="0.25">
      <c r="CD723">
        <v>3360</v>
      </c>
      <c r="CE723">
        <v>576</v>
      </c>
      <c r="CF723">
        <v>96</v>
      </c>
      <c r="CG723">
        <v>0</v>
      </c>
      <c r="CH723">
        <v>0</v>
      </c>
      <c r="CI723">
        <v>0</v>
      </c>
      <c r="CJ723">
        <v>0</v>
      </c>
      <c r="CK723">
        <v>0</v>
      </c>
      <c r="CL723">
        <v>0</v>
      </c>
      <c r="CM723">
        <v>0</v>
      </c>
    </row>
    <row r="724" spans="82:91" x14ac:dyDescent="0.25">
      <c r="CD724">
        <v>3360</v>
      </c>
      <c r="CE724">
        <v>576</v>
      </c>
      <c r="CF724">
        <v>96</v>
      </c>
      <c r="CG724">
        <v>0</v>
      </c>
      <c r="CH724">
        <v>0</v>
      </c>
      <c r="CI724">
        <v>0</v>
      </c>
      <c r="CJ724">
        <v>0</v>
      </c>
      <c r="CK724">
        <v>0</v>
      </c>
      <c r="CL724">
        <v>0</v>
      </c>
      <c r="CM724">
        <v>0</v>
      </c>
    </row>
    <row r="725" spans="82:91" x14ac:dyDescent="0.25">
      <c r="CD725">
        <v>3360</v>
      </c>
      <c r="CE725">
        <v>576</v>
      </c>
      <c r="CF725">
        <v>96</v>
      </c>
      <c r="CG725">
        <v>0</v>
      </c>
      <c r="CH725">
        <v>0</v>
      </c>
      <c r="CI725">
        <v>0</v>
      </c>
      <c r="CJ725">
        <v>0</v>
      </c>
      <c r="CK725">
        <v>0</v>
      </c>
      <c r="CL725">
        <v>0</v>
      </c>
      <c r="CM725">
        <v>0</v>
      </c>
    </row>
    <row r="726" spans="82:91" x14ac:dyDescent="0.25">
      <c r="CD726">
        <v>3360</v>
      </c>
      <c r="CE726">
        <v>576</v>
      </c>
      <c r="CF726">
        <v>96</v>
      </c>
      <c r="CG726">
        <v>0</v>
      </c>
      <c r="CH726">
        <v>0</v>
      </c>
      <c r="CI726">
        <v>0</v>
      </c>
      <c r="CJ726">
        <v>0</v>
      </c>
      <c r="CK726">
        <v>0</v>
      </c>
      <c r="CL726">
        <v>0</v>
      </c>
      <c r="CM726">
        <v>0</v>
      </c>
    </row>
    <row r="727" spans="82:91" x14ac:dyDescent="0.25">
      <c r="CD727">
        <v>3360</v>
      </c>
      <c r="CE727">
        <v>576</v>
      </c>
      <c r="CF727">
        <v>96</v>
      </c>
      <c r="CG727">
        <v>0</v>
      </c>
      <c r="CH727">
        <v>0</v>
      </c>
      <c r="CI727">
        <v>0</v>
      </c>
      <c r="CJ727">
        <v>0</v>
      </c>
      <c r="CK727">
        <v>0</v>
      </c>
      <c r="CL727">
        <v>0</v>
      </c>
      <c r="CM727">
        <v>0</v>
      </c>
    </row>
    <row r="728" spans="82:91" x14ac:dyDescent="0.25">
      <c r="CD728">
        <v>3360</v>
      </c>
      <c r="CE728">
        <v>576</v>
      </c>
      <c r="CF728">
        <v>96</v>
      </c>
      <c r="CG728">
        <v>0</v>
      </c>
      <c r="CH728">
        <v>0</v>
      </c>
      <c r="CI728">
        <v>0</v>
      </c>
      <c r="CJ728">
        <v>0</v>
      </c>
      <c r="CK728">
        <v>0</v>
      </c>
      <c r="CL728">
        <v>0</v>
      </c>
      <c r="CM728">
        <v>0</v>
      </c>
    </row>
    <row r="729" spans="82:91" x14ac:dyDescent="0.25">
      <c r="CD729">
        <v>3360</v>
      </c>
      <c r="CE729">
        <v>576</v>
      </c>
      <c r="CF729">
        <v>96</v>
      </c>
      <c r="CG729">
        <v>0</v>
      </c>
      <c r="CH729">
        <v>0</v>
      </c>
      <c r="CI729">
        <v>0</v>
      </c>
      <c r="CJ729">
        <v>0</v>
      </c>
      <c r="CK729">
        <v>0</v>
      </c>
      <c r="CL729">
        <v>0</v>
      </c>
      <c r="CM729">
        <v>0</v>
      </c>
    </row>
    <row r="730" spans="82:91" x14ac:dyDescent="0.25">
      <c r="CD730">
        <v>3360</v>
      </c>
      <c r="CE730">
        <v>576</v>
      </c>
      <c r="CF730">
        <v>96</v>
      </c>
      <c r="CG730">
        <v>0</v>
      </c>
      <c r="CH730">
        <v>0</v>
      </c>
      <c r="CI730">
        <v>0</v>
      </c>
      <c r="CJ730">
        <v>0</v>
      </c>
      <c r="CK730">
        <v>0</v>
      </c>
      <c r="CL730">
        <v>0</v>
      </c>
      <c r="CM730">
        <v>0</v>
      </c>
    </row>
    <row r="731" spans="82:91" x14ac:dyDescent="0.25">
      <c r="CD731">
        <v>3360</v>
      </c>
      <c r="CE731">
        <v>576</v>
      </c>
      <c r="CF731">
        <v>96</v>
      </c>
      <c r="CG731">
        <v>0</v>
      </c>
      <c r="CH731">
        <v>0</v>
      </c>
      <c r="CI731">
        <v>0</v>
      </c>
      <c r="CJ731">
        <v>0</v>
      </c>
      <c r="CK731">
        <v>0</v>
      </c>
      <c r="CL731">
        <v>0</v>
      </c>
      <c r="CM731">
        <v>0</v>
      </c>
    </row>
    <row r="732" spans="82:91" x14ac:dyDescent="0.25">
      <c r="CD732">
        <v>3360</v>
      </c>
      <c r="CE732">
        <v>576</v>
      </c>
      <c r="CF732">
        <v>96</v>
      </c>
      <c r="CG732">
        <v>0</v>
      </c>
      <c r="CH732">
        <v>0</v>
      </c>
      <c r="CI732">
        <v>0</v>
      </c>
      <c r="CJ732">
        <v>0</v>
      </c>
      <c r="CK732">
        <v>0</v>
      </c>
      <c r="CL732">
        <v>0</v>
      </c>
      <c r="CM732">
        <v>0</v>
      </c>
    </row>
    <row r="733" spans="82:91" x14ac:dyDescent="0.25">
      <c r="CD733">
        <v>3360</v>
      </c>
      <c r="CE733">
        <v>576</v>
      </c>
      <c r="CF733">
        <v>96</v>
      </c>
      <c r="CG733">
        <v>0</v>
      </c>
      <c r="CH733">
        <v>0</v>
      </c>
      <c r="CI733">
        <v>0</v>
      </c>
      <c r="CJ733">
        <v>0</v>
      </c>
      <c r="CK733">
        <v>0</v>
      </c>
      <c r="CL733">
        <v>0</v>
      </c>
      <c r="CM733">
        <v>0</v>
      </c>
    </row>
    <row r="734" spans="82:91" x14ac:dyDescent="0.25">
      <c r="CD734">
        <v>3360</v>
      </c>
      <c r="CE734">
        <v>576</v>
      </c>
      <c r="CF734">
        <v>96</v>
      </c>
      <c r="CG734">
        <v>0</v>
      </c>
      <c r="CH734">
        <v>0</v>
      </c>
      <c r="CI734">
        <v>0</v>
      </c>
      <c r="CJ734">
        <v>0</v>
      </c>
      <c r="CK734">
        <v>0</v>
      </c>
      <c r="CL734">
        <v>0</v>
      </c>
      <c r="CM734">
        <v>0</v>
      </c>
    </row>
    <row r="735" spans="82:91" x14ac:dyDescent="0.25">
      <c r="CD735">
        <v>3360</v>
      </c>
      <c r="CE735">
        <v>576</v>
      </c>
      <c r="CF735">
        <v>96</v>
      </c>
      <c r="CG735">
        <v>0</v>
      </c>
      <c r="CH735">
        <v>0</v>
      </c>
      <c r="CI735">
        <v>0</v>
      </c>
      <c r="CJ735">
        <v>0</v>
      </c>
      <c r="CK735">
        <v>0</v>
      </c>
      <c r="CL735">
        <v>0</v>
      </c>
      <c r="CM735">
        <v>0</v>
      </c>
    </row>
    <row r="736" spans="82:91" x14ac:dyDescent="0.25">
      <c r="CD736">
        <v>3360</v>
      </c>
      <c r="CE736">
        <v>576</v>
      </c>
      <c r="CF736">
        <v>96</v>
      </c>
      <c r="CG736">
        <v>0</v>
      </c>
      <c r="CH736">
        <v>0</v>
      </c>
      <c r="CI736">
        <v>0</v>
      </c>
      <c r="CJ736">
        <v>0</v>
      </c>
      <c r="CK736">
        <v>0</v>
      </c>
      <c r="CL736">
        <v>0</v>
      </c>
      <c r="CM736">
        <v>0</v>
      </c>
    </row>
    <row r="737" spans="82:91" x14ac:dyDescent="0.25">
      <c r="CD737">
        <v>3360</v>
      </c>
      <c r="CE737">
        <v>576</v>
      </c>
      <c r="CF737">
        <v>96</v>
      </c>
      <c r="CG737">
        <v>0</v>
      </c>
      <c r="CH737">
        <v>0</v>
      </c>
      <c r="CI737">
        <v>0</v>
      </c>
      <c r="CJ737">
        <v>0</v>
      </c>
      <c r="CK737">
        <v>0</v>
      </c>
      <c r="CL737">
        <v>0</v>
      </c>
      <c r="CM737">
        <v>0</v>
      </c>
    </row>
    <row r="738" spans="82:91" x14ac:dyDescent="0.25">
      <c r="CD738">
        <v>3360</v>
      </c>
      <c r="CE738">
        <v>576</v>
      </c>
      <c r="CF738">
        <v>96</v>
      </c>
      <c r="CG738">
        <v>0</v>
      </c>
      <c r="CH738">
        <v>0</v>
      </c>
      <c r="CI738">
        <v>0</v>
      </c>
      <c r="CJ738">
        <v>0</v>
      </c>
      <c r="CK738">
        <v>0</v>
      </c>
      <c r="CL738">
        <v>0</v>
      </c>
      <c r="CM738">
        <v>0</v>
      </c>
    </row>
    <row r="739" spans="82:91" x14ac:dyDescent="0.25">
      <c r="CD739">
        <v>3360</v>
      </c>
      <c r="CE739">
        <v>576</v>
      </c>
      <c r="CF739">
        <v>96</v>
      </c>
      <c r="CG739">
        <v>0</v>
      </c>
      <c r="CH739">
        <v>0</v>
      </c>
      <c r="CI739">
        <v>0</v>
      </c>
      <c r="CJ739">
        <v>0</v>
      </c>
      <c r="CK739">
        <v>0</v>
      </c>
      <c r="CL739">
        <v>0</v>
      </c>
      <c r="CM739">
        <v>0</v>
      </c>
    </row>
    <row r="740" spans="82:91" x14ac:dyDescent="0.25">
      <c r="CD740">
        <v>3360</v>
      </c>
      <c r="CE740">
        <v>576</v>
      </c>
      <c r="CF740">
        <v>96</v>
      </c>
      <c r="CG740">
        <v>0</v>
      </c>
      <c r="CH740">
        <v>0</v>
      </c>
      <c r="CI740">
        <v>0</v>
      </c>
      <c r="CJ740">
        <v>0</v>
      </c>
      <c r="CK740">
        <v>0</v>
      </c>
      <c r="CL740">
        <v>0</v>
      </c>
      <c r="CM740">
        <v>0</v>
      </c>
    </row>
    <row r="741" spans="82:91" x14ac:dyDescent="0.25">
      <c r="CD741">
        <v>3360</v>
      </c>
      <c r="CE741">
        <v>576</v>
      </c>
      <c r="CF741">
        <v>96</v>
      </c>
      <c r="CG741">
        <v>0</v>
      </c>
      <c r="CH741">
        <v>0</v>
      </c>
      <c r="CI741">
        <v>0</v>
      </c>
      <c r="CJ741">
        <v>0</v>
      </c>
      <c r="CK741">
        <v>0</v>
      </c>
      <c r="CL741">
        <v>0</v>
      </c>
      <c r="CM741">
        <v>0</v>
      </c>
    </row>
    <row r="742" spans="82:91" x14ac:dyDescent="0.25">
      <c r="CD742">
        <v>3360</v>
      </c>
      <c r="CE742">
        <v>576</v>
      </c>
      <c r="CF742">
        <v>96</v>
      </c>
      <c r="CG742">
        <v>0</v>
      </c>
      <c r="CH742">
        <v>0</v>
      </c>
      <c r="CI742">
        <v>0</v>
      </c>
      <c r="CJ742">
        <v>0</v>
      </c>
      <c r="CK742">
        <v>0</v>
      </c>
      <c r="CL742">
        <v>0</v>
      </c>
      <c r="CM742">
        <v>0</v>
      </c>
    </row>
    <row r="743" spans="82:91" x14ac:dyDescent="0.25">
      <c r="CD743">
        <v>3360</v>
      </c>
      <c r="CE743">
        <v>576</v>
      </c>
      <c r="CF743">
        <v>96</v>
      </c>
      <c r="CG743">
        <v>0</v>
      </c>
      <c r="CH743">
        <v>0</v>
      </c>
      <c r="CI743">
        <v>0</v>
      </c>
      <c r="CJ743">
        <v>0</v>
      </c>
      <c r="CK743">
        <v>0</v>
      </c>
      <c r="CL743">
        <v>0</v>
      </c>
      <c r="CM743">
        <v>0</v>
      </c>
    </row>
    <row r="744" spans="82:91" x14ac:dyDescent="0.25">
      <c r="CD744">
        <v>3360</v>
      </c>
      <c r="CE744">
        <v>576</v>
      </c>
      <c r="CF744">
        <v>96</v>
      </c>
      <c r="CG744">
        <v>0</v>
      </c>
      <c r="CH744">
        <v>0</v>
      </c>
      <c r="CI744">
        <v>0</v>
      </c>
      <c r="CJ744">
        <v>0</v>
      </c>
      <c r="CK744">
        <v>0</v>
      </c>
      <c r="CL744">
        <v>0</v>
      </c>
      <c r="CM744">
        <v>0</v>
      </c>
    </row>
    <row r="745" spans="82:91" x14ac:dyDescent="0.25">
      <c r="CD745">
        <v>3360</v>
      </c>
      <c r="CE745">
        <v>576</v>
      </c>
      <c r="CF745">
        <v>96</v>
      </c>
      <c r="CG745">
        <v>0</v>
      </c>
      <c r="CH745">
        <v>0</v>
      </c>
      <c r="CI745">
        <v>0</v>
      </c>
      <c r="CJ745">
        <v>0</v>
      </c>
      <c r="CK745">
        <v>0</v>
      </c>
      <c r="CL745">
        <v>0</v>
      </c>
      <c r="CM745">
        <v>0</v>
      </c>
    </row>
    <row r="746" spans="82:91" x14ac:dyDescent="0.25">
      <c r="CD746">
        <v>3360</v>
      </c>
      <c r="CE746">
        <v>576</v>
      </c>
      <c r="CF746">
        <v>96</v>
      </c>
      <c r="CG746">
        <v>0</v>
      </c>
      <c r="CH746">
        <v>0</v>
      </c>
      <c r="CI746">
        <v>0</v>
      </c>
      <c r="CJ746">
        <v>0</v>
      </c>
      <c r="CK746">
        <v>0</v>
      </c>
      <c r="CL746">
        <v>0</v>
      </c>
      <c r="CM746">
        <v>0</v>
      </c>
    </row>
    <row r="747" spans="82:91" x14ac:dyDescent="0.25">
      <c r="CD747">
        <v>3360</v>
      </c>
      <c r="CE747">
        <v>576</v>
      </c>
      <c r="CF747">
        <v>96</v>
      </c>
      <c r="CG747">
        <v>0</v>
      </c>
      <c r="CH747">
        <v>0</v>
      </c>
      <c r="CI747">
        <v>0</v>
      </c>
      <c r="CJ747">
        <v>0</v>
      </c>
      <c r="CK747">
        <v>0</v>
      </c>
      <c r="CL747">
        <v>0</v>
      </c>
      <c r="CM747">
        <v>0</v>
      </c>
    </row>
    <row r="748" spans="82:91" x14ac:dyDescent="0.25">
      <c r="CD748">
        <v>3360</v>
      </c>
      <c r="CE748">
        <v>576</v>
      </c>
      <c r="CF748">
        <v>96</v>
      </c>
      <c r="CG748">
        <v>0</v>
      </c>
      <c r="CH748">
        <v>0</v>
      </c>
      <c r="CI748">
        <v>0</v>
      </c>
      <c r="CJ748">
        <v>0</v>
      </c>
      <c r="CK748">
        <v>0</v>
      </c>
      <c r="CL748">
        <v>0</v>
      </c>
      <c r="CM748">
        <v>0</v>
      </c>
    </row>
    <row r="749" spans="82:91" x14ac:dyDescent="0.25">
      <c r="CD749">
        <v>3360</v>
      </c>
      <c r="CE749">
        <v>576</v>
      </c>
      <c r="CF749">
        <v>96</v>
      </c>
      <c r="CG749">
        <v>0</v>
      </c>
      <c r="CH749">
        <v>0</v>
      </c>
      <c r="CI749">
        <v>0</v>
      </c>
      <c r="CJ749">
        <v>0</v>
      </c>
      <c r="CK749">
        <v>0</v>
      </c>
      <c r="CL749">
        <v>0</v>
      </c>
      <c r="CM749">
        <v>0</v>
      </c>
    </row>
    <row r="750" spans="82:91" x14ac:dyDescent="0.25">
      <c r="CD750">
        <v>3360</v>
      </c>
      <c r="CE750">
        <v>576</v>
      </c>
      <c r="CF750">
        <v>96</v>
      </c>
      <c r="CG750">
        <v>0</v>
      </c>
      <c r="CH750">
        <v>0</v>
      </c>
      <c r="CI750">
        <v>0</v>
      </c>
      <c r="CJ750">
        <v>0</v>
      </c>
      <c r="CK750">
        <v>0</v>
      </c>
      <c r="CL750">
        <v>0</v>
      </c>
      <c r="CM750">
        <v>0</v>
      </c>
    </row>
    <row r="751" spans="82:91" x14ac:dyDescent="0.25">
      <c r="CD751">
        <v>3360</v>
      </c>
      <c r="CE751">
        <v>576</v>
      </c>
      <c r="CF751">
        <v>96</v>
      </c>
      <c r="CG751">
        <v>0</v>
      </c>
      <c r="CH751">
        <v>0</v>
      </c>
      <c r="CI751">
        <v>0</v>
      </c>
      <c r="CJ751">
        <v>0</v>
      </c>
      <c r="CK751">
        <v>0</v>
      </c>
      <c r="CL751">
        <v>0</v>
      </c>
      <c r="CM751">
        <v>0</v>
      </c>
    </row>
    <row r="752" spans="82:91" x14ac:dyDescent="0.25">
      <c r="CD752">
        <v>3360</v>
      </c>
      <c r="CE752">
        <v>576</v>
      </c>
      <c r="CF752">
        <v>96</v>
      </c>
      <c r="CG752">
        <v>0</v>
      </c>
      <c r="CH752">
        <v>0</v>
      </c>
      <c r="CI752">
        <v>0</v>
      </c>
      <c r="CJ752">
        <v>0</v>
      </c>
      <c r="CK752">
        <v>0</v>
      </c>
      <c r="CL752">
        <v>0</v>
      </c>
      <c r="CM752">
        <v>0</v>
      </c>
    </row>
    <row r="753" spans="82:91" x14ac:dyDescent="0.25">
      <c r="CD753">
        <v>3360</v>
      </c>
      <c r="CE753">
        <v>576</v>
      </c>
      <c r="CF753">
        <v>96</v>
      </c>
      <c r="CG753">
        <v>0</v>
      </c>
      <c r="CH753">
        <v>0</v>
      </c>
      <c r="CI753">
        <v>0</v>
      </c>
      <c r="CJ753">
        <v>0</v>
      </c>
      <c r="CK753">
        <v>0</v>
      </c>
      <c r="CL753">
        <v>0</v>
      </c>
      <c r="CM753">
        <v>0</v>
      </c>
    </row>
    <row r="754" spans="82:91" x14ac:dyDescent="0.25">
      <c r="CD754">
        <v>3360</v>
      </c>
      <c r="CE754">
        <v>576</v>
      </c>
      <c r="CF754">
        <v>96</v>
      </c>
      <c r="CG754">
        <v>0</v>
      </c>
      <c r="CH754">
        <v>0</v>
      </c>
      <c r="CI754">
        <v>0</v>
      </c>
      <c r="CJ754">
        <v>0</v>
      </c>
      <c r="CK754">
        <v>0</v>
      </c>
      <c r="CL754">
        <v>0</v>
      </c>
      <c r="CM754">
        <v>0</v>
      </c>
    </row>
    <row r="755" spans="82:91" x14ac:dyDescent="0.25">
      <c r="CD755">
        <v>3360</v>
      </c>
      <c r="CE755">
        <v>576</v>
      </c>
      <c r="CF755">
        <v>96</v>
      </c>
      <c r="CG755">
        <v>0</v>
      </c>
      <c r="CH755">
        <v>0</v>
      </c>
      <c r="CI755">
        <v>0</v>
      </c>
      <c r="CJ755">
        <v>0</v>
      </c>
      <c r="CK755">
        <v>0</v>
      </c>
      <c r="CL755">
        <v>0</v>
      </c>
      <c r="CM755">
        <v>0</v>
      </c>
    </row>
    <row r="756" spans="82:91" x14ac:dyDescent="0.25">
      <c r="CD756">
        <v>3360</v>
      </c>
      <c r="CE756">
        <v>576</v>
      </c>
      <c r="CF756">
        <v>96</v>
      </c>
      <c r="CG756">
        <v>0</v>
      </c>
      <c r="CH756">
        <v>0</v>
      </c>
      <c r="CI756">
        <v>0</v>
      </c>
      <c r="CJ756">
        <v>0</v>
      </c>
      <c r="CK756">
        <v>0</v>
      </c>
      <c r="CL756">
        <v>0</v>
      </c>
      <c r="CM756">
        <v>0</v>
      </c>
    </row>
    <row r="757" spans="82:91" x14ac:dyDescent="0.25">
      <c r="CD757">
        <v>3360</v>
      </c>
      <c r="CE757">
        <v>576</v>
      </c>
      <c r="CF757">
        <v>96</v>
      </c>
      <c r="CG757">
        <v>0</v>
      </c>
      <c r="CH757">
        <v>0</v>
      </c>
      <c r="CI757">
        <v>0</v>
      </c>
      <c r="CJ757">
        <v>0</v>
      </c>
      <c r="CK757">
        <v>0</v>
      </c>
      <c r="CL757">
        <v>0</v>
      </c>
      <c r="CM757">
        <v>0</v>
      </c>
    </row>
    <row r="758" spans="82:91" x14ac:dyDescent="0.25">
      <c r="CD758">
        <v>3360</v>
      </c>
      <c r="CE758">
        <v>576</v>
      </c>
      <c r="CF758">
        <v>96</v>
      </c>
      <c r="CG758">
        <v>0</v>
      </c>
      <c r="CH758">
        <v>0</v>
      </c>
      <c r="CI758">
        <v>0</v>
      </c>
      <c r="CJ758">
        <v>0</v>
      </c>
      <c r="CK758">
        <v>0</v>
      </c>
      <c r="CL758">
        <v>0</v>
      </c>
      <c r="CM758">
        <v>0</v>
      </c>
    </row>
    <row r="759" spans="82:91" x14ac:dyDescent="0.25">
      <c r="CD759">
        <v>3360</v>
      </c>
      <c r="CE759">
        <v>576</v>
      </c>
      <c r="CF759">
        <v>96</v>
      </c>
      <c r="CG759">
        <v>0</v>
      </c>
      <c r="CH759">
        <v>0</v>
      </c>
      <c r="CI759">
        <v>0</v>
      </c>
      <c r="CJ759">
        <v>0</v>
      </c>
      <c r="CK759">
        <v>0</v>
      </c>
      <c r="CL759">
        <v>0</v>
      </c>
      <c r="CM759">
        <v>0</v>
      </c>
    </row>
    <row r="760" spans="82:91" x14ac:dyDescent="0.25">
      <c r="CD760">
        <v>3360</v>
      </c>
      <c r="CE760">
        <v>576</v>
      </c>
      <c r="CF760">
        <v>96</v>
      </c>
      <c r="CG760">
        <v>0</v>
      </c>
      <c r="CH760">
        <v>0</v>
      </c>
      <c r="CI760">
        <v>0</v>
      </c>
      <c r="CJ760">
        <v>0</v>
      </c>
      <c r="CK760">
        <v>0</v>
      </c>
      <c r="CL760">
        <v>0</v>
      </c>
      <c r="CM760">
        <v>0</v>
      </c>
    </row>
    <row r="761" spans="82:91" x14ac:dyDescent="0.25">
      <c r="CD761">
        <v>3360</v>
      </c>
      <c r="CE761">
        <v>576</v>
      </c>
      <c r="CF761">
        <v>96</v>
      </c>
      <c r="CG761">
        <v>0</v>
      </c>
      <c r="CH761">
        <v>0</v>
      </c>
      <c r="CI761">
        <v>0</v>
      </c>
      <c r="CJ761">
        <v>0</v>
      </c>
      <c r="CK761">
        <v>0</v>
      </c>
      <c r="CL761">
        <v>0</v>
      </c>
      <c r="CM761">
        <v>0</v>
      </c>
    </row>
    <row r="762" spans="82:91" x14ac:dyDescent="0.25">
      <c r="CD762">
        <v>3360</v>
      </c>
      <c r="CE762">
        <v>576</v>
      </c>
      <c r="CF762">
        <v>96</v>
      </c>
      <c r="CG762">
        <v>0</v>
      </c>
      <c r="CH762">
        <v>0</v>
      </c>
      <c r="CI762">
        <v>0</v>
      </c>
      <c r="CJ762">
        <v>0</v>
      </c>
      <c r="CK762">
        <v>0</v>
      </c>
      <c r="CL762">
        <v>0</v>
      </c>
      <c r="CM762">
        <v>0</v>
      </c>
    </row>
    <row r="763" spans="82:91" x14ac:dyDescent="0.25">
      <c r="CD763">
        <v>3360</v>
      </c>
      <c r="CE763">
        <v>576</v>
      </c>
      <c r="CF763">
        <v>96</v>
      </c>
      <c r="CG763">
        <v>0</v>
      </c>
      <c r="CH763">
        <v>0</v>
      </c>
      <c r="CI763">
        <v>0</v>
      </c>
      <c r="CJ763">
        <v>0</v>
      </c>
      <c r="CK763">
        <v>0</v>
      </c>
      <c r="CL763">
        <v>0</v>
      </c>
      <c r="CM763">
        <v>0</v>
      </c>
    </row>
    <row r="764" spans="82:91" x14ac:dyDescent="0.25">
      <c r="CD764">
        <v>3360</v>
      </c>
      <c r="CE764">
        <v>576</v>
      </c>
      <c r="CF764">
        <v>96</v>
      </c>
      <c r="CG764">
        <v>0</v>
      </c>
      <c r="CH764">
        <v>0</v>
      </c>
      <c r="CI764">
        <v>0</v>
      </c>
      <c r="CJ764">
        <v>0</v>
      </c>
      <c r="CK764">
        <v>0</v>
      </c>
      <c r="CL764">
        <v>0</v>
      </c>
      <c r="CM764">
        <v>0</v>
      </c>
    </row>
    <row r="765" spans="82:91" x14ac:dyDescent="0.25">
      <c r="CD765">
        <v>3360</v>
      </c>
      <c r="CE765">
        <v>576</v>
      </c>
      <c r="CF765">
        <v>96</v>
      </c>
      <c r="CG765">
        <v>0</v>
      </c>
      <c r="CH765">
        <v>0</v>
      </c>
      <c r="CI765">
        <v>0</v>
      </c>
      <c r="CJ765">
        <v>0</v>
      </c>
      <c r="CK765">
        <v>0</v>
      </c>
      <c r="CL765">
        <v>0</v>
      </c>
      <c r="CM765">
        <v>0</v>
      </c>
    </row>
    <row r="766" spans="82:91" x14ac:dyDescent="0.25">
      <c r="CD766">
        <v>3360</v>
      </c>
      <c r="CE766">
        <v>576</v>
      </c>
      <c r="CF766">
        <v>96</v>
      </c>
      <c r="CG766">
        <v>0</v>
      </c>
      <c r="CH766">
        <v>0</v>
      </c>
      <c r="CI766">
        <v>0</v>
      </c>
      <c r="CJ766">
        <v>0</v>
      </c>
      <c r="CK766">
        <v>0</v>
      </c>
      <c r="CL766">
        <v>0</v>
      </c>
      <c r="CM766">
        <v>0</v>
      </c>
    </row>
    <row r="767" spans="82:91" x14ac:dyDescent="0.25">
      <c r="CD767">
        <v>3360</v>
      </c>
      <c r="CE767">
        <v>576</v>
      </c>
      <c r="CF767">
        <v>96</v>
      </c>
      <c r="CG767">
        <v>0</v>
      </c>
      <c r="CH767">
        <v>0</v>
      </c>
      <c r="CI767">
        <v>0</v>
      </c>
      <c r="CJ767">
        <v>0</v>
      </c>
      <c r="CK767">
        <v>0</v>
      </c>
      <c r="CL767">
        <v>0</v>
      </c>
      <c r="CM767">
        <v>0</v>
      </c>
    </row>
    <row r="768" spans="82:91" x14ac:dyDescent="0.25">
      <c r="CD768">
        <v>3360</v>
      </c>
      <c r="CE768">
        <v>576</v>
      </c>
      <c r="CF768">
        <v>96</v>
      </c>
      <c r="CG768">
        <v>0</v>
      </c>
      <c r="CH768">
        <v>0</v>
      </c>
      <c r="CI768">
        <v>0</v>
      </c>
      <c r="CJ768">
        <v>0</v>
      </c>
      <c r="CK768">
        <v>0</v>
      </c>
      <c r="CL768">
        <v>0</v>
      </c>
      <c r="CM768">
        <v>0</v>
      </c>
    </row>
    <row r="769" spans="82:91" x14ac:dyDescent="0.25">
      <c r="CD769">
        <v>3360</v>
      </c>
      <c r="CE769">
        <v>576</v>
      </c>
      <c r="CF769">
        <v>96</v>
      </c>
      <c r="CG769">
        <v>0</v>
      </c>
      <c r="CH769">
        <v>0</v>
      </c>
      <c r="CI769">
        <v>0</v>
      </c>
      <c r="CJ769">
        <v>0</v>
      </c>
      <c r="CK769">
        <v>0</v>
      </c>
      <c r="CL769">
        <v>0</v>
      </c>
      <c r="CM769">
        <v>0</v>
      </c>
    </row>
    <row r="770" spans="82:91" x14ac:dyDescent="0.25">
      <c r="CD770">
        <v>3360</v>
      </c>
      <c r="CE770">
        <v>576</v>
      </c>
      <c r="CF770">
        <v>96</v>
      </c>
      <c r="CG770">
        <v>0</v>
      </c>
      <c r="CH770">
        <v>0</v>
      </c>
      <c r="CI770">
        <v>0</v>
      </c>
      <c r="CJ770">
        <v>0</v>
      </c>
      <c r="CK770">
        <v>0</v>
      </c>
      <c r="CL770">
        <v>0</v>
      </c>
      <c r="CM770">
        <v>0</v>
      </c>
    </row>
    <row r="771" spans="82:91" x14ac:dyDescent="0.25">
      <c r="CD771">
        <v>3360</v>
      </c>
      <c r="CE771">
        <v>576</v>
      </c>
      <c r="CF771">
        <v>96</v>
      </c>
      <c r="CG771">
        <v>0</v>
      </c>
      <c r="CH771">
        <v>0</v>
      </c>
      <c r="CI771">
        <v>0</v>
      </c>
      <c r="CJ771">
        <v>0</v>
      </c>
      <c r="CK771">
        <v>0</v>
      </c>
      <c r="CL771">
        <v>0</v>
      </c>
      <c r="CM771">
        <v>0</v>
      </c>
    </row>
    <row r="772" spans="82:91" x14ac:dyDescent="0.25">
      <c r="CD772">
        <v>3360</v>
      </c>
      <c r="CE772">
        <v>384</v>
      </c>
      <c r="CF772">
        <v>144</v>
      </c>
      <c r="CG772">
        <v>0</v>
      </c>
      <c r="CH772">
        <v>0</v>
      </c>
      <c r="CI772">
        <v>0</v>
      </c>
      <c r="CJ772">
        <v>0</v>
      </c>
      <c r="CK772">
        <v>0</v>
      </c>
      <c r="CL772">
        <v>0</v>
      </c>
      <c r="CM772">
        <v>0</v>
      </c>
    </row>
    <row r="773" spans="82:91" x14ac:dyDescent="0.25">
      <c r="CD773">
        <v>3360</v>
      </c>
      <c r="CE773">
        <v>384</v>
      </c>
      <c r="CF773">
        <v>144</v>
      </c>
      <c r="CG773">
        <v>0</v>
      </c>
      <c r="CH773">
        <v>0</v>
      </c>
      <c r="CI773">
        <v>0</v>
      </c>
      <c r="CJ773">
        <v>0</v>
      </c>
      <c r="CK773">
        <v>0</v>
      </c>
      <c r="CL773">
        <v>0</v>
      </c>
      <c r="CM773">
        <v>0</v>
      </c>
    </row>
    <row r="774" spans="82:91" x14ac:dyDescent="0.25">
      <c r="CD774">
        <v>3360</v>
      </c>
      <c r="CE774">
        <v>384</v>
      </c>
      <c r="CF774">
        <v>144</v>
      </c>
      <c r="CG774">
        <v>0</v>
      </c>
      <c r="CH774">
        <v>0</v>
      </c>
      <c r="CI774">
        <v>0</v>
      </c>
      <c r="CJ774">
        <v>0</v>
      </c>
      <c r="CK774">
        <v>0</v>
      </c>
      <c r="CL774">
        <v>0</v>
      </c>
      <c r="CM774">
        <v>0</v>
      </c>
    </row>
    <row r="775" spans="82:91" x14ac:dyDescent="0.25">
      <c r="CD775">
        <v>3360</v>
      </c>
      <c r="CE775">
        <v>384</v>
      </c>
      <c r="CF775">
        <v>144</v>
      </c>
      <c r="CG775">
        <v>0</v>
      </c>
      <c r="CH775">
        <v>0</v>
      </c>
      <c r="CI775">
        <v>0</v>
      </c>
      <c r="CJ775">
        <v>0</v>
      </c>
      <c r="CK775">
        <v>0</v>
      </c>
      <c r="CL775">
        <v>0</v>
      </c>
      <c r="CM775">
        <v>0</v>
      </c>
    </row>
    <row r="776" spans="82:91" x14ac:dyDescent="0.25">
      <c r="CD776">
        <v>3360</v>
      </c>
      <c r="CE776">
        <v>384</v>
      </c>
      <c r="CF776">
        <v>144</v>
      </c>
      <c r="CG776">
        <v>0</v>
      </c>
      <c r="CH776">
        <v>0</v>
      </c>
      <c r="CI776">
        <v>0</v>
      </c>
      <c r="CJ776">
        <v>0</v>
      </c>
      <c r="CK776">
        <v>0</v>
      </c>
      <c r="CL776">
        <v>0</v>
      </c>
      <c r="CM776">
        <v>0</v>
      </c>
    </row>
    <row r="777" spans="82:91" x14ac:dyDescent="0.25">
      <c r="CD777">
        <v>3360</v>
      </c>
      <c r="CE777">
        <v>384</v>
      </c>
      <c r="CF777">
        <v>144</v>
      </c>
      <c r="CG777">
        <v>0</v>
      </c>
      <c r="CH777">
        <v>0</v>
      </c>
      <c r="CI777">
        <v>0</v>
      </c>
      <c r="CJ777">
        <v>0</v>
      </c>
      <c r="CK777">
        <v>0</v>
      </c>
      <c r="CL777">
        <v>0</v>
      </c>
      <c r="CM777">
        <v>0</v>
      </c>
    </row>
    <row r="778" spans="82:91" x14ac:dyDescent="0.25">
      <c r="CD778">
        <v>3360</v>
      </c>
      <c r="CE778">
        <v>384</v>
      </c>
      <c r="CF778">
        <v>144</v>
      </c>
      <c r="CG778">
        <v>0</v>
      </c>
      <c r="CH778">
        <v>0</v>
      </c>
      <c r="CI778">
        <v>0</v>
      </c>
      <c r="CJ778">
        <v>0</v>
      </c>
      <c r="CK778">
        <v>0</v>
      </c>
      <c r="CL778">
        <v>0</v>
      </c>
      <c r="CM778">
        <v>0</v>
      </c>
    </row>
    <row r="779" spans="82:91" x14ac:dyDescent="0.25">
      <c r="CD779">
        <v>3360</v>
      </c>
      <c r="CE779">
        <v>384</v>
      </c>
      <c r="CF779">
        <v>144</v>
      </c>
      <c r="CG779">
        <v>0</v>
      </c>
      <c r="CH779">
        <v>0</v>
      </c>
      <c r="CI779">
        <v>0</v>
      </c>
      <c r="CJ779">
        <v>0</v>
      </c>
      <c r="CK779">
        <v>0</v>
      </c>
      <c r="CL779">
        <v>0</v>
      </c>
      <c r="CM779">
        <v>0</v>
      </c>
    </row>
    <row r="780" spans="82:91" x14ac:dyDescent="0.25">
      <c r="CD780">
        <v>3360</v>
      </c>
      <c r="CE780">
        <v>384</v>
      </c>
      <c r="CF780">
        <v>144</v>
      </c>
      <c r="CG780">
        <v>0</v>
      </c>
      <c r="CH780">
        <v>0</v>
      </c>
      <c r="CI780">
        <v>0</v>
      </c>
      <c r="CJ780">
        <v>0</v>
      </c>
      <c r="CK780">
        <v>0</v>
      </c>
      <c r="CL780">
        <v>0</v>
      </c>
      <c r="CM780">
        <v>0</v>
      </c>
    </row>
    <row r="781" spans="82:91" x14ac:dyDescent="0.25">
      <c r="CD781">
        <v>3360</v>
      </c>
      <c r="CE781">
        <v>384</v>
      </c>
      <c r="CF781">
        <v>144</v>
      </c>
      <c r="CG781">
        <v>0</v>
      </c>
      <c r="CH781">
        <v>0</v>
      </c>
      <c r="CI781">
        <v>0</v>
      </c>
      <c r="CJ781">
        <v>0</v>
      </c>
      <c r="CK781">
        <v>0</v>
      </c>
      <c r="CL781">
        <v>0</v>
      </c>
      <c r="CM781">
        <v>0</v>
      </c>
    </row>
    <row r="782" spans="82:91" x14ac:dyDescent="0.25">
      <c r="CD782">
        <v>3360</v>
      </c>
      <c r="CE782">
        <v>384</v>
      </c>
      <c r="CF782">
        <v>144</v>
      </c>
      <c r="CG782">
        <v>0</v>
      </c>
      <c r="CH782">
        <v>0</v>
      </c>
      <c r="CI782">
        <v>0</v>
      </c>
      <c r="CJ782">
        <v>0</v>
      </c>
      <c r="CK782">
        <v>0</v>
      </c>
      <c r="CL782">
        <v>0</v>
      </c>
      <c r="CM782">
        <v>0</v>
      </c>
    </row>
    <row r="783" spans="82:91" x14ac:dyDescent="0.25">
      <c r="CD783">
        <v>3360</v>
      </c>
      <c r="CE783">
        <v>384</v>
      </c>
      <c r="CF783">
        <v>144</v>
      </c>
      <c r="CG783">
        <v>0</v>
      </c>
      <c r="CH783">
        <v>0</v>
      </c>
      <c r="CI783">
        <v>0</v>
      </c>
      <c r="CJ783">
        <v>0</v>
      </c>
      <c r="CK783">
        <v>0</v>
      </c>
      <c r="CL783">
        <v>0</v>
      </c>
      <c r="CM783">
        <v>0</v>
      </c>
    </row>
    <row r="784" spans="82:91" x14ac:dyDescent="0.25">
      <c r="CD784">
        <v>3360</v>
      </c>
      <c r="CE784">
        <v>384</v>
      </c>
      <c r="CF784">
        <v>144</v>
      </c>
      <c r="CG784">
        <v>0</v>
      </c>
      <c r="CH784">
        <v>0</v>
      </c>
      <c r="CI784">
        <v>0</v>
      </c>
      <c r="CJ784">
        <v>0</v>
      </c>
      <c r="CK784">
        <v>0</v>
      </c>
      <c r="CL784">
        <v>0</v>
      </c>
      <c r="CM784">
        <v>0</v>
      </c>
    </row>
    <row r="785" spans="82:91" x14ac:dyDescent="0.25">
      <c r="CD785">
        <v>3360</v>
      </c>
      <c r="CE785">
        <v>384</v>
      </c>
      <c r="CF785">
        <v>144</v>
      </c>
      <c r="CG785">
        <v>0</v>
      </c>
      <c r="CH785">
        <v>0</v>
      </c>
      <c r="CI785">
        <v>0</v>
      </c>
      <c r="CJ785">
        <v>0</v>
      </c>
      <c r="CK785">
        <v>0</v>
      </c>
      <c r="CL785">
        <v>0</v>
      </c>
      <c r="CM785">
        <v>0</v>
      </c>
    </row>
    <row r="786" spans="82:91" x14ac:dyDescent="0.25">
      <c r="CD786">
        <v>3360</v>
      </c>
      <c r="CE786">
        <v>384</v>
      </c>
      <c r="CF786">
        <v>144</v>
      </c>
      <c r="CG786">
        <v>0</v>
      </c>
      <c r="CH786">
        <v>0</v>
      </c>
      <c r="CI786">
        <v>0</v>
      </c>
      <c r="CJ786">
        <v>0</v>
      </c>
      <c r="CK786">
        <v>0</v>
      </c>
      <c r="CL786">
        <v>0</v>
      </c>
      <c r="CM786">
        <v>0</v>
      </c>
    </row>
    <row r="787" spans="82:91" x14ac:dyDescent="0.25">
      <c r="CD787">
        <v>3360</v>
      </c>
      <c r="CE787">
        <v>384</v>
      </c>
      <c r="CF787">
        <v>144</v>
      </c>
      <c r="CG787">
        <v>0</v>
      </c>
      <c r="CH787">
        <v>0</v>
      </c>
      <c r="CI787">
        <v>0</v>
      </c>
      <c r="CJ787">
        <v>0</v>
      </c>
      <c r="CK787">
        <v>0</v>
      </c>
      <c r="CL787">
        <v>0</v>
      </c>
      <c r="CM787">
        <v>0</v>
      </c>
    </row>
    <row r="788" spans="82:91" x14ac:dyDescent="0.25">
      <c r="CD788">
        <v>3360</v>
      </c>
      <c r="CE788">
        <v>384</v>
      </c>
      <c r="CF788">
        <v>144</v>
      </c>
      <c r="CG788">
        <v>0</v>
      </c>
      <c r="CH788">
        <v>0</v>
      </c>
      <c r="CI788">
        <v>0</v>
      </c>
      <c r="CJ788">
        <v>0</v>
      </c>
      <c r="CK788">
        <v>0</v>
      </c>
      <c r="CL788">
        <v>0</v>
      </c>
      <c r="CM788">
        <v>0</v>
      </c>
    </row>
    <row r="789" spans="82:91" x14ac:dyDescent="0.25">
      <c r="CD789">
        <v>3360</v>
      </c>
      <c r="CE789">
        <v>384</v>
      </c>
      <c r="CF789">
        <v>144</v>
      </c>
      <c r="CG789">
        <v>0</v>
      </c>
      <c r="CH789">
        <v>0</v>
      </c>
      <c r="CI789">
        <v>0</v>
      </c>
      <c r="CJ789">
        <v>0</v>
      </c>
      <c r="CK789">
        <v>0</v>
      </c>
      <c r="CL789">
        <v>0</v>
      </c>
      <c r="CM789">
        <v>0</v>
      </c>
    </row>
    <row r="790" spans="82:91" x14ac:dyDescent="0.25">
      <c r="CD790">
        <v>3360</v>
      </c>
      <c r="CE790">
        <v>384</v>
      </c>
      <c r="CF790">
        <v>144</v>
      </c>
      <c r="CG790">
        <v>0</v>
      </c>
      <c r="CH790">
        <v>0</v>
      </c>
      <c r="CI790">
        <v>0</v>
      </c>
      <c r="CJ790">
        <v>0</v>
      </c>
      <c r="CK790">
        <v>0</v>
      </c>
      <c r="CL790">
        <v>0</v>
      </c>
      <c r="CM790">
        <v>0</v>
      </c>
    </row>
    <row r="791" spans="82:91" x14ac:dyDescent="0.25">
      <c r="CD791">
        <v>3360</v>
      </c>
      <c r="CE791">
        <v>384</v>
      </c>
      <c r="CF791">
        <v>144</v>
      </c>
      <c r="CG791">
        <v>0</v>
      </c>
      <c r="CH791">
        <v>0</v>
      </c>
      <c r="CI791">
        <v>0</v>
      </c>
      <c r="CJ791">
        <v>0</v>
      </c>
      <c r="CK791">
        <v>0</v>
      </c>
      <c r="CL791">
        <v>0</v>
      </c>
      <c r="CM791">
        <v>0</v>
      </c>
    </row>
    <row r="792" spans="82:91" x14ac:dyDescent="0.25">
      <c r="CD792">
        <v>3360</v>
      </c>
      <c r="CE792">
        <v>384</v>
      </c>
      <c r="CF792">
        <v>144</v>
      </c>
      <c r="CG792">
        <v>0</v>
      </c>
      <c r="CH792">
        <v>0</v>
      </c>
      <c r="CI792">
        <v>0</v>
      </c>
      <c r="CJ792">
        <v>0</v>
      </c>
      <c r="CK792">
        <v>0</v>
      </c>
      <c r="CL792">
        <v>0</v>
      </c>
      <c r="CM792">
        <v>0</v>
      </c>
    </row>
    <row r="793" spans="82:91" x14ac:dyDescent="0.25">
      <c r="CD793">
        <v>3360</v>
      </c>
      <c r="CE793">
        <v>384</v>
      </c>
      <c r="CF793">
        <v>144</v>
      </c>
      <c r="CG793">
        <v>0</v>
      </c>
      <c r="CH793">
        <v>0</v>
      </c>
      <c r="CI793">
        <v>0</v>
      </c>
      <c r="CJ793">
        <v>0</v>
      </c>
      <c r="CK793">
        <v>0</v>
      </c>
      <c r="CL793">
        <v>0</v>
      </c>
      <c r="CM793">
        <v>0</v>
      </c>
    </row>
    <row r="794" spans="82:91" x14ac:dyDescent="0.25">
      <c r="CD794">
        <v>3360</v>
      </c>
      <c r="CE794">
        <v>384</v>
      </c>
      <c r="CF794">
        <v>144</v>
      </c>
      <c r="CG794">
        <v>0</v>
      </c>
      <c r="CH794">
        <v>0</v>
      </c>
      <c r="CI794">
        <v>0</v>
      </c>
      <c r="CJ794">
        <v>0</v>
      </c>
      <c r="CK794">
        <v>0</v>
      </c>
      <c r="CL794">
        <v>0</v>
      </c>
      <c r="CM794">
        <v>0</v>
      </c>
    </row>
    <row r="795" spans="82:91" x14ac:dyDescent="0.25">
      <c r="CD795">
        <v>3360</v>
      </c>
      <c r="CE795">
        <v>384</v>
      </c>
      <c r="CF795">
        <v>144</v>
      </c>
      <c r="CG795">
        <v>0</v>
      </c>
      <c r="CH795">
        <v>0</v>
      </c>
      <c r="CI795">
        <v>0</v>
      </c>
      <c r="CJ795">
        <v>0</v>
      </c>
      <c r="CK795">
        <v>0</v>
      </c>
      <c r="CL795">
        <v>0</v>
      </c>
      <c r="CM795">
        <v>0</v>
      </c>
    </row>
    <row r="796" spans="82:91" x14ac:dyDescent="0.25">
      <c r="CD796">
        <v>3360</v>
      </c>
      <c r="CE796">
        <v>384</v>
      </c>
      <c r="CF796">
        <v>144</v>
      </c>
      <c r="CG796">
        <v>0</v>
      </c>
      <c r="CH796">
        <v>0</v>
      </c>
      <c r="CI796">
        <v>0</v>
      </c>
      <c r="CJ796">
        <v>0</v>
      </c>
      <c r="CK796">
        <v>0</v>
      </c>
      <c r="CL796">
        <v>0</v>
      </c>
      <c r="CM796">
        <v>0</v>
      </c>
    </row>
    <row r="797" spans="82:91" x14ac:dyDescent="0.25">
      <c r="CD797">
        <v>3360</v>
      </c>
      <c r="CE797">
        <v>384</v>
      </c>
      <c r="CF797">
        <v>144</v>
      </c>
      <c r="CG797">
        <v>0</v>
      </c>
      <c r="CH797">
        <v>0</v>
      </c>
      <c r="CI797">
        <v>0</v>
      </c>
      <c r="CJ797">
        <v>0</v>
      </c>
      <c r="CK797">
        <v>0</v>
      </c>
      <c r="CL797">
        <v>0</v>
      </c>
      <c r="CM797">
        <v>0</v>
      </c>
    </row>
    <row r="798" spans="82:91" x14ac:dyDescent="0.25">
      <c r="CD798">
        <v>3360</v>
      </c>
      <c r="CE798">
        <v>384</v>
      </c>
      <c r="CF798">
        <v>144</v>
      </c>
      <c r="CG798">
        <v>0</v>
      </c>
      <c r="CH798">
        <v>0</v>
      </c>
      <c r="CI798">
        <v>0</v>
      </c>
      <c r="CJ798">
        <v>0</v>
      </c>
      <c r="CK798">
        <v>0</v>
      </c>
      <c r="CL798">
        <v>0</v>
      </c>
      <c r="CM798">
        <v>0</v>
      </c>
    </row>
    <row r="799" spans="82:91" x14ac:dyDescent="0.25">
      <c r="CD799">
        <v>3360</v>
      </c>
      <c r="CE799">
        <v>384</v>
      </c>
      <c r="CF799">
        <v>144</v>
      </c>
      <c r="CG799">
        <v>0</v>
      </c>
      <c r="CH799">
        <v>0</v>
      </c>
      <c r="CI799">
        <v>0</v>
      </c>
      <c r="CJ799">
        <v>0</v>
      </c>
      <c r="CK799">
        <v>0</v>
      </c>
      <c r="CL799">
        <v>0</v>
      </c>
      <c r="CM799">
        <v>0</v>
      </c>
    </row>
    <row r="800" spans="82:91" x14ac:dyDescent="0.25">
      <c r="CD800">
        <v>3360</v>
      </c>
      <c r="CE800">
        <v>384</v>
      </c>
      <c r="CF800">
        <v>144</v>
      </c>
      <c r="CG800">
        <v>0</v>
      </c>
      <c r="CH800">
        <v>0</v>
      </c>
      <c r="CI800">
        <v>0</v>
      </c>
      <c r="CJ800">
        <v>0</v>
      </c>
      <c r="CK800">
        <v>0</v>
      </c>
      <c r="CL800">
        <v>0</v>
      </c>
      <c r="CM800">
        <v>0</v>
      </c>
    </row>
    <row r="801" spans="82:91" x14ac:dyDescent="0.25">
      <c r="CD801">
        <v>3360</v>
      </c>
      <c r="CE801">
        <v>384</v>
      </c>
      <c r="CF801">
        <v>144</v>
      </c>
      <c r="CG801">
        <v>0</v>
      </c>
      <c r="CH801">
        <v>0</v>
      </c>
      <c r="CI801">
        <v>0</v>
      </c>
      <c r="CJ801">
        <v>0</v>
      </c>
      <c r="CK801">
        <v>0</v>
      </c>
      <c r="CL801">
        <v>0</v>
      </c>
      <c r="CM801">
        <v>0</v>
      </c>
    </row>
    <row r="802" spans="82:91" x14ac:dyDescent="0.25">
      <c r="CD802">
        <v>3360</v>
      </c>
      <c r="CE802">
        <v>384</v>
      </c>
      <c r="CF802">
        <v>144</v>
      </c>
      <c r="CG802">
        <v>0</v>
      </c>
      <c r="CH802">
        <v>0</v>
      </c>
      <c r="CI802">
        <v>0</v>
      </c>
      <c r="CJ802">
        <v>0</v>
      </c>
      <c r="CK802">
        <v>0</v>
      </c>
      <c r="CL802">
        <v>0</v>
      </c>
      <c r="CM802">
        <v>0</v>
      </c>
    </row>
    <row r="803" spans="82:91" x14ac:dyDescent="0.25">
      <c r="CD803">
        <v>3360</v>
      </c>
      <c r="CE803">
        <v>384</v>
      </c>
      <c r="CF803">
        <v>144</v>
      </c>
      <c r="CG803">
        <v>0</v>
      </c>
      <c r="CH803">
        <v>0</v>
      </c>
      <c r="CI803">
        <v>0</v>
      </c>
      <c r="CJ803">
        <v>0</v>
      </c>
      <c r="CK803">
        <v>0</v>
      </c>
      <c r="CL803">
        <v>0</v>
      </c>
      <c r="CM803">
        <v>0</v>
      </c>
    </row>
    <row r="804" spans="82:91" x14ac:dyDescent="0.25">
      <c r="CD804">
        <v>3360</v>
      </c>
      <c r="CE804">
        <v>384</v>
      </c>
      <c r="CF804">
        <v>144</v>
      </c>
      <c r="CG804">
        <v>0</v>
      </c>
      <c r="CH804">
        <v>0</v>
      </c>
      <c r="CI804">
        <v>0</v>
      </c>
      <c r="CJ804">
        <v>0</v>
      </c>
      <c r="CK804">
        <v>0</v>
      </c>
      <c r="CL804">
        <v>0</v>
      </c>
      <c r="CM804">
        <v>0</v>
      </c>
    </row>
    <row r="805" spans="82:91" x14ac:dyDescent="0.25">
      <c r="CD805">
        <v>3360</v>
      </c>
      <c r="CE805">
        <v>384</v>
      </c>
      <c r="CF805">
        <v>144</v>
      </c>
      <c r="CG805">
        <v>0</v>
      </c>
      <c r="CH805">
        <v>0</v>
      </c>
      <c r="CI805">
        <v>0</v>
      </c>
      <c r="CJ805">
        <v>0</v>
      </c>
      <c r="CK805">
        <v>0</v>
      </c>
      <c r="CL805">
        <v>0</v>
      </c>
      <c r="CM805">
        <v>0</v>
      </c>
    </row>
    <row r="806" spans="82:91" x14ac:dyDescent="0.25">
      <c r="CD806">
        <v>3360</v>
      </c>
      <c r="CE806">
        <v>384</v>
      </c>
      <c r="CF806">
        <v>144</v>
      </c>
      <c r="CG806">
        <v>0</v>
      </c>
      <c r="CH806">
        <v>0</v>
      </c>
      <c r="CI806">
        <v>0</v>
      </c>
      <c r="CJ806">
        <v>0</v>
      </c>
      <c r="CK806">
        <v>0</v>
      </c>
      <c r="CL806">
        <v>0</v>
      </c>
      <c r="CM806">
        <v>0</v>
      </c>
    </row>
    <row r="807" spans="82:91" x14ac:dyDescent="0.25">
      <c r="CD807">
        <v>3360</v>
      </c>
      <c r="CE807">
        <v>384</v>
      </c>
      <c r="CF807">
        <v>144</v>
      </c>
      <c r="CG807">
        <v>0</v>
      </c>
      <c r="CH807">
        <v>0</v>
      </c>
      <c r="CI807">
        <v>0</v>
      </c>
      <c r="CJ807">
        <v>0</v>
      </c>
      <c r="CK807">
        <v>0</v>
      </c>
      <c r="CL807">
        <v>0</v>
      </c>
      <c r="CM807">
        <v>0</v>
      </c>
    </row>
    <row r="808" spans="82:91" x14ac:dyDescent="0.25">
      <c r="CD808">
        <v>3360</v>
      </c>
      <c r="CE808">
        <v>384</v>
      </c>
      <c r="CF808">
        <v>144</v>
      </c>
      <c r="CG808">
        <v>0</v>
      </c>
      <c r="CH808">
        <v>0</v>
      </c>
      <c r="CI808">
        <v>0</v>
      </c>
      <c r="CJ808">
        <v>0</v>
      </c>
      <c r="CK808">
        <v>0</v>
      </c>
      <c r="CL808">
        <v>0</v>
      </c>
      <c r="CM808">
        <v>0</v>
      </c>
    </row>
    <row r="809" spans="82:91" x14ac:dyDescent="0.25">
      <c r="CD809">
        <v>3360</v>
      </c>
      <c r="CE809">
        <v>384</v>
      </c>
      <c r="CF809">
        <v>144</v>
      </c>
      <c r="CG809">
        <v>0</v>
      </c>
      <c r="CH809">
        <v>0</v>
      </c>
      <c r="CI809">
        <v>0</v>
      </c>
      <c r="CJ809">
        <v>0</v>
      </c>
      <c r="CK809">
        <v>0</v>
      </c>
      <c r="CL809">
        <v>0</v>
      </c>
      <c r="CM809">
        <v>0</v>
      </c>
    </row>
    <row r="810" spans="82:91" x14ac:dyDescent="0.25">
      <c r="CD810">
        <v>3360</v>
      </c>
      <c r="CE810">
        <v>384</v>
      </c>
      <c r="CF810">
        <v>144</v>
      </c>
      <c r="CG810">
        <v>0</v>
      </c>
      <c r="CH810">
        <v>0</v>
      </c>
      <c r="CI810">
        <v>0</v>
      </c>
      <c r="CJ810">
        <v>0</v>
      </c>
      <c r="CK810">
        <v>0</v>
      </c>
      <c r="CL810">
        <v>0</v>
      </c>
      <c r="CM810">
        <v>0</v>
      </c>
    </row>
    <row r="811" spans="82:91" x14ac:dyDescent="0.25">
      <c r="CD811">
        <v>3360</v>
      </c>
      <c r="CE811">
        <v>384</v>
      </c>
      <c r="CF811">
        <v>144</v>
      </c>
      <c r="CG811">
        <v>0</v>
      </c>
      <c r="CH811">
        <v>0</v>
      </c>
      <c r="CI811">
        <v>0</v>
      </c>
      <c r="CJ811">
        <v>0</v>
      </c>
      <c r="CK811">
        <v>0</v>
      </c>
      <c r="CL811">
        <v>0</v>
      </c>
      <c r="CM811">
        <v>0</v>
      </c>
    </row>
    <row r="812" spans="82:91" x14ac:dyDescent="0.25">
      <c r="CD812">
        <v>3360</v>
      </c>
      <c r="CE812">
        <v>384</v>
      </c>
      <c r="CF812">
        <v>144</v>
      </c>
      <c r="CG812">
        <v>0</v>
      </c>
      <c r="CH812">
        <v>0</v>
      </c>
      <c r="CI812">
        <v>0</v>
      </c>
      <c r="CJ812">
        <v>0</v>
      </c>
      <c r="CK812">
        <v>0</v>
      </c>
      <c r="CL812">
        <v>0</v>
      </c>
      <c r="CM812">
        <v>0</v>
      </c>
    </row>
    <row r="813" spans="82:91" x14ac:dyDescent="0.25">
      <c r="CD813">
        <v>3360</v>
      </c>
      <c r="CE813">
        <v>384</v>
      </c>
      <c r="CF813">
        <v>144</v>
      </c>
      <c r="CG813">
        <v>0</v>
      </c>
      <c r="CH813">
        <v>0</v>
      </c>
      <c r="CI813">
        <v>0</v>
      </c>
      <c r="CJ813">
        <v>0</v>
      </c>
      <c r="CK813">
        <v>0</v>
      </c>
      <c r="CL813">
        <v>0</v>
      </c>
      <c r="CM813">
        <v>0</v>
      </c>
    </row>
    <row r="814" spans="82:91" x14ac:dyDescent="0.25">
      <c r="CD814">
        <v>3360</v>
      </c>
      <c r="CE814">
        <v>384</v>
      </c>
      <c r="CF814">
        <v>144</v>
      </c>
      <c r="CG814">
        <v>0</v>
      </c>
      <c r="CH814">
        <v>0</v>
      </c>
      <c r="CI814">
        <v>0</v>
      </c>
      <c r="CJ814">
        <v>0</v>
      </c>
      <c r="CK814">
        <v>0</v>
      </c>
      <c r="CL814">
        <v>0</v>
      </c>
      <c r="CM814">
        <v>0</v>
      </c>
    </row>
    <row r="815" spans="82:91" x14ac:dyDescent="0.25">
      <c r="CD815">
        <v>3360</v>
      </c>
      <c r="CE815">
        <v>384</v>
      </c>
      <c r="CF815">
        <v>144</v>
      </c>
      <c r="CG815">
        <v>0</v>
      </c>
      <c r="CH815">
        <v>0</v>
      </c>
      <c r="CI815">
        <v>0</v>
      </c>
      <c r="CJ815">
        <v>0</v>
      </c>
      <c r="CK815">
        <v>0</v>
      </c>
      <c r="CL815">
        <v>0</v>
      </c>
      <c r="CM815">
        <v>0</v>
      </c>
    </row>
    <row r="816" spans="82:91" x14ac:dyDescent="0.25">
      <c r="CD816">
        <v>3360</v>
      </c>
      <c r="CE816">
        <v>384</v>
      </c>
      <c r="CF816">
        <v>144</v>
      </c>
      <c r="CG816">
        <v>0</v>
      </c>
      <c r="CH816">
        <v>0</v>
      </c>
      <c r="CI816">
        <v>0</v>
      </c>
      <c r="CJ816">
        <v>0</v>
      </c>
      <c r="CK816">
        <v>0</v>
      </c>
      <c r="CL816">
        <v>0</v>
      </c>
      <c r="CM816">
        <v>0</v>
      </c>
    </row>
    <row r="817" spans="82:91" x14ac:dyDescent="0.25">
      <c r="CD817">
        <v>3360</v>
      </c>
      <c r="CE817">
        <v>384</v>
      </c>
      <c r="CF817">
        <v>144</v>
      </c>
      <c r="CG817">
        <v>0</v>
      </c>
      <c r="CH817">
        <v>0</v>
      </c>
      <c r="CI817">
        <v>0</v>
      </c>
      <c r="CJ817">
        <v>0</v>
      </c>
      <c r="CK817">
        <v>0</v>
      </c>
      <c r="CL817">
        <v>0</v>
      </c>
      <c r="CM817">
        <v>0</v>
      </c>
    </row>
    <row r="818" spans="82:91" x14ac:dyDescent="0.25">
      <c r="CD818">
        <v>3360</v>
      </c>
      <c r="CE818">
        <v>384</v>
      </c>
      <c r="CF818">
        <v>144</v>
      </c>
      <c r="CG818">
        <v>0</v>
      </c>
      <c r="CH818">
        <v>0</v>
      </c>
      <c r="CI818">
        <v>0</v>
      </c>
      <c r="CJ818">
        <v>0</v>
      </c>
      <c r="CK818">
        <v>0</v>
      </c>
      <c r="CL818">
        <v>0</v>
      </c>
      <c r="CM818">
        <v>0</v>
      </c>
    </row>
    <row r="819" spans="82:91" x14ac:dyDescent="0.25">
      <c r="CD819">
        <v>3360</v>
      </c>
      <c r="CE819">
        <v>384</v>
      </c>
      <c r="CF819">
        <v>144</v>
      </c>
      <c r="CG819">
        <v>0</v>
      </c>
      <c r="CH819">
        <v>0</v>
      </c>
      <c r="CI819">
        <v>0</v>
      </c>
      <c r="CJ819">
        <v>0</v>
      </c>
      <c r="CK819">
        <v>0</v>
      </c>
      <c r="CL819">
        <v>0</v>
      </c>
      <c r="CM819">
        <v>0</v>
      </c>
    </row>
    <row r="820" spans="82:91" x14ac:dyDescent="0.25">
      <c r="CD820">
        <v>3360</v>
      </c>
      <c r="CE820">
        <v>384</v>
      </c>
      <c r="CF820">
        <v>144</v>
      </c>
      <c r="CG820">
        <v>0</v>
      </c>
      <c r="CH820">
        <v>0</v>
      </c>
      <c r="CI820">
        <v>0</v>
      </c>
      <c r="CJ820">
        <v>0</v>
      </c>
      <c r="CK820">
        <v>0</v>
      </c>
      <c r="CL820">
        <v>0</v>
      </c>
      <c r="CM820">
        <v>0</v>
      </c>
    </row>
    <row r="821" spans="82:91" x14ac:dyDescent="0.25">
      <c r="CD821">
        <v>3360</v>
      </c>
      <c r="CE821">
        <v>384</v>
      </c>
      <c r="CF821">
        <v>144</v>
      </c>
      <c r="CG821">
        <v>0</v>
      </c>
      <c r="CH821">
        <v>0</v>
      </c>
      <c r="CI821">
        <v>0</v>
      </c>
      <c r="CJ821">
        <v>0</v>
      </c>
      <c r="CK821">
        <v>0</v>
      </c>
      <c r="CL821">
        <v>0</v>
      </c>
      <c r="CM821">
        <v>0</v>
      </c>
    </row>
    <row r="822" spans="82:91" x14ac:dyDescent="0.25">
      <c r="CD822">
        <v>3360</v>
      </c>
      <c r="CE822">
        <v>384</v>
      </c>
      <c r="CF822">
        <v>144</v>
      </c>
      <c r="CG822">
        <v>0</v>
      </c>
      <c r="CH822">
        <v>0</v>
      </c>
      <c r="CI822">
        <v>0</v>
      </c>
      <c r="CJ822">
        <v>0</v>
      </c>
      <c r="CK822">
        <v>0</v>
      </c>
      <c r="CL822">
        <v>0</v>
      </c>
      <c r="CM822">
        <v>0</v>
      </c>
    </row>
    <row r="823" spans="82:91" x14ac:dyDescent="0.25">
      <c r="CD823">
        <v>3360</v>
      </c>
      <c r="CE823">
        <v>384</v>
      </c>
      <c r="CF823">
        <v>144</v>
      </c>
      <c r="CG823">
        <v>0</v>
      </c>
      <c r="CH823">
        <v>0</v>
      </c>
      <c r="CI823">
        <v>0</v>
      </c>
      <c r="CJ823">
        <v>0</v>
      </c>
      <c r="CK823">
        <v>0</v>
      </c>
      <c r="CL823">
        <v>0</v>
      </c>
      <c r="CM823">
        <v>0</v>
      </c>
    </row>
    <row r="824" spans="82:91" x14ac:dyDescent="0.25">
      <c r="CD824">
        <v>3360</v>
      </c>
      <c r="CE824">
        <v>384</v>
      </c>
      <c r="CF824">
        <v>144</v>
      </c>
      <c r="CG824">
        <v>0</v>
      </c>
      <c r="CH824">
        <v>0</v>
      </c>
      <c r="CI824">
        <v>0</v>
      </c>
      <c r="CJ824">
        <v>0</v>
      </c>
      <c r="CK824">
        <v>0</v>
      </c>
      <c r="CL824">
        <v>0</v>
      </c>
      <c r="CM824">
        <v>0</v>
      </c>
    </row>
    <row r="825" spans="82:91" x14ac:dyDescent="0.25">
      <c r="CD825">
        <v>3360</v>
      </c>
      <c r="CE825">
        <v>384</v>
      </c>
      <c r="CF825">
        <v>144</v>
      </c>
      <c r="CG825">
        <v>0</v>
      </c>
      <c r="CH825">
        <v>0</v>
      </c>
      <c r="CI825">
        <v>0</v>
      </c>
      <c r="CJ825">
        <v>0</v>
      </c>
      <c r="CK825">
        <v>0</v>
      </c>
      <c r="CL825">
        <v>0</v>
      </c>
      <c r="CM825">
        <v>0</v>
      </c>
    </row>
    <row r="826" spans="82:91" x14ac:dyDescent="0.25">
      <c r="CD826">
        <v>3360</v>
      </c>
      <c r="CE826">
        <v>384</v>
      </c>
      <c r="CF826">
        <v>144</v>
      </c>
      <c r="CG826">
        <v>0</v>
      </c>
      <c r="CH826">
        <v>0</v>
      </c>
      <c r="CI826">
        <v>0</v>
      </c>
      <c r="CJ826">
        <v>0</v>
      </c>
      <c r="CK826">
        <v>0</v>
      </c>
      <c r="CL826">
        <v>0</v>
      </c>
      <c r="CM826">
        <v>0</v>
      </c>
    </row>
    <row r="827" spans="82:91" x14ac:dyDescent="0.25">
      <c r="CD827">
        <v>3360</v>
      </c>
      <c r="CE827">
        <v>384</v>
      </c>
      <c r="CF827">
        <v>144</v>
      </c>
      <c r="CG827">
        <v>0</v>
      </c>
      <c r="CH827">
        <v>0</v>
      </c>
      <c r="CI827">
        <v>0</v>
      </c>
      <c r="CJ827">
        <v>0</v>
      </c>
      <c r="CK827">
        <v>0</v>
      </c>
      <c r="CL827">
        <v>0</v>
      </c>
      <c r="CM827">
        <v>0</v>
      </c>
    </row>
    <row r="828" spans="82:91" x14ac:dyDescent="0.25">
      <c r="CD828">
        <v>3360</v>
      </c>
      <c r="CE828">
        <v>384</v>
      </c>
      <c r="CF828">
        <v>144</v>
      </c>
      <c r="CG828">
        <v>0</v>
      </c>
      <c r="CH828">
        <v>0</v>
      </c>
      <c r="CI828">
        <v>0</v>
      </c>
      <c r="CJ828">
        <v>0</v>
      </c>
      <c r="CK828">
        <v>0</v>
      </c>
      <c r="CL828">
        <v>0</v>
      </c>
      <c r="CM828">
        <v>0</v>
      </c>
    </row>
    <row r="829" spans="82:91" x14ac:dyDescent="0.25">
      <c r="CD829">
        <v>3360</v>
      </c>
      <c r="CE829">
        <v>384</v>
      </c>
      <c r="CF829">
        <v>144</v>
      </c>
      <c r="CG829">
        <v>0</v>
      </c>
      <c r="CH829">
        <v>0</v>
      </c>
      <c r="CI829">
        <v>0</v>
      </c>
      <c r="CJ829">
        <v>0</v>
      </c>
      <c r="CK829">
        <v>0</v>
      </c>
      <c r="CL829">
        <v>0</v>
      </c>
      <c r="CM829">
        <v>0</v>
      </c>
    </row>
    <row r="830" spans="82:91" x14ac:dyDescent="0.25">
      <c r="CD830">
        <v>3360</v>
      </c>
      <c r="CE830">
        <v>384</v>
      </c>
      <c r="CF830">
        <v>144</v>
      </c>
      <c r="CG830">
        <v>0</v>
      </c>
      <c r="CH830">
        <v>0</v>
      </c>
      <c r="CI830">
        <v>0</v>
      </c>
      <c r="CJ830">
        <v>0</v>
      </c>
      <c r="CK830">
        <v>0</v>
      </c>
      <c r="CL830">
        <v>0</v>
      </c>
      <c r="CM830">
        <v>0</v>
      </c>
    </row>
    <row r="831" spans="82:91" x14ac:dyDescent="0.25">
      <c r="CD831">
        <v>3360</v>
      </c>
      <c r="CE831">
        <v>384</v>
      </c>
      <c r="CF831">
        <v>144</v>
      </c>
      <c r="CG831">
        <v>0</v>
      </c>
      <c r="CH831">
        <v>0</v>
      </c>
      <c r="CI831">
        <v>0</v>
      </c>
      <c r="CJ831">
        <v>0</v>
      </c>
      <c r="CK831">
        <v>0</v>
      </c>
      <c r="CL831">
        <v>0</v>
      </c>
      <c r="CM831">
        <v>0</v>
      </c>
    </row>
    <row r="832" spans="82:91" x14ac:dyDescent="0.25">
      <c r="CD832">
        <v>3360</v>
      </c>
      <c r="CE832">
        <v>384</v>
      </c>
      <c r="CF832">
        <v>144</v>
      </c>
      <c r="CG832">
        <v>0</v>
      </c>
      <c r="CH832">
        <v>0</v>
      </c>
      <c r="CI832">
        <v>0</v>
      </c>
      <c r="CJ832">
        <v>0</v>
      </c>
      <c r="CK832">
        <v>0</v>
      </c>
      <c r="CL832">
        <v>0</v>
      </c>
      <c r="CM832">
        <v>0</v>
      </c>
    </row>
    <row r="833" spans="82:91" x14ac:dyDescent="0.25">
      <c r="CD833">
        <v>3360</v>
      </c>
      <c r="CE833">
        <v>384</v>
      </c>
      <c r="CF833">
        <v>144</v>
      </c>
      <c r="CG833">
        <v>0</v>
      </c>
      <c r="CH833">
        <v>0</v>
      </c>
      <c r="CI833">
        <v>0</v>
      </c>
      <c r="CJ833">
        <v>0</v>
      </c>
      <c r="CK833">
        <v>0</v>
      </c>
      <c r="CL833">
        <v>0</v>
      </c>
      <c r="CM833">
        <v>0</v>
      </c>
    </row>
    <row r="834" spans="82:91" x14ac:dyDescent="0.25">
      <c r="CD834">
        <v>3360</v>
      </c>
      <c r="CE834">
        <v>384</v>
      </c>
      <c r="CF834">
        <v>144</v>
      </c>
      <c r="CG834">
        <v>0</v>
      </c>
      <c r="CH834">
        <v>0</v>
      </c>
      <c r="CI834">
        <v>0</v>
      </c>
      <c r="CJ834">
        <v>0</v>
      </c>
      <c r="CK834">
        <v>0</v>
      </c>
      <c r="CL834">
        <v>0</v>
      </c>
      <c r="CM834">
        <v>0</v>
      </c>
    </row>
    <row r="835" spans="82:91" x14ac:dyDescent="0.25">
      <c r="CD835">
        <v>3360</v>
      </c>
      <c r="CE835">
        <v>384</v>
      </c>
      <c r="CF835">
        <v>144</v>
      </c>
      <c r="CG835">
        <v>0</v>
      </c>
      <c r="CH835">
        <v>0</v>
      </c>
      <c r="CI835">
        <v>0</v>
      </c>
      <c r="CJ835">
        <v>0</v>
      </c>
      <c r="CK835">
        <v>0</v>
      </c>
      <c r="CL835">
        <v>0</v>
      </c>
      <c r="CM835">
        <v>0</v>
      </c>
    </row>
    <row r="836" spans="82:91" x14ac:dyDescent="0.25">
      <c r="CD836">
        <v>3360</v>
      </c>
      <c r="CE836">
        <v>384</v>
      </c>
      <c r="CF836">
        <v>144</v>
      </c>
      <c r="CG836">
        <v>0</v>
      </c>
      <c r="CH836">
        <v>0</v>
      </c>
      <c r="CI836">
        <v>0</v>
      </c>
      <c r="CJ836">
        <v>0</v>
      </c>
      <c r="CK836">
        <v>0</v>
      </c>
      <c r="CL836">
        <v>0</v>
      </c>
      <c r="CM836">
        <v>0</v>
      </c>
    </row>
    <row r="837" spans="82:91" x14ac:dyDescent="0.25">
      <c r="CD837">
        <v>3360</v>
      </c>
      <c r="CE837">
        <v>384</v>
      </c>
      <c r="CF837">
        <v>144</v>
      </c>
      <c r="CG837">
        <v>0</v>
      </c>
      <c r="CH837">
        <v>0</v>
      </c>
      <c r="CI837">
        <v>0</v>
      </c>
      <c r="CJ837">
        <v>0</v>
      </c>
      <c r="CK837">
        <v>0</v>
      </c>
      <c r="CL837">
        <v>0</v>
      </c>
      <c r="CM837">
        <v>0</v>
      </c>
    </row>
    <row r="838" spans="82:91" x14ac:dyDescent="0.25">
      <c r="CD838">
        <v>3360</v>
      </c>
      <c r="CE838">
        <v>384</v>
      </c>
      <c r="CF838">
        <v>144</v>
      </c>
      <c r="CG838">
        <v>0</v>
      </c>
      <c r="CH838">
        <v>0</v>
      </c>
      <c r="CI838">
        <v>0</v>
      </c>
      <c r="CJ838">
        <v>0</v>
      </c>
      <c r="CK838">
        <v>0</v>
      </c>
      <c r="CL838">
        <v>0</v>
      </c>
      <c r="CM838">
        <v>0</v>
      </c>
    </row>
    <row r="839" spans="82:91" x14ac:dyDescent="0.25">
      <c r="CD839">
        <v>3360</v>
      </c>
      <c r="CE839">
        <v>384</v>
      </c>
      <c r="CF839">
        <v>144</v>
      </c>
      <c r="CG839">
        <v>0</v>
      </c>
      <c r="CH839">
        <v>0</v>
      </c>
      <c r="CI839">
        <v>0</v>
      </c>
      <c r="CJ839">
        <v>0</v>
      </c>
      <c r="CK839">
        <v>0</v>
      </c>
      <c r="CL839">
        <v>0</v>
      </c>
      <c r="CM839">
        <v>0</v>
      </c>
    </row>
    <row r="840" spans="82:91" x14ac:dyDescent="0.25">
      <c r="CD840">
        <v>3360</v>
      </c>
      <c r="CE840">
        <v>384</v>
      </c>
      <c r="CF840">
        <v>144</v>
      </c>
      <c r="CG840">
        <v>0</v>
      </c>
      <c r="CH840">
        <v>0</v>
      </c>
      <c r="CI840">
        <v>0</v>
      </c>
      <c r="CJ840">
        <v>0</v>
      </c>
      <c r="CK840">
        <v>0</v>
      </c>
      <c r="CL840">
        <v>0</v>
      </c>
      <c r="CM840">
        <v>0</v>
      </c>
    </row>
    <row r="841" spans="82:91" x14ac:dyDescent="0.25">
      <c r="CD841">
        <v>3360</v>
      </c>
      <c r="CE841">
        <v>384</v>
      </c>
      <c r="CF841">
        <v>144</v>
      </c>
      <c r="CG841">
        <v>0</v>
      </c>
      <c r="CH841">
        <v>0</v>
      </c>
      <c r="CI841">
        <v>0</v>
      </c>
      <c r="CJ841">
        <v>0</v>
      </c>
      <c r="CK841">
        <v>0</v>
      </c>
      <c r="CL841">
        <v>0</v>
      </c>
      <c r="CM841">
        <v>0</v>
      </c>
    </row>
    <row r="842" spans="82:91" x14ac:dyDescent="0.25">
      <c r="CD842">
        <v>3360</v>
      </c>
      <c r="CE842">
        <v>384</v>
      </c>
      <c r="CF842">
        <v>144</v>
      </c>
      <c r="CG842">
        <v>0</v>
      </c>
      <c r="CH842">
        <v>0</v>
      </c>
      <c r="CI842">
        <v>0</v>
      </c>
      <c r="CJ842">
        <v>0</v>
      </c>
      <c r="CK842">
        <v>0</v>
      </c>
      <c r="CL842">
        <v>0</v>
      </c>
      <c r="CM842">
        <v>0</v>
      </c>
    </row>
    <row r="843" spans="82:91" x14ac:dyDescent="0.25">
      <c r="CD843">
        <v>3360</v>
      </c>
      <c r="CE843">
        <v>384</v>
      </c>
      <c r="CF843">
        <v>144</v>
      </c>
      <c r="CG843">
        <v>0</v>
      </c>
      <c r="CH843">
        <v>0</v>
      </c>
      <c r="CI843">
        <v>0</v>
      </c>
      <c r="CJ843">
        <v>0</v>
      </c>
      <c r="CK843">
        <v>0</v>
      </c>
      <c r="CL843">
        <v>0</v>
      </c>
      <c r="CM843">
        <v>0</v>
      </c>
    </row>
    <row r="844" spans="82:91" x14ac:dyDescent="0.25">
      <c r="CD844">
        <v>3360</v>
      </c>
      <c r="CE844">
        <v>384</v>
      </c>
      <c r="CF844">
        <v>144</v>
      </c>
      <c r="CG844">
        <v>0</v>
      </c>
      <c r="CH844">
        <v>0</v>
      </c>
      <c r="CI844">
        <v>0</v>
      </c>
      <c r="CJ844">
        <v>0</v>
      </c>
      <c r="CK844">
        <v>0</v>
      </c>
      <c r="CL844">
        <v>0</v>
      </c>
      <c r="CM844">
        <v>0</v>
      </c>
    </row>
    <row r="845" spans="82:91" x14ac:dyDescent="0.25">
      <c r="CD845">
        <v>3360</v>
      </c>
      <c r="CE845">
        <v>384</v>
      </c>
      <c r="CF845">
        <v>144</v>
      </c>
      <c r="CG845">
        <v>0</v>
      </c>
      <c r="CH845">
        <v>0</v>
      </c>
      <c r="CI845">
        <v>0</v>
      </c>
      <c r="CJ845">
        <v>0</v>
      </c>
      <c r="CK845">
        <v>0</v>
      </c>
      <c r="CL845">
        <v>0</v>
      </c>
      <c r="CM845">
        <v>0</v>
      </c>
    </row>
    <row r="846" spans="82:91" x14ac:dyDescent="0.25">
      <c r="CD846">
        <v>3360</v>
      </c>
      <c r="CE846">
        <v>384</v>
      </c>
      <c r="CF846">
        <v>144</v>
      </c>
      <c r="CG846">
        <v>0</v>
      </c>
      <c r="CH846">
        <v>0</v>
      </c>
      <c r="CI846">
        <v>0</v>
      </c>
      <c r="CJ846">
        <v>0</v>
      </c>
      <c r="CK846">
        <v>0</v>
      </c>
      <c r="CL846">
        <v>0</v>
      </c>
      <c r="CM846">
        <v>0</v>
      </c>
    </row>
    <row r="847" spans="82:91" x14ac:dyDescent="0.25">
      <c r="CD847">
        <v>3360</v>
      </c>
      <c r="CE847">
        <v>384</v>
      </c>
      <c r="CF847">
        <v>144</v>
      </c>
      <c r="CG847">
        <v>0</v>
      </c>
      <c r="CH847">
        <v>0</v>
      </c>
      <c r="CI847">
        <v>0</v>
      </c>
      <c r="CJ847">
        <v>0</v>
      </c>
      <c r="CK847">
        <v>0</v>
      </c>
      <c r="CL847">
        <v>0</v>
      </c>
      <c r="CM847">
        <v>0</v>
      </c>
    </row>
    <row r="848" spans="82:91" x14ac:dyDescent="0.25">
      <c r="CD848">
        <v>3360</v>
      </c>
      <c r="CE848">
        <v>384</v>
      </c>
      <c r="CF848">
        <v>144</v>
      </c>
      <c r="CG848">
        <v>0</v>
      </c>
      <c r="CH848">
        <v>0</v>
      </c>
      <c r="CI848">
        <v>0</v>
      </c>
      <c r="CJ848">
        <v>0</v>
      </c>
      <c r="CK848">
        <v>0</v>
      </c>
      <c r="CL848">
        <v>0</v>
      </c>
      <c r="CM848">
        <v>0</v>
      </c>
    </row>
    <row r="849" spans="82:91" x14ac:dyDescent="0.25">
      <c r="CD849">
        <v>3360</v>
      </c>
      <c r="CE849">
        <v>384</v>
      </c>
      <c r="CF849">
        <v>144</v>
      </c>
      <c r="CG849">
        <v>0</v>
      </c>
      <c r="CH849">
        <v>0</v>
      </c>
      <c r="CI849">
        <v>0</v>
      </c>
      <c r="CJ849">
        <v>0</v>
      </c>
      <c r="CK849">
        <v>0</v>
      </c>
      <c r="CL849">
        <v>0</v>
      </c>
      <c r="CM849">
        <v>0</v>
      </c>
    </row>
    <row r="850" spans="82:91" x14ac:dyDescent="0.25">
      <c r="CD850">
        <v>3360</v>
      </c>
      <c r="CE850">
        <v>384</v>
      </c>
      <c r="CF850">
        <v>144</v>
      </c>
      <c r="CG850">
        <v>0</v>
      </c>
      <c r="CH850">
        <v>0</v>
      </c>
      <c r="CI850">
        <v>0</v>
      </c>
      <c r="CJ850">
        <v>0</v>
      </c>
      <c r="CK850">
        <v>0</v>
      </c>
      <c r="CL850">
        <v>0</v>
      </c>
      <c r="CM850">
        <v>0</v>
      </c>
    </row>
    <row r="851" spans="82:91" x14ac:dyDescent="0.25">
      <c r="CD851">
        <v>3360</v>
      </c>
      <c r="CE851">
        <v>384</v>
      </c>
      <c r="CF851">
        <v>144</v>
      </c>
      <c r="CG851">
        <v>0</v>
      </c>
      <c r="CH851">
        <v>0</v>
      </c>
      <c r="CI851">
        <v>0</v>
      </c>
      <c r="CJ851">
        <v>0</v>
      </c>
      <c r="CK851">
        <v>0</v>
      </c>
      <c r="CL851">
        <v>0</v>
      </c>
      <c r="CM851">
        <v>0</v>
      </c>
    </row>
    <row r="852" spans="82:91" x14ac:dyDescent="0.25">
      <c r="CD852">
        <v>3360</v>
      </c>
      <c r="CE852">
        <v>384</v>
      </c>
      <c r="CF852">
        <v>144</v>
      </c>
      <c r="CG852">
        <v>0</v>
      </c>
      <c r="CH852">
        <v>0</v>
      </c>
      <c r="CI852">
        <v>0</v>
      </c>
      <c r="CJ852">
        <v>0</v>
      </c>
      <c r="CK852">
        <v>0</v>
      </c>
      <c r="CL852">
        <v>0</v>
      </c>
      <c r="CM852">
        <v>0</v>
      </c>
    </row>
    <row r="853" spans="82:91" x14ac:dyDescent="0.25">
      <c r="CD853">
        <v>3360</v>
      </c>
      <c r="CE853">
        <v>384</v>
      </c>
      <c r="CF853">
        <v>144</v>
      </c>
      <c r="CG853">
        <v>0</v>
      </c>
      <c r="CH853">
        <v>0</v>
      </c>
      <c r="CI853">
        <v>0</v>
      </c>
      <c r="CJ853">
        <v>0</v>
      </c>
      <c r="CK853">
        <v>0</v>
      </c>
      <c r="CL853">
        <v>0</v>
      </c>
      <c r="CM853">
        <v>0</v>
      </c>
    </row>
    <row r="854" spans="82:91" x14ac:dyDescent="0.25">
      <c r="CD854">
        <v>3360</v>
      </c>
      <c r="CE854">
        <v>384</v>
      </c>
      <c r="CF854">
        <v>144</v>
      </c>
      <c r="CG854">
        <v>0</v>
      </c>
      <c r="CH854">
        <v>0</v>
      </c>
      <c r="CI854">
        <v>0</v>
      </c>
      <c r="CJ854">
        <v>0</v>
      </c>
      <c r="CK854">
        <v>0</v>
      </c>
      <c r="CL854">
        <v>0</v>
      </c>
      <c r="CM854">
        <v>0</v>
      </c>
    </row>
    <row r="855" spans="82:91" x14ac:dyDescent="0.25">
      <c r="CD855">
        <v>3360</v>
      </c>
      <c r="CE855">
        <v>384</v>
      </c>
      <c r="CF855">
        <v>144</v>
      </c>
      <c r="CG855">
        <v>0</v>
      </c>
      <c r="CH855">
        <v>0</v>
      </c>
      <c r="CI855">
        <v>0</v>
      </c>
      <c r="CJ855">
        <v>0</v>
      </c>
      <c r="CK855">
        <v>0</v>
      </c>
      <c r="CL855">
        <v>0</v>
      </c>
      <c r="CM855">
        <v>0</v>
      </c>
    </row>
    <row r="856" spans="82:91" x14ac:dyDescent="0.25">
      <c r="CD856">
        <v>3360</v>
      </c>
      <c r="CE856">
        <v>384</v>
      </c>
      <c r="CF856">
        <v>144</v>
      </c>
      <c r="CG856">
        <v>0</v>
      </c>
      <c r="CH856">
        <v>0</v>
      </c>
      <c r="CI856">
        <v>0</v>
      </c>
      <c r="CJ856">
        <v>0</v>
      </c>
      <c r="CK856">
        <v>0</v>
      </c>
      <c r="CL856">
        <v>0</v>
      </c>
      <c r="CM856">
        <v>0</v>
      </c>
    </row>
    <row r="857" spans="82:91" x14ac:dyDescent="0.25">
      <c r="CD857">
        <v>3360</v>
      </c>
      <c r="CE857">
        <v>384</v>
      </c>
      <c r="CF857">
        <v>144</v>
      </c>
      <c r="CG857">
        <v>0</v>
      </c>
      <c r="CH857">
        <v>0</v>
      </c>
      <c r="CI857">
        <v>0</v>
      </c>
      <c r="CJ857">
        <v>0</v>
      </c>
      <c r="CK857">
        <v>0</v>
      </c>
      <c r="CL857">
        <v>0</v>
      </c>
      <c r="CM857">
        <v>0</v>
      </c>
    </row>
    <row r="858" spans="82:91" x14ac:dyDescent="0.25">
      <c r="CD858">
        <v>3360</v>
      </c>
      <c r="CE858">
        <v>384</v>
      </c>
      <c r="CF858">
        <v>144</v>
      </c>
      <c r="CG858">
        <v>0</v>
      </c>
      <c r="CH858">
        <v>0</v>
      </c>
      <c r="CI858">
        <v>0</v>
      </c>
      <c r="CJ858">
        <v>0</v>
      </c>
      <c r="CK858">
        <v>0</v>
      </c>
      <c r="CL858">
        <v>0</v>
      </c>
      <c r="CM858">
        <v>0</v>
      </c>
    </row>
    <row r="859" spans="82:91" x14ac:dyDescent="0.25">
      <c r="CD859">
        <v>3360</v>
      </c>
      <c r="CE859">
        <v>384</v>
      </c>
      <c r="CF859">
        <v>144</v>
      </c>
      <c r="CG859">
        <v>0</v>
      </c>
      <c r="CH859">
        <v>0</v>
      </c>
      <c r="CI859">
        <v>0</v>
      </c>
      <c r="CJ859">
        <v>0</v>
      </c>
      <c r="CK859">
        <v>0</v>
      </c>
      <c r="CL859">
        <v>0</v>
      </c>
      <c r="CM859">
        <v>0</v>
      </c>
    </row>
    <row r="860" spans="82:91" x14ac:dyDescent="0.25">
      <c r="CD860">
        <v>3360</v>
      </c>
      <c r="CE860">
        <v>384</v>
      </c>
      <c r="CF860">
        <v>144</v>
      </c>
      <c r="CG860">
        <v>0</v>
      </c>
      <c r="CH860">
        <v>0</v>
      </c>
      <c r="CI860">
        <v>0</v>
      </c>
      <c r="CJ860">
        <v>0</v>
      </c>
      <c r="CK860">
        <v>0</v>
      </c>
      <c r="CL860">
        <v>0</v>
      </c>
      <c r="CM860">
        <v>0</v>
      </c>
    </row>
    <row r="861" spans="82:91" x14ac:dyDescent="0.25">
      <c r="CD861">
        <v>3360</v>
      </c>
      <c r="CE861">
        <v>384</v>
      </c>
      <c r="CF861">
        <v>144</v>
      </c>
      <c r="CG861">
        <v>0</v>
      </c>
      <c r="CH861">
        <v>0</v>
      </c>
      <c r="CI861">
        <v>0</v>
      </c>
      <c r="CJ861">
        <v>0</v>
      </c>
      <c r="CK861">
        <v>0</v>
      </c>
      <c r="CL861">
        <v>0</v>
      </c>
      <c r="CM861">
        <v>0</v>
      </c>
    </row>
    <row r="862" spans="82:91" x14ac:dyDescent="0.25">
      <c r="CD862">
        <v>3360</v>
      </c>
      <c r="CE862">
        <v>384</v>
      </c>
      <c r="CF862">
        <v>144</v>
      </c>
      <c r="CG862">
        <v>0</v>
      </c>
      <c r="CH862">
        <v>0</v>
      </c>
      <c r="CI862">
        <v>0</v>
      </c>
      <c r="CJ862">
        <v>0</v>
      </c>
      <c r="CK862">
        <v>0</v>
      </c>
      <c r="CL862">
        <v>0</v>
      </c>
      <c r="CM862">
        <v>0</v>
      </c>
    </row>
    <row r="863" spans="82:91" x14ac:dyDescent="0.25">
      <c r="CD863">
        <v>3360</v>
      </c>
      <c r="CE863">
        <v>384</v>
      </c>
      <c r="CF863">
        <v>144</v>
      </c>
      <c r="CG863">
        <v>0</v>
      </c>
      <c r="CH863">
        <v>0</v>
      </c>
      <c r="CI863">
        <v>0</v>
      </c>
      <c r="CJ863">
        <v>0</v>
      </c>
      <c r="CK863">
        <v>0</v>
      </c>
      <c r="CL863">
        <v>0</v>
      </c>
      <c r="CM863">
        <v>0</v>
      </c>
    </row>
    <row r="864" spans="82:91" x14ac:dyDescent="0.25">
      <c r="CD864">
        <v>3360</v>
      </c>
      <c r="CE864">
        <v>384</v>
      </c>
      <c r="CF864">
        <v>144</v>
      </c>
      <c r="CG864">
        <v>0</v>
      </c>
      <c r="CH864">
        <v>0</v>
      </c>
      <c r="CI864">
        <v>0</v>
      </c>
      <c r="CJ864">
        <v>0</v>
      </c>
      <c r="CK864">
        <v>0</v>
      </c>
      <c r="CL864">
        <v>0</v>
      </c>
      <c r="CM864">
        <v>0</v>
      </c>
    </row>
    <row r="865" spans="82:91" x14ac:dyDescent="0.25">
      <c r="CD865">
        <v>3360</v>
      </c>
      <c r="CE865">
        <v>384</v>
      </c>
      <c r="CF865">
        <v>144</v>
      </c>
      <c r="CG865">
        <v>0</v>
      </c>
      <c r="CH865">
        <v>0</v>
      </c>
      <c r="CI865">
        <v>0</v>
      </c>
      <c r="CJ865">
        <v>0</v>
      </c>
      <c r="CK865">
        <v>0</v>
      </c>
      <c r="CL865">
        <v>0</v>
      </c>
      <c r="CM865">
        <v>0</v>
      </c>
    </row>
    <row r="866" spans="82:91" x14ac:dyDescent="0.25">
      <c r="CD866">
        <v>3360</v>
      </c>
      <c r="CE866">
        <v>384</v>
      </c>
      <c r="CF866">
        <v>144</v>
      </c>
      <c r="CG866">
        <v>0</v>
      </c>
      <c r="CH866">
        <v>0</v>
      </c>
      <c r="CI866">
        <v>0</v>
      </c>
      <c r="CJ866">
        <v>0</v>
      </c>
      <c r="CK866">
        <v>0</v>
      </c>
      <c r="CL866">
        <v>0</v>
      </c>
      <c r="CM866">
        <v>0</v>
      </c>
    </row>
    <row r="867" spans="82:91" x14ac:dyDescent="0.25">
      <c r="CD867">
        <v>3360</v>
      </c>
      <c r="CE867">
        <v>384</v>
      </c>
      <c r="CF867">
        <v>144</v>
      </c>
      <c r="CG867">
        <v>0</v>
      </c>
      <c r="CH867">
        <v>0</v>
      </c>
      <c r="CI867">
        <v>0</v>
      </c>
      <c r="CJ867">
        <v>0</v>
      </c>
      <c r="CK867">
        <v>0</v>
      </c>
      <c r="CL867">
        <v>0</v>
      </c>
      <c r="CM867">
        <v>0</v>
      </c>
    </row>
    <row r="868" spans="82:91" x14ac:dyDescent="0.25">
      <c r="CD868">
        <v>3360</v>
      </c>
      <c r="CE868">
        <v>384</v>
      </c>
      <c r="CF868">
        <v>144</v>
      </c>
      <c r="CG868">
        <v>0</v>
      </c>
      <c r="CH868">
        <v>0</v>
      </c>
      <c r="CI868">
        <v>0</v>
      </c>
      <c r="CJ868">
        <v>0</v>
      </c>
      <c r="CK868">
        <v>0</v>
      </c>
      <c r="CL868">
        <v>0</v>
      </c>
      <c r="CM868">
        <v>0</v>
      </c>
    </row>
    <row r="869" spans="82:91" x14ac:dyDescent="0.25">
      <c r="CD869">
        <v>3360</v>
      </c>
      <c r="CE869">
        <v>384</v>
      </c>
      <c r="CF869">
        <v>144</v>
      </c>
      <c r="CG869">
        <v>0</v>
      </c>
      <c r="CH869">
        <v>0</v>
      </c>
      <c r="CI869">
        <v>0</v>
      </c>
      <c r="CJ869">
        <v>0</v>
      </c>
      <c r="CK869">
        <v>0</v>
      </c>
      <c r="CL869">
        <v>0</v>
      </c>
      <c r="CM869">
        <v>0</v>
      </c>
    </row>
    <row r="870" spans="82:91" x14ac:dyDescent="0.25">
      <c r="CD870">
        <v>3360</v>
      </c>
      <c r="CE870">
        <v>384</v>
      </c>
      <c r="CF870">
        <v>144</v>
      </c>
      <c r="CG870">
        <v>0</v>
      </c>
      <c r="CH870">
        <v>0</v>
      </c>
      <c r="CI870">
        <v>0</v>
      </c>
      <c r="CJ870">
        <v>0</v>
      </c>
      <c r="CK870">
        <v>0</v>
      </c>
      <c r="CL870">
        <v>0</v>
      </c>
      <c r="CM870">
        <v>0</v>
      </c>
    </row>
    <row r="871" spans="82:91" x14ac:dyDescent="0.25">
      <c r="CD871">
        <v>3360</v>
      </c>
      <c r="CE871">
        <v>384</v>
      </c>
      <c r="CF871">
        <v>144</v>
      </c>
      <c r="CG871">
        <v>0</v>
      </c>
      <c r="CH871">
        <v>0</v>
      </c>
      <c r="CI871">
        <v>0</v>
      </c>
      <c r="CJ871">
        <v>0</v>
      </c>
      <c r="CK871">
        <v>0</v>
      </c>
      <c r="CL871">
        <v>0</v>
      </c>
      <c r="CM871">
        <v>0</v>
      </c>
    </row>
    <row r="872" spans="82:91" x14ac:dyDescent="0.25">
      <c r="CD872">
        <v>3360</v>
      </c>
      <c r="CE872">
        <v>384</v>
      </c>
      <c r="CF872">
        <v>144</v>
      </c>
      <c r="CG872">
        <v>0</v>
      </c>
      <c r="CH872">
        <v>0</v>
      </c>
      <c r="CI872">
        <v>0</v>
      </c>
      <c r="CJ872">
        <v>0</v>
      </c>
      <c r="CK872">
        <v>0</v>
      </c>
      <c r="CL872">
        <v>0</v>
      </c>
      <c r="CM872">
        <v>0</v>
      </c>
    </row>
    <row r="873" spans="82:91" x14ac:dyDescent="0.25">
      <c r="CD873">
        <v>3360</v>
      </c>
      <c r="CE873">
        <v>384</v>
      </c>
      <c r="CF873">
        <v>144</v>
      </c>
      <c r="CG873">
        <v>0</v>
      </c>
      <c r="CH873">
        <v>0</v>
      </c>
      <c r="CI873">
        <v>0</v>
      </c>
      <c r="CJ873">
        <v>0</v>
      </c>
      <c r="CK873">
        <v>0</v>
      </c>
      <c r="CL873">
        <v>0</v>
      </c>
      <c r="CM873">
        <v>0</v>
      </c>
    </row>
    <row r="874" spans="82:91" x14ac:dyDescent="0.25">
      <c r="CD874">
        <v>3360</v>
      </c>
      <c r="CE874">
        <v>384</v>
      </c>
      <c r="CF874">
        <v>144</v>
      </c>
      <c r="CG874">
        <v>0</v>
      </c>
      <c r="CH874">
        <v>0</v>
      </c>
      <c r="CI874">
        <v>0</v>
      </c>
      <c r="CJ874">
        <v>0</v>
      </c>
      <c r="CK874">
        <v>0</v>
      </c>
      <c r="CL874">
        <v>0</v>
      </c>
      <c r="CM874">
        <v>0</v>
      </c>
    </row>
    <row r="875" spans="82:91" x14ac:dyDescent="0.25">
      <c r="CD875">
        <v>3360</v>
      </c>
      <c r="CE875">
        <v>384</v>
      </c>
      <c r="CF875">
        <v>144</v>
      </c>
      <c r="CG875">
        <v>0</v>
      </c>
      <c r="CH875">
        <v>0</v>
      </c>
      <c r="CI875">
        <v>0</v>
      </c>
      <c r="CJ875">
        <v>0</v>
      </c>
      <c r="CK875">
        <v>0</v>
      </c>
      <c r="CL875">
        <v>0</v>
      </c>
      <c r="CM875">
        <v>0</v>
      </c>
    </row>
    <row r="876" spans="82:91" x14ac:dyDescent="0.25">
      <c r="CD876">
        <v>3360</v>
      </c>
      <c r="CE876">
        <v>384</v>
      </c>
      <c r="CF876">
        <v>144</v>
      </c>
      <c r="CG876">
        <v>0</v>
      </c>
      <c r="CH876">
        <v>0</v>
      </c>
      <c r="CI876">
        <v>0</v>
      </c>
      <c r="CJ876">
        <v>0</v>
      </c>
      <c r="CK876">
        <v>0</v>
      </c>
      <c r="CL876">
        <v>0</v>
      </c>
      <c r="CM876">
        <v>0</v>
      </c>
    </row>
    <row r="877" spans="82:91" x14ac:dyDescent="0.25">
      <c r="CD877">
        <v>3360</v>
      </c>
      <c r="CE877">
        <v>384</v>
      </c>
      <c r="CF877">
        <v>144</v>
      </c>
      <c r="CG877">
        <v>0</v>
      </c>
      <c r="CH877">
        <v>0</v>
      </c>
      <c r="CI877">
        <v>0</v>
      </c>
      <c r="CJ877">
        <v>0</v>
      </c>
      <c r="CK877">
        <v>0</v>
      </c>
      <c r="CL877">
        <v>0</v>
      </c>
      <c r="CM877">
        <v>0</v>
      </c>
    </row>
    <row r="878" spans="82:91" x14ac:dyDescent="0.25">
      <c r="CD878">
        <v>3360</v>
      </c>
      <c r="CE878">
        <v>384</v>
      </c>
      <c r="CF878">
        <v>144</v>
      </c>
      <c r="CG878">
        <v>0</v>
      </c>
      <c r="CH878">
        <v>0</v>
      </c>
      <c r="CI878">
        <v>0</v>
      </c>
      <c r="CJ878">
        <v>0</v>
      </c>
      <c r="CK878">
        <v>0</v>
      </c>
      <c r="CL878">
        <v>0</v>
      </c>
      <c r="CM878">
        <v>0</v>
      </c>
    </row>
    <row r="879" spans="82:91" x14ac:dyDescent="0.25">
      <c r="CD879">
        <v>3360</v>
      </c>
      <c r="CE879">
        <v>384</v>
      </c>
      <c r="CF879">
        <v>144</v>
      </c>
      <c r="CG879">
        <v>0</v>
      </c>
      <c r="CH879">
        <v>0</v>
      </c>
      <c r="CI879">
        <v>0</v>
      </c>
      <c r="CJ879">
        <v>0</v>
      </c>
      <c r="CK879">
        <v>0</v>
      </c>
      <c r="CL879">
        <v>0</v>
      </c>
      <c r="CM879">
        <v>0</v>
      </c>
    </row>
    <row r="880" spans="82:91" x14ac:dyDescent="0.25">
      <c r="CD880">
        <v>3360</v>
      </c>
      <c r="CE880">
        <v>384</v>
      </c>
      <c r="CF880">
        <v>144</v>
      </c>
      <c r="CG880">
        <v>0</v>
      </c>
      <c r="CH880">
        <v>0</v>
      </c>
      <c r="CI880">
        <v>0</v>
      </c>
      <c r="CJ880">
        <v>0</v>
      </c>
      <c r="CK880">
        <v>0</v>
      </c>
      <c r="CL880">
        <v>0</v>
      </c>
      <c r="CM880">
        <v>0</v>
      </c>
    </row>
    <row r="881" spans="82:91" x14ac:dyDescent="0.25">
      <c r="CD881">
        <v>3360</v>
      </c>
      <c r="CE881">
        <v>384</v>
      </c>
      <c r="CF881">
        <v>144</v>
      </c>
      <c r="CG881">
        <v>0</v>
      </c>
      <c r="CH881">
        <v>0</v>
      </c>
      <c r="CI881">
        <v>0</v>
      </c>
      <c r="CJ881">
        <v>0</v>
      </c>
      <c r="CK881">
        <v>0</v>
      </c>
      <c r="CL881">
        <v>0</v>
      </c>
      <c r="CM881">
        <v>0</v>
      </c>
    </row>
    <row r="882" spans="82:91" x14ac:dyDescent="0.25">
      <c r="CD882">
        <v>3360</v>
      </c>
      <c r="CE882">
        <v>384</v>
      </c>
      <c r="CF882">
        <v>144</v>
      </c>
      <c r="CG882">
        <v>0</v>
      </c>
      <c r="CH882">
        <v>0</v>
      </c>
      <c r="CI882">
        <v>0</v>
      </c>
      <c r="CJ882">
        <v>0</v>
      </c>
      <c r="CK882">
        <v>0</v>
      </c>
      <c r="CL882">
        <v>0</v>
      </c>
      <c r="CM882">
        <v>0</v>
      </c>
    </row>
    <row r="883" spans="82:91" x14ac:dyDescent="0.25">
      <c r="CD883">
        <v>3360</v>
      </c>
      <c r="CE883">
        <v>384</v>
      </c>
      <c r="CF883">
        <v>144</v>
      </c>
      <c r="CG883">
        <v>0</v>
      </c>
      <c r="CH883">
        <v>0</v>
      </c>
      <c r="CI883">
        <v>0</v>
      </c>
      <c r="CJ883">
        <v>0</v>
      </c>
      <c r="CK883">
        <v>0</v>
      </c>
      <c r="CL883">
        <v>0</v>
      </c>
      <c r="CM883">
        <v>0</v>
      </c>
    </row>
    <row r="884" spans="82:91" x14ac:dyDescent="0.25">
      <c r="CD884">
        <v>3360</v>
      </c>
      <c r="CE884">
        <v>384</v>
      </c>
      <c r="CF884">
        <v>144</v>
      </c>
      <c r="CG884">
        <v>0</v>
      </c>
      <c r="CH884">
        <v>0</v>
      </c>
      <c r="CI884">
        <v>0</v>
      </c>
      <c r="CJ884">
        <v>0</v>
      </c>
      <c r="CK884">
        <v>0</v>
      </c>
      <c r="CL884">
        <v>0</v>
      </c>
      <c r="CM884">
        <v>0</v>
      </c>
    </row>
    <row r="885" spans="82:91" x14ac:dyDescent="0.25">
      <c r="CD885">
        <v>3360</v>
      </c>
      <c r="CE885">
        <v>384</v>
      </c>
      <c r="CF885">
        <v>144</v>
      </c>
      <c r="CG885">
        <v>0</v>
      </c>
      <c r="CH885">
        <v>0</v>
      </c>
      <c r="CI885">
        <v>0</v>
      </c>
      <c r="CJ885">
        <v>0</v>
      </c>
      <c r="CK885">
        <v>0</v>
      </c>
      <c r="CL885">
        <v>0</v>
      </c>
      <c r="CM885">
        <v>0</v>
      </c>
    </row>
    <row r="886" spans="82:91" x14ac:dyDescent="0.25">
      <c r="CD886">
        <v>3360</v>
      </c>
      <c r="CE886">
        <v>384</v>
      </c>
      <c r="CF886">
        <v>144</v>
      </c>
      <c r="CG886">
        <v>0</v>
      </c>
      <c r="CH886">
        <v>0</v>
      </c>
      <c r="CI886">
        <v>0</v>
      </c>
      <c r="CJ886">
        <v>0</v>
      </c>
      <c r="CK886">
        <v>0</v>
      </c>
      <c r="CL886">
        <v>0</v>
      </c>
      <c r="CM886">
        <v>0</v>
      </c>
    </row>
    <row r="887" spans="82:91" x14ac:dyDescent="0.25">
      <c r="CD887">
        <v>3360</v>
      </c>
      <c r="CE887">
        <v>384</v>
      </c>
      <c r="CF887">
        <v>144</v>
      </c>
      <c r="CG887">
        <v>0</v>
      </c>
      <c r="CH887">
        <v>0</v>
      </c>
      <c r="CI887">
        <v>0</v>
      </c>
      <c r="CJ887">
        <v>0</v>
      </c>
      <c r="CK887">
        <v>0</v>
      </c>
      <c r="CL887">
        <v>0</v>
      </c>
      <c r="CM887">
        <v>0</v>
      </c>
    </row>
    <row r="888" spans="82:91" x14ac:dyDescent="0.25">
      <c r="CD888">
        <v>3360</v>
      </c>
      <c r="CE888">
        <v>384</v>
      </c>
      <c r="CF888">
        <v>144</v>
      </c>
      <c r="CG888">
        <v>0</v>
      </c>
      <c r="CH888">
        <v>0</v>
      </c>
      <c r="CI888">
        <v>0</v>
      </c>
      <c r="CJ888">
        <v>0</v>
      </c>
      <c r="CK888">
        <v>0</v>
      </c>
      <c r="CL888">
        <v>0</v>
      </c>
      <c r="CM888">
        <v>0</v>
      </c>
    </row>
    <row r="889" spans="82:91" x14ac:dyDescent="0.25">
      <c r="CD889">
        <v>3360</v>
      </c>
      <c r="CE889">
        <v>384</v>
      </c>
      <c r="CF889">
        <v>144</v>
      </c>
      <c r="CG889">
        <v>0</v>
      </c>
      <c r="CH889">
        <v>0</v>
      </c>
      <c r="CI889">
        <v>0</v>
      </c>
      <c r="CJ889">
        <v>0</v>
      </c>
      <c r="CK889">
        <v>0</v>
      </c>
      <c r="CL889">
        <v>0</v>
      </c>
      <c r="CM889">
        <v>0</v>
      </c>
    </row>
    <row r="890" spans="82:91" x14ac:dyDescent="0.25">
      <c r="CD890">
        <v>3360</v>
      </c>
      <c r="CE890">
        <v>384</v>
      </c>
      <c r="CF890">
        <v>144</v>
      </c>
      <c r="CG890">
        <v>0</v>
      </c>
      <c r="CH890">
        <v>0</v>
      </c>
      <c r="CI890">
        <v>0</v>
      </c>
      <c r="CJ890">
        <v>0</v>
      </c>
      <c r="CK890">
        <v>0</v>
      </c>
      <c r="CL890">
        <v>0</v>
      </c>
      <c r="CM890">
        <v>0</v>
      </c>
    </row>
    <row r="891" spans="82:91" x14ac:dyDescent="0.25">
      <c r="CD891">
        <v>3360</v>
      </c>
      <c r="CE891">
        <v>384</v>
      </c>
      <c r="CF891">
        <v>144</v>
      </c>
      <c r="CG891">
        <v>0</v>
      </c>
      <c r="CH891">
        <v>0</v>
      </c>
      <c r="CI891">
        <v>0</v>
      </c>
      <c r="CJ891">
        <v>0</v>
      </c>
      <c r="CK891">
        <v>0</v>
      </c>
      <c r="CL891">
        <v>0</v>
      </c>
      <c r="CM891">
        <v>0</v>
      </c>
    </row>
    <row r="892" spans="82:91" x14ac:dyDescent="0.25">
      <c r="CD892">
        <v>3360</v>
      </c>
      <c r="CE892">
        <v>384</v>
      </c>
      <c r="CF892">
        <v>144</v>
      </c>
      <c r="CG892">
        <v>0</v>
      </c>
      <c r="CH892">
        <v>0</v>
      </c>
      <c r="CI892">
        <v>0</v>
      </c>
      <c r="CJ892">
        <v>0</v>
      </c>
      <c r="CK892">
        <v>0</v>
      </c>
      <c r="CL892">
        <v>0</v>
      </c>
      <c r="CM892">
        <v>0</v>
      </c>
    </row>
    <row r="893" spans="82:91" x14ac:dyDescent="0.25">
      <c r="CD893">
        <v>3360</v>
      </c>
      <c r="CE893">
        <v>384</v>
      </c>
      <c r="CF893">
        <v>144</v>
      </c>
      <c r="CG893">
        <v>0</v>
      </c>
      <c r="CH893">
        <v>0</v>
      </c>
      <c r="CI893">
        <v>0</v>
      </c>
      <c r="CJ893">
        <v>0</v>
      </c>
      <c r="CK893">
        <v>0</v>
      </c>
      <c r="CL893">
        <v>0</v>
      </c>
      <c r="CM893">
        <v>0</v>
      </c>
    </row>
    <row r="894" spans="82:91" x14ac:dyDescent="0.25">
      <c r="CD894">
        <v>3360</v>
      </c>
      <c r="CE894">
        <v>384</v>
      </c>
      <c r="CF894">
        <v>144</v>
      </c>
      <c r="CG894">
        <v>0</v>
      </c>
      <c r="CH894">
        <v>0</v>
      </c>
      <c r="CI894">
        <v>0</v>
      </c>
      <c r="CJ894">
        <v>0</v>
      </c>
      <c r="CK894">
        <v>0</v>
      </c>
      <c r="CL894">
        <v>0</v>
      </c>
      <c r="CM894">
        <v>0</v>
      </c>
    </row>
    <row r="895" spans="82:91" x14ac:dyDescent="0.25">
      <c r="CD895">
        <v>3360</v>
      </c>
      <c r="CE895">
        <v>384</v>
      </c>
      <c r="CF895">
        <v>144</v>
      </c>
      <c r="CG895">
        <v>0</v>
      </c>
      <c r="CH895">
        <v>0</v>
      </c>
      <c r="CI895">
        <v>0</v>
      </c>
      <c r="CJ895">
        <v>0</v>
      </c>
      <c r="CK895">
        <v>0</v>
      </c>
      <c r="CL895">
        <v>0</v>
      </c>
      <c r="CM895">
        <v>0</v>
      </c>
    </row>
    <row r="896" spans="82:91" x14ac:dyDescent="0.25">
      <c r="CD896">
        <v>3360</v>
      </c>
      <c r="CE896">
        <v>384</v>
      </c>
      <c r="CF896">
        <v>144</v>
      </c>
      <c r="CG896">
        <v>0</v>
      </c>
      <c r="CH896">
        <v>0</v>
      </c>
      <c r="CI896">
        <v>0</v>
      </c>
      <c r="CJ896">
        <v>0</v>
      </c>
      <c r="CK896">
        <v>0</v>
      </c>
      <c r="CL896">
        <v>0</v>
      </c>
      <c r="CM896">
        <v>0</v>
      </c>
    </row>
    <row r="897" spans="82:91" x14ac:dyDescent="0.25">
      <c r="CD897">
        <v>3360</v>
      </c>
      <c r="CE897">
        <v>384</v>
      </c>
      <c r="CF897">
        <v>144</v>
      </c>
      <c r="CG897">
        <v>0</v>
      </c>
      <c r="CH897">
        <v>0</v>
      </c>
      <c r="CI897">
        <v>0</v>
      </c>
      <c r="CJ897">
        <v>0</v>
      </c>
      <c r="CK897">
        <v>0</v>
      </c>
      <c r="CL897">
        <v>0</v>
      </c>
      <c r="CM897">
        <v>0</v>
      </c>
    </row>
    <row r="898" spans="82:91" x14ac:dyDescent="0.25">
      <c r="CD898">
        <v>3360</v>
      </c>
      <c r="CE898">
        <v>384</v>
      </c>
      <c r="CF898">
        <v>144</v>
      </c>
      <c r="CG898">
        <v>0</v>
      </c>
      <c r="CH898">
        <v>0</v>
      </c>
      <c r="CI898">
        <v>0</v>
      </c>
      <c r="CJ898">
        <v>0</v>
      </c>
      <c r="CK898">
        <v>0</v>
      </c>
      <c r="CL898">
        <v>0</v>
      </c>
      <c r="CM898">
        <v>0</v>
      </c>
    </row>
    <row r="899" spans="82:91" x14ac:dyDescent="0.25">
      <c r="CD899">
        <v>3360</v>
      </c>
      <c r="CE899">
        <v>384</v>
      </c>
      <c r="CF899">
        <v>144</v>
      </c>
      <c r="CG899">
        <v>0</v>
      </c>
      <c r="CH899">
        <v>0</v>
      </c>
      <c r="CI899">
        <v>0</v>
      </c>
      <c r="CJ899">
        <v>0</v>
      </c>
      <c r="CK899">
        <v>0</v>
      </c>
      <c r="CL899">
        <v>0</v>
      </c>
      <c r="CM899">
        <v>0</v>
      </c>
    </row>
    <row r="900" spans="82:91" x14ac:dyDescent="0.25">
      <c r="CD900">
        <v>3360</v>
      </c>
      <c r="CE900">
        <v>384</v>
      </c>
      <c r="CF900">
        <v>96</v>
      </c>
      <c r="CG900">
        <v>0</v>
      </c>
      <c r="CH900">
        <v>0</v>
      </c>
      <c r="CI900">
        <v>0</v>
      </c>
      <c r="CJ900">
        <v>0</v>
      </c>
      <c r="CK900">
        <v>0</v>
      </c>
      <c r="CL900">
        <v>0</v>
      </c>
      <c r="CM900">
        <v>0</v>
      </c>
    </row>
    <row r="901" spans="82:91" x14ac:dyDescent="0.25">
      <c r="CD901">
        <v>3360</v>
      </c>
      <c r="CE901">
        <v>384</v>
      </c>
      <c r="CF901">
        <v>96</v>
      </c>
      <c r="CG901">
        <v>0</v>
      </c>
      <c r="CH901">
        <v>0</v>
      </c>
      <c r="CI901">
        <v>0</v>
      </c>
      <c r="CJ901">
        <v>0</v>
      </c>
      <c r="CK901">
        <v>0</v>
      </c>
      <c r="CL901">
        <v>0</v>
      </c>
      <c r="CM901">
        <v>0</v>
      </c>
    </row>
    <row r="902" spans="82:91" x14ac:dyDescent="0.25">
      <c r="CD902">
        <v>3360</v>
      </c>
      <c r="CE902">
        <v>384</v>
      </c>
      <c r="CF902">
        <v>96</v>
      </c>
      <c r="CG902">
        <v>0</v>
      </c>
      <c r="CH902">
        <v>0</v>
      </c>
      <c r="CI902">
        <v>0</v>
      </c>
      <c r="CJ902">
        <v>0</v>
      </c>
      <c r="CK902">
        <v>0</v>
      </c>
      <c r="CL902">
        <v>0</v>
      </c>
      <c r="CM902">
        <v>0</v>
      </c>
    </row>
    <row r="903" spans="82:91" x14ac:dyDescent="0.25">
      <c r="CD903">
        <v>3360</v>
      </c>
      <c r="CE903">
        <v>384</v>
      </c>
      <c r="CF903">
        <v>96</v>
      </c>
      <c r="CG903">
        <v>0</v>
      </c>
      <c r="CH903">
        <v>0</v>
      </c>
      <c r="CI903">
        <v>0</v>
      </c>
      <c r="CJ903">
        <v>0</v>
      </c>
      <c r="CK903">
        <v>0</v>
      </c>
      <c r="CL903">
        <v>0</v>
      </c>
      <c r="CM903">
        <v>0</v>
      </c>
    </row>
    <row r="904" spans="82:91" x14ac:dyDescent="0.25">
      <c r="CD904">
        <v>3360</v>
      </c>
      <c r="CE904">
        <v>384</v>
      </c>
      <c r="CF904">
        <v>96</v>
      </c>
      <c r="CG904">
        <v>0</v>
      </c>
      <c r="CH904">
        <v>0</v>
      </c>
      <c r="CI904">
        <v>0</v>
      </c>
      <c r="CJ904">
        <v>0</v>
      </c>
      <c r="CK904">
        <v>0</v>
      </c>
      <c r="CL904">
        <v>0</v>
      </c>
      <c r="CM904">
        <v>0</v>
      </c>
    </row>
    <row r="905" spans="82:91" x14ac:dyDescent="0.25">
      <c r="CD905">
        <v>3360</v>
      </c>
      <c r="CE905">
        <v>384</v>
      </c>
      <c r="CF905">
        <v>96</v>
      </c>
      <c r="CG905">
        <v>0</v>
      </c>
      <c r="CH905">
        <v>0</v>
      </c>
      <c r="CI905">
        <v>0</v>
      </c>
      <c r="CJ905">
        <v>0</v>
      </c>
      <c r="CK905">
        <v>0</v>
      </c>
      <c r="CL905">
        <v>0</v>
      </c>
      <c r="CM905">
        <v>0</v>
      </c>
    </row>
    <row r="906" spans="82:91" x14ac:dyDescent="0.25">
      <c r="CD906">
        <v>3360</v>
      </c>
      <c r="CE906">
        <v>384</v>
      </c>
      <c r="CF906">
        <v>96</v>
      </c>
      <c r="CG906">
        <v>0</v>
      </c>
      <c r="CH906">
        <v>0</v>
      </c>
      <c r="CI906">
        <v>0</v>
      </c>
      <c r="CJ906">
        <v>0</v>
      </c>
      <c r="CK906">
        <v>0</v>
      </c>
      <c r="CL906">
        <v>0</v>
      </c>
      <c r="CM906">
        <v>0</v>
      </c>
    </row>
    <row r="907" spans="82:91" x14ac:dyDescent="0.25">
      <c r="CD907">
        <v>3360</v>
      </c>
      <c r="CE907">
        <v>384</v>
      </c>
      <c r="CF907">
        <v>96</v>
      </c>
      <c r="CG907">
        <v>0</v>
      </c>
      <c r="CH907">
        <v>0</v>
      </c>
      <c r="CI907">
        <v>0</v>
      </c>
      <c r="CJ907">
        <v>0</v>
      </c>
      <c r="CK907">
        <v>0</v>
      </c>
      <c r="CL907">
        <v>0</v>
      </c>
      <c r="CM907">
        <v>0</v>
      </c>
    </row>
    <row r="908" spans="82:91" x14ac:dyDescent="0.25">
      <c r="CD908">
        <v>3360</v>
      </c>
      <c r="CE908">
        <v>384</v>
      </c>
      <c r="CF908">
        <v>96</v>
      </c>
      <c r="CG908">
        <v>0</v>
      </c>
      <c r="CH908">
        <v>0</v>
      </c>
      <c r="CI908">
        <v>0</v>
      </c>
      <c r="CJ908">
        <v>0</v>
      </c>
      <c r="CK908">
        <v>0</v>
      </c>
      <c r="CL908">
        <v>0</v>
      </c>
      <c r="CM908">
        <v>0</v>
      </c>
    </row>
    <row r="909" spans="82:91" x14ac:dyDescent="0.25">
      <c r="CD909">
        <v>3360</v>
      </c>
      <c r="CE909">
        <v>384</v>
      </c>
      <c r="CF909">
        <v>96</v>
      </c>
      <c r="CG909">
        <v>0</v>
      </c>
      <c r="CH909">
        <v>0</v>
      </c>
      <c r="CI909">
        <v>0</v>
      </c>
      <c r="CJ909">
        <v>0</v>
      </c>
      <c r="CK909">
        <v>0</v>
      </c>
      <c r="CL909">
        <v>0</v>
      </c>
      <c r="CM909">
        <v>0</v>
      </c>
    </row>
    <row r="910" spans="82:91" x14ac:dyDescent="0.25">
      <c r="CD910">
        <v>3360</v>
      </c>
      <c r="CE910">
        <v>384</v>
      </c>
      <c r="CF910">
        <v>96</v>
      </c>
      <c r="CG910">
        <v>0</v>
      </c>
      <c r="CH910">
        <v>0</v>
      </c>
      <c r="CI910">
        <v>0</v>
      </c>
      <c r="CJ910">
        <v>0</v>
      </c>
      <c r="CK910">
        <v>0</v>
      </c>
      <c r="CL910">
        <v>0</v>
      </c>
      <c r="CM910">
        <v>0</v>
      </c>
    </row>
    <row r="911" spans="82:91" x14ac:dyDescent="0.25">
      <c r="CD911">
        <v>3360</v>
      </c>
      <c r="CE911">
        <v>384</v>
      </c>
      <c r="CF911">
        <v>96</v>
      </c>
      <c r="CG911">
        <v>0</v>
      </c>
      <c r="CH911">
        <v>0</v>
      </c>
      <c r="CI911">
        <v>0</v>
      </c>
      <c r="CJ911">
        <v>0</v>
      </c>
      <c r="CK911">
        <v>0</v>
      </c>
      <c r="CL911">
        <v>0</v>
      </c>
      <c r="CM911">
        <v>0</v>
      </c>
    </row>
    <row r="912" spans="82:91" x14ac:dyDescent="0.25">
      <c r="CD912">
        <v>3360</v>
      </c>
      <c r="CE912">
        <v>384</v>
      </c>
      <c r="CF912">
        <v>96</v>
      </c>
      <c r="CG912">
        <v>0</v>
      </c>
      <c r="CH912">
        <v>0</v>
      </c>
      <c r="CI912">
        <v>0</v>
      </c>
      <c r="CJ912">
        <v>0</v>
      </c>
      <c r="CK912">
        <v>0</v>
      </c>
      <c r="CL912">
        <v>0</v>
      </c>
      <c r="CM912">
        <v>0</v>
      </c>
    </row>
    <row r="913" spans="82:91" x14ac:dyDescent="0.25">
      <c r="CD913">
        <v>3360</v>
      </c>
      <c r="CE913">
        <v>384</v>
      </c>
      <c r="CF913">
        <v>96</v>
      </c>
      <c r="CG913">
        <v>0</v>
      </c>
      <c r="CH913">
        <v>0</v>
      </c>
      <c r="CI913">
        <v>0</v>
      </c>
      <c r="CJ913">
        <v>0</v>
      </c>
      <c r="CK913">
        <v>0</v>
      </c>
      <c r="CL913">
        <v>0</v>
      </c>
      <c r="CM913">
        <v>0</v>
      </c>
    </row>
    <row r="914" spans="82:91" x14ac:dyDescent="0.25">
      <c r="CD914">
        <v>3360</v>
      </c>
      <c r="CE914">
        <v>384</v>
      </c>
      <c r="CF914">
        <v>96</v>
      </c>
      <c r="CG914">
        <v>0</v>
      </c>
      <c r="CH914">
        <v>0</v>
      </c>
      <c r="CI914">
        <v>0</v>
      </c>
      <c r="CJ914">
        <v>0</v>
      </c>
      <c r="CK914">
        <v>0</v>
      </c>
      <c r="CL914">
        <v>0</v>
      </c>
      <c r="CM914">
        <v>0</v>
      </c>
    </row>
    <row r="915" spans="82:91" x14ac:dyDescent="0.25">
      <c r="CD915">
        <v>3360</v>
      </c>
      <c r="CE915">
        <v>384</v>
      </c>
      <c r="CF915">
        <v>96</v>
      </c>
      <c r="CG915">
        <v>0</v>
      </c>
      <c r="CH915">
        <v>0</v>
      </c>
      <c r="CI915">
        <v>0</v>
      </c>
      <c r="CJ915">
        <v>0</v>
      </c>
      <c r="CK915">
        <v>0</v>
      </c>
      <c r="CL915">
        <v>0</v>
      </c>
      <c r="CM915">
        <v>0</v>
      </c>
    </row>
    <row r="916" spans="82:91" x14ac:dyDescent="0.25">
      <c r="CD916">
        <v>3360</v>
      </c>
      <c r="CE916">
        <v>384</v>
      </c>
      <c r="CF916">
        <v>96</v>
      </c>
      <c r="CG916">
        <v>0</v>
      </c>
      <c r="CH916">
        <v>0</v>
      </c>
      <c r="CI916">
        <v>0</v>
      </c>
      <c r="CJ916">
        <v>0</v>
      </c>
      <c r="CK916">
        <v>0</v>
      </c>
      <c r="CL916">
        <v>0</v>
      </c>
      <c r="CM916">
        <v>0</v>
      </c>
    </row>
    <row r="917" spans="82:91" x14ac:dyDescent="0.25">
      <c r="CD917">
        <v>3360</v>
      </c>
      <c r="CE917">
        <v>384</v>
      </c>
      <c r="CF917">
        <v>96</v>
      </c>
      <c r="CG917">
        <v>0</v>
      </c>
      <c r="CH917">
        <v>0</v>
      </c>
      <c r="CI917">
        <v>0</v>
      </c>
      <c r="CJ917">
        <v>0</v>
      </c>
      <c r="CK917">
        <v>0</v>
      </c>
      <c r="CL917">
        <v>0</v>
      </c>
      <c r="CM917">
        <v>0</v>
      </c>
    </row>
    <row r="918" spans="82:91" x14ac:dyDescent="0.25">
      <c r="CD918">
        <v>3360</v>
      </c>
      <c r="CE918">
        <v>384</v>
      </c>
      <c r="CF918">
        <v>96</v>
      </c>
      <c r="CG918">
        <v>0</v>
      </c>
      <c r="CH918">
        <v>0</v>
      </c>
      <c r="CI918">
        <v>0</v>
      </c>
      <c r="CJ918">
        <v>0</v>
      </c>
      <c r="CK918">
        <v>0</v>
      </c>
      <c r="CL918">
        <v>0</v>
      </c>
      <c r="CM918">
        <v>0</v>
      </c>
    </row>
    <row r="919" spans="82:91" x14ac:dyDescent="0.25">
      <c r="CD919">
        <v>3360</v>
      </c>
      <c r="CE919">
        <v>384</v>
      </c>
      <c r="CF919">
        <v>96</v>
      </c>
      <c r="CG919">
        <v>0</v>
      </c>
      <c r="CH919">
        <v>0</v>
      </c>
      <c r="CI919">
        <v>0</v>
      </c>
      <c r="CJ919">
        <v>0</v>
      </c>
      <c r="CK919">
        <v>0</v>
      </c>
      <c r="CL919">
        <v>0</v>
      </c>
      <c r="CM919">
        <v>0</v>
      </c>
    </row>
    <row r="920" spans="82:91" x14ac:dyDescent="0.25">
      <c r="CD920">
        <v>3360</v>
      </c>
      <c r="CE920">
        <v>384</v>
      </c>
      <c r="CF920">
        <v>96</v>
      </c>
      <c r="CG920">
        <v>0</v>
      </c>
      <c r="CH920">
        <v>0</v>
      </c>
      <c r="CI920">
        <v>0</v>
      </c>
      <c r="CJ920">
        <v>0</v>
      </c>
      <c r="CK920">
        <v>0</v>
      </c>
      <c r="CL920">
        <v>0</v>
      </c>
      <c r="CM920">
        <v>0</v>
      </c>
    </row>
    <row r="921" spans="82:91" x14ac:dyDescent="0.25">
      <c r="CD921">
        <v>3360</v>
      </c>
      <c r="CE921">
        <v>384</v>
      </c>
      <c r="CF921">
        <v>96</v>
      </c>
      <c r="CG921">
        <v>0</v>
      </c>
      <c r="CH921">
        <v>0</v>
      </c>
      <c r="CI921">
        <v>0</v>
      </c>
      <c r="CJ921">
        <v>0</v>
      </c>
      <c r="CK921">
        <v>0</v>
      </c>
      <c r="CL921">
        <v>0</v>
      </c>
      <c r="CM921">
        <v>0</v>
      </c>
    </row>
    <row r="922" spans="82:91" x14ac:dyDescent="0.25">
      <c r="CD922">
        <v>3360</v>
      </c>
      <c r="CE922">
        <v>384</v>
      </c>
      <c r="CF922">
        <v>96</v>
      </c>
      <c r="CG922">
        <v>0</v>
      </c>
      <c r="CH922">
        <v>0</v>
      </c>
      <c r="CI922">
        <v>0</v>
      </c>
      <c r="CJ922">
        <v>0</v>
      </c>
      <c r="CK922">
        <v>0</v>
      </c>
      <c r="CL922">
        <v>0</v>
      </c>
      <c r="CM922">
        <v>0</v>
      </c>
    </row>
    <row r="923" spans="82:91" x14ac:dyDescent="0.25">
      <c r="CD923">
        <v>3360</v>
      </c>
      <c r="CE923">
        <v>384</v>
      </c>
      <c r="CF923">
        <v>96</v>
      </c>
      <c r="CG923">
        <v>0</v>
      </c>
      <c r="CH923">
        <v>0</v>
      </c>
      <c r="CI923">
        <v>0</v>
      </c>
      <c r="CJ923">
        <v>0</v>
      </c>
      <c r="CK923">
        <v>0</v>
      </c>
      <c r="CL923">
        <v>0</v>
      </c>
      <c r="CM923">
        <v>0</v>
      </c>
    </row>
    <row r="924" spans="82:91" x14ac:dyDescent="0.25">
      <c r="CD924">
        <v>3360</v>
      </c>
      <c r="CE924">
        <v>384</v>
      </c>
      <c r="CF924">
        <v>96</v>
      </c>
      <c r="CG924">
        <v>0</v>
      </c>
      <c r="CH924">
        <v>0</v>
      </c>
      <c r="CI924">
        <v>0</v>
      </c>
      <c r="CJ924">
        <v>0</v>
      </c>
      <c r="CK924">
        <v>0</v>
      </c>
      <c r="CL924">
        <v>0</v>
      </c>
      <c r="CM924">
        <v>0</v>
      </c>
    </row>
    <row r="925" spans="82:91" x14ac:dyDescent="0.25">
      <c r="CD925">
        <v>3360</v>
      </c>
      <c r="CE925">
        <v>384</v>
      </c>
      <c r="CF925">
        <v>96</v>
      </c>
      <c r="CG925">
        <v>0</v>
      </c>
      <c r="CH925">
        <v>0</v>
      </c>
      <c r="CI925">
        <v>0</v>
      </c>
      <c r="CJ925">
        <v>0</v>
      </c>
      <c r="CK925">
        <v>0</v>
      </c>
      <c r="CL925">
        <v>0</v>
      </c>
      <c r="CM925">
        <v>0</v>
      </c>
    </row>
    <row r="926" spans="82:91" x14ac:dyDescent="0.25">
      <c r="CD926">
        <v>3360</v>
      </c>
      <c r="CE926">
        <v>384</v>
      </c>
      <c r="CF926">
        <v>96</v>
      </c>
      <c r="CG926">
        <v>0</v>
      </c>
      <c r="CH926">
        <v>0</v>
      </c>
      <c r="CI926">
        <v>0</v>
      </c>
      <c r="CJ926">
        <v>0</v>
      </c>
      <c r="CK926">
        <v>0</v>
      </c>
      <c r="CL926">
        <v>0</v>
      </c>
      <c r="CM926">
        <v>0</v>
      </c>
    </row>
    <row r="927" spans="82:91" x14ac:dyDescent="0.25">
      <c r="CD927">
        <v>3360</v>
      </c>
      <c r="CE927">
        <v>384</v>
      </c>
      <c r="CF927">
        <v>96</v>
      </c>
      <c r="CG927">
        <v>0</v>
      </c>
      <c r="CH927">
        <v>0</v>
      </c>
      <c r="CI927">
        <v>0</v>
      </c>
      <c r="CJ927">
        <v>0</v>
      </c>
      <c r="CK927">
        <v>0</v>
      </c>
      <c r="CL927">
        <v>0</v>
      </c>
      <c r="CM927">
        <v>0</v>
      </c>
    </row>
    <row r="928" spans="82:91" x14ac:dyDescent="0.25">
      <c r="CD928">
        <v>3360</v>
      </c>
      <c r="CE928">
        <v>384</v>
      </c>
      <c r="CF928">
        <v>96</v>
      </c>
      <c r="CG928">
        <v>0</v>
      </c>
      <c r="CH928">
        <v>0</v>
      </c>
      <c r="CI928">
        <v>0</v>
      </c>
      <c r="CJ928">
        <v>0</v>
      </c>
      <c r="CK928">
        <v>0</v>
      </c>
      <c r="CL928">
        <v>0</v>
      </c>
      <c r="CM928">
        <v>0</v>
      </c>
    </row>
    <row r="929" spans="82:91" x14ac:dyDescent="0.25">
      <c r="CD929">
        <v>3360</v>
      </c>
      <c r="CE929">
        <v>384</v>
      </c>
      <c r="CF929">
        <v>96</v>
      </c>
      <c r="CG929">
        <v>0</v>
      </c>
      <c r="CH929">
        <v>0</v>
      </c>
      <c r="CI929">
        <v>0</v>
      </c>
      <c r="CJ929">
        <v>0</v>
      </c>
      <c r="CK929">
        <v>0</v>
      </c>
      <c r="CL929">
        <v>0</v>
      </c>
      <c r="CM929">
        <v>0</v>
      </c>
    </row>
    <row r="930" spans="82:91" x14ac:dyDescent="0.25">
      <c r="CD930">
        <v>3360</v>
      </c>
      <c r="CE930">
        <v>384</v>
      </c>
      <c r="CF930">
        <v>96</v>
      </c>
      <c r="CG930">
        <v>0</v>
      </c>
      <c r="CH930">
        <v>0</v>
      </c>
      <c r="CI930">
        <v>0</v>
      </c>
      <c r="CJ930">
        <v>0</v>
      </c>
      <c r="CK930">
        <v>0</v>
      </c>
      <c r="CL930">
        <v>0</v>
      </c>
      <c r="CM930">
        <v>0</v>
      </c>
    </row>
    <row r="931" spans="82:91" x14ac:dyDescent="0.25">
      <c r="CD931">
        <v>3360</v>
      </c>
      <c r="CE931">
        <v>384</v>
      </c>
      <c r="CF931">
        <v>96</v>
      </c>
      <c r="CG931">
        <v>0</v>
      </c>
      <c r="CH931">
        <v>0</v>
      </c>
      <c r="CI931">
        <v>0</v>
      </c>
      <c r="CJ931">
        <v>0</v>
      </c>
      <c r="CK931">
        <v>0</v>
      </c>
      <c r="CL931">
        <v>0</v>
      </c>
      <c r="CM931">
        <v>0</v>
      </c>
    </row>
    <row r="932" spans="82:91" x14ac:dyDescent="0.25">
      <c r="CD932">
        <v>3360</v>
      </c>
      <c r="CE932">
        <v>384</v>
      </c>
      <c r="CF932">
        <v>96</v>
      </c>
      <c r="CG932">
        <v>0</v>
      </c>
      <c r="CH932">
        <v>0</v>
      </c>
      <c r="CI932">
        <v>0</v>
      </c>
      <c r="CJ932">
        <v>0</v>
      </c>
      <c r="CK932">
        <v>0</v>
      </c>
      <c r="CL932">
        <v>0</v>
      </c>
      <c r="CM932">
        <v>0</v>
      </c>
    </row>
    <row r="933" spans="82:91" x14ac:dyDescent="0.25">
      <c r="CD933">
        <v>3360</v>
      </c>
      <c r="CE933">
        <v>384</v>
      </c>
      <c r="CF933">
        <v>96</v>
      </c>
      <c r="CG933">
        <v>0</v>
      </c>
      <c r="CH933">
        <v>0</v>
      </c>
      <c r="CI933">
        <v>0</v>
      </c>
      <c r="CJ933">
        <v>0</v>
      </c>
      <c r="CK933">
        <v>0</v>
      </c>
      <c r="CL933">
        <v>0</v>
      </c>
      <c r="CM933">
        <v>0</v>
      </c>
    </row>
    <row r="934" spans="82:91" x14ac:dyDescent="0.25">
      <c r="CD934">
        <v>3360</v>
      </c>
      <c r="CE934">
        <v>384</v>
      </c>
      <c r="CF934">
        <v>96</v>
      </c>
      <c r="CG934">
        <v>0</v>
      </c>
      <c r="CH934">
        <v>0</v>
      </c>
      <c r="CI934">
        <v>0</v>
      </c>
      <c r="CJ934">
        <v>0</v>
      </c>
      <c r="CK934">
        <v>0</v>
      </c>
      <c r="CL934">
        <v>0</v>
      </c>
      <c r="CM934">
        <v>0</v>
      </c>
    </row>
    <row r="935" spans="82:91" x14ac:dyDescent="0.25">
      <c r="CD935">
        <v>3360</v>
      </c>
      <c r="CE935">
        <v>384</v>
      </c>
      <c r="CF935">
        <v>96</v>
      </c>
      <c r="CG935">
        <v>0</v>
      </c>
      <c r="CH935">
        <v>0</v>
      </c>
      <c r="CI935">
        <v>0</v>
      </c>
      <c r="CJ935">
        <v>0</v>
      </c>
      <c r="CK935">
        <v>0</v>
      </c>
      <c r="CL935">
        <v>0</v>
      </c>
      <c r="CM935">
        <v>0</v>
      </c>
    </row>
    <row r="936" spans="82:91" x14ac:dyDescent="0.25">
      <c r="CD936">
        <v>3360</v>
      </c>
      <c r="CE936">
        <v>384</v>
      </c>
      <c r="CF936">
        <v>96</v>
      </c>
      <c r="CG936">
        <v>0</v>
      </c>
      <c r="CH936">
        <v>0</v>
      </c>
      <c r="CI936">
        <v>0</v>
      </c>
      <c r="CJ936">
        <v>0</v>
      </c>
      <c r="CK936">
        <v>0</v>
      </c>
      <c r="CL936">
        <v>0</v>
      </c>
      <c r="CM936">
        <v>0</v>
      </c>
    </row>
    <row r="937" spans="82:91" x14ac:dyDescent="0.25">
      <c r="CD937">
        <v>3360</v>
      </c>
      <c r="CE937">
        <v>384</v>
      </c>
      <c r="CF937">
        <v>96</v>
      </c>
      <c r="CG937">
        <v>0</v>
      </c>
      <c r="CH937">
        <v>0</v>
      </c>
      <c r="CI937">
        <v>0</v>
      </c>
      <c r="CJ937">
        <v>0</v>
      </c>
      <c r="CK937">
        <v>0</v>
      </c>
      <c r="CL937">
        <v>0</v>
      </c>
      <c r="CM937">
        <v>0</v>
      </c>
    </row>
    <row r="938" spans="82:91" x14ac:dyDescent="0.25">
      <c r="CD938">
        <v>3360</v>
      </c>
      <c r="CE938">
        <v>384</v>
      </c>
      <c r="CF938">
        <v>96</v>
      </c>
      <c r="CG938">
        <v>0</v>
      </c>
      <c r="CH938">
        <v>0</v>
      </c>
      <c r="CI938">
        <v>0</v>
      </c>
      <c r="CJ938">
        <v>0</v>
      </c>
      <c r="CK938">
        <v>0</v>
      </c>
      <c r="CL938">
        <v>0</v>
      </c>
      <c r="CM938">
        <v>0</v>
      </c>
    </row>
    <row r="939" spans="82:91" x14ac:dyDescent="0.25">
      <c r="CD939">
        <v>3360</v>
      </c>
      <c r="CE939">
        <v>384</v>
      </c>
      <c r="CF939">
        <v>96</v>
      </c>
      <c r="CG939">
        <v>0</v>
      </c>
      <c r="CH939">
        <v>0</v>
      </c>
      <c r="CI939">
        <v>0</v>
      </c>
      <c r="CJ939">
        <v>0</v>
      </c>
      <c r="CK939">
        <v>0</v>
      </c>
      <c r="CL939">
        <v>0</v>
      </c>
      <c r="CM939">
        <v>0</v>
      </c>
    </row>
    <row r="940" spans="82:91" x14ac:dyDescent="0.25">
      <c r="CD940">
        <v>3360</v>
      </c>
      <c r="CE940">
        <v>384</v>
      </c>
      <c r="CF940">
        <v>96</v>
      </c>
      <c r="CG940">
        <v>0</v>
      </c>
      <c r="CH940">
        <v>0</v>
      </c>
      <c r="CI940">
        <v>0</v>
      </c>
      <c r="CJ940">
        <v>0</v>
      </c>
      <c r="CK940">
        <v>0</v>
      </c>
      <c r="CL940">
        <v>0</v>
      </c>
      <c r="CM940">
        <v>0</v>
      </c>
    </row>
    <row r="941" spans="82:91" x14ac:dyDescent="0.25">
      <c r="CD941">
        <v>3360</v>
      </c>
      <c r="CE941">
        <v>384</v>
      </c>
      <c r="CF941">
        <v>96</v>
      </c>
      <c r="CG941">
        <v>0</v>
      </c>
      <c r="CH941">
        <v>0</v>
      </c>
      <c r="CI941">
        <v>0</v>
      </c>
      <c r="CJ941">
        <v>0</v>
      </c>
      <c r="CK941">
        <v>0</v>
      </c>
      <c r="CL941">
        <v>0</v>
      </c>
      <c r="CM941">
        <v>0</v>
      </c>
    </row>
    <row r="942" spans="82:91" x14ac:dyDescent="0.25">
      <c r="CD942">
        <v>3360</v>
      </c>
      <c r="CE942">
        <v>384</v>
      </c>
      <c r="CF942">
        <v>96</v>
      </c>
      <c r="CG942">
        <v>0</v>
      </c>
      <c r="CH942">
        <v>0</v>
      </c>
      <c r="CI942">
        <v>0</v>
      </c>
      <c r="CJ942">
        <v>0</v>
      </c>
      <c r="CK942">
        <v>0</v>
      </c>
      <c r="CL942">
        <v>0</v>
      </c>
      <c r="CM942">
        <v>0</v>
      </c>
    </row>
    <row r="943" spans="82:91" x14ac:dyDescent="0.25">
      <c r="CD943">
        <v>3360</v>
      </c>
      <c r="CE943">
        <v>384</v>
      </c>
      <c r="CF943">
        <v>96</v>
      </c>
      <c r="CG943">
        <v>0</v>
      </c>
      <c r="CH943">
        <v>0</v>
      </c>
      <c r="CI943">
        <v>0</v>
      </c>
      <c r="CJ943">
        <v>0</v>
      </c>
      <c r="CK943">
        <v>0</v>
      </c>
      <c r="CL943">
        <v>0</v>
      </c>
      <c r="CM943">
        <v>0</v>
      </c>
    </row>
    <row r="944" spans="82:91" x14ac:dyDescent="0.25">
      <c r="CD944">
        <v>3360</v>
      </c>
      <c r="CE944">
        <v>384</v>
      </c>
      <c r="CF944">
        <v>96</v>
      </c>
      <c r="CG944">
        <v>0</v>
      </c>
      <c r="CH944">
        <v>0</v>
      </c>
      <c r="CI944">
        <v>0</v>
      </c>
      <c r="CJ944">
        <v>0</v>
      </c>
      <c r="CK944">
        <v>0</v>
      </c>
      <c r="CL944">
        <v>0</v>
      </c>
      <c r="CM944">
        <v>0</v>
      </c>
    </row>
    <row r="945" spans="82:91" x14ac:dyDescent="0.25">
      <c r="CD945">
        <v>3360</v>
      </c>
      <c r="CE945">
        <v>384</v>
      </c>
      <c r="CF945">
        <v>96</v>
      </c>
      <c r="CG945">
        <v>0</v>
      </c>
      <c r="CH945">
        <v>0</v>
      </c>
      <c r="CI945">
        <v>0</v>
      </c>
      <c r="CJ945">
        <v>0</v>
      </c>
      <c r="CK945">
        <v>0</v>
      </c>
      <c r="CL945">
        <v>0</v>
      </c>
      <c r="CM945">
        <v>0</v>
      </c>
    </row>
    <row r="946" spans="82:91" x14ac:dyDescent="0.25">
      <c r="CD946">
        <v>3360</v>
      </c>
      <c r="CE946">
        <v>384</v>
      </c>
      <c r="CF946">
        <v>96</v>
      </c>
      <c r="CG946">
        <v>0</v>
      </c>
      <c r="CH946">
        <v>0</v>
      </c>
      <c r="CI946">
        <v>0</v>
      </c>
      <c r="CJ946">
        <v>0</v>
      </c>
      <c r="CK946">
        <v>0</v>
      </c>
      <c r="CL946">
        <v>0</v>
      </c>
      <c r="CM946">
        <v>0</v>
      </c>
    </row>
    <row r="947" spans="82:91" x14ac:dyDescent="0.25">
      <c r="CD947">
        <v>3360</v>
      </c>
      <c r="CE947">
        <v>384</v>
      </c>
      <c r="CF947">
        <v>96</v>
      </c>
      <c r="CG947">
        <v>0</v>
      </c>
      <c r="CH947">
        <v>0</v>
      </c>
      <c r="CI947">
        <v>0</v>
      </c>
      <c r="CJ947">
        <v>0</v>
      </c>
      <c r="CK947">
        <v>0</v>
      </c>
      <c r="CL947">
        <v>0</v>
      </c>
      <c r="CM947">
        <v>0</v>
      </c>
    </row>
    <row r="948" spans="82:91" x14ac:dyDescent="0.25">
      <c r="CD948">
        <v>3360</v>
      </c>
      <c r="CE948">
        <v>384</v>
      </c>
      <c r="CF948">
        <v>96</v>
      </c>
      <c r="CG948">
        <v>0</v>
      </c>
      <c r="CH948">
        <v>0</v>
      </c>
      <c r="CI948">
        <v>0</v>
      </c>
      <c r="CJ948">
        <v>0</v>
      </c>
      <c r="CK948">
        <v>0</v>
      </c>
      <c r="CL948">
        <v>0</v>
      </c>
      <c r="CM948">
        <v>0</v>
      </c>
    </row>
    <row r="949" spans="82:91" x14ac:dyDescent="0.25">
      <c r="CD949">
        <v>3360</v>
      </c>
      <c r="CE949">
        <v>384</v>
      </c>
      <c r="CF949">
        <v>96</v>
      </c>
      <c r="CG949">
        <v>0</v>
      </c>
      <c r="CH949">
        <v>0</v>
      </c>
      <c r="CI949">
        <v>0</v>
      </c>
      <c r="CJ949">
        <v>0</v>
      </c>
      <c r="CK949">
        <v>0</v>
      </c>
      <c r="CL949">
        <v>0</v>
      </c>
      <c r="CM949">
        <v>0</v>
      </c>
    </row>
    <row r="950" spans="82:91" x14ac:dyDescent="0.25">
      <c r="CD950">
        <v>3360</v>
      </c>
      <c r="CE950">
        <v>384</v>
      </c>
      <c r="CF950">
        <v>96</v>
      </c>
      <c r="CG950">
        <v>0</v>
      </c>
      <c r="CH950">
        <v>0</v>
      </c>
      <c r="CI950">
        <v>0</v>
      </c>
      <c r="CJ950">
        <v>0</v>
      </c>
      <c r="CK950">
        <v>0</v>
      </c>
      <c r="CL950">
        <v>0</v>
      </c>
      <c r="CM950">
        <v>0</v>
      </c>
    </row>
    <row r="951" spans="82:91" x14ac:dyDescent="0.25">
      <c r="CD951">
        <v>3360</v>
      </c>
      <c r="CE951">
        <v>384</v>
      </c>
      <c r="CF951">
        <v>96</v>
      </c>
      <c r="CG951">
        <v>0</v>
      </c>
      <c r="CH951">
        <v>0</v>
      </c>
      <c r="CI951">
        <v>0</v>
      </c>
      <c r="CJ951">
        <v>0</v>
      </c>
      <c r="CK951">
        <v>0</v>
      </c>
      <c r="CL951">
        <v>0</v>
      </c>
      <c r="CM951">
        <v>0</v>
      </c>
    </row>
    <row r="952" spans="82:91" x14ac:dyDescent="0.25">
      <c r="CD952">
        <v>3360</v>
      </c>
      <c r="CE952">
        <v>384</v>
      </c>
      <c r="CF952">
        <v>96</v>
      </c>
      <c r="CG952">
        <v>0</v>
      </c>
      <c r="CH952">
        <v>0</v>
      </c>
      <c r="CI952">
        <v>0</v>
      </c>
      <c r="CJ952">
        <v>0</v>
      </c>
      <c r="CK952">
        <v>0</v>
      </c>
      <c r="CL952">
        <v>0</v>
      </c>
      <c r="CM952">
        <v>0</v>
      </c>
    </row>
    <row r="953" spans="82:91" x14ac:dyDescent="0.25">
      <c r="CD953">
        <v>3360</v>
      </c>
      <c r="CE953">
        <v>384</v>
      </c>
      <c r="CF953">
        <v>96</v>
      </c>
      <c r="CG953">
        <v>0</v>
      </c>
      <c r="CH953">
        <v>0</v>
      </c>
      <c r="CI953">
        <v>0</v>
      </c>
      <c r="CJ953">
        <v>0</v>
      </c>
      <c r="CK953">
        <v>0</v>
      </c>
      <c r="CL953">
        <v>0</v>
      </c>
      <c r="CM953">
        <v>0</v>
      </c>
    </row>
    <row r="954" spans="82:91" x14ac:dyDescent="0.25">
      <c r="CD954">
        <v>3360</v>
      </c>
      <c r="CE954">
        <v>384</v>
      </c>
      <c r="CF954">
        <v>96</v>
      </c>
      <c r="CG954">
        <v>0</v>
      </c>
      <c r="CH954">
        <v>0</v>
      </c>
      <c r="CI954">
        <v>0</v>
      </c>
      <c r="CJ954">
        <v>0</v>
      </c>
      <c r="CK954">
        <v>0</v>
      </c>
      <c r="CL954">
        <v>0</v>
      </c>
      <c r="CM954">
        <v>0</v>
      </c>
    </row>
    <row r="955" spans="82:91" x14ac:dyDescent="0.25">
      <c r="CD955">
        <v>3360</v>
      </c>
      <c r="CE955">
        <v>384</v>
      </c>
      <c r="CF955">
        <v>96</v>
      </c>
      <c r="CG955">
        <v>0</v>
      </c>
      <c r="CH955">
        <v>0</v>
      </c>
      <c r="CI955">
        <v>0</v>
      </c>
      <c r="CJ955">
        <v>0</v>
      </c>
      <c r="CK955">
        <v>0</v>
      </c>
      <c r="CL955">
        <v>0</v>
      </c>
      <c r="CM955">
        <v>0</v>
      </c>
    </row>
    <row r="956" spans="82:91" x14ac:dyDescent="0.25">
      <c r="CD956">
        <v>3360</v>
      </c>
      <c r="CE956">
        <v>384</v>
      </c>
      <c r="CF956">
        <v>96</v>
      </c>
      <c r="CG956">
        <v>0</v>
      </c>
      <c r="CH956">
        <v>0</v>
      </c>
      <c r="CI956">
        <v>0</v>
      </c>
      <c r="CJ956">
        <v>0</v>
      </c>
      <c r="CK956">
        <v>0</v>
      </c>
      <c r="CL956">
        <v>0</v>
      </c>
      <c r="CM956">
        <v>0</v>
      </c>
    </row>
    <row r="957" spans="82:91" x14ac:dyDescent="0.25">
      <c r="CD957">
        <v>3360</v>
      </c>
      <c r="CE957">
        <v>384</v>
      </c>
      <c r="CF957">
        <v>96</v>
      </c>
      <c r="CG957">
        <v>0</v>
      </c>
      <c r="CH957">
        <v>0</v>
      </c>
      <c r="CI957">
        <v>0</v>
      </c>
      <c r="CJ957">
        <v>0</v>
      </c>
      <c r="CK957">
        <v>0</v>
      </c>
      <c r="CL957">
        <v>0</v>
      </c>
      <c r="CM957">
        <v>0</v>
      </c>
    </row>
    <row r="958" spans="82:91" x14ac:dyDescent="0.25">
      <c r="CD958">
        <v>3360</v>
      </c>
      <c r="CE958">
        <v>384</v>
      </c>
      <c r="CF958">
        <v>96</v>
      </c>
      <c r="CG958">
        <v>0</v>
      </c>
      <c r="CH958">
        <v>0</v>
      </c>
      <c r="CI958">
        <v>0</v>
      </c>
      <c r="CJ958">
        <v>0</v>
      </c>
      <c r="CK958">
        <v>0</v>
      </c>
      <c r="CL958">
        <v>0</v>
      </c>
      <c r="CM958">
        <v>0</v>
      </c>
    </row>
    <row r="959" spans="82:91" x14ac:dyDescent="0.25">
      <c r="CD959">
        <v>3360</v>
      </c>
      <c r="CE959">
        <v>384</v>
      </c>
      <c r="CF959">
        <v>96</v>
      </c>
      <c r="CG959">
        <v>0</v>
      </c>
      <c r="CH959">
        <v>0</v>
      </c>
      <c r="CI959">
        <v>0</v>
      </c>
      <c r="CJ959">
        <v>0</v>
      </c>
      <c r="CK959">
        <v>0</v>
      </c>
      <c r="CL959">
        <v>0</v>
      </c>
      <c r="CM959">
        <v>0</v>
      </c>
    </row>
    <row r="960" spans="82:91" x14ac:dyDescent="0.25">
      <c r="CD960">
        <v>3360</v>
      </c>
      <c r="CE960">
        <v>384</v>
      </c>
      <c r="CF960">
        <v>96</v>
      </c>
      <c r="CG960">
        <v>0</v>
      </c>
      <c r="CH960">
        <v>0</v>
      </c>
      <c r="CI960">
        <v>0</v>
      </c>
      <c r="CJ960">
        <v>0</v>
      </c>
      <c r="CK960">
        <v>0</v>
      </c>
      <c r="CL960">
        <v>0</v>
      </c>
      <c r="CM960">
        <v>0</v>
      </c>
    </row>
    <row r="961" spans="82:91" x14ac:dyDescent="0.25">
      <c r="CD961">
        <v>3360</v>
      </c>
      <c r="CE961">
        <v>384</v>
      </c>
      <c r="CF961">
        <v>96</v>
      </c>
      <c r="CG961">
        <v>0</v>
      </c>
      <c r="CH961">
        <v>0</v>
      </c>
      <c r="CI961">
        <v>0</v>
      </c>
      <c r="CJ961">
        <v>0</v>
      </c>
      <c r="CK961">
        <v>0</v>
      </c>
      <c r="CL961">
        <v>0</v>
      </c>
      <c r="CM961">
        <v>0</v>
      </c>
    </row>
    <row r="962" spans="82:91" x14ac:dyDescent="0.25">
      <c r="CD962">
        <v>3360</v>
      </c>
      <c r="CE962">
        <v>384</v>
      </c>
      <c r="CF962">
        <v>96</v>
      </c>
      <c r="CG962">
        <v>0</v>
      </c>
      <c r="CH962">
        <v>0</v>
      </c>
      <c r="CI962">
        <v>0</v>
      </c>
      <c r="CJ962">
        <v>0</v>
      </c>
      <c r="CK962">
        <v>0</v>
      </c>
      <c r="CL962">
        <v>0</v>
      </c>
      <c r="CM962">
        <v>0</v>
      </c>
    </row>
    <row r="963" spans="82:91" x14ac:dyDescent="0.25">
      <c r="CD963">
        <v>3360</v>
      </c>
      <c r="CE963">
        <v>384</v>
      </c>
      <c r="CF963">
        <v>96</v>
      </c>
      <c r="CG963">
        <v>0</v>
      </c>
      <c r="CH963">
        <v>0</v>
      </c>
      <c r="CI963">
        <v>0</v>
      </c>
      <c r="CJ963">
        <v>0</v>
      </c>
      <c r="CK963">
        <v>0</v>
      </c>
      <c r="CL963">
        <v>0</v>
      </c>
      <c r="CM963">
        <v>0</v>
      </c>
    </row>
    <row r="964" spans="82:91" x14ac:dyDescent="0.25">
      <c r="CD964">
        <v>3360</v>
      </c>
      <c r="CE964">
        <v>384</v>
      </c>
      <c r="CF964">
        <v>96</v>
      </c>
      <c r="CG964">
        <v>0</v>
      </c>
      <c r="CH964">
        <v>0</v>
      </c>
      <c r="CI964">
        <v>0</v>
      </c>
      <c r="CJ964">
        <v>0</v>
      </c>
      <c r="CK964">
        <v>0</v>
      </c>
      <c r="CL964">
        <v>0</v>
      </c>
      <c r="CM964">
        <v>0</v>
      </c>
    </row>
    <row r="965" spans="82:91" x14ac:dyDescent="0.25">
      <c r="CD965">
        <v>3360</v>
      </c>
      <c r="CE965">
        <v>384</v>
      </c>
      <c r="CF965">
        <v>96</v>
      </c>
      <c r="CG965">
        <v>0</v>
      </c>
      <c r="CH965">
        <v>0</v>
      </c>
      <c r="CI965">
        <v>0</v>
      </c>
      <c r="CJ965">
        <v>0</v>
      </c>
      <c r="CK965">
        <v>0</v>
      </c>
      <c r="CL965">
        <v>0</v>
      </c>
      <c r="CM965">
        <v>0</v>
      </c>
    </row>
    <row r="966" spans="82:91" x14ac:dyDescent="0.25">
      <c r="CD966">
        <v>3360</v>
      </c>
      <c r="CE966">
        <v>384</v>
      </c>
      <c r="CF966">
        <v>96</v>
      </c>
      <c r="CG966">
        <v>0</v>
      </c>
      <c r="CH966">
        <v>0</v>
      </c>
      <c r="CI966">
        <v>0</v>
      </c>
      <c r="CJ966">
        <v>0</v>
      </c>
      <c r="CK966">
        <v>0</v>
      </c>
      <c r="CL966">
        <v>0</v>
      </c>
      <c r="CM966">
        <v>0</v>
      </c>
    </row>
    <row r="967" spans="82:91" x14ac:dyDescent="0.25">
      <c r="CD967">
        <v>3360</v>
      </c>
      <c r="CE967">
        <v>384</v>
      </c>
      <c r="CF967">
        <v>96</v>
      </c>
      <c r="CG967">
        <v>0</v>
      </c>
      <c r="CH967">
        <v>0</v>
      </c>
      <c r="CI967">
        <v>0</v>
      </c>
      <c r="CJ967">
        <v>0</v>
      </c>
      <c r="CK967">
        <v>0</v>
      </c>
      <c r="CL967">
        <v>0</v>
      </c>
      <c r="CM967">
        <v>0</v>
      </c>
    </row>
    <row r="968" spans="82:91" x14ac:dyDescent="0.25">
      <c r="CD968">
        <v>3360</v>
      </c>
      <c r="CE968">
        <v>384</v>
      </c>
      <c r="CF968">
        <v>96</v>
      </c>
      <c r="CG968">
        <v>0</v>
      </c>
      <c r="CH968">
        <v>0</v>
      </c>
      <c r="CI968">
        <v>0</v>
      </c>
      <c r="CJ968">
        <v>0</v>
      </c>
      <c r="CK968">
        <v>0</v>
      </c>
      <c r="CL968">
        <v>0</v>
      </c>
      <c r="CM968">
        <v>0</v>
      </c>
    </row>
    <row r="969" spans="82:91" x14ac:dyDescent="0.25">
      <c r="CD969">
        <v>3360</v>
      </c>
      <c r="CE969">
        <v>384</v>
      </c>
      <c r="CF969">
        <v>96</v>
      </c>
      <c r="CG969">
        <v>0</v>
      </c>
      <c r="CH969">
        <v>0</v>
      </c>
      <c r="CI969">
        <v>0</v>
      </c>
      <c r="CJ969">
        <v>0</v>
      </c>
      <c r="CK969">
        <v>0</v>
      </c>
      <c r="CL969">
        <v>0</v>
      </c>
      <c r="CM969">
        <v>0</v>
      </c>
    </row>
    <row r="970" spans="82:91" x14ac:dyDescent="0.25">
      <c r="CD970">
        <v>3360</v>
      </c>
      <c r="CE970">
        <v>384</v>
      </c>
      <c r="CF970">
        <v>96</v>
      </c>
      <c r="CG970">
        <v>0</v>
      </c>
      <c r="CH970">
        <v>0</v>
      </c>
      <c r="CI970">
        <v>0</v>
      </c>
      <c r="CJ970">
        <v>0</v>
      </c>
      <c r="CK970">
        <v>0</v>
      </c>
      <c r="CL970">
        <v>0</v>
      </c>
      <c r="CM970">
        <v>0</v>
      </c>
    </row>
    <row r="971" spans="82:91" x14ac:dyDescent="0.25">
      <c r="CD971">
        <v>3360</v>
      </c>
      <c r="CE971">
        <v>384</v>
      </c>
      <c r="CF971">
        <v>96</v>
      </c>
      <c r="CG971">
        <v>0</v>
      </c>
      <c r="CH971">
        <v>0</v>
      </c>
      <c r="CI971">
        <v>0</v>
      </c>
      <c r="CJ971">
        <v>0</v>
      </c>
      <c r="CK971">
        <v>0</v>
      </c>
      <c r="CL971">
        <v>0</v>
      </c>
      <c r="CM971">
        <v>0</v>
      </c>
    </row>
    <row r="972" spans="82:91" x14ac:dyDescent="0.25">
      <c r="CD972">
        <v>3360</v>
      </c>
      <c r="CE972">
        <v>384</v>
      </c>
      <c r="CF972">
        <v>96</v>
      </c>
      <c r="CG972">
        <v>0</v>
      </c>
      <c r="CH972">
        <v>0</v>
      </c>
      <c r="CI972">
        <v>0</v>
      </c>
      <c r="CJ972">
        <v>0</v>
      </c>
      <c r="CK972">
        <v>0</v>
      </c>
      <c r="CL972">
        <v>0</v>
      </c>
      <c r="CM972">
        <v>0</v>
      </c>
    </row>
    <row r="973" spans="82:91" x14ac:dyDescent="0.25">
      <c r="CD973">
        <v>3360</v>
      </c>
      <c r="CE973">
        <v>384</v>
      </c>
      <c r="CF973">
        <v>96</v>
      </c>
      <c r="CG973">
        <v>0</v>
      </c>
      <c r="CH973">
        <v>0</v>
      </c>
      <c r="CI973">
        <v>0</v>
      </c>
      <c r="CJ973">
        <v>0</v>
      </c>
      <c r="CK973">
        <v>0</v>
      </c>
      <c r="CL973">
        <v>0</v>
      </c>
      <c r="CM973">
        <v>0</v>
      </c>
    </row>
    <row r="974" spans="82:91" x14ac:dyDescent="0.25">
      <c r="CD974">
        <v>3360</v>
      </c>
      <c r="CE974">
        <v>384</v>
      </c>
      <c r="CF974">
        <v>96</v>
      </c>
      <c r="CG974">
        <v>0</v>
      </c>
      <c r="CH974">
        <v>0</v>
      </c>
      <c r="CI974">
        <v>0</v>
      </c>
      <c r="CJ974">
        <v>0</v>
      </c>
      <c r="CK974">
        <v>0</v>
      </c>
      <c r="CL974">
        <v>0</v>
      </c>
      <c r="CM974">
        <v>0</v>
      </c>
    </row>
    <row r="975" spans="82:91" x14ac:dyDescent="0.25">
      <c r="CD975">
        <v>3360</v>
      </c>
      <c r="CE975">
        <v>384</v>
      </c>
      <c r="CF975">
        <v>96</v>
      </c>
      <c r="CG975">
        <v>0</v>
      </c>
      <c r="CH975">
        <v>0</v>
      </c>
      <c r="CI975">
        <v>0</v>
      </c>
      <c r="CJ975">
        <v>0</v>
      </c>
      <c r="CK975">
        <v>0</v>
      </c>
      <c r="CL975">
        <v>0</v>
      </c>
      <c r="CM975">
        <v>0</v>
      </c>
    </row>
    <row r="976" spans="82:91" x14ac:dyDescent="0.25">
      <c r="CD976">
        <v>3360</v>
      </c>
      <c r="CE976">
        <v>384</v>
      </c>
      <c r="CF976">
        <v>96</v>
      </c>
      <c r="CG976">
        <v>0</v>
      </c>
      <c r="CH976">
        <v>0</v>
      </c>
      <c r="CI976">
        <v>0</v>
      </c>
      <c r="CJ976">
        <v>0</v>
      </c>
      <c r="CK976">
        <v>0</v>
      </c>
      <c r="CL976">
        <v>0</v>
      </c>
      <c r="CM976">
        <v>0</v>
      </c>
    </row>
    <row r="977" spans="82:91" x14ac:dyDescent="0.25">
      <c r="CD977">
        <v>3360</v>
      </c>
      <c r="CE977">
        <v>384</v>
      </c>
      <c r="CF977">
        <v>96</v>
      </c>
      <c r="CG977">
        <v>0</v>
      </c>
      <c r="CH977">
        <v>0</v>
      </c>
      <c r="CI977">
        <v>0</v>
      </c>
      <c r="CJ977">
        <v>0</v>
      </c>
      <c r="CK977">
        <v>0</v>
      </c>
      <c r="CL977">
        <v>0</v>
      </c>
      <c r="CM977">
        <v>0</v>
      </c>
    </row>
    <row r="978" spans="82:91" x14ac:dyDescent="0.25">
      <c r="CD978">
        <v>3360</v>
      </c>
      <c r="CE978">
        <v>384</v>
      </c>
      <c r="CF978">
        <v>96</v>
      </c>
      <c r="CG978">
        <v>0</v>
      </c>
      <c r="CH978">
        <v>0</v>
      </c>
      <c r="CI978">
        <v>0</v>
      </c>
      <c r="CJ978">
        <v>0</v>
      </c>
      <c r="CK978">
        <v>0</v>
      </c>
      <c r="CL978">
        <v>0</v>
      </c>
      <c r="CM978">
        <v>0</v>
      </c>
    </row>
    <row r="979" spans="82:91" x14ac:dyDescent="0.25">
      <c r="CD979">
        <v>3360</v>
      </c>
      <c r="CE979">
        <v>384</v>
      </c>
      <c r="CF979">
        <v>96</v>
      </c>
      <c r="CG979">
        <v>0</v>
      </c>
      <c r="CH979">
        <v>0</v>
      </c>
      <c r="CI979">
        <v>0</v>
      </c>
      <c r="CJ979">
        <v>0</v>
      </c>
      <c r="CK979">
        <v>0</v>
      </c>
      <c r="CL979">
        <v>0</v>
      </c>
      <c r="CM979">
        <v>0</v>
      </c>
    </row>
    <row r="980" spans="82:91" x14ac:dyDescent="0.25">
      <c r="CD980">
        <v>3360</v>
      </c>
      <c r="CE980">
        <v>384</v>
      </c>
      <c r="CF980">
        <v>96</v>
      </c>
      <c r="CG980">
        <v>0</v>
      </c>
      <c r="CH980">
        <v>0</v>
      </c>
      <c r="CI980">
        <v>0</v>
      </c>
      <c r="CJ980">
        <v>0</v>
      </c>
      <c r="CK980">
        <v>0</v>
      </c>
      <c r="CL980">
        <v>0</v>
      </c>
      <c r="CM980">
        <v>0</v>
      </c>
    </row>
    <row r="981" spans="82:91" x14ac:dyDescent="0.25">
      <c r="CD981">
        <v>3360</v>
      </c>
      <c r="CE981">
        <v>384</v>
      </c>
      <c r="CF981">
        <v>96</v>
      </c>
      <c r="CG981">
        <v>0</v>
      </c>
      <c r="CH981">
        <v>0</v>
      </c>
      <c r="CI981">
        <v>0</v>
      </c>
      <c r="CJ981">
        <v>0</v>
      </c>
      <c r="CK981">
        <v>0</v>
      </c>
      <c r="CL981">
        <v>0</v>
      </c>
      <c r="CM981">
        <v>0</v>
      </c>
    </row>
    <row r="982" spans="82:91" x14ac:dyDescent="0.25">
      <c r="CD982">
        <v>3360</v>
      </c>
      <c r="CE982">
        <v>384</v>
      </c>
      <c r="CF982">
        <v>96</v>
      </c>
      <c r="CG982">
        <v>0</v>
      </c>
      <c r="CH982">
        <v>0</v>
      </c>
      <c r="CI982">
        <v>0</v>
      </c>
      <c r="CJ982">
        <v>0</v>
      </c>
      <c r="CK982">
        <v>0</v>
      </c>
      <c r="CL982">
        <v>0</v>
      </c>
      <c r="CM982">
        <v>0</v>
      </c>
    </row>
    <row r="983" spans="82:91" x14ac:dyDescent="0.25">
      <c r="CD983">
        <v>3360</v>
      </c>
      <c r="CE983">
        <v>384</v>
      </c>
      <c r="CF983">
        <v>96</v>
      </c>
      <c r="CG983">
        <v>0</v>
      </c>
      <c r="CH983">
        <v>0</v>
      </c>
      <c r="CI983">
        <v>0</v>
      </c>
      <c r="CJ983">
        <v>0</v>
      </c>
      <c r="CK983">
        <v>0</v>
      </c>
      <c r="CL983">
        <v>0</v>
      </c>
      <c r="CM983">
        <v>0</v>
      </c>
    </row>
    <row r="984" spans="82:91" x14ac:dyDescent="0.25">
      <c r="CD984">
        <v>3360</v>
      </c>
      <c r="CE984">
        <v>384</v>
      </c>
      <c r="CF984">
        <v>96</v>
      </c>
      <c r="CG984">
        <v>0</v>
      </c>
      <c r="CH984">
        <v>0</v>
      </c>
      <c r="CI984">
        <v>0</v>
      </c>
      <c r="CJ984">
        <v>0</v>
      </c>
      <c r="CK984">
        <v>0</v>
      </c>
      <c r="CL984">
        <v>0</v>
      </c>
      <c r="CM984">
        <v>0</v>
      </c>
    </row>
    <row r="985" spans="82:91" x14ac:dyDescent="0.25">
      <c r="CD985">
        <v>3360</v>
      </c>
      <c r="CE985">
        <v>384</v>
      </c>
      <c r="CF985">
        <v>96</v>
      </c>
      <c r="CG985">
        <v>0</v>
      </c>
      <c r="CH985">
        <v>0</v>
      </c>
      <c r="CI985">
        <v>0</v>
      </c>
      <c r="CJ985">
        <v>0</v>
      </c>
      <c r="CK985">
        <v>0</v>
      </c>
      <c r="CL985">
        <v>0</v>
      </c>
      <c r="CM985">
        <v>0</v>
      </c>
    </row>
    <row r="986" spans="82:91" x14ac:dyDescent="0.25">
      <c r="CD986">
        <v>3360</v>
      </c>
      <c r="CE986">
        <v>384</v>
      </c>
      <c r="CF986">
        <v>96</v>
      </c>
      <c r="CG986">
        <v>0</v>
      </c>
      <c r="CH986">
        <v>0</v>
      </c>
      <c r="CI986">
        <v>0</v>
      </c>
      <c r="CJ986">
        <v>0</v>
      </c>
      <c r="CK986">
        <v>0</v>
      </c>
      <c r="CL986">
        <v>0</v>
      </c>
      <c r="CM986">
        <v>0</v>
      </c>
    </row>
    <row r="987" spans="82:91" x14ac:dyDescent="0.25">
      <c r="CD987">
        <v>3360</v>
      </c>
      <c r="CE987">
        <v>384</v>
      </c>
      <c r="CF987">
        <v>96</v>
      </c>
      <c r="CG987">
        <v>0</v>
      </c>
      <c r="CH987">
        <v>0</v>
      </c>
      <c r="CI987">
        <v>0</v>
      </c>
      <c r="CJ987">
        <v>0</v>
      </c>
      <c r="CK987">
        <v>0</v>
      </c>
      <c r="CL987">
        <v>0</v>
      </c>
      <c r="CM987">
        <v>0</v>
      </c>
    </row>
    <row r="988" spans="82:91" x14ac:dyDescent="0.25">
      <c r="CD988">
        <v>3360</v>
      </c>
      <c r="CE988">
        <v>384</v>
      </c>
      <c r="CF988">
        <v>96</v>
      </c>
      <c r="CG988">
        <v>0</v>
      </c>
      <c r="CH988">
        <v>0</v>
      </c>
      <c r="CI988">
        <v>0</v>
      </c>
      <c r="CJ988">
        <v>0</v>
      </c>
      <c r="CK988">
        <v>0</v>
      </c>
      <c r="CL988">
        <v>0</v>
      </c>
      <c r="CM988">
        <v>0</v>
      </c>
    </row>
    <row r="989" spans="82:91" x14ac:dyDescent="0.25">
      <c r="CD989">
        <v>3360</v>
      </c>
      <c r="CE989">
        <v>384</v>
      </c>
      <c r="CF989">
        <v>96</v>
      </c>
      <c r="CG989">
        <v>0</v>
      </c>
      <c r="CH989">
        <v>0</v>
      </c>
      <c r="CI989">
        <v>0</v>
      </c>
      <c r="CJ989">
        <v>0</v>
      </c>
      <c r="CK989">
        <v>0</v>
      </c>
      <c r="CL989">
        <v>0</v>
      </c>
      <c r="CM989">
        <v>0</v>
      </c>
    </row>
    <row r="990" spans="82:91" x14ac:dyDescent="0.25">
      <c r="CD990">
        <v>3360</v>
      </c>
      <c r="CE990">
        <v>384</v>
      </c>
      <c r="CF990">
        <v>96</v>
      </c>
      <c r="CG990">
        <v>0</v>
      </c>
      <c r="CH990">
        <v>0</v>
      </c>
      <c r="CI990">
        <v>0</v>
      </c>
      <c r="CJ990">
        <v>0</v>
      </c>
      <c r="CK990">
        <v>0</v>
      </c>
      <c r="CL990">
        <v>0</v>
      </c>
      <c r="CM990">
        <v>0</v>
      </c>
    </row>
    <row r="991" spans="82:91" x14ac:dyDescent="0.25">
      <c r="CD991">
        <v>3360</v>
      </c>
      <c r="CE991">
        <v>384</v>
      </c>
      <c r="CF991">
        <v>96</v>
      </c>
      <c r="CG991">
        <v>0</v>
      </c>
      <c r="CH991">
        <v>0</v>
      </c>
      <c r="CI991">
        <v>0</v>
      </c>
      <c r="CJ991">
        <v>0</v>
      </c>
      <c r="CK991">
        <v>0</v>
      </c>
      <c r="CL991">
        <v>0</v>
      </c>
      <c r="CM991">
        <v>0</v>
      </c>
    </row>
    <row r="992" spans="82:91" x14ac:dyDescent="0.25">
      <c r="CD992">
        <v>3360</v>
      </c>
      <c r="CE992">
        <v>384</v>
      </c>
      <c r="CF992">
        <v>96</v>
      </c>
      <c r="CG992">
        <v>0</v>
      </c>
      <c r="CH992">
        <v>0</v>
      </c>
      <c r="CI992">
        <v>0</v>
      </c>
      <c r="CJ992">
        <v>0</v>
      </c>
      <c r="CK992">
        <v>0</v>
      </c>
      <c r="CL992">
        <v>0</v>
      </c>
      <c r="CM992">
        <v>0</v>
      </c>
    </row>
    <row r="993" spans="82:91" x14ac:dyDescent="0.25">
      <c r="CD993">
        <v>3360</v>
      </c>
      <c r="CE993">
        <v>384</v>
      </c>
      <c r="CF993">
        <v>96</v>
      </c>
      <c r="CG993">
        <v>0</v>
      </c>
      <c r="CH993">
        <v>0</v>
      </c>
      <c r="CI993">
        <v>0</v>
      </c>
      <c r="CJ993">
        <v>0</v>
      </c>
      <c r="CK993">
        <v>0</v>
      </c>
      <c r="CL993">
        <v>0</v>
      </c>
      <c r="CM993">
        <v>0</v>
      </c>
    </row>
    <row r="994" spans="82:91" x14ac:dyDescent="0.25">
      <c r="CD994">
        <v>3360</v>
      </c>
      <c r="CE994">
        <v>384</v>
      </c>
      <c r="CF994">
        <v>96</v>
      </c>
      <c r="CG994">
        <v>0</v>
      </c>
      <c r="CH994">
        <v>0</v>
      </c>
      <c r="CI994">
        <v>0</v>
      </c>
      <c r="CJ994">
        <v>0</v>
      </c>
      <c r="CK994">
        <v>0</v>
      </c>
      <c r="CL994">
        <v>0</v>
      </c>
      <c r="CM994">
        <v>0</v>
      </c>
    </row>
    <row r="995" spans="82:91" x14ac:dyDescent="0.25">
      <c r="CD995">
        <v>3360</v>
      </c>
      <c r="CE995">
        <v>384</v>
      </c>
      <c r="CF995">
        <v>96</v>
      </c>
      <c r="CG995">
        <v>0</v>
      </c>
      <c r="CH995">
        <v>0</v>
      </c>
      <c r="CI995">
        <v>0</v>
      </c>
      <c r="CJ995">
        <v>0</v>
      </c>
      <c r="CK995">
        <v>0</v>
      </c>
      <c r="CL995">
        <v>0</v>
      </c>
      <c r="CM995">
        <v>0</v>
      </c>
    </row>
    <row r="996" spans="82:91" x14ac:dyDescent="0.25">
      <c r="CD996">
        <v>3360</v>
      </c>
      <c r="CE996">
        <v>384</v>
      </c>
      <c r="CF996">
        <v>96</v>
      </c>
      <c r="CG996">
        <v>0</v>
      </c>
      <c r="CH996">
        <v>0</v>
      </c>
      <c r="CI996">
        <v>0</v>
      </c>
      <c r="CJ996">
        <v>0</v>
      </c>
      <c r="CK996">
        <v>0</v>
      </c>
      <c r="CL996">
        <v>0</v>
      </c>
      <c r="CM996">
        <v>0</v>
      </c>
    </row>
    <row r="997" spans="82:91" x14ac:dyDescent="0.25">
      <c r="CD997">
        <v>3360</v>
      </c>
      <c r="CE997">
        <v>384</v>
      </c>
      <c r="CF997">
        <v>96</v>
      </c>
      <c r="CG997">
        <v>0</v>
      </c>
      <c r="CH997">
        <v>0</v>
      </c>
      <c r="CI997">
        <v>0</v>
      </c>
      <c r="CJ997">
        <v>0</v>
      </c>
      <c r="CK997">
        <v>0</v>
      </c>
      <c r="CL997">
        <v>0</v>
      </c>
      <c r="CM997">
        <v>0</v>
      </c>
    </row>
    <row r="998" spans="82:91" x14ac:dyDescent="0.25">
      <c r="CD998">
        <v>3360</v>
      </c>
      <c r="CE998">
        <v>384</v>
      </c>
      <c r="CF998">
        <v>96</v>
      </c>
      <c r="CG998">
        <v>0</v>
      </c>
      <c r="CH998">
        <v>0</v>
      </c>
      <c r="CI998">
        <v>0</v>
      </c>
      <c r="CJ998">
        <v>0</v>
      </c>
      <c r="CK998">
        <v>0</v>
      </c>
      <c r="CL998">
        <v>0</v>
      </c>
      <c r="CM998">
        <v>0</v>
      </c>
    </row>
    <row r="999" spans="82:91" x14ac:dyDescent="0.25">
      <c r="CD999">
        <v>3360</v>
      </c>
      <c r="CE999">
        <v>384</v>
      </c>
      <c r="CF999">
        <v>96</v>
      </c>
      <c r="CG999">
        <v>0</v>
      </c>
      <c r="CH999">
        <v>0</v>
      </c>
      <c r="CI999">
        <v>0</v>
      </c>
      <c r="CJ999">
        <v>0</v>
      </c>
      <c r="CK999">
        <v>0</v>
      </c>
      <c r="CL999">
        <v>0</v>
      </c>
      <c r="CM999">
        <v>0</v>
      </c>
    </row>
    <row r="1000" spans="82:91" x14ac:dyDescent="0.25">
      <c r="CD1000">
        <v>3360</v>
      </c>
      <c r="CE1000">
        <v>384</v>
      </c>
      <c r="CF1000">
        <v>96</v>
      </c>
      <c r="CG1000">
        <v>0</v>
      </c>
      <c r="CH1000">
        <v>0</v>
      </c>
      <c r="CI1000">
        <v>0</v>
      </c>
      <c r="CJ1000">
        <v>0</v>
      </c>
      <c r="CK1000">
        <v>0</v>
      </c>
      <c r="CL1000">
        <v>0</v>
      </c>
      <c r="CM1000">
        <v>0</v>
      </c>
    </row>
    <row r="1001" spans="82:91" x14ac:dyDescent="0.25">
      <c r="CD1001">
        <v>3360</v>
      </c>
      <c r="CE1001">
        <v>384</v>
      </c>
      <c r="CF1001">
        <v>96</v>
      </c>
      <c r="CG1001">
        <v>0</v>
      </c>
      <c r="CH1001">
        <v>0</v>
      </c>
      <c r="CI1001">
        <v>0</v>
      </c>
      <c r="CJ1001">
        <v>0</v>
      </c>
      <c r="CK1001">
        <v>0</v>
      </c>
      <c r="CL1001">
        <v>0</v>
      </c>
      <c r="CM1001">
        <v>0</v>
      </c>
    </row>
    <row r="1002" spans="82:91" x14ac:dyDescent="0.25">
      <c r="CD1002">
        <v>3360</v>
      </c>
      <c r="CE1002">
        <v>384</v>
      </c>
      <c r="CF1002">
        <v>96</v>
      </c>
      <c r="CG1002">
        <v>0</v>
      </c>
      <c r="CH1002">
        <v>0</v>
      </c>
      <c r="CI1002">
        <v>0</v>
      </c>
      <c r="CJ1002">
        <v>0</v>
      </c>
      <c r="CK1002">
        <v>0</v>
      </c>
      <c r="CL1002">
        <v>0</v>
      </c>
      <c r="CM1002">
        <v>0</v>
      </c>
    </row>
    <row r="1003" spans="82:91" x14ac:dyDescent="0.25">
      <c r="CD1003">
        <v>3360</v>
      </c>
      <c r="CE1003">
        <v>384</v>
      </c>
      <c r="CF1003">
        <v>96</v>
      </c>
      <c r="CG1003">
        <v>0</v>
      </c>
      <c r="CH1003">
        <v>0</v>
      </c>
      <c r="CI1003">
        <v>0</v>
      </c>
      <c r="CJ1003">
        <v>0</v>
      </c>
      <c r="CK1003">
        <v>0</v>
      </c>
      <c r="CL1003">
        <v>0</v>
      </c>
      <c r="CM1003">
        <v>0</v>
      </c>
    </row>
    <row r="1004" spans="82:91" x14ac:dyDescent="0.25">
      <c r="CD1004">
        <v>3360</v>
      </c>
      <c r="CE1004">
        <v>384</v>
      </c>
      <c r="CF1004">
        <v>96</v>
      </c>
      <c r="CG1004">
        <v>0</v>
      </c>
      <c r="CH1004">
        <v>0</v>
      </c>
      <c r="CI1004">
        <v>0</v>
      </c>
      <c r="CJ1004">
        <v>0</v>
      </c>
      <c r="CK1004">
        <v>0</v>
      </c>
      <c r="CL1004">
        <v>0</v>
      </c>
      <c r="CM1004">
        <v>0</v>
      </c>
    </row>
    <row r="1005" spans="82:91" x14ac:dyDescent="0.25">
      <c r="CD1005">
        <v>3360</v>
      </c>
      <c r="CE1005">
        <v>384</v>
      </c>
      <c r="CF1005">
        <v>96</v>
      </c>
      <c r="CG1005">
        <v>0</v>
      </c>
      <c r="CH1005">
        <v>0</v>
      </c>
      <c r="CI1005">
        <v>0</v>
      </c>
      <c r="CJ1005">
        <v>0</v>
      </c>
      <c r="CK1005">
        <v>0</v>
      </c>
      <c r="CL1005">
        <v>0</v>
      </c>
      <c r="CM1005">
        <v>0</v>
      </c>
    </row>
    <row r="1006" spans="82:91" x14ac:dyDescent="0.25">
      <c r="CD1006">
        <v>3360</v>
      </c>
      <c r="CE1006">
        <v>384</v>
      </c>
      <c r="CF1006">
        <v>96</v>
      </c>
      <c r="CG1006">
        <v>0</v>
      </c>
      <c r="CH1006">
        <v>0</v>
      </c>
      <c r="CI1006">
        <v>0</v>
      </c>
      <c r="CJ1006">
        <v>0</v>
      </c>
      <c r="CK1006">
        <v>0</v>
      </c>
      <c r="CL1006">
        <v>0</v>
      </c>
      <c r="CM1006">
        <v>0</v>
      </c>
    </row>
    <row r="1007" spans="82:91" x14ac:dyDescent="0.25">
      <c r="CD1007">
        <v>3360</v>
      </c>
      <c r="CE1007">
        <v>384</v>
      </c>
      <c r="CF1007">
        <v>96</v>
      </c>
      <c r="CG1007">
        <v>0</v>
      </c>
      <c r="CH1007">
        <v>0</v>
      </c>
      <c r="CI1007">
        <v>0</v>
      </c>
      <c r="CJ1007">
        <v>0</v>
      </c>
      <c r="CK1007">
        <v>0</v>
      </c>
      <c r="CL1007">
        <v>0</v>
      </c>
      <c r="CM1007">
        <v>0</v>
      </c>
    </row>
    <row r="1008" spans="82:91" x14ac:dyDescent="0.25">
      <c r="CD1008">
        <v>3360</v>
      </c>
      <c r="CE1008">
        <v>384</v>
      </c>
      <c r="CF1008">
        <v>96</v>
      </c>
      <c r="CG1008">
        <v>0</v>
      </c>
      <c r="CH1008">
        <v>0</v>
      </c>
      <c r="CI1008">
        <v>0</v>
      </c>
      <c r="CJ1008">
        <v>0</v>
      </c>
      <c r="CK1008">
        <v>0</v>
      </c>
      <c r="CL1008">
        <v>0</v>
      </c>
      <c r="CM1008">
        <v>0</v>
      </c>
    </row>
    <row r="1009" spans="82:91" x14ac:dyDescent="0.25">
      <c r="CD1009">
        <v>3360</v>
      </c>
      <c r="CE1009">
        <v>384</v>
      </c>
      <c r="CF1009">
        <v>96</v>
      </c>
      <c r="CG1009">
        <v>0</v>
      </c>
      <c r="CH1009">
        <v>0</v>
      </c>
      <c r="CI1009">
        <v>0</v>
      </c>
      <c r="CJ1009">
        <v>0</v>
      </c>
      <c r="CK1009">
        <v>0</v>
      </c>
      <c r="CL1009">
        <v>0</v>
      </c>
      <c r="CM1009">
        <v>0</v>
      </c>
    </row>
    <row r="1010" spans="82:91" x14ac:dyDescent="0.25">
      <c r="CD1010">
        <v>3360</v>
      </c>
      <c r="CE1010">
        <v>384</v>
      </c>
      <c r="CF1010">
        <v>96</v>
      </c>
      <c r="CG1010">
        <v>0</v>
      </c>
      <c r="CH1010">
        <v>0</v>
      </c>
      <c r="CI1010">
        <v>0</v>
      </c>
      <c r="CJ1010">
        <v>0</v>
      </c>
      <c r="CK1010">
        <v>0</v>
      </c>
      <c r="CL1010">
        <v>0</v>
      </c>
      <c r="CM1010">
        <v>0</v>
      </c>
    </row>
    <row r="1011" spans="82:91" x14ac:dyDescent="0.25">
      <c r="CD1011">
        <v>3360</v>
      </c>
      <c r="CE1011">
        <v>384</v>
      </c>
      <c r="CF1011">
        <v>96</v>
      </c>
      <c r="CG1011">
        <v>0</v>
      </c>
      <c r="CH1011">
        <v>0</v>
      </c>
      <c r="CI1011">
        <v>0</v>
      </c>
      <c r="CJ1011">
        <v>0</v>
      </c>
      <c r="CK1011">
        <v>0</v>
      </c>
      <c r="CL1011">
        <v>0</v>
      </c>
      <c r="CM1011">
        <v>0</v>
      </c>
    </row>
    <row r="1012" spans="82:91" x14ac:dyDescent="0.25">
      <c r="CD1012">
        <v>3360</v>
      </c>
      <c r="CE1012">
        <v>384</v>
      </c>
      <c r="CF1012">
        <v>96</v>
      </c>
      <c r="CG1012">
        <v>0</v>
      </c>
      <c r="CH1012">
        <v>0</v>
      </c>
      <c r="CI1012">
        <v>0</v>
      </c>
      <c r="CJ1012">
        <v>0</v>
      </c>
      <c r="CK1012">
        <v>0</v>
      </c>
      <c r="CL1012">
        <v>0</v>
      </c>
      <c r="CM1012">
        <v>0</v>
      </c>
    </row>
    <row r="1013" spans="82:91" x14ac:dyDescent="0.25">
      <c r="CD1013">
        <v>3360</v>
      </c>
      <c r="CE1013">
        <v>384</v>
      </c>
      <c r="CF1013">
        <v>96</v>
      </c>
      <c r="CG1013">
        <v>0</v>
      </c>
      <c r="CH1013">
        <v>0</v>
      </c>
      <c r="CI1013">
        <v>0</v>
      </c>
      <c r="CJ1013">
        <v>0</v>
      </c>
      <c r="CK1013">
        <v>0</v>
      </c>
      <c r="CL1013">
        <v>0</v>
      </c>
      <c r="CM1013">
        <v>0</v>
      </c>
    </row>
    <row r="1014" spans="82:91" x14ac:dyDescent="0.25">
      <c r="CD1014">
        <v>3360</v>
      </c>
      <c r="CE1014">
        <v>384</v>
      </c>
      <c r="CF1014">
        <v>96</v>
      </c>
      <c r="CG1014">
        <v>0</v>
      </c>
      <c r="CH1014">
        <v>0</v>
      </c>
      <c r="CI1014">
        <v>0</v>
      </c>
      <c r="CJ1014">
        <v>0</v>
      </c>
      <c r="CK1014">
        <v>0</v>
      </c>
      <c r="CL1014">
        <v>0</v>
      </c>
      <c r="CM1014">
        <v>0</v>
      </c>
    </row>
    <row r="1015" spans="82:91" x14ac:dyDescent="0.25">
      <c r="CD1015">
        <v>3360</v>
      </c>
      <c r="CE1015">
        <v>384</v>
      </c>
      <c r="CF1015">
        <v>96</v>
      </c>
      <c r="CG1015">
        <v>0</v>
      </c>
      <c r="CH1015">
        <v>0</v>
      </c>
      <c r="CI1015">
        <v>0</v>
      </c>
      <c r="CJ1015">
        <v>0</v>
      </c>
      <c r="CK1015">
        <v>0</v>
      </c>
      <c r="CL1015">
        <v>0</v>
      </c>
      <c r="CM1015">
        <v>0</v>
      </c>
    </row>
    <row r="1016" spans="82:91" x14ac:dyDescent="0.25">
      <c r="CD1016">
        <v>3360</v>
      </c>
      <c r="CE1016">
        <v>384</v>
      </c>
      <c r="CF1016">
        <v>96</v>
      </c>
      <c r="CG1016">
        <v>0</v>
      </c>
      <c r="CH1016">
        <v>0</v>
      </c>
      <c r="CI1016">
        <v>0</v>
      </c>
      <c r="CJ1016">
        <v>0</v>
      </c>
      <c r="CK1016">
        <v>0</v>
      </c>
      <c r="CL1016">
        <v>0</v>
      </c>
      <c r="CM1016">
        <v>0</v>
      </c>
    </row>
    <row r="1017" spans="82:91" x14ac:dyDescent="0.25">
      <c r="CD1017">
        <v>3360</v>
      </c>
      <c r="CE1017">
        <v>384</v>
      </c>
      <c r="CF1017">
        <v>96</v>
      </c>
      <c r="CG1017">
        <v>0</v>
      </c>
      <c r="CH1017">
        <v>0</v>
      </c>
      <c r="CI1017">
        <v>0</v>
      </c>
      <c r="CJ1017">
        <v>0</v>
      </c>
      <c r="CK1017">
        <v>0</v>
      </c>
      <c r="CL1017">
        <v>0</v>
      </c>
      <c r="CM1017">
        <v>0</v>
      </c>
    </row>
    <row r="1018" spans="82:91" x14ac:dyDescent="0.25">
      <c r="CD1018">
        <v>3360</v>
      </c>
      <c r="CE1018">
        <v>384</v>
      </c>
      <c r="CF1018">
        <v>96</v>
      </c>
      <c r="CG1018">
        <v>0</v>
      </c>
      <c r="CH1018">
        <v>0</v>
      </c>
      <c r="CI1018">
        <v>0</v>
      </c>
      <c r="CJ1018">
        <v>0</v>
      </c>
      <c r="CK1018">
        <v>0</v>
      </c>
      <c r="CL1018">
        <v>0</v>
      </c>
      <c r="CM1018">
        <v>0</v>
      </c>
    </row>
    <row r="1019" spans="82:91" x14ac:dyDescent="0.25">
      <c r="CD1019">
        <v>3360</v>
      </c>
      <c r="CE1019">
        <v>384</v>
      </c>
      <c r="CF1019">
        <v>96</v>
      </c>
      <c r="CG1019">
        <v>0</v>
      </c>
      <c r="CH1019">
        <v>0</v>
      </c>
      <c r="CI1019">
        <v>0</v>
      </c>
      <c r="CJ1019">
        <v>0</v>
      </c>
      <c r="CK1019">
        <v>0</v>
      </c>
      <c r="CL1019">
        <v>0</v>
      </c>
      <c r="CM1019">
        <v>0</v>
      </c>
    </row>
    <row r="1020" spans="82:91" x14ac:dyDescent="0.25">
      <c r="CD1020">
        <v>3360</v>
      </c>
      <c r="CE1020">
        <v>384</v>
      </c>
      <c r="CF1020">
        <v>96</v>
      </c>
      <c r="CG1020">
        <v>0</v>
      </c>
      <c r="CH1020">
        <v>0</v>
      </c>
      <c r="CI1020">
        <v>0</v>
      </c>
      <c r="CJ1020">
        <v>0</v>
      </c>
      <c r="CK1020">
        <v>0</v>
      </c>
      <c r="CL1020">
        <v>0</v>
      </c>
      <c r="CM1020">
        <v>0</v>
      </c>
    </row>
    <row r="1021" spans="82:91" x14ac:dyDescent="0.25">
      <c r="CD1021">
        <v>3360</v>
      </c>
      <c r="CE1021">
        <v>384</v>
      </c>
      <c r="CF1021">
        <v>96</v>
      </c>
      <c r="CG1021">
        <v>0</v>
      </c>
      <c r="CH1021">
        <v>0</v>
      </c>
      <c r="CI1021">
        <v>0</v>
      </c>
      <c r="CJ1021">
        <v>0</v>
      </c>
      <c r="CK1021">
        <v>0</v>
      </c>
      <c r="CL1021">
        <v>0</v>
      </c>
      <c r="CM1021">
        <v>0</v>
      </c>
    </row>
    <row r="1022" spans="82:91" x14ac:dyDescent="0.25">
      <c r="CD1022">
        <v>3360</v>
      </c>
      <c r="CE1022">
        <v>384</v>
      </c>
      <c r="CF1022">
        <v>96</v>
      </c>
      <c r="CG1022">
        <v>0</v>
      </c>
      <c r="CH1022">
        <v>0</v>
      </c>
      <c r="CI1022">
        <v>0</v>
      </c>
      <c r="CJ1022">
        <v>0</v>
      </c>
      <c r="CK1022">
        <v>0</v>
      </c>
      <c r="CL1022">
        <v>0</v>
      </c>
      <c r="CM1022">
        <v>0</v>
      </c>
    </row>
    <row r="1023" spans="82:91" x14ac:dyDescent="0.25">
      <c r="CD1023">
        <v>3360</v>
      </c>
      <c r="CE1023">
        <v>384</v>
      </c>
      <c r="CF1023">
        <v>96</v>
      </c>
      <c r="CG1023">
        <v>0</v>
      </c>
      <c r="CH1023">
        <v>0</v>
      </c>
      <c r="CI1023">
        <v>0</v>
      </c>
      <c r="CJ1023">
        <v>0</v>
      </c>
      <c r="CK1023">
        <v>0</v>
      </c>
      <c r="CL1023">
        <v>0</v>
      </c>
      <c r="CM1023">
        <v>0</v>
      </c>
    </row>
    <row r="1024" spans="82:91" x14ac:dyDescent="0.25">
      <c r="CD1024">
        <v>3360</v>
      </c>
      <c r="CE1024">
        <v>384</v>
      </c>
      <c r="CF1024">
        <v>96</v>
      </c>
      <c r="CG1024">
        <v>0</v>
      </c>
      <c r="CH1024">
        <v>0</v>
      </c>
      <c r="CI1024">
        <v>0</v>
      </c>
      <c r="CJ1024">
        <v>0</v>
      </c>
      <c r="CK1024">
        <v>0</v>
      </c>
      <c r="CL1024">
        <v>0</v>
      </c>
      <c r="CM1024">
        <v>0</v>
      </c>
    </row>
    <row r="1025" spans="82:91" x14ac:dyDescent="0.25">
      <c r="CD1025">
        <v>3360</v>
      </c>
      <c r="CE1025">
        <v>384</v>
      </c>
      <c r="CF1025">
        <v>96</v>
      </c>
      <c r="CG1025">
        <v>0</v>
      </c>
      <c r="CH1025">
        <v>0</v>
      </c>
      <c r="CI1025">
        <v>0</v>
      </c>
      <c r="CJ1025">
        <v>0</v>
      </c>
      <c r="CK1025">
        <v>0</v>
      </c>
      <c r="CL1025">
        <v>0</v>
      </c>
      <c r="CM1025">
        <v>0</v>
      </c>
    </row>
    <row r="1026" spans="82:91" x14ac:dyDescent="0.25">
      <c r="CD1026">
        <v>3360</v>
      </c>
      <c r="CE1026">
        <v>384</v>
      </c>
      <c r="CF1026">
        <v>96</v>
      </c>
      <c r="CG1026">
        <v>0</v>
      </c>
      <c r="CH1026">
        <v>0</v>
      </c>
      <c r="CI1026">
        <v>0</v>
      </c>
      <c r="CJ1026">
        <v>0</v>
      </c>
      <c r="CK1026">
        <v>0</v>
      </c>
      <c r="CL1026">
        <v>0</v>
      </c>
      <c r="CM1026">
        <v>0</v>
      </c>
    </row>
    <row r="1027" spans="82:91" x14ac:dyDescent="0.25">
      <c r="CD1027">
        <v>3360</v>
      </c>
      <c r="CE1027">
        <v>384</v>
      </c>
      <c r="CF1027">
        <v>96</v>
      </c>
      <c r="CG1027">
        <v>0</v>
      </c>
      <c r="CH1027">
        <v>0</v>
      </c>
      <c r="CI1027">
        <v>0</v>
      </c>
      <c r="CJ1027">
        <v>0</v>
      </c>
      <c r="CK1027">
        <v>0</v>
      </c>
      <c r="CL1027">
        <v>0</v>
      </c>
      <c r="CM1027">
        <v>0</v>
      </c>
    </row>
  </sheetData>
  <mergeCells count="17">
    <mergeCell ref="AP2:AQ2"/>
    <mergeCell ref="G2:K2"/>
    <mergeCell ref="L2:P2"/>
    <mergeCell ref="Q2:U2"/>
    <mergeCell ref="V2:Z2"/>
    <mergeCell ref="AB2:AC2"/>
    <mergeCell ref="AD2:AE2"/>
    <mergeCell ref="AF2:AG2"/>
    <mergeCell ref="AH2:AI2"/>
    <mergeCell ref="AK2:AN2"/>
    <mergeCell ref="BM2:BQ2"/>
    <mergeCell ref="BR2:BV2"/>
    <mergeCell ref="AR2:AS2"/>
    <mergeCell ref="AT2:AU2"/>
    <mergeCell ref="AV2:AW2"/>
    <mergeCell ref="BB2:BF2"/>
    <mergeCell ref="BG2:BK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4"/>
  <dimension ref="A1:AC45"/>
  <sheetViews>
    <sheetView zoomScale="70" zoomScaleNormal="70" workbookViewId="0">
      <selection activeCell="D19" sqref="D19"/>
    </sheetView>
  </sheetViews>
  <sheetFormatPr baseColWidth="10" defaultColWidth="11.5703125" defaultRowHeight="15" x14ac:dyDescent="0.25"/>
  <cols>
    <col min="1" max="1" width="26.5703125" customWidth="1"/>
    <col min="2" max="4" width="13.5703125" customWidth="1"/>
  </cols>
  <sheetData>
    <row r="1" spans="1:29" ht="15" customHeight="1" x14ac:dyDescent="0.25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</row>
    <row r="2" spans="1:29" ht="15" customHeight="1" x14ac:dyDescent="0.25">
      <c r="A2" s="129" t="s">
        <v>162</v>
      </c>
      <c r="B2" s="272">
        <v>90</v>
      </c>
      <c r="C2" s="11"/>
      <c r="D2" s="218" t="s">
        <v>262</v>
      </c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</row>
    <row r="3" spans="1:29" ht="15" customHeight="1" x14ac:dyDescent="0.25">
      <c r="A3" s="129" t="s">
        <v>176</v>
      </c>
      <c r="B3" s="273">
        <v>0.35</v>
      </c>
      <c r="C3" s="11"/>
      <c r="D3" s="219" t="s">
        <v>201</v>
      </c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368" t="s">
        <v>153</v>
      </c>
      <c r="Q3" s="368"/>
      <c r="R3" s="368"/>
      <c r="S3" s="368" t="s">
        <v>154</v>
      </c>
      <c r="T3" s="368"/>
      <c r="U3" s="368"/>
      <c r="V3" s="11"/>
      <c r="W3" s="11"/>
      <c r="X3" s="11"/>
      <c r="Y3" s="11"/>
      <c r="Z3" s="11"/>
      <c r="AA3" s="11"/>
      <c r="AB3" s="11"/>
      <c r="AC3" s="11"/>
    </row>
    <row r="4" spans="1:29" ht="15" customHeight="1" x14ac:dyDescent="0.2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 t="s">
        <v>155</v>
      </c>
      <c r="Q4" s="11"/>
      <c r="R4" s="11"/>
      <c r="S4" s="11" t="s">
        <v>155</v>
      </c>
      <c r="T4" s="11"/>
      <c r="U4" s="11"/>
      <c r="V4" s="11"/>
      <c r="W4" s="11"/>
      <c r="X4" s="11"/>
      <c r="Y4" s="11"/>
      <c r="Z4" s="11"/>
      <c r="AA4" s="11"/>
      <c r="AB4" s="11"/>
      <c r="AC4" s="11"/>
    </row>
    <row r="5" spans="1:29" ht="15" customHeight="1" x14ac:dyDescent="0.25">
      <c r="A5" s="133"/>
      <c r="B5" s="133"/>
      <c r="C5" s="133"/>
      <c r="D5" s="133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 t="s">
        <v>156</v>
      </c>
      <c r="Q5" s="11"/>
      <c r="R5" s="11"/>
      <c r="S5" s="11" t="s">
        <v>157</v>
      </c>
      <c r="T5" s="11"/>
      <c r="U5" s="11"/>
      <c r="V5" s="11"/>
      <c r="W5" s="11"/>
      <c r="X5" s="11"/>
      <c r="Y5" s="11"/>
      <c r="Z5" s="11"/>
      <c r="AA5" s="11"/>
      <c r="AB5" s="11"/>
      <c r="AC5" s="11"/>
    </row>
    <row r="6" spans="1:29" ht="15" customHeight="1" x14ac:dyDescent="0.25">
      <c r="A6" s="133"/>
      <c r="B6" s="133"/>
      <c r="C6" s="133"/>
      <c r="D6" s="133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 t="s">
        <v>158</v>
      </c>
      <c r="Q6" s="11"/>
      <c r="R6" s="11"/>
      <c r="S6" s="11" t="s">
        <v>159</v>
      </c>
      <c r="T6" s="11"/>
      <c r="U6" s="11"/>
      <c r="V6" s="11"/>
      <c r="W6" s="11"/>
      <c r="X6" s="11"/>
      <c r="Y6" s="11"/>
      <c r="Z6" s="11"/>
      <c r="AA6" s="11"/>
      <c r="AB6" s="11"/>
      <c r="AC6" s="11"/>
    </row>
    <row r="7" spans="1:29" ht="15" customHeight="1" x14ac:dyDescent="0.25">
      <c r="A7" s="133"/>
      <c r="B7" s="133"/>
      <c r="C7" s="133"/>
      <c r="D7" s="133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 t="s">
        <v>43</v>
      </c>
      <c r="Q7" s="11"/>
      <c r="R7" s="11"/>
      <c r="S7" s="11" t="s">
        <v>160</v>
      </c>
      <c r="T7" s="11"/>
      <c r="U7" s="11"/>
      <c r="V7" s="11"/>
      <c r="W7" s="11"/>
      <c r="X7" s="11"/>
      <c r="Y7" s="11"/>
      <c r="Z7" s="11"/>
      <c r="AA7" s="11"/>
      <c r="AB7" s="11"/>
      <c r="AC7" s="11"/>
    </row>
    <row r="8" spans="1:29" ht="15" customHeight="1" x14ac:dyDescent="0.25">
      <c r="A8" s="133"/>
      <c r="B8" s="133"/>
      <c r="C8" s="133"/>
      <c r="D8" s="133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 t="s">
        <v>161</v>
      </c>
      <c r="Q8" s="11"/>
      <c r="R8" s="11"/>
      <c r="S8" s="11" t="s">
        <v>43</v>
      </c>
      <c r="T8" s="11"/>
      <c r="U8" s="11"/>
      <c r="V8" s="11"/>
      <c r="W8" s="11"/>
      <c r="X8" s="11"/>
      <c r="Y8" s="11"/>
      <c r="Z8" s="11"/>
      <c r="AA8" s="11"/>
      <c r="AB8" s="11"/>
      <c r="AC8" s="11"/>
    </row>
    <row r="9" spans="1:29" ht="15" customHeight="1" x14ac:dyDescent="0.25">
      <c r="A9" s="133"/>
      <c r="B9" s="133"/>
      <c r="C9" s="133"/>
      <c r="D9" s="133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 t="s">
        <v>63</v>
      </c>
      <c r="Q9" s="11"/>
      <c r="R9" s="11"/>
      <c r="S9" s="11" t="s">
        <v>161</v>
      </c>
      <c r="T9" s="11"/>
      <c r="U9" s="11"/>
      <c r="V9" s="11"/>
      <c r="W9" s="11"/>
      <c r="X9" s="11"/>
      <c r="Y9" s="11"/>
      <c r="Z9" s="11"/>
      <c r="AA9" s="11"/>
      <c r="AB9" s="11"/>
      <c r="AC9" s="11"/>
    </row>
    <row r="10" spans="1:29" ht="15" customHeight="1" x14ac:dyDescent="0.25">
      <c r="A10" s="133"/>
      <c r="B10" s="133"/>
      <c r="C10" s="133"/>
      <c r="D10" s="133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 t="s">
        <v>63</v>
      </c>
      <c r="T10" s="11"/>
      <c r="U10" s="11"/>
      <c r="V10" s="11"/>
      <c r="W10" s="11"/>
      <c r="X10" s="11"/>
      <c r="Y10" s="11"/>
      <c r="Z10" s="11"/>
      <c r="AA10" s="11"/>
      <c r="AB10" s="11"/>
      <c r="AC10" s="11"/>
    </row>
    <row r="11" spans="1:29" ht="15" customHeight="1" x14ac:dyDescent="0.25">
      <c r="A11" s="133"/>
      <c r="B11" s="133"/>
      <c r="C11" s="133"/>
      <c r="D11" s="133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</row>
    <row r="12" spans="1:29" ht="15" customHeight="1" x14ac:dyDescent="0.25">
      <c r="A12" s="133"/>
      <c r="B12" s="133"/>
      <c r="C12" s="133"/>
      <c r="D12" s="133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</row>
    <row r="13" spans="1:29" ht="15" customHeight="1" x14ac:dyDescent="0.25">
      <c r="A13" s="133"/>
      <c r="B13" s="133"/>
      <c r="C13" s="133"/>
      <c r="D13" s="133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</row>
    <row r="14" spans="1:29" ht="15" customHeight="1" x14ac:dyDescent="0.25">
      <c r="A14" s="133"/>
      <c r="B14" s="133"/>
      <c r="C14" s="133"/>
      <c r="D14" s="133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</row>
    <row r="15" spans="1:29" ht="15" customHeight="1" x14ac:dyDescent="0.25">
      <c r="A15" s="133"/>
      <c r="B15" s="133"/>
      <c r="C15" s="133"/>
      <c r="D15" s="133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</row>
    <row r="16" spans="1:29" ht="15" customHeight="1" x14ac:dyDescent="0.25">
      <c r="A16" s="133"/>
      <c r="B16" s="133"/>
      <c r="C16" s="133"/>
      <c r="D16" s="133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</row>
    <row r="17" spans="1:29" ht="15" customHeight="1" x14ac:dyDescent="0.25">
      <c r="A17" s="274" t="s">
        <v>21</v>
      </c>
      <c r="B17" s="175">
        <v>0</v>
      </c>
      <c r="C17" s="274" t="s">
        <v>23</v>
      </c>
      <c r="D17" s="175">
        <v>36</v>
      </c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</row>
    <row r="18" spans="1:29" ht="15" customHeight="1" x14ac:dyDescent="0.25">
      <c r="A18" s="274" t="s">
        <v>22</v>
      </c>
      <c r="B18" s="175">
        <v>18</v>
      </c>
      <c r="C18" s="274" t="s">
        <v>24</v>
      </c>
      <c r="D18" s="175">
        <v>122</v>
      </c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</row>
    <row r="19" spans="1:29" ht="15" customHeight="1" x14ac:dyDescent="0.25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</row>
    <row r="20" spans="1:29" ht="15" customHeight="1" x14ac:dyDescent="0.25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</row>
    <row r="21" spans="1:29" ht="15" customHeight="1" x14ac:dyDescent="0.25">
      <c r="A21" s="133"/>
      <c r="B21" s="133"/>
      <c r="C21" s="133"/>
      <c r="D21" s="133"/>
      <c r="E21" s="133"/>
      <c r="F21" s="133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</row>
    <row r="22" spans="1:29" ht="15" customHeight="1" x14ac:dyDescent="0.25">
      <c r="A22" s="275"/>
      <c r="B22" s="275"/>
      <c r="C22" s="234"/>
      <c r="D22" s="234"/>
      <c r="E22" s="234"/>
      <c r="F22" s="234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</row>
    <row r="23" spans="1:29" x14ac:dyDescent="0.25">
      <c r="A23" s="275"/>
      <c r="B23" s="275"/>
      <c r="C23" s="234"/>
      <c r="D23" s="234"/>
      <c r="E23" s="234"/>
      <c r="F23" s="234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</row>
    <row r="24" spans="1:29" ht="15.75" x14ac:dyDescent="0.25">
      <c r="A24" s="133"/>
      <c r="B24" s="133"/>
      <c r="C24" s="133"/>
      <c r="D24" s="133"/>
      <c r="E24" s="133"/>
      <c r="F24" s="133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</row>
    <row r="25" spans="1:29" ht="15.75" x14ac:dyDescent="0.25">
      <c r="A25" s="240"/>
      <c r="B25" s="240"/>
      <c r="C25" s="134"/>
      <c r="D25" s="276"/>
      <c r="E25" s="134"/>
      <c r="F25" s="175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</row>
    <row r="26" spans="1:29" ht="15.75" x14ac:dyDescent="0.25">
      <c r="A26" s="240"/>
      <c r="B26" s="240"/>
      <c r="C26" s="134"/>
      <c r="D26" s="222"/>
      <c r="E26" s="134"/>
      <c r="F26" s="175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</row>
    <row r="27" spans="1:29" x14ac:dyDescent="0.25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</row>
    <row r="28" spans="1:29" x14ac:dyDescent="0.25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</row>
    <row r="29" spans="1:29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</row>
    <row r="30" spans="1:29" x14ac:dyDescent="0.2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</row>
    <row r="31" spans="1:29" x14ac:dyDescent="0.25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</row>
    <row r="32" spans="1:29" x14ac:dyDescent="0.25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</row>
    <row r="33" spans="1:29" x14ac:dyDescent="0.25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</row>
    <row r="34" spans="1:29" x14ac:dyDescent="0.25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</row>
    <row r="35" spans="1:29" x14ac:dyDescent="0.25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</row>
    <row r="36" spans="1:29" x14ac:dyDescent="0.25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</row>
    <row r="37" spans="1:29" x14ac:dyDescent="0.25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</row>
    <row r="38" spans="1:29" x14ac:dyDescent="0.25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</row>
    <row r="39" spans="1:29" x14ac:dyDescent="0.25">
      <c r="A39" s="11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</row>
    <row r="40" spans="1:29" x14ac:dyDescent="0.25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</row>
    <row r="41" spans="1:29" x14ac:dyDescent="0.25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</row>
    <row r="42" spans="1:29" x14ac:dyDescent="0.25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</row>
    <row r="43" spans="1:29" x14ac:dyDescent="0.2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</row>
    <row r="44" spans="1:29" x14ac:dyDescent="0.2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</row>
    <row r="45" spans="1:29" x14ac:dyDescent="0.25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</row>
  </sheetData>
  <mergeCells count="2">
    <mergeCell ref="P3:R3"/>
    <mergeCell ref="S3:U3"/>
  </mergeCells>
  <dataValidations count="2">
    <dataValidation type="list" allowBlank="1" showInputMessage="1" showErrorMessage="1" sqref="C23:F23" xr:uid="{00000000-0002-0000-0500-000000000000}">
      <formula1>$S$4:$S$10</formula1>
    </dataValidation>
    <dataValidation type="list" allowBlank="1" showInputMessage="1" showErrorMessage="1" sqref="C22:F22" xr:uid="{00000000-0002-0000-0500-000001000000}">
      <formula1>$P$4:$P$9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>
    <tabColor rgb="FF0070C0"/>
  </sheetPr>
  <dimension ref="A1:CC84"/>
  <sheetViews>
    <sheetView showGridLines="0" showRowColHeaders="0" zoomScaleNormal="100" workbookViewId="0">
      <selection activeCell="O25" sqref="O25"/>
    </sheetView>
  </sheetViews>
  <sheetFormatPr baseColWidth="10" defaultColWidth="11.42578125" defaultRowHeight="15" x14ac:dyDescent="0.25"/>
  <cols>
    <col min="1" max="1" width="7.85546875" style="188" customWidth="1"/>
    <col min="2" max="2" width="5.7109375" style="188" customWidth="1"/>
    <col min="3" max="3" width="11.140625" style="188" customWidth="1"/>
    <col min="4" max="4" width="14" style="188" customWidth="1"/>
    <col min="5" max="5" width="11.140625" style="188" customWidth="1"/>
    <col min="6" max="6" width="18" style="188" customWidth="1"/>
    <col min="7" max="7" width="12.85546875" style="188" customWidth="1"/>
    <col min="8" max="8" width="16.5703125" style="188" customWidth="1"/>
    <col min="9" max="10" width="11.42578125" style="188"/>
    <col min="11" max="11" width="9.42578125" style="188" customWidth="1"/>
    <col min="12" max="12" width="9.28515625" style="188" customWidth="1"/>
    <col min="13" max="81" width="9.140625" style="188" customWidth="1"/>
    <col min="82" max="16384" width="11.42578125" style="188"/>
  </cols>
  <sheetData>
    <row r="1" spans="1:81" x14ac:dyDescent="0.25">
      <c r="A1" s="186"/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6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87"/>
      <c r="AA1" s="187"/>
      <c r="AB1" s="187"/>
      <c r="AC1" s="187"/>
      <c r="AD1" s="187"/>
      <c r="AE1" s="187"/>
      <c r="AF1" s="187"/>
      <c r="AG1" s="187"/>
      <c r="AH1" s="187"/>
      <c r="AI1" s="187"/>
      <c r="AJ1" s="187"/>
      <c r="AK1" s="187"/>
      <c r="AL1" s="187"/>
      <c r="AM1" s="187"/>
      <c r="AN1" s="187"/>
      <c r="AO1" s="187"/>
      <c r="AP1" s="187"/>
      <c r="AQ1" s="187"/>
      <c r="AR1" s="187"/>
      <c r="AS1" s="187"/>
      <c r="AT1" s="187"/>
      <c r="AU1" s="187"/>
      <c r="AV1" s="187"/>
      <c r="AW1" s="187"/>
      <c r="AX1" s="187"/>
      <c r="AY1" s="187"/>
      <c r="AZ1" s="187"/>
      <c r="BA1" s="187"/>
      <c r="BB1" s="187"/>
      <c r="BC1" s="187"/>
      <c r="BD1" s="187"/>
      <c r="BE1" s="187"/>
      <c r="BF1" s="187"/>
      <c r="BG1" s="187"/>
      <c r="BH1" s="187"/>
      <c r="BI1" s="187"/>
      <c r="BJ1" s="187"/>
      <c r="BK1" s="187"/>
      <c r="BL1" s="187"/>
      <c r="BM1" s="187"/>
      <c r="BN1" s="187"/>
      <c r="BO1" s="187"/>
      <c r="BP1" s="187"/>
      <c r="BQ1" s="187"/>
      <c r="BR1" s="187"/>
      <c r="BS1" s="187"/>
      <c r="BT1" s="187"/>
      <c r="BU1" s="187"/>
      <c r="BV1" s="187"/>
      <c r="BW1" s="187"/>
      <c r="BX1" s="187"/>
      <c r="BY1" s="187"/>
      <c r="BZ1" s="187"/>
      <c r="CA1" s="187"/>
      <c r="CB1" s="187"/>
      <c r="CC1" s="187"/>
    </row>
    <row r="2" spans="1:81" x14ac:dyDescent="0.25">
      <c r="A2" s="187"/>
      <c r="B2" s="187"/>
      <c r="C2" s="187"/>
      <c r="D2" s="187"/>
      <c r="E2" s="187"/>
      <c r="F2" s="187"/>
      <c r="G2" s="187"/>
      <c r="H2" s="187"/>
      <c r="I2" s="187"/>
      <c r="J2" s="189"/>
      <c r="K2" s="189"/>
      <c r="L2" s="189"/>
      <c r="M2" s="190"/>
      <c r="N2" s="189"/>
      <c r="O2" s="189"/>
      <c r="P2" s="187"/>
      <c r="Q2" s="187"/>
      <c r="R2" s="187"/>
      <c r="S2" s="187"/>
      <c r="T2" s="187"/>
      <c r="U2" s="187"/>
      <c r="V2" s="187"/>
      <c r="W2" s="187"/>
      <c r="X2" s="187"/>
      <c r="Y2" s="187"/>
      <c r="Z2" s="187"/>
      <c r="AA2" s="187"/>
      <c r="AB2" s="187"/>
      <c r="AC2" s="187"/>
      <c r="AD2" s="187"/>
      <c r="AE2" s="187"/>
      <c r="AF2" s="187"/>
      <c r="AG2" s="187"/>
      <c r="AH2" s="187"/>
      <c r="AI2" s="187"/>
      <c r="AJ2" s="187"/>
      <c r="AK2" s="187"/>
      <c r="AL2" s="187"/>
      <c r="AM2" s="187"/>
      <c r="AN2" s="187"/>
      <c r="AO2" s="187"/>
      <c r="AP2" s="187"/>
      <c r="AQ2" s="187"/>
      <c r="AR2" s="187"/>
      <c r="AS2" s="187"/>
      <c r="AT2" s="187"/>
      <c r="AU2" s="187"/>
      <c r="AV2" s="187"/>
      <c r="AW2" s="187"/>
      <c r="AX2" s="187"/>
      <c r="AY2" s="187"/>
      <c r="AZ2" s="187"/>
      <c r="BA2" s="187"/>
      <c r="BB2" s="187"/>
      <c r="BC2" s="187"/>
      <c r="BD2" s="187"/>
      <c r="BE2" s="187"/>
      <c r="BF2" s="187"/>
      <c r="BG2" s="187"/>
      <c r="BH2" s="187"/>
      <c r="BI2" s="187"/>
      <c r="BJ2" s="187"/>
      <c r="BK2" s="187"/>
      <c r="BL2" s="187"/>
      <c r="BM2" s="187"/>
      <c r="BN2" s="187"/>
      <c r="BO2" s="187"/>
      <c r="BP2" s="187"/>
      <c r="BQ2" s="187"/>
      <c r="BR2" s="187"/>
      <c r="BS2" s="187"/>
      <c r="BT2" s="187"/>
      <c r="BU2" s="187"/>
      <c r="BV2" s="187"/>
      <c r="BW2" s="187"/>
      <c r="BX2" s="187"/>
      <c r="BY2" s="187"/>
      <c r="BZ2" s="187"/>
      <c r="CA2" s="187"/>
      <c r="CB2" s="187"/>
      <c r="CC2" s="187"/>
    </row>
    <row r="3" spans="1:81" ht="15.75" x14ac:dyDescent="0.25">
      <c r="A3" s="187"/>
      <c r="B3" s="187"/>
      <c r="C3" s="187"/>
      <c r="D3" s="187"/>
      <c r="E3" s="187"/>
      <c r="F3" s="187"/>
      <c r="G3" s="187"/>
      <c r="H3" s="187"/>
      <c r="I3" s="187"/>
      <c r="J3" s="187"/>
      <c r="K3" s="187"/>
      <c r="L3" s="191"/>
      <c r="M3" s="192"/>
      <c r="N3" s="193"/>
      <c r="O3" s="194"/>
      <c r="P3" s="195"/>
      <c r="Q3" s="195"/>
      <c r="R3" s="195"/>
      <c r="S3" s="195"/>
      <c r="T3" s="195"/>
      <c r="U3" s="195"/>
      <c r="V3" s="195"/>
      <c r="W3" s="195"/>
      <c r="X3" s="195"/>
      <c r="Y3" s="195"/>
      <c r="Z3" s="195"/>
      <c r="AA3" s="195"/>
      <c r="AB3" s="195"/>
      <c r="AC3" s="195"/>
      <c r="AD3" s="195"/>
      <c r="AE3" s="195"/>
      <c r="AF3" s="195"/>
      <c r="AG3" s="195"/>
      <c r="AH3" s="195"/>
      <c r="AI3" s="195"/>
      <c r="AJ3" s="195"/>
      <c r="AK3" s="196"/>
      <c r="AL3" s="194"/>
      <c r="AM3" s="194"/>
      <c r="AN3" s="195"/>
      <c r="AO3" s="195"/>
      <c r="AP3" s="195"/>
      <c r="AQ3" s="195"/>
      <c r="AR3" s="195"/>
      <c r="AS3" s="195"/>
      <c r="AT3" s="195"/>
      <c r="AU3" s="195"/>
      <c r="AV3" s="195"/>
      <c r="AW3" s="195"/>
      <c r="AX3" s="195"/>
      <c r="AY3" s="195"/>
      <c r="AZ3" s="195"/>
      <c r="BA3" s="195"/>
      <c r="BB3" s="195"/>
      <c r="BC3" s="195"/>
      <c r="BD3" s="195"/>
      <c r="BE3" s="195"/>
      <c r="BF3" s="195"/>
      <c r="BG3" s="195"/>
      <c r="BH3" s="195"/>
      <c r="BI3" s="195"/>
      <c r="BJ3" s="195"/>
      <c r="BK3" s="195"/>
      <c r="BL3" s="195"/>
      <c r="BM3" s="195"/>
      <c r="BN3" s="195"/>
      <c r="BO3" s="195"/>
      <c r="BP3" s="195"/>
      <c r="BQ3" s="195"/>
      <c r="BR3" s="195"/>
      <c r="BS3" s="195"/>
      <c r="BT3" s="195"/>
      <c r="BU3" s="195"/>
      <c r="BV3" s="195"/>
      <c r="BW3" s="195"/>
      <c r="BX3" s="195"/>
      <c r="BY3" s="195"/>
      <c r="BZ3" s="197"/>
      <c r="CA3" s="187"/>
      <c r="CB3" s="187"/>
      <c r="CC3" s="187"/>
    </row>
    <row r="4" spans="1:81" x14ac:dyDescent="0.25">
      <c r="A4" s="187"/>
      <c r="B4" s="187"/>
      <c r="C4" s="187"/>
      <c r="D4" s="187"/>
      <c r="E4" s="187"/>
      <c r="F4" s="187"/>
      <c r="G4" s="187"/>
      <c r="H4" s="187"/>
      <c r="I4" s="187"/>
      <c r="J4" s="187"/>
      <c r="K4" s="187"/>
      <c r="L4" s="187"/>
      <c r="M4" s="198"/>
      <c r="N4" s="187"/>
      <c r="O4" s="187"/>
      <c r="P4" s="187"/>
      <c r="Q4" s="187"/>
      <c r="R4" s="187"/>
      <c r="S4" s="187"/>
      <c r="T4" s="187"/>
      <c r="U4" s="187"/>
      <c r="V4" s="187"/>
      <c r="W4" s="187"/>
      <c r="X4" s="187"/>
      <c r="Y4" s="187"/>
      <c r="Z4" s="187"/>
      <c r="AA4" s="187"/>
      <c r="AB4" s="187"/>
      <c r="AC4" s="187"/>
      <c r="AD4" s="187"/>
      <c r="AE4" s="187"/>
      <c r="AF4" s="187"/>
      <c r="AG4" s="187"/>
      <c r="AH4" s="187"/>
      <c r="AI4" s="187"/>
      <c r="AJ4" s="187"/>
      <c r="AK4" s="187"/>
      <c r="AL4" s="187"/>
      <c r="AM4" s="187"/>
      <c r="AN4" s="187"/>
      <c r="AO4" s="187"/>
      <c r="AP4" s="187"/>
      <c r="AQ4" s="187"/>
      <c r="AR4" s="187"/>
      <c r="AS4" s="187"/>
      <c r="AT4" s="187"/>
      <c r="AU4" s="187"/>
      <c r="AV4" s="187"/>
      <c r="AW4" s="187"/>
      <c r="AX4" s="187"/>
      <c r="AY4" s="187"/>
      <c r="AZ4" s="187"/>
      <c r="BA4" s="187"/>
      <c r="BB4" s="187"/>
      <c r="BC4" s="187"/>
      <c r="BD4" s="187"/>
      <c r="BE4" s="187"/>
      <c r="BF4" s="187"/>
      <c r="BG4" s="187"/>
      <c r="BH4" s="187"/>
      <c r="BI4" s="187"/>
      <c r="BJ4" s="187"/>
      <c r="BK4" s="187"/>
      <c r="BL4" s="187"/>
      <c r="BM4" s="187"/>
      <c r="BN4" s="187"/>
      <c r="BO4" s="187"/>
      <c r="BP4" s="187"/>
      <c r="BQ4" s="187"/>
      <c r="BR4" s="187"/>
      <c r="BS4" s="187"/>
      <c r="BT4" s="187"/>
      <c r="BU4" s="187"/>
      <c r="BV4" s="187"/>
      <c r="BW4" s="187"/>
      <c r="BX4" s="187"/>
      <c r="BY4" s="187"/>
      <c r="BZ4" s="187"/>
      <c r="CA4" s="187"/>
      <c r="CB4" s="187"/>
      <c r="CC4" s="187"/>
    </row>
    <row r="5" spans="1:81" ht="15.75" customHeight="1" x14ac:dyDescent="0.25">
      <c r="A5" s="187"/>
      <c r="B5"/>
      <c r="C5"/>
      <c r="D5"/>
      <c r="E5"/>
      <c r="F5"/>
      <c r="G5"/>
      <c r="H5"/>
      <c r="I5"/>
      <c r="J5"/>
      <c r="K5"/>
      <c r="L5"/>
      <c r="M5" s="174"/>
      <c r="N5" s="175"/>
      <c r="O5" s="174"/>
      <c r="P5" s="11"/>
      <c r="Q5" s="11"/>
      <c r="R5" s="176"/>
      <c r="S5" s="176"/>
      <c r="T5" s="199"/>
    </row>
    <row r="6" spans="1:81" ht="15" customHeight="1" x14ac:dyDescent="0.25">
      <c r="A6" s="187"/>
      <c r="B6"/>
      <c r="C6"/>
      <c r="D6"/>
      <c r="E6"/>
      <c r="F6"/>
      <c r="G6"/>
      <c r="H6"/>
      <c r="I6" s="369" t="s">
        <v>251</v>
      </c>
      <c r="J6" s="369"/>
      <c r="K6" s="369"/>
      <c r="L6" s="369"/>
      <c r="M6" s="175"/>
      <c r="N6" s="175"/>
      <c r="O6" s="174"/>
      <c r="P6" s="131"/>
      <c r="Q6" s="177"/>
      <c r="R6" s="121"/>
      <c r="S6" s="121"/>
      <c r="T6" s="200"/>
      <c r="U6" s="200"/>
      <c r="V6" s="200"/>
      <c r="Z6" s="201"/>
    </row>
    <row r="7" spans="1:81" ht="19.5" customHeight="1" x14ac:dyDescent="0.25">
      <c r="A7" s="187"/>
      <c r="B7"/>
      <c r="C7" s="370" t="s">
        <v>91</v>
      </c>
      <c r="D7" s="370"/>
      <c r="E7" s="370"/>
      <c r="F7" s="178">
        <f>'Análisis Espectral'!F7</f>
        <v>3</v>
      </c>
      <c r="G7"/>
      <c r="H7"/>
      <c r="I7" s="344" t="s">
        <v>250</v>
      </c>
      <c r="J7" s="344"/>
      <c r="K7" s="343" t="s">
        <v>43</v>
      </c>
      <c r="L7" s="343"/>
      <c r="M7" s="179"/>
      <c r="N7" s="179"/>
      <c r="O7" s="174"/>
      <c r="P7" s="131"/>
      <c r="Q7" s="177"/>
      <c r="R7" s="121"/>
      <c r="S7" s="121"/>
      <c r="T7" s="202"/>
      <c r="U7" s="200"/>
      <c r="V7" s="200"/>
      <c r="Z7" s="201"/>
    </row>
    <row r="8" spans="1:81" ht="27.75" customHeight="1" x14ac:dyDescent="0.25">
      <c r="A8" s="187"/>
      <c r="B8"/>
      <c r="C8"/>
      <c r="D8"/>
      <c r="E8"/>
      <c r="F8" s="170"/>
      <c r="G8"/>
      <c r="H8"/>
      <c r="I8"/>
      <c r="J8"/>
      <c r="K8" s="180"/>
      <c r="L8" s="180"/>
      <c r="M8" s="131"/>
      <c r="N8" s="131"/>
      <c r="O8" s="174"/>
      <c r="P8" s="11"/>
      <c r="Q8" s="11"/>
      <c r="R8" s="121"/>
      <c r="S8" s="121"/>
      <c r="T8" s="200"/>
      <c r="U8" s="200"/>
      <c r="V8" s="200"/>
      <c r="Z8" s="201"/>
    </row>
    <row r="9" spans="1:81" ht="15" customHeight="1" x14ac:dyDescent="0.25">
      <c r="A9" s="187"/>
      <c r="B9"/>
      <c r="C9"/>
      <c r="D9"/>
      <c r="E9"/>
      <c r="F9"/>
      <c r="G9"/>
      <c r="H9"/>
      <c r="I9"/>
      <c r="J9"/>
      <c r="K9"/>
      <c r="L9"/>
      <c r="M9" s="175"/>
      <c r="N9" s="175"/>
      <c r="O9" s="174"/>
      <c r="P9" s="131"/>
      <c r="Q9" s="11"/>
      <c r="R9" s="121"/>
      <c r="S9" s="121"/>
      <c r="T9" s="200"/>
      <c r="U9" s="200"/>
      <c r="V9" s="200"/>
      <c r="Z9" s="201"/>
    </row>
    <row r="10" spans="1:81" ht="15" customHeight="1" x14ac:dyDescent="0.25">
      <c r="A10" s="187"/>
      <c r="B10"/>
      <c r="C10" s="171"/>
      <c r="D10" s="171"/>
      <c r="E10" s="171"/>
      <c r="F10" s="154"/>
      <c r="G10"/>
      <c r="H10"/>
      <c r="I10"/>
      <c r="J10"/>
      <c r="K10"/>
      <c r="L10"/>
      <c r="M10" s="175"/>
      <c r="N10" s="175"/>
      <c r="O10" s="11"/>
      <c r="P10" s="181"/>
      <c r="Q10" s="11"/>
      <c r="R10" s="121"/>
      <c r="S10" s="121"/>
      <c r="T10" s="200"/>
      <c r="U10" s="200"/>
      <c r="V10" s="200"/>
    </row>
    <row r="11" spans="1:81" ht="15" customHeight="1" x14ac:dyDescent="0.25">
      <c r="A11" s="187"/>
      <c r="B11"/>
      <c r="C11" s="371" t="s">
        <v>1</v>
      </c>
      <c r="D11" s="372"/>
      <c r="E11" s="372"/>
      <c r="F11" s="373"/>
      <c r="G11" s="374" t="s">
        <v>249</v>
      </c>
      <c r="H11"/>
      <c r="I11"/>
      <c r="J11"/>
      <c r="K11"/>
      <c r="L11"/>
      <c r="M11" s="175"/>
      <c r="N11" s="175"/>
      <c r="O11" s="11"/>
      <c r="P11" s="11"/>
      <c r="Q11" s="11"/>
      <c r="R11" s="121"/>
      <c r="S11" s="121"/>
      <c r="T11" s="200"/>
      <c r="U11" s="200"/>
      <c r="V11" s="200"/>
    </row>
    <row r="12" spans="1:81" ht="15" customHeight="1" x14ac:dyDescent="0.25">
      <c r="A12" s="187"/>
      <c r="B12"/>
      <c r="C12" s="182" t="s">
        <v>149</v>
      </c>
      <c r="D12" s="182" t="s">
        <v>150</v>
      </c>
      <c r="E12" s="182" t="s">
        <v>77</v>
      </c>
      <c r="F12" s="182" t="s">
        <v>178</v>
      </c>
      <c r="G12" s="375"/>
      <c r="H12"/>
      <c r="I12"/>
      <c r="J12"/>
      <c r="K12"/>
      <c r="L12"/>
      <c r="M12" s="175"/>
      <c r="N12" s="175"/>
      <c r="O12" s="174"/>
      <c r="P12" s="11"/>
      <c r="Q12" s="11"/>
      <c r="R12" s="121"/>
      <c r="S12" s="121"/>
      <c r="T12" s="200"/>
      <c r="U12" s="200"/>
      <c r="V12" s="200"/>
    </row>
    <row r="13" spans="1:81" ht="15" customHeight="1" x14ac:dyDescent="0.25">
      <c r="A13" s="187"/>
      <c r="B13"/>
      <c r="C13" s="183">
        <v>1</v>
      </c>
      <c r="D13" s="178" t="str">
        <f>IF('Análisis Espectral'!D13&lt;&gt;"",'Análisis Espectral'!D13,"")</f>
        <v>carpeta</v>
      </c>
      <c r="E13" s="178">
        <f>IF('Análisis Espectral'!E13&lt;&gt;"",'Análisis Espectral'!E13,"")</f>
        <v>10</v>
      </c>
      <c r="F13" s="178">
        <f>IF('Análisis Espectral'!F13&lt;&gt;"",'Análisis Espectral'!F13,"")</f>
        <v>4032</v>
      </c>
      <c r="G13" s="173">
        <v>20</v>
      </c>
      <c r="H13"/>
      <c r="I13"/>
      <c r="J13"/>
      <c r="K13"/>
      <c r="L13"/>
      <c r="M13" s="175"/>
      <c r="N13" s="175"/>
      <c r="O13" s="174"/>
      <c r="P13" s="131"/>
      <c r="Q13" s="11"/>
      <c r="R13" s="121"/>
      <c r="S13" s="121"/>
      <c r="T13" s="200"/>
      <c r="U13" s="200"/>
      <c r="V13" s="200"/>
    </row>
    <row r="14" spans="1:81" ht="15.75" x14ac:dyDescent="0.25">
      <c r="A14" s="187"/>
      <c r="B14"/>
      <c r="C14" s="183">
        <v>2</v>
      </c>
      <c r="D14" s="178" t="str">
        <f>IF('Análisis Espectral'!D14&lt;&gt;"",'Análisis Espectral'!D14,"")</f>
        <v>base</v>
      </c>
      <c r="E14" s="178">
        <f>IF('Análisis Espectral'!E14&lt;&gt;"",'Análisis Espectral'!E14,"")</f>
        <v>40</v>
      </c>
      <c r="F14" s="178">
        <f>IF('Análisis Espectral'!F14&lt;&gt;"",'Análisis Espectral'!F14,"")</f>
        <v>691.2</v>
      </c>
      <c r="G14" s="173">
        <v>20</v>
      </c>
      <c r="H14"/>
      <c r="I14"/>
      <c r="J14"/>
      <c r="K14"/>
      <c r="L14" s="133"/>
      <c r="M14" s="175"/>
      <c r="N14" s="175"/>
      <c r="O14" s="11"/>
      <c r="P14" s="131"/>
      <c r="Q14" s="11"/>
      <c r="R14" s="121"/>
      <c r="S14" s="121"/>
      <c r="T14" s="200"/>
    </row>
    <row r="15" spans="1:81" ht="15" customHeight="1" x14ac:dyDescent="0.25">
      <c r="A15" s="187"/>
      <c r="B15"/>
      <c r="C15" s="183">
        <v>3</v>
      </c>
      <c r="D15" s="178" t="str">
        <f>IF('Análisis Espectral'!D15&lt;&gt;"",'Análisis Espectral'!D15,"")</f>
        <v>Subbase</v>
      </c>
      <c r="E15" s="178">
        <f>IF('Análisis Espectral'!E15&lt;&gt;"",'Análisis Espectral'!E15,"")</f>
        <v>5</v>
      </c>
      <c r="F15" s="178">
        <f>IF('Análisis Espectral'!F15&lt;&gt;"",'Análisis Espectral'!F15,"")</f>
        <v>115.2</v>
      </c>
      <c r="G15" s="173">
        <v>20</v>
      </c>
      <c r="H15"/>
      <c r="I15" s="370" t="s">
        <v>151</v>
      </c>
      <c r="J15" s="370"/>
      <c r="K15" s="370"/>
      <c r="L15" s="203">
        <v>4.2401884423173604</v>
      </c>
      <c r="M15" s="11"/>
      <c r="N15" s="11"/>
      <c r="O15" s="11"/>
      <c r="P15" s="11"/>
      <c r="Q15" s="184"/>
      <c r="R15" s="121"/>
      <c r="S15" s="121"/>
      <c r="T15" s="200"/>
    </row>
    <row r="16" spans="1:81" ht="15" customHeight="1" x14ac:dyDescent="0.25">
      <c r="A16" s="187"/>
      <c r="B16"/>
      <c r="C16" s="183">
        <v>4</v>
      </c>
      <c r="D16" s="178" t="str">
        <f>IF('Análisis Espectral'!D16&lt;&gt;"",'Análisis Espectral'!D16,"")</f>
        <v/>
      </c>
      <c r="E16" s="178" t="str">
        <f>IF('Análisis Espectral'!E16&lt;&gt;"",'Análisis Espectral'!E16,"")</f>
        <v/>
      </c>
      <c r="F16" s="178" t="str">
        <f>IF('Análisis Espectral'!F16&lt;&gt;"",'Análisis Espectral'!F16,"")</f>
        <v/>
      </c>
      <c r="G16" s="173"/>
      <c r="H16"/>
      <c r="I16" s="370" t="s">
        <v>152</v>
      </c>
      <c r="J16" s="370"/>
      <c r="K16" s="370"/>
      <c r="L16" s="203">
        <v>2.7980388138657011</v>
      </c>
      <c r="M16"/>
      <c r="N16"/>
      <c r="O16"/>
      <c r="P16"/>
      <c r="Q16" s="121"/>
      <c r="R16" s="121"/>
      <c r="S16" s="121"/>
      <c r="T16" s="200"/>
    </row>
    <row r="17" spans="1:20" x14ac:dyDescent="0.25">
      <c r="A17" s="187"/>
      <c r="B17"/>
      <c r="C17" s="183">
        <v>5</v>
      </c>
      <c r="D17" s="178" t="str">
        <f>IF('Análisis Espectral'!D17&lt;&gt;"",'Análisis Espectral'!D17,"")</f>
        <v/>
      </c>
      <c r="E17" s="178" t="str">
        <f>IF('Análisis Espectral'!E17&lt;&gt;"",'Análisis Espectral'!E17,"")</f>
        <v/>
      </c>
      <c r="F17" s="178" t="str">
        <f>IF('Análisis Espectral'!F17&lt;&gt;"",'Análisis Espectral'!F17,"")</f>
        <v/>
      </c>
      <c r="G17" s="173"/>
      <c r="H17"/>
      <c r="I17"/>
      <c r="J17" s="185"/>
      <c r="K17"/>
      <c r="L17"/>
      <c r="M17"/>
      <c r="N17"/>
      <c r="O17"/>
      <c r="P17"/>
      <c r="Q17" s="121"/>
      <c r="R17" s="121"/>
      <c r="S17" s="121"/>
      <c r="T17" s="200"/>
    </row>
    <row r="18" spans="1:20" x14ac:dyDescent="0.25">
      <c r="A18" s="187"/>
      <c r="B18"/>
      <c r="C18" s="183">
        <v>6</v>
      </c>
      <c r="D18" s="178" t="str">
        <f>IF('Análisis Espectral'!D18&lt;&gt;"",'Análisis Espectral'!D18,"")</f>
        <v/>
      </c>
      <c r="E18" s="178" t="str">
        <f>IF('Análisis Espectral'!E18&lt;&gt;"",'Análisis Espectral'!E18,"")</f>
        <v/>
      </c>
      <c r="F18" s="178" t="str">
        <f>IF('Análisis Espectral'!F18&lt;&gt;"",'Análisis Espectral'!F18,"")</f>
        <v/>
      </c>
      <c r="G18" s="173"/>
      <c r="H18"/>
      <c r="I18"/>
      <c r="J18" s="185"/>
      <c r="K18"/>
      <c r="L18"/>
      <c r="M18"/>
      <c r="N18"/>
      <c r="O18"/>
      <c r="P18"/>
      <c r="Q18" s="121"/>
      <c r="R18" s="121"/>
      <c r="S18" s="121"/>
      <c r="T18" s="200"/>
    </row>
    <row r="19" spans="1:20" x14ac:dyDescent="0.25">
      <c r="A19" s="187"/>
      <c r="B19"/>
      <c r="C19"/>
      <c r="D19"/>
      <c r="E19"/>
      <c r="F19"/>
      <c r="G19"/>
      <c r="H19"/>
      <c r="I19"/>
      <c r="J19" s="185"/>
      <c r="K19"/>
      <c r="L19"/>
      <c r="M19"/>
      <c r="N19"/>
      <c r="O19"/>
      <c r="P19"/>
      <c r="Q19" s="121"/>
      <c r="R19" s="121"/>
      <c r="S19" s="121"/>
      <c r="T19" s="200"/>
    </row>
    <row r="20" spans="1:20" x14ac:dyDescent="0.25">
      <c r="A20" s="187"/>
      <c r="B20"/>
      <c r="C20"/>
      <c r="D20"/>
      <c r="E20"/>
      <c r="F20"/>
      <c r="G20"/>
      <c r="H20"/>
      <c r="I20"/>
      <c r="J20" s="185"/>
      <c r="K20"/>
      <c r="L20"/>
      <c r="M20"/>
      <c r="N20"/>
      <c r="O20"/>
      <c r="P20"/>
      <c r="Q20" s="121"/>
      <c r="R20" s="121"/>
      <c r="S20" s="121"/>
      <c r="T20" s="200"/>
    </row>
    <row r="21" spans="1:20" x14ac:dyDescent="0.25">
      <c r="A21" s="187"/>
      <c r="B21"/>
      <c r="C21"/>
      <c r="D21"/>
      <c r="E21"/>
      <c r="F21"/>
      <c r="G21"/>
      <c r="H21"/>
      <c r="I21"/>
      <c r="J21" s="185"/>
      <c r="K21"/>
      <c r="L21"/>
      <c r="M21"/>
      <c r="N21"/>
      <c r="O21"/>
      <c r="P21"/>
      <c r="Q21" s="121"/>
      <c r="R21" s="121"/>
      <c r="S21" s="121"/>
      <c r="T21" s="200"/>
    </row>
    <row r="22" spans="1:20" x14ac:dyDescent="0.25">
      <c r="A22" s="187"/>
      <c r="B22"/>
      <c r="C22"/>
      <c r="D22"/>
      <c r="E22"/>
      <c r="F22"/>
      <c r="G22"/>
      <c r="H22"/>
      <c r="I22"/>
      <c r="J22" s="185"/>
      <c r="K22"/>
      <c r="L22"/>
      <c r="M22"/>
      <c r="N22"/>
      <c r="O22"/>
      <c r="P22"/>
      <c r="Q22" s="121"/>
      <c r="R22" s="121"/>
      <c r="S22" s="121"/>
      <c r="T22" s="200"/>
    </row>
    <row r="23" spans="1:20" x14ac:dyDescent="0.25">
      <c r="A23" s="187"/>
      <c r="B23"/>
      <c r="C23"/>
      <c r="D23"/>
      <c r="E23"/>
      <c r="F23"/>
      <c r="G23"/>
      <c r="H23"/>
      <c r="I23"/>
      <c r="J23" s="185"/>
      <c r="K23"/>
      <c r="L23"/>
      <c r="M23"/>
      <c r="N23"/>
      <c r="O23"/>
      <c r="P23"/>
      <c r="Q23" s="121"/>
      <c r="R23" s="121"/>
      <c r="S23" s="121"/>
      <c r="T23" s="200"/>
    </row>
    <row r="24" spans="1:20" x14ac:dyDescent="0.25">
      <c r="A24" s="187"/>
      <c r="B24"/>
      <c r="C24"/>
      <c r="D24"/>
      <c r="E24"/>
      <c r="F24"/>
      <c r="G24"/>
      <c r="H24"/>
      <c r="I24"/>
      <c r="J24" s="185"/>
      <c r="K24"/>
      <c r="L24"/>
      <c r="M24"/>
      <c r="N24"/>
      <c r="O24"/>
      <c r="P24"/>
      <c r="Q24" s="121"/>
      <c r="R24" s="121"/>
      <c r="S24" s="121"/>
      <c r="T24" s="200"/>
    </row>
    <row r="25" spans="1:20" x14ac:dyDescent="0.25">
      <c r="A25" s="187"/>
      <c r="J25" s="204"/>
      <c r="Q25" s="200"/>
      <c r="R25" s="200"/>
      <c r="S25" s="200"/>
      <c r="T25" s="200"/>
    </row>
    <row r="26" spans="1:20" x14ac:dyDescent="0.25">
      <c r="A26" s="187"/>
      <c r="J26" s="204"/>
      <c r="Q26" s="200"/>
      <c r="R26" s="200"/>
      <c r="S26" s="200"/>
      <c r="T26" s="200"/>
    </row>
    <row r="27" spans="1:20" x14ac:dyDescent="0.25">
      <c r="A27" s="187"/>
      <c r="J27" s="204"/>
      <c r="Q27" s="200"/>
      <c r="R27" s="200"/>
      <c r="S27" s="200"/>
      <c r="T27" s="200"/>
    </row>
    <row r="28" spans="1:20" x14ac:dyDescent="0.25">
      <c r="A28" s="187"/>
      <c r="J28" s="204"/>
      <c r="Q28" s="200"/>
      <c r="R28" s="200"/>
      <c r="S28" s="200"/>
      <c r="T28" s="200"/>
    </row>
    <row r="29" spans="1:20" x14ac:dyDescent="0.25">
      <c r="A29" s="187"/>
      <c r="J29" s="204"/>
      <c r="Q29" s="200"/>
      <c r="R29" s="200"/>
      <c r="S29" s="200"/>
      <c r="T29" s="200"/>
    </row>
    <row r="30" spans="1:20" x14ac:dyDescent="0.25">
      <c r="A30" s="187"/>
      <c r="J30" s="204"/>
      <c r="Q30" s="200"/>
      <c r="R30" s="200"/>
      <c r="S30" s="200"/>
      <c r="T30" s="200"/>
    </row>
    <row r="31" spans="1:20" x14ac:dyDescent="0.25">
      <c r="A31" s="187"/>
      <c r="J31" s="204"/>
      <c r="Q31" s="200"/>
      <c r="R31" s="200"/>
      <c r="S31" s="200"/>
      <c r="T31" s="200"/>
    </row>
    <row r="32" spans="1:20" x14ac:dyDescent="0.25">
      <c r="A32" s="187"/>
      <c r="J32" s="204"/>
      <c r="Q32" s="200"/>
      <c r="R32" s="200"/>
      <c r="S32" s="200"/>
      <c r="T32" s="200"/>
    </row>
    <row r="33" spans="1:20" x14ac:dyDescent="0.25">
      <c r="A33" s="187"/>
      <c r="J33" s="204"/>
      <c r="Q33" s="200"/>
      <c r="R33" s="200"/>
      <c r="S33" s="200"/>
      <c r="T33" s="200"/>
    </row>
    <row r="34" spans="1:20" x14ac:dyDescent="0.25">
      <c r="A34" s="187"/>
      <c r="J34" s="204"/>
      <c r="Q34" s="200"/>
      <c r="R34" s="200"/>
      <c r="S34" s="200"/>
      <c r="T34" s="200"/>
    </row>
    <row r="35" spans="1:20" x14ac:dyDescent="0.25">
      <c r="A35" s="187"/>
      <c r="J35" s="204"/>
      <c r="Q35" s="200"/>
      <c r="R35" s="200"/>
      <c r="S35" s="200"/>
      <c r="T35" s="200"/>
    </row>
    <row r="36" spans="1:20" x14ac:dyDescent="0.25">
      <c r="A36" s="187"/>
      <c r="J36" s="204"/>
      <c r="Q36" s="200"/>
      <c r="R36" s="200"/>
      <c r="S36" s="200"/>
      <c r="T36" s="200"/>
    </row>
    <row r="37" spans="1:20" x14ac:dyDescent="0.25">
      <c r="A37" s="187"/>
      <c r="J37" s="204"/>
      <c r="Q37" s="200"/>
      <c r="R37" s="200"/>
      <c r="S37" s="200"/>
      <c r="T37" s="200"/>
    </row>
    <row r="38" spans="1:20" x14ac:dyDescent="0.25">
      <c r="A38" s="187"/>
      <c r="J38" s="204"/>
      <c r="Q38" s="200"/>
      <c r="R38" s="200"/>
      <c r="S38" s="200"/>
      <c r="T38" s="200"/>
    </row>
    <row r="39" spans="1:20" x14ac:dyDescent="0.25">
      <c r="A39" s="187"/>
      <c r="J39" s="204"/>
      <c r="Q39" s="200"/>
      <c r="R39" s="200"/>
      <c r="S39" s="200"/>
      <c r="T39" s="200"/>
    </row>
    <row r="40" spans="1:20" x14ac:dyDescent="0.25">
      <c r="J40" s="204"/>
      <c r="Q40" s="200"/>
      <c r="R40" s="200"/>
      <c r="S40" s="200"/>
      <c r="T40" s="200"/>
    </row>
    <row r="41" spans="1:20" x14ac:dyDescent="0.25">
      <c r="J41" s="204"/>
      <c r="Q41" s="200"/>
      <c r="R41" s="200"/>
      <c r="S41" s="200"/>
      <c r="T41" s="200"/>
    </row>
    <row r="42" spans="1:20" x14ac:dyDescent="0.25">
      <c r="J42" s="204"/>
      <c r="Q42" s="200"/>
      <c r="R42" s="200"/>
      <c r="S42" s="200"/>
      <c r="T42" s="200"/>
    </row>
    <row r="43" spans="1:20" x14ac:dyDescent="0.25">
      <c r="J43" s="204"/>
      <c r="Q43" s="200"/>
      <c r="R43" s="200"/>
      <c r="S43" s="200"/>
      <c r="T43" s="200"/>
    </row>
    <row r="44" spans="1:20" x14ac:dyDescent="0.25">
      <c r="J44" s="204"/>
      <c r="Q44" s="200"/>
      <c r="R44" s="200"/>
      <c r="S44" s="200"/>
      <c r="T44" s="200"/>
    </row>
    <row r="45" spans="1:20" x14ac:dyDescent="0.25">
      <c r="J45" s="204"/>
      <c r="Q45" s="200"/>
      <c r="R45" s="200"/>
      <c r="S45" s="200"/>
      <c r="T45" s="200"/>
    </row>
    <row r="46" spans="1:20" x14ac:dyDescent="0.25">
      <c r="J46" s="204"/>
      <c r="Q46" s="200"/>
      <c r="R46" s="200"/>
      <c r="S46" s="200"/>
      <c r="T46" s="200"/>
    </row>
    <row r="47" spans="1:20" x14ac:dyDescent="0.25">
      <c r="J47" s="204"/>
      <c r="Q47" s="200"/>
      <c r="R47" s="200"/>
      <c r="S47" s="200"/>
      <c r="T47" s="200"/>
    </row>
    <row r="48" spans="1:20" x14ac:dyDescent="0.25">
      <c r="J48" s="204"/>
      <c r="Q48" s="200"/>
      <c r="R48" s="200"/>
      <c r="S48" s="200"/>
      <c r="T48" s="200"/>
    </row>
    <row r="49" spans="10:20" x14ac:dyDescent="0.25">
      <c r="J49" s="204"/>
      <c r="Q49" s="200"/>
      <c r="R49" s="200"/>
      <c r="S49" s="200"/>
      <c r="T49" s="200"/>
    </row>
    <row r="50" spans="10:20" x14ac:dyDescent="0.25">
      <c r="J50" s="204"/>
      <c r="Q50" s="200"/>
      <c r="R50" s="200"/>
      <c r="S50" s="200"/>
      <c r="T50" s="200"/>
    </row>
    <row r="51" spans="10:20" x14ac:dyDescent="0.25">
      <c r="J51" s="204"/>
      <c r="Q51" s="200"/>
      <c r="R51" s="200"/>
      <c r="S51" s="200"/>
      <c r="T51" s="200"/>
    </row>
    <row r="52" spans="10:20" x14ac:dyDescent="0.25">
      <c r="J52" s="204"/>
      <c r="Q52" s="200"/>
      <c r="R52" s="200"/>
      <c r="S52" s="200"/>
      <c r="T52" s="200"/>
    </row>
    <row r="53" spans="10:20" x14ac:dyDescent="0.25">
      <c r="J53" s="204"/>
      <c r="Q53" s="200"/>
      <c r="R53" s="200"/>
      <c r="S53" s="200"/>
      <c r="T53" s="200"/>
    </row>
    <row r="54" spans="10:20" x14ac:dyDescent="0.25">
      <c r="J54" s="204"/>
      <c r="Q54" s="200"/>
      <c r="R54" s="200"/>
      <c r="S54" s="200"/>
      <c r="T54" s="200"/>
    </row>
    <row r="55" spans="10:20" x14ac:dyDescent="0.25">
      <c r="J55" s="204"/>
      <c r="Q55" s="200"/>
      <c r="R55" s="200"/>
      <c r="S55" s="200"/>
      <c r="T55" s="200"/>
    </row>
    <row r="56" spans="10:20" x14ac:dyDescent="0.25">
      <c r="J56" s="204"/>
      <c r="Q56" s="200"/>
      <c r="R56" s="200"/>
      <c r="S56" s="200"/>
      <c r="T56" s="200"/>
    </row>
    <row r="57" spans="10:20" x14ac:dyDescent="0.25">
      <c r="J57" s="204"/>
      <c r="Q57" s="200"/>
      <c r="R57" s="200"/>
      <c r="S57" s="200"/>
      <c r="T57" s="200"/>
    </row>
    <row r="58" spans="10:20" x14ac:dyDescent="0.25">
      <c r="J58" s="204"/>
      <c r="Q58" s="200"/>
      <c r="R58" s="200"/>
      <c r="S58" s="200"/>
      <c r="T58" s="200"/>
    </row>
    <row r="59" spans="10:20" x14ac:dyDescent="0.25">
      <c r="J59" s="204"/>
      <c r="Q59" s="200"/>
      <c r="R59" s="200"/>
      <c r="S59" s="200"/>
      <c r="T59" s="200"/>
    </row>
    <row r="60" spans="10:20" x14ac:dyDescent="0.25">
      <c r="J60" s="204"/>
      <c r="Q60" s="200"/>
      <c r="R60" s="200"/>
      <c r="S60" s="200"/>
      <c r="T60" s="200"/>
    </row>
    <row r="61" spans="10:20" x14ac:dyDescent="0.25">
      <c r="J61" s="204"/>
      <c r="Q61" s="200"/>
      <c r="R61" s="200"/>
      <c r="S61" s="200"/>
      <c r="T61" s="200"/>
    </row>
    <row r="62" spans="10:20" x14ac:dyDescent="0.25">
      <c r="J62" s="204"/>
      <c r="Q62" s="200"/>
      <c r="R62" s="200"/>
      <c r="S62" s="200"/>
      <c r="T62" s="200"/>
    </row>
    <row r="63" spans="10:20" x14ac:dyDescent="0.25">
      <c r="J63" s="204"/>
      <c r="Q63" s="200"/>
      <c r="R63" s="200"/>
      <c r="S63" s="200"/>
      <c r="T63" s="200"/>
    </row>
    <row r="64" spans="10:20" x14ac:dyDescent="0.25">
      <c r="J64" s="204"/>
      <c r="Q64" s="200"/>
      <c r="R64" s="200"/>
      <c r="S64" s="200"/>
      <c r="T64" s="200"/>
    </row>
    <row r="65" spans="10:20" x14ac:dyDescent="0.25">
      <c r="J65" s="204"/>
      <c r="Q65" s="200"/>
      <c r="R65" s="200"/>
      <c r="S65" s="200"/>
      <c r="T65" s="200"/>
    </row>
    <row r="66" spans="10:20" x14ac:dyDescent="0.25">
      <c r="J66" s="204"/>
      <c r="Q66" s="200"/>
      <c r="R66" s="200"/>
      <c r="S66" s="200"/>
      <c r="T66" s="200"/>
    </row>
    <row r="67" spans="10:20" x14ac:dyDescent="0.25">
      <c r="J67" s="204"/>
      <c r="Q67" s="200"/>
      <c r="R67" s="200"/>
      <c r="S67" s="200"/>
      <c r="T67" s="200"/>
    </row>
    <row r="68" spans="10:20" x14ac:dyDescent="0.25">
      <c r="J68" s="204"/>
      <c r="Q68" s="200"/>
      <c r="R68" s="200"/>
      <c r="S68" s="200"/>
      <c r="T68" s="200"/>
    </row>
    <row r="69" spans="10:20" x14ac:dyDescent="0.25">
      <c r="J69" s="204"/>
      <c r="Q69" s="200"/>
      <c r="R69" s="200"/>
      <c r="S69" s="200"/>
      <c r="T69" s="200"/>
    </row>
    <row r="71" spans="10:20" x14ac:dyDescent="0.25">
      <c r="Q71" s="200"/>
      <c r="R71" s="200"/>
      <c r="S71" s="200"/>
      <c r="T71" s="200"/>
    </row>
    <row r="74" spans="10:20" x14ac:dyDescent="0.25">
      <c r="Q74" s="205"/>
      <c r="R74" s="205"/>
      <c r="S74" s="205"/>
      <c r="T74" s="205"/>
    </row>
    <row r="75" spans="10:20" x14ac:dyDescent="0.25">
      <c r="Q75" s="201"/>
      <c r="R75" s="201"/>
      <c r="S75" s="201"/>
      <c r="T75" s="201"/>
    </row>
    <row r="77" spans="10:20" x14ac:dyDescent="0.25">
      <c r="Q77" s="205"/>
      <c r="R77" s="205"/>
    </row>
    <row r="78" spans="10:20" x14ac:dyDescent="0.25">
      <c r="Q78" s="201"/>
      <c r="R78" s="201"/>
    </row>
    <row r="81" spans="17:18" x14ac:dyDescent="0.25">
      <c r="Q81" s="206"/>
      <c r="R81" s="207"/>
    </row>
    <row r="83" spans="17:18" x14ac:dyDescent="0.25">
      <c r="Q83" s="205"/>
      <c r="R83" s="200"/>
    </row>
    <row r="84" spans="17:18" x14ac:dyDescent="0.25">
      <c r="Q84" s="205"/>
      <c r="R84" s="200"/>
    </row>
  </sheetData>
  <sheetProtection password="8FE7" sheet="1" objects="1" scenarios="1"/>
  <mergeCells count="8">
    <mergeCell ref="C7:E7"/>
    <mergeCell ref="C11:F11"/>
    <mergeCell ref="G11:G12"/>
    <mergeCell ref="I6:L6"/>
    <mergeCell ref="I7:J7"/>
    <mergeCell ref="K7:L7"/>
    <mergeCell ref="I15:K15"/>
    <mergeCell ref="I16:K16"/>
  </mergeCells>
  <pageMargins left="0.7" right="0.7" top="0.75" bottom="0.75" header="0.3" footer="0.3"/>
  <ignoredErrors>
    <ignoredError sqref="F7 D13:F18" unlockedFormula="1"/>
  </ignoredErrors>
  <drawing r:id="rId1"/>
  <legacyDrawing r:id="rId2"/>
  <controls>
    <mc:AlternateContent xmlns:mc="http://schemas.openxmlformats.org/markup-compatibility/2006">
      <mc:Choice Requires="x14">
        <control shapeId="128003" r:id="rId3" name="ComboBoxConfiabilidad">
          <controlPr defaultSize="0" autoLine="0" r:id="rId4">
            <anchor moveWithCells="1">
              <from>
                <xdr:col>10</xdr:col>
                <xdr:colOff>0</xdr:colOff>
                <xdr:row>6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28003" r:id="rId3" name="ComboBoxConfiabilidad"/>
      </mc:Fallback>
    </mc:AlternateContent>
    <mc:AlternateContent xmlns:mc="http://schemas.openxmlformats.org/markup-compatibility/2006">
      <mc:Choice Requires="x14">
        <control shapeId="128004" r:id="rId5" name="Button 4">
          <controlPr defaultSize="0" print="0" autoFill="0" autoPict="0" macro="[0]!analisisprobabilista">
            <anchor moveWithCells="1" sizeWithCells="1">
              <from>
                <xdr:col>8</xdr:col>
                <xdr:colOff>428625</xdr:colOff>
                <xdr:row>8</xdr:row>
                <xdr:rowOff>152400</xdr:rowOff>
              </from>
              <to>
                <xdr:col>11</xdr:col>
                <xdr:colOff>352425</xdr:colOff>
                <xdr:row>11</xdr:row>
                <xdr:rowOff>152400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3530A-9F87-4059-8692-7EE63425F3CF}">
  <sheetPr codeName="Hoja6"/>
  <dimension ref="A1:CE197"/>
  <sheetViews>
    <sheetView zoomScale="85" zoomScaleNormal="85" workbookViewId="0">
      <selection activeCell="A7" sqref="A7"/>
    </sheetView>
  </sheetViews>
  <sheetFormatPr baseColWidth="10" defaultColWidth="11.5703125" defaultRowHeight="15" x14ac:dyDescent="0.25"/>
  <sheetData>
    <row r="1" spans="1:27" x14ac:dyDescent="0.25">
      <c r="B1">
        <v>5</v>
      </c>
      <c r="M1" s="277"/>
      <c r="N1" s="277"/>
      <c r="O1" s="277"/>
      <c r="P1" s="277"/>
      <c r="Q1" s="277"/>
      <c r="R1" s="277"/>
      <c r="S1" s="277"/>
      <c r="T1" s="277"/>
      <c r="U1" s="277"/>
      <c r="V1" s="277"/>
      <c r="W1" s="277"/>
      <c r="X1" s="277"/>
      <c r="Y1" s="277"/>
      <c r="Z1" s="277"/>
      <c r="AA1" s="277"/>
    </row>
    <row r="2" spans="1:27" x14ac:dyDescent="0.25">
      <c r="A2">
        <v>5</v>
      </c>
      <c r="M2" s="277"/>
      <c r="N2" s="277"/>
      <c r="O2" s="277"/>
      <c r="P2" s="277"/>
      <c r="Q2" s="277"/>
      <c r="R2" s="277"/>
      <c r="S2" s="277"/>
      <c r="T2" s="277"/>
      <c r="U2" s="277"/>
      <c r="V2" s="277"/>
      <c r="W2" s="277"/>
      <c r="X2" s="278"/>
      <c r="Y2" s="277"/>
      <c r="Z2" s="277"/>
      <c r="AA2" s="277"/>
    </row>
    <row r="3" spans="1:27" x14ac:dyDescent="0.25">
      <c r="M3" s="277"/>
      <c r="N3" s="277"/>
      <c r="O3" s="277"/>
      <c r="P3" s="277"/>
      <c r="Q3" s="277"/>
      <c r="R3" s="277"/>
      <c r="S3" s="277"/>
      <c r="T3" s="277"/>
      <c r="U3" s="277"/>
      <c r="V3" s="277"/>
      <c r="W3" s="277"/>
      <c r="X3" s="278"/>
      <c r="Y3" s="277"/>
      <c r="Z3" s="277"/>
      <c r="AA3" s="277"/>
    </row>
    <row r="4" spans="1:27" x14ac:dyDescent="0.25">
      <c r="M4" s="277"/>
      <c r="N4" s="277"/>
      <c r="O4" s="277"/>
      <c r="P4" s="277"/>
      <c r="Q4" s="277"/>
      <c r="R4" s="277"/>
      <c r="S4" s="277"/>
      <c r="T4" s="277"/>
      <c r="U4" s="277"/>
      <c r="V4" s="277"/>
      <c r="W4" s="277"/>
      <c r="X4" s="277"/>
      <c r="Y4" s="277"/>
      <c r="Z4" s="277"/>
      <c r="AA4" s="277"/>
    </row>
    <row r="5" spans="1:27" x14ac:dyDescent="0.25">
      <c r="M5" s="277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</row>
    <row r="6" spans="1:27" ht="15.75" x14ac:dyDescent="0.25">
      <c r="M6" s="277"/>
      <c r="N6" s="11"/>
      <c r="O6" s="11"/>
      <c r="P6" s="11"/>
      <c r="Q6" s="11"/>
      <c r="R6" s="11"/>
      <c r="S6" s="11"/>
      <c r="T6" s="11"/>
      <c r="U6" s="340" t="s">
        <v>42</v>
      </c>
      <c r="V6" s="341"/>
      <c r="W6" s="341"/>
      <c r="X6" s="342"/>
      <c r="Y6" s="11"/>
      <c r="Z6" s="11"/>
      <c r="AA6" s="11"/>
    </row>
    <row r="7" spans="1:27" ht="15.75" x14ac:dyDescent="0.25">
      <c r="M7" s="277"/>
      <c r="N7" s="11"/>
      <c r="O7" s="348" t="s">
        <v>91</v>
      </c>
      <c r="P7" s="348"/>
      <c r="Q7" s="348"/>
      <c r="R7" s="173">
        <v>3</v>
      </c>
      <c r="S7" s="11"/>
      <c r="T7" s="11"/>
      <c r="U7" s="377" t="s">
        <v>44</v>
      </c>
      <c r="V7" s="377"/>
      <c r="W7" s="378" t="s">
        <v>43</v>
      </c>
      <c r="X7" s="378"/>
      <c r="Y7" s="11"/>
      <c r="Z7" s="11"/>
      <c r="AA7" s="11"/>
    </row>
    <row r="8" spans="1:27" x14ac:dyDescent="0.25">
      <c r="M8" s="277"/>
      <c r="N8" s="11"/>
      <c r="O8" s="11"/>
      <c r="P8" s="11"/>
      <c r="Q8" s="11"/>
      <c r="R8" s="175"/>
      <c r="S8" s="11"/>
      <c r="T8" s="11"/>
      <c r="U8" s="377" t="s">
        <v>45</v>
      </c>
      <c r="V8" s="377"/>
      <c r="W8" s="378" t="s">
        <v>43</v>
      </c>
      <c r="X8" s="378"/>
      <c r="Y8" s="11"/>
      <c r="Z8" s="11"/>
      <c r="AA8" s="11"/>
    </row>
    <row r="9" spans="1:27" x14ac:dyDescent="0.25">
      <c r="M9" s="277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</row>
    <row r="10" spans="1:27" x14ac:dyDescent="0.25">
      <c r="M10" s="277"/>
      <c r="N10" s="11"/>
      <c r="O10" s="279"/>
      <c r="P10" s="279"/>
      <c r="Q10" s="279"/>
      <c r="R10" s="175"/>
      <c r="S10" s="11"/>
      <c r="T10" s="11"/>
      <c r="U10" s="11"/>
      <c r="V10" s="11"/>
      <c r="W10" s="11"/>
      <c r="X10" s="11"/>
      <c r="Y10" s="11"/>
      <c r="Z10" s="11"/>
      <c r="AA10" s="11"/>
    </row>
    <row r="11" spans="1:27" ht="18.75" x14ac:dyDescent="0.25">
      <c r="M11" s="277"/>
      <c r="N11" s="11"/>
      <c r="O11" s="379" t="s">
        <v>1</v>
      </c>
      <c r="P11" s="380"/>
      <c r="Q11" s="380"/>
      <c r="R11" s="381"/>
      <c r="S11" s="11"/>
      <c r="T11" s="11"/>
      <c r="U11" s="11"/>
      <c r="V11" s="11"/>
      <c r="W11" s="11"/>
      <c r="X11" s="11"/>
      <c r="Y11" s="11"/>
      <c r="Z11" s="11"/>
      <c r="AA11" s="11"/>
    </row>
    <row r="12" spans="1:27" ht="30" x14ac:dyDescent="0.25">
      <c r="M12" s="277"/>
      <c r="N12" s="11"/>
      <c r="O12" s="172" t="s">
        <v>149</v>
      </c>
      <c r="P12" s="172" t="s">
        <v>150</v>
      </c>
      <c r="Q12" s="172" t="s">
        <v>77</v>
      </c>
      <c r="R12" s="172" t="s">
        <v>178</v>
      </c>
      <c r="S12" s="11"/>
      <c r="T12" s="11"/>
      <c r="U12" s="11"/>
      <c r="V12" s="11"/>
      <c r="W12" s="11"/>
      <c r="X12" s="11"/>
      <c r="Y12" s="11"/>
      <c r="Z12" s="11"/>
      <c r="AA12" s="11"/>
    </row>
    <row r="13" spans="1:27" x14ac:dyDescent="0.25">
      <c r="M13" s="277"/>
      <c r="N13" s="11"/>
      <c r="O13" s="114">
        <v>1</v>
      </c>
      <c r="P13" s="173" t="s">
        <v>238</v>
      </c>
      <c r="Q13" s="173">
        <v>10</v>
      </c>
      <c r="R13" s="173">
        <v>4032</v>
      </c>
      <c r="S13" s="11"/>
      <c r="T13" s="11"/>
      <c r="U13" s="11"/>
      <c r="V13" s="11"/>
      <c r="W13" s="11"/>
      <c r="X13" s="11"/>
      <c r="Y13" s="11"/>
      <c r="Z13" s="11"/>
      <c r="AA13" s="11"/>
    </row>
    <row r="14" spans="1:27" ht="15.75" x14ac:dyDescent="0.25">
      <c r="M14" s="277"/>
      <c r="N14" s="11"/>
      <c r="O14" s="114">
        <v>2</v>
      </c>
      <c r="P14" s="173" t="s">
        <v>197</v>
      </c>
      <c r="Q14" s="173">
        <v>40</v>
      </c>
      <c r="R14" s="173">
        <v>691.2</v>
      </c>
      <c r="S14" s="11"/>
      <c r="T14" s="11"/>
      <c r="U14" s="11"/>
      <c r="V14" s="11"/>
      <c r="W14" s="11"/>
      <c r="X14" s="133"/>
      <c r="Y14" s="133"/>
      <c r="Z14" s="133"/>
      <c r="AA14" s="133"/>
    </row>
    <row r="15" spans="1:27" ht="15.75" x14ac:dyDescent="0.25">
      <c r="M15" s="277"/>
      <c r="N15" s="11"/>
      <c r="O15" s="114">
        <v>3</v>
      </c>
      <c r="P15" s="173" t="s">
        <v>202</v>
      </c>
      <c r="Q15" s="173"/>
      <c r="R15" s="173">
        <v>115.2</v>
      </c>
      <c r="S15" s="11"/>
      <c r="T15" s="11"/>
      <c r="U15" s="348" t="s">
        <v>151</v>
      </c>
      <c r="V15" s="348"/>
      <c r="W15" s="348"/>
      <c r="X15" s="280" t="s">
        <v>256</v>
      </c>
      <c r="Y15" s="133"/>
      <c r="Z15" s="133"/>
      <c r="AA15" s="133"/>
    </row>
    <row r="16" spans="1:27" ht="15.75" x14ac:dyDescent="0.25">
      <c r="M16" s="277"/>
      <c r="N16" s="11"/>
      <c r="O16" s="114">
        <v>4</v>
      </c>
      <c r="P16" s="173"/>
      <c r="Q16" s="173"/>
      <c r="R16" s="173"/>
      <c r="S16" s="11"/>
      <c r="T16" s="11"/>
      <c r="U16" s="348" t="s">
        <v>152</v>
      </c>
      <c r="V16" s="348"/>
      <c r="W16" s="348"/>
      <c r="X16" s="280" t="s">
        <v>256</v>
      </c>
      <c r="Y16" s="133"/>
      <c r="Z16" s="133"/>
      <c r="AA16" s="133"/>
    </row>
    <row r="17" spans="2:27" x14ac:dyDescent="0.25">
      <c r="M17" s="277"/>
      <c r="N17" s="11"/>
      <c r="O17" s="114">
        <v>5</v>
      </c>
      <c r="P17" s="173"/>
      <c r="Q17" s="173"/>
      <c r="R17" s="173"/>
      <c r="S17" s="11"/>
      <c r="T17" s="11"/>
      <c r="U17" s="11"/>
      <c r="V17" s="11"/>
      <c r="W17" s="11"/>
      <c r="X17" s="11"/>
      <c r="Y17" s="11"/>
      <c r="Z17" s="11"/>
      <c r="AA17" s="11"/>
    </row>
    <row r="18" spans="2:27" x14ac:dyDescent="0.25">
      <c r="M18" s="277"/>
      <c r="N18" s="11"/>
      <c r="O18" s="114">
        <v>6</v>
      </c>
      <c r="P18" s="173"/>
      <c r="Q18" s="173"/>
      <c r="R18" s="173"/>
      <c r="S18" s="11"/>
      <c r="T18" s="11"/>
      <c r="U18" s="11"/>
      <c r="V18" s="11"/>
      <c r="W18" s="11"/>
      <c r="X18" s="11"/>
      <c r="Y18" s="11"/>
      <c r="Z18" s="11"/>
      <c r="AA18" s="11"/>
    </row>
    <row r="19" spans="2:27" x14ac:dyDescent="0.25">
      <c r="M19" s="277"/>
      <c r="N19" s="11"/>
      <c r="O19" s="114">
        <v>7</v>
      </c>
      <c r="P19" s="173"/>
      <c r="Q19" s="173"/>
      <c r="R19" s="173"/>
      <c r="S19" s="11"/>
      <c r="T19" s="11"/>
      <c r="U19" s="11"/>
      <c r="V19" s="11"/>
      <c r="W19" s="11"/>
      <c r="X19" s="11"/>
      <c r="Y19" s="11"/>
      <c r="Z19" s="11"/>
      <c r="AA19" s="11"/>
    </row>
    <row r="20" spans="2:27" x14ac:dyDescent="0.25">
      <c r="B20" t="s">
        <v>261</v>
      </c>
      <c r="M20" s="277"/>
      <c r="N20" s="11"/>
      <c r="O20" s="114">
        <v>8</v>
      </c>
      <c r="P20" s="173"/>
      <c r="Q20" s="173"/>
      <c r="R20" s="173"/>
      <c r="S20" s="11"/>
      <c r="T20" s="11"/>
      <c r="U20" s="11"/>
      <c r="V20" s="11"/>
      <c r="W20" s="11"/>
      <c r="X20" s="11"/>
      <c r="Y20" s="11"/>
      <c r="Z20" s="11"/>
      <c r="AA20" s="11"/>
    </row>
    <row r="21" spans="2:27" x14ac:dyDescent="0.25">
      <c r="B21" s="284" t="s">
        <v>254</v>
      </c>
      <c r="M21" s="277"/>
      <c r="N21" s="11"/>
      <c r="O21" s="114">
        <v>9</v>
      </c>
      <c r="P21" s="173"/>
      <c r="Q21" s="173"/>
      <c r="R21" s="173"/>
      <c r="S21" s="11"/>
      <c r="T21" s="247"/>
      <c r="U21" s="11"/>
      <c r="V21" s="11"/>
      <c r="W21" s="11"/>
      <c r="X21" s="11"/>
      <c r="Y21" s="11"/>
      <c r="Z21" s="11"/>
      <c r="AA21" s="11"/>
    </row>
    <row r="22" spans="2:27" x14ac:dyDescent="0.25">
      <c r="B22" s="284" t="s">
        <v>255</v>
      </c>
      <c r="M22" s="277"/>
      <c r="N22" s="11"/>
      <c r="O22" s="114">
        <v>10</v>
      </c>
      <c r="P22" s="173"/>
      <c r="Q22" s="173"/>
      <c r="R22" s="173"/>
      <c r="S22" s="11"/>
      <c r="T22" s="11"/>
      <c r="U22" s="11"/>
      <c r="V22" s="11"/>
      <c r="W22" s="11"/>
      <c r="X22" s="11"/>
      <c r="Y22" s="11"/>
      <c r="Z22" s="11"/>
      <c r="AA22" s="11"/>
    </row>
    <row r="23" spans="2:27" x14ac:dyDescent="0.25">
      <c r="B23" s="284">
        <v>6.1799999999999998E-8</v>
      </c>
      <c r="M23" s="277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</row>
    <row r="24" spans="2:27" ht="18.75" x14ac:dyDescent="0.25">
      <c r="B24" s="284">
        <v>3.95</v>
      </c>
      <c r="M24" s="277"/>
      <c r="N24" s="210"/>
      <c r="O24" s="210"/>
      <c r="P24" s="210"/>
      <c r="Q24" s="283"/>
      <c r="R24" s="283"/>
      <c r="S24" s="210"/>
      <c r="T24" s="210"/>
      <c r="U24" s="210"/>
      <c r="V24" s="210"/>
      <c r="W24" s="210"/>
      <c r="X24" s="210"/>
      <c r="Y24" s="210"/>
      <c r="Z24" s="210"/>
      <c r="AA24" s="210"/>
    </row>
    <row r="25" spans="2:27" ht="18.75" x14ac:dyDescent="0.25">
      <c r="B25" s="284">
        <v>1.1358E-3</v>
      </c>
      <c r="M25" s="277"/>
      <c r="N25" s="210"/>
      <c r="O25" s="210"/>
      <c r="P25" s="210"/>
      <c r="Q25" s="210"/>
      <c r="R25" s="210"/>
      <c r="S25" s="283"/>
      <c r="T25" s="210"/>
      <c r="U25" s="210"/>
      <c r="V25" s="210"/>
      <c r="W25" s="210"/>
      <c r="X25" s="210"/>
      <c r="Y25" s="210"/>
      <c r="Z25" s="210"/>
      <c r="AA25" s="210"/>
    </row>
    <row r="26" spans="2:27" ht="17.25" x14ac:dyDescent="0.25">
      <c r="B26" s="210">
        <v>3.2909999999999999</v>
      </c>
      <c r="M26" s="277"/>
      <c r="N26" s="210"/>
      <c r="O26" s="210"/>
      <c r="P26" s="210"/>
      <c r="Q26" s="210"/>
      <c r="R26" s="213"/>
      <c r="S26" s="210"/>
      <c r="T26" s="210"/>
      <c r="U26" s="210"/>
      <c r="V26" s="210"/>
      <c r="W26" s="210"/>
      <c r="X26" s="210"/>
      <c r="Y26" s="210"/>
      <c r="Z26" s="210"/>
      <c r="AA26" s="210"/>
    </row>
    <row r="27" spans="2:27" ht="17.25" x14ac:dyDescent="0.25">
      <c r="B27" s="284">
        <v>0.85399999999999998</v>
      </c>
      <c r="M27" s="277"/>
      <c r="N27" s="210"/>
      <c r="O27" s="210"/>
      <c r="P27" s="210"/>
      <c r="Q27" s="210"/>
      <c r="R27" s="213"/>
      <c r="S27" s="210"/>
      <c r="T27" s="210"/>
      <c r="U27" s="210"/>
      <c r="V27" s="210"/>
      <c r="W27" s="210"/>
      <c r="X27" s="210"/>
      <c r="Y27" s="210"/>
      <c r="Z27" s="210"/>
      <c r="AA27" s="210"/>
    </row>
    <row r="28" spans="2:27" ht="17.25" x14ac:dyDescent="0.25">
      <c r="M28" s="277"/>
      <c r="N28" s="210"/>
      <c r="O28" s="210"/>
      <c r="P28" s="210"/>
      <c r="Q28" s="210"/>
      <c r="R28" s="213"/>
      <c r="S28" s="210"/>
      <c r="T28" s="210"/>
      <c r="U28" s="210"/>
      <c r="V28" s="210"/>
      <c r="W28" s="210"/>
      <c r="X28" s="210"/>
      <c r="Y28" s="210"/>
      <c r="Z28" s="210"/>
      <c r="AA28" s="210"/>
    </row>
    <row r="38" spans="29:44" x14ac:dyDescent="0.25">
      <c r="AC38" s="210"/>
      <c r="AD38" s="210"/>
      <c r="AE38" s="210"/>
      <c r="AF38" s="210"/>
      <c r="AG38" s="210"/>
      <c r="AH38" s="210"/>
      <c r="AI38" s="210"/>
      <c r="AJ38" s="210"/>
      <c r="AK38" s="210"/>
      <c r="AL38" s="210"/>
      <c r="AM38" s="210"/>
      <c r="AN38" s="210"/>
      <c r="AO38" s="210"/>
      <c r="AP38" s="210"/>
      <c r="AQ38" s="210"/>
      <c r="AR38" s="210"/>
    </row>
    <row r="39" spans="29:44" x14ac:dyDescent="0.25">
      <c r="AC39" s="210"/>
      <c r="AD39" s="210"/>
      <c r="AE39" s="210"/>
      <c r="AF39" s="210"/>
      <c r="AG39" s="210"/>
      <c r="AH39" s="210"/>
      <c r="AI39" s="210"/>
      <c r="AJ39" s="210"/>
      <c r="AK39" s="210"/>
      <c r="AL39" s="210"/>
      <c r="AM39" s="210"/>
      <c r="AN39" s="210"/>
      <c r="AO39" s="210"/>
      <c r="AP39" s="210"/>
      <c r="AQ39" s="210"/>
      <c r="AR39" s="210"/>
    </row>
    <row r="40" spans="29:44" x14ac:dyDescent="0.25">
      <c r="AC40" s="210"/>
      <c r="AD40" s="210"/>
      <c r="AE40" s="210"/>
      <c r="AF40" s="210"/>
      <c r="AG40" s="210"/>
      <c r="AH40" s="210"/>
      <c r="AI40" s="210"/>
      <c r="AJ40" s="210"/>
      <c r="AK40" s="210"/>
      <c r="AL40" s="210"/>
      <c r="AM40" s="210"/>
      <c r="AN40" s="210"/>
      <c r="AO40" s="210"/>
      <c r="AP40" s="210"/>
      <c r="AQ40" s="210"/>
      <c r="AR40" s="210"/>
    </row>
    <row r="41" spans="29:44" x14ac:dyDescent="0.25">
      <c r="AC41" s="210"/>
      <c r="AD41" s="210"/>
      <c r="AE41" s="210"/>
      <c r="AF41" s="210"/>
      <c r="AG41" s="210"/>
      <c r="AH41" s="210"/>
      <c r="AI41" s="210"/>
      <c r="AJ41" s="210"/>
      <c r="AK41" s="210"/>
      <c r="AL41" s="210"/>
      <c r="AM41" s="376"/>
      <c r="AN41" s="376"/>
      <c r="AO41" s="376"/>
      <c r="AP41" s="376"/>
      <c r="AQ41" s="376"/>
      <c r="AR41" s="376"/>
    </row>
    <row r="42" spans="29:44" x14ac:dyDescent="0.25">
      <c r="AC42" s="210"/>
      <c r="AD42" s="210"/>
      <c r="AE42" s="210"/>
      <c r="AF42" s="210"/>
      <c r="AG42" s="210"/>
      <c r="AH42" s="210"/>
      <c r="AI42" s="210"/>
      <c r="AJ42" s="210"/>
      <c r="AK42" s="210"/>
      <c r="AL42" s="210"/>
      <c r="AM42" s="210"/>
      <c r="AN42" s="210"/>
      <c r="AO42" s="210"/>
      <c r="AP42" s="210"/>
      <c r="AQ42" s="210"/>
      <c r="AR42" s="210"/>
    </row>
    <row r="43" spans="29:44" x14ac:dyDescent="0.25">
      <c r="AC43" s="210"/>
      <c r="AD43" s="210"/>
      <c r="AE43" s="210"/>
      <c r="AF43" s="210"/>
      <c r="AG43" s="210"/>
      <c r="AH43" s="210"/>
      <c r="AI43" s="210"/>
      <c r="AJ43" s="210"/>
      <c r="AK43" s="210"/>
      <c r="AL43" s="210"/>
      <c r="AM43" s="210"/>
      <c r="AN43" s="210"/>
      <c r="AO43" s="210"/>
      <c r="AP43" s="210"/>
      <c r="AQ43" s="210"/>
      <c r="AR43" s="210"/>
    </row>
    <row r="44" spans="29:44" x14ac:dyDescent="0.25">
      <c r="AC44" s="210"/>
      <c r="AD44" s="210"/>
      <c r="AE44" s="210"/>
      <c r="AF44" s="210"/>
      <c r="AG44" s="210"/>
      <c r="AH44" s="210"/>
      <c r="AI44" s="210"/>
      <c r="AJ44" s="210"/>
      <c r="AK44" s="210"/>
      <c r="AL44" s="210"/>
      <c r="AM44" s="210"/>
      <c r="AN44" s="210"/>
      <c r="AO44" s="210"/>
      <c r="AP44" s="210"/>
      <c r="AQ44" s="210"/>
      <c r="AR44" s="210"/>
    </row>
    <row r="45" spans="29:44" x14ac:dyDescent="0.25">
      <c r="AC45" s="210"/>
      <c r="AD45" s="210"/>
      <c r="AE45" s="210"/>
      <c r="AF45" s="210"/>
      <c r="AG45" s="210"/>
      <c r="AH45" s="210"/>
      <c r="AI45" s="210"/>
      <c r="AJ45" s="210"/>
      <c r="AK45" s="210"/>
      <c r="AL45" s="210"/>
      <c r="AM45" s="210"/>
      <c r="AN45" s="210"/>
      <c r="AO45" s="210"/>
      <c r="AP45" s="210"/>
      <c r="AQ45" s="210"/>
      <c r="AR45" s="210"/>
    </row>
    <row r="46" spans="29:44" x14ac:dyDescent="0.25">
      <c r="AC46" s="210"/>
      <c r="AD46" s="210"/>
      <c r="AE46" s="210"/>
      <c r="AF46" s="210"/>
      <c r="AG46" s="210"/>
      <c r="AH46" s="210"/>
      <c r="AI46" s="210"/>
      <c r="AJ46" s="210"/>
      <c r="AK46" s="210"/>
      <c r="AL46" s="210"/>
      <c r="AM46" s="210"/>
      <c r="AN46" s="210"/>
      <c r="AO46" s="210"/>
      <c r="AP46" s="210"/>
      <c r="AQ46" s="210"/>
      <c r="AR46" s="210"/>
    </row>
    <row r="47" spans="29:44" x14ac:dyDescent="0.25">
      <c r="AC47" s="210"/>
      <c r="AD47" s="210"/>
      <c r="AE47" s="210"/>
      <c r="AF47" s="210"/>
      <c r="AG47" s="210"/>
      <c r="AH47" s="210"/>
      <c r="AI47" s="210"/>
      <c r="AJ47" s="210"/>
      <c r="AK47" s="210"/>
      <c r="AL47" s="210"/>
      <c r="AM47" s="210"/>
      <c r="AN47" s="210"/>
      <c r="AO47" s="210"/>
      <c r="AP47" s="210"/>
      <c r="AQ47" s="210"/>
      <c r="AR47" s="210"/>
    </row>
    <row r="48" spans="29:44" x14ac:dyDescent="0.25">
      <c r="AC48" s="210"/>
      <c r="AD48" s="210"/>
      <c r="AE48" s="210"/>
      <c r="AF48" s="210"/>
      <c r="AG48" s="210"/>
      <c r="AH48" s="210"/>
      <c r="AI48" s="210"/>
      <c r="AJ48" s="210"/>
      <c r="AK48" s="210"/>
      <c r="AL48" s="210"/>
      <c r="AM48" s="210"/>
      <c r="AN48" s="210"/>
      <c r="AO48" s="210"/>
      <c r="AP48" s="210"/>
      <c r="AQ48" s="210"/>
      <c r="AR48" s="210"/>
    </row>
    <row r="49" spans="29:44" x14ac:dyDescent="0.25">
      <c r="AC49" s="210"/>
      <c r="AD49" s="210"/>
      <c r="AE49" s="210"/>
      <c r="AF49" s="210"/>
      <c r="AG49" s="210"/>
      <c r="AH49" s="210"/>
      <c r="AI49" s="210"/>
      <c r="AJ49" s="210"/>
      <c r="AK49" s="210"/>
      <c r="AL49" s="210"/>
      <c r="AM49" s="210"/>
      <c r="AN49" s="210"/>
      <c r="AO49" s="210"/>
      <c r="AP49" s="210"/>
      <c r="AQ49" s="210"/>
      <c r="AR49" s="210"/>
    </row>
    <row r="50" spans="29:44" x14ac:dyDescent="0.25">
      <c r="AC50" s="210"/>
      <c r="AD50" s="210"/>
      <c r="AE50" s="210"/>
      <c r="AF50" s="210"/>
      <c r="AG50" s="210"/>
      <c r="AH50" s="210"/>
      <c r="AI50" s="210"/>
      <c r="AJ50" s="210"/>
      <c r="AK50" s="210"/>
      <c r="AL50" s="210"/>
      <c r="AM50" s="210"/>
      <c r="AN50" s="210"/>
      <c r="AO50" s="210"/>
      <c r="AP50" s="210"/>
      <c r="AQ50" s="210"/>
      <c r="AR50" s="210"/>
    </row>
    <row r="51" spans="29:44" x14ac:dyDescent="0.25">
      <c r="AC51" s="210"/>
      <c r="AD51" s="210"/>
      <c r="AE51" s="210"/>
      <c r="AF51" s="210"/>
      <c r="AG51" s="210"/>
      <c r="AH51" s="210"/>
      <c r="AI51" s="210"/>
      <c r="AJ51" s="210"/>
      <c r="AK51" s="210"/>
      <c r="AL51" s="210"/>
      <c r="AM51" s="210"/>
      <c r="AN51" s="210"/>
      <c r="AO51" s="210"/>
      <c r="AP51" s="210"/>
      <c r="AQ51" s="210"/>
      <c r="AR51" s="210"/>
    </row>
    <row r="52" spans="29:44" x14ac:dyDescent="0.25">
      <c r="AC52" s="210"/>
      <c r="AD52" s="210"/>
      <c r="AE52" s="210"/>
      <c r="AF52" s="210"/>
      <c r="AG52" s="210"/>
      <c r="AH52" s="210"/>
      <c r="AI52" s="210"/>
      <c r="AJ52" s="210"/>
      <c r="AK52" s="210"/>
      <c r="AL52" s="210"/>
      <c r="AM52" s="210"/>
      <c r="AN52" s="210"/>
      <c r="AO52" s="210"/>
      <c r="AP52" s="210"/>
      <c r="AQ52" s="210"/>
      <c r="AR52" s="210"/>
    </row>
    <row r="53" spans="29:44" x14ac:dyDescent="0.25">
      <c r="AC53" s="210"/>
      <c r="AD53" s="210"/>
      <c r="AE53" s="210"/>
      <c r="AF53" s="210"/>
      <c r="AG53" s="210"/>
      <c r="AH53" s="210"/>
      <c r="AI53" s="210"/>
      <c r="AJ53" s="210"/>
      <c r="AK53" s="210"/>
      <c r="AL53" s="210"/>
      <c r="AM53" s="210"/>
      <c r="AN53" s="210"/>
      <c r="AO53" s="210"/>
      <c r="AP53" s="210"/>
      <c r="AQ53" s="210"/>
      <c r="AR53" s="210"/>
    </row>
    <row r="54" spans="29:44" ht="17.25" x14ac:dyDescent="0.3">
      <c r="AC54" s="281"/>
      <c r="AD54" s="282"/>
      <c r="AE54" s="281"/>
      <c r="AF54" s="210"/>
      <c r="AG54" s="210"/>
      <c r="AH54" s="210"/>
      <c r="AI54" s="210"/>
      <c r="AJ54" s="210"/>
      <c r="AK54" s="210"/>
      <c r="AL54" s="210"/>
      <c r="AM54" s="210"/>
      <c r="AN54" s="210"/>
      <c r="AO54" s="210"/>
      <c r="AP54" s="210"/>
      <c r="AQ54" s="210"/>
      <c r="AR54" s="210"/>
    </row>
    <row r="55" spans="29:44" ht="17.25" x14ac:dyDescent="0.3">
      <c r="AC55" s="281"/>
      <c r="AD55" s="282"/>
      <c r="AE55" s="281"/>
      <c r="AF55" s="210"/>
      <c r="AG55" s="210"/>
      <c r="AH55" s="210"/>
      <c r="AI55" s="210"/>
      <c r="AJ55" s="210"/>
      <c r="AK55" s="210"/>
      <c r="AL55" s="210"/>
      <c r="AM55" s="210"/>
      <c r="AN55" s="210"/>
      <c r="AO55" s="210"/>
      <c r="AP55" s="210"/>
      <c r="AQ55" s="210"/>
      <c r="AR55" s="210"/>
    </row>
    <row r="56" spans="29:44" ht="17.25" x14ac:dyDescent="0.3">
      <c r="AC56" s="281"/>
      <c r="AD56" s="282"/>
      <c r="AE56" s="281"/>
      <c r="AF56" s="210"/>
      <c r="AG56" s="210"/>
      <c r="AH56" s="210"/>
      <c r="AI56" s="210"/>
      <c r="AJ56" s="210"/>
      <c r="AK56" s="210"/>
      <c r="AL56" s="210"/>
      <c r="AM56" s="210"/>
      <c r="AN56" s="210"/>
      <c r="AO56" s="210"/>
      <c r="AP56" s="210"/>
      <c r="AQ56" s="210"/>
      <c r="AR56" s="210"/>
    </row>
    <row r="57" spans="29:44" x14ac:dyDescent="0.25">
      <c r="AC57" s="210"/>
      <c r="AD57" s="210"/>
      <c r="AE57" s="210"/>
      <c r="AF57" s="210"/>
      <c r="AG57" s="210"/>
      <c r="AH57" s="210"/>
      <c r="AI57" s="210"/>
      <c r="AJ57" s="210"/>
      <c r="AK57" s="210"/>
      <c r="AL57" s="210"/>
      <c r="AM57" s="210"/>
      <c r="AN57" s="210"/>
      <c r="AO57" s="210"/>
      <c r="AP57" s="210"/>
      <c r="AQ57" s="210"/>
      <c r="AR57" s="210"/>
    </row>
    <row r="58" spans="29:44" x14ac:dyDescent="0.25">
      <c r="AC58" s="210"/>
      <c r="AD58" s="210"/>
      <c r="AE58" s="210"/>
      <c r="AF58" s="210"/>
      <c r="AG58" s="210"/>
      <c r="AH58" s="210"/>
      <c r="AI58" s="210"/>
      <c r="AJ58" s="210"/>
      <c r="AK58" s="210"/>
      <c r="AL58" s="210"/>
      <c r="AM58" s="210"/>
      <c r="AN58" s="210"/>
      <c r="AO58" s="210"/>
      <c r="AP58" s="210"/>
      <c r="AQ58" s="210"/>
      <c r="AR58" s="210"/>
    </row>
    <row r="59" spans="29:44" x14ac:dyDescent="0.25">
      <c r="AC59" s="210"/>
      <c r="AD59" s="210"/>
      <c r="AE59" s="210"/>
      <c r="AF59" s="210"/>
      <c r="AG59" s="210"/>
      <c r="AH59" s="210"/>
      <c r="AI59" s="210"/>
      <c r="AJ59" s="210"/>
      <c r="AK59" s="210"/>
      <c r="AL59" s="210"/>
      <c r="AM59" s="210"/>
      <c r="AN59" s="210"/>
      <c r="AO59" s="210"/>
      <c r="AP59" s="210"/>
      <c r="AQ59" s="210"/>
      <c r="AR59" s="210"/>
    </row>
    <row r="60" spans="29:44" x14ac:dyDescent="0.25">
      <c r="AC60" s="210"/>
      <c r="AD60" s="210"/>
      <c r="AE60" s="210"/>
      <c r="AF60" s="210"/>
      <c r="AG60" s="210"/>
      <c r="AH60" s="210"/>
      <c r="AI60" s="210"/>
      <c r="AJ60" s="210"/>
      <c r="AK60" s="210"/>
      <c r="AL60" s="210"/>
      <c r="AM60" s="210"/>
      <c r="AN60" s="210"/>
      <c r="AO60" s="210"/>
      <c r="AP60" s="210"/>
      <c r="AQ60" s="210"/>
      <c r="AR60" s="210"/>
    </row>
    <row r="61" spans="29:44" x14ac:dyDescent="0.25">
      <c r="AC61" s="210"/>
      <c r="AD61" s="210"/>
      <c r="AE61" s="210"/>
      <c r="AF61" s="210"/>
      <c r="AG61" s="210"/>
      <c r="AH61" s="210"/>
      <c r="AI61" s="210"/>
      <c r="AJ61" s="210"/>
      <c r="AK61" s="210"/>
      <c r="AL61" s="210"/>
      <c r="AM61" s="284"/>
      <c r="AN61" s="210"/>
      <c r="AO61" s="210"/>
      <c r="AP61" s="210"/>
      <c r="AQ61" s="210"/>
      <c r="AR61" s="210"/>
    </row>
    <row r="62" spans="29:44" x14ac:dyDescent="0.25">
      <c r="AC62" s="210"/>
      <c r="AD62" s="210"/>
      <c r="AE62" s="210"/>
      <c r="AF62" s="210"/>
      <c r="AG62" s="210"/>
      <c r="AH62" s="210"/>
      <c r="AI62" s="210"/>
      <c r="AJ62" s="210"/>
      <c r="AK62" s="210"/>
      <c r="AL62" s="210"/>
      <c r="AM62" s="284"/>
      <c r="AN62" s="210"/>
      <c r="AO62" s="210"/>
      <c r="AP62" s="210"/>
      <c r="AQ62" s="210"/>
      <c r="AR62" s="210"/>
    </row>
    <row r="63" spans="29:44" x14ac:dyDescent="0.25">
      <c r="AC63" s="210"/>
      <c r="AD63" s="210"/>
      <c r="AE63" s="210"/>
      <c r="AF63" s="210"/>
      <c r="AG63" s="210"/>
      <c r="AH63" s="210"/>
      <c r="AI63" s="210"/>
      <c r="AJ63" s="210"/>
      <c r="AK63" s="210"/>
      <c r="AL63" s="210"/>
      <c r="AN63" s="210"/>
      <c r="AO63" s="210"/>
      <c r="AP63" s="210"/>
      <c r="AQ63" s="210"/>
      <c r="AR63" s="210"/>
    </row>
    <row r="64" spans="29:44" x14ac:dyDescent="0.25">
      <c r="AC64" s="210"/>
      <c r="AD64" s="210"/>
      <c r="AE64" s="210"/>
      <c r="AF64" s="210"/>
      <c r="AG64" s="210"/>
      <c r="AH64" s="210"/>
      <c r="AI64" s="210"/>
      <c r="AJ64" s="210"/>
      <c r="AK64" s="210"/>
      <c r="AL64" s="210"/>
      <c r="AN64" s="210"/>
      <c r="AO64" s="210"/>
      <c r="AP64" s="210"/>
      <c r="AQ64" s="210"/>
      <c r="AR64" s="210"/>
    </row>
    <row r="65" spans="14:44" x14ac:dyDescent="0.25">
      <c r="AC65" s="210"/>
      <c r="AD65" s="210"/>
      <c r="AE65" s="210"/>
      <c r="AF65" s="210"/>
      <c r="AG65" s="210"/>
      <c r="AH65" s="210"/>
      <c r="AI65" s="210"/>
      <c r="AJ65" s="210"/>
      <c r="AK65" s="210"/>
      <c r="AL65" s="210"/>
      <c r="AN65" s="210"/>
      <c r="AO65" s="210"/>
      <c r="AP65" s="210"/>
      <c r="AQ65" s="210"/>
      <c r="AR65" s="210"/>
    </row>
    <row r="66" spans="14:44" x14ac:dyDescent="0.25">
      <c r="N66" s="210"/>
      <c r="O66" s="210"/>
      <c r="P66" s="210"/>
      <c r="Q66" s="210"/>
      <c r="R66" s="210"/>
      <c r="S66" s="210"/>
      <c r="T66" s="210"/>
      <c r="U66" s="210"/>
      <c r="V66" s="210"/>
      <c r="W66" s="210"/>
      <c r="X66" s="210"/>
      <c r="Y66" s="210"/>
      <c r="Z66" s="210"/>
      <c r="AA66" s="210"/>
      <c r="AB66" s="210"/>
      <c r="AC66" s="210"/>
      <c r="AD66" s="210"/>
      <c r="AE66" s="210"/>
      <c r="AF66" s="210"/>
      <c r="AG66" s="210"/>
      <c r="AH66" s="210"/>
      <c r="AI66" s="210"/>
      <c r="AJ66" s="210"/>
      <c r="AK66" s="210"/>
      <c r="AL66" s="210"/>
      <c r="AN66" s="210"/>
      <c r="AO66" s="210"/>
      <c r="AP66" s="210"/>
      <c r="AQ66" s="210"/>
      <c r="AR66" s="210"/>
    </row>
    <row r="67" spans="14:44" x14ac:dyDescent="0.25">
      <c r="N67" s="210"/>
      <c r="O67" s="210"/>
      <c r="P67" s="210"/>
      <c r="Q67" s="210"/>
      <c r="R67" s="210"/>
      <c r="S67" s="210"/>
      <c r="T67" s="210"/>
      <c r="U67" s="210"/>
      <c r="V67" s="210"/>
      <c r="W67" s="210"/>
      <c r="X67" s="210"/>
      <c r="Y67" s="210"/>
      <c r="Z67" s="210"/>
      <c r="AA67" s="210"/>
      <c r="AB67" s="210"/>
      <c r="AC67" s="210"/>
      <c r="AD67" s="210"/>
      <c r="AE67" s="210"/>
      <c r="AF67" s="210"/>
      <c r="AG67" s="210"/>
      <c r="AH67" s="210"/>
      <c r="AI67" s="210"/>
      <c r="AJ67" s="210"/>
      <c r="AK67" s="210"/>
      <c r="AL67" s="210"/>
      <c r="AN67" s="210"/>
      <c r="AO67" s="210"/>
      <c r="AP67" s="210"/>
      <c r="AQ67" s="210"/>
      <c r="AR67" s="210"/>
    </row>
    <row r="68" spans="14:44" x14ac:dyDescent="0.25">
      <c r="N68" s="210"/>
      <c r="O68" s="210"/>
      <c r="P68" s="210"/>
      <c r="Q68" s="210"/>
      <c r="R68" s="210"/>
      <c r="S68" s="210"/>
      <c r="T68" s="210"/>
      <c r="U68" s="210"/>
      <c r="V68" s="210"/>
      <c r="W68" s="210"/>
      <c r="X68" s="210"/>
      <c r="Y68" s="210"/>
      <c r="Z68" s="210"/>
      <c r="AA68" s="210"/>
      <c r="AB68" s="210"/>
      <c r="AC68" s="210"/>
      <c r="AD68" s="210"/>
      <c r="AE68" s="210"/>
      <c r="AF68" s="210"/>
      <c r="AG68" s="210"/>
      <c r="AH68" s="210"/>
      <c r="AI68" s="210"/>
      <c r="AJ68" s="210"/>
      <c r="AK68" s="210"/>
      <c r="AL68" s="210"/>
      <c r="AN68" s="210"/>
      <c r="AO68" s="210"/>
      <c r="AP68" s="210"/>
      <c r="AQ68" s="210"/>
      <c r="AR68" s="210"/>
    </row>
    <row r="69" spans="14:44" x14ac:dyDescent="0.25">
      <c r="N69" s="210"/>
      <c r="O69" s="210"/>
      <c r="P69" s="210"/>
      <c r="Q69" s="210"/>
      <c r="R69" s="210"/>
      <c r="S69" s="210"/>
      <c r="T69" s="210"/>
      <c r="U69" s="210"/>
      <c r="V69" s="210"/>
      <c r="W69" s="210"/>
      <c r="X69" s="210"/>
      <c r="Y69" s="210"/>
      <c r="Z69" s="210"/>
      <c r="AA69" s="210"/>
      <c r="AB69" s="210"/>
      <c r="AC69" s="210"/>
      <c r="AD69" s="210"/>
      <c r="AE69" s="210"/>
      <c r="AF69" s="210"/>
      <c r="AG69" s="210"/>
      <c r="AH69" s="210"/>
      <c r="AI69" s="210"/>
      <c r="AJ69" s="210"/>
      <c r="AK69" s="210"/>
      <c r="AL69" s="210"/>
      <c r="AN69" s="210"/>
      <c r="AO69" s="210"/>
      <c r="AP69" s="210"/>
      <c r="AQ69" s="210"/>
      <c r="AR69" s="210"/>
    </row>
    <row r="70" spans="14:44" x14ac:dyDescent="0.25">
      <c r="N70" s="210"/>
      <c r="O70" s="210"/>
      <c r="P70" s="210"/>
      <c r="Q70" s="210"/>
      <c r="R70" s="210"/>
      <c r="S70" s="210"/>
      <c r="T70" s="210"/>
      <c r="U70" s="210"/>
      <c r="V70" s="210"/>
      <c r="W70" s="210"/>
      <c r="X70" s="210"/>
      <c r="Y70" s="210"/>
      <c r="Z70" s="210"/>
      <c r="AA70" s="210"/>
      <c r="AB70" s="210"/>
      <c r="AC70" s="210"/>
      <c r="AD70" s="210"/>
      <c r="AE70" s="210"/>
      <c r="AF70" s="210"/>
      <c r="AG70" s="210"/>
      <c r="AH70" s="210"/>
      <c r="AI70" s="210"/>
      <c r="AJ70" s="210"/>
      <c r="AK70" s="210"/>
      <c r="AL70" s="210"/>
      <c r="AM70" s="210"/>
      <c r="AN70" s="210"/>
      <c r="AO70" s="210"/>
      <c r="AP70" s="210"/>
      <c r="AQ70" s="210"/>
      <c r="AR70" s="210"/>
    </row>
    <row r="71" spans="14:44" x14ac:dyDescent="0.25">
      <c r="N71" s="210"/>
      <c r="O71" s="210"/>
      <c r="P71" s="210"/>
      <c r="Q71" s="210"/>
      <c r="R71" s="210"/>
      <c r="S71" s="210"/>
      <c r="T71" s="210"/>
      <c r="U71" s="210"/>
      <c r="V71" s="210"/>
      <c r="W71" s="210"/>
      <c r="X71" s="210"/>
      <c r="Y71" s="210"/>
      <c r="Z71" s="210"/>
      <c r="AA71" s="210"/>
      <c r="AB71" s="210"/>
      <c r="AC71" s="210"/>
      <c r="AD71" s="210"/>
      <c r="AE71" s="210"/>
      <c r="AF71" s="210"/>
      <c r="AG71" s="210"/>
      <c r="AH71" s="210"/>
      <c r="AI71" s="210"/>
      <c r="AJ71" s="210"/>
      <c r="AK71" s="210"/>
      <c r="AL71" s="210"/>
      <c r="AM71" s="210"/>
      <c r="AN71" s="210"/>
      <c r="AO71" s="210"/>
      <c r="AP71" s="210"/>
      <c r="AQ71" s="210"/>
      <c r="AR71" s="210"/>
    </row>
    <row r="111" spans="1:83" x14ac:dyDescent="0.25">
      <c r="A111" s="285"/>
      <c r="B111" s="285"/>
      <c r="C111" s="285"/>
      <c r="D111" s="285"/>
      <c r="E111" s="285"/>
      <c r="F111" s="285"/>
      <c r="G111" s="285"/>
      <c r="H111" s="285"/>
      <c r="I111" s="285"/>
      <c r="J111" s="285"/>
      <c r="K111" s="285"/>
      <c r="L111" s="285"/>
      <c r="M111" s="285"/>
      <c r="N111" s="285"/>
      <c r="O111" s="285"/>
      <c r="P111" s="285"/>
      <c r="Q111" s="285"/>
      <c r="R111" s="285"/>
      <c r="S111" s="285"/>
      <c r="T111" s="285"/>
      <c r="U111" s="285"/>
      <c r="V111" s="285"/>
      <c r="W111" s="285"/>
      <c r="X111" s="285"/>
      <c r="Y111" s="285"/>
      <c r="Z111" s="285"/>
      <c r="AA111" s="285"/>
      <c r="AB111" s="285"/>
      <c r="AC111" s="285"/>
      <c r="AD111" s="285"/>
      <c r="AE111" s="285"/>
      <c r="AF111" s="285"/>
      <c r="AG111" s="285"/>
      <c r="AH111" s="285"/>
      <c r="AI111" s="285"/>
      <c r="AJ111" s="285"/>
      <c r="AK111" s="285"/>
      <c r="AL111" s="285"/>
      <c r="AM111" s="285"/>
      <c r="AN111" s="285"/>
      <c r="AO111" s="285"/>
      <c r="AP111" s="285"/>
      <c r="AQ111" s="285"/>
      <c r="AR111" s="285"/>
      <c r="AS111" s="285"/>
      <c r="AT111" s="285"/>
      <c r="AU111" s="285"/>
      <c r="AV111" s="285"/>
      <c r="AW111" s="285"/>
      <c r="AX111" s="285"/>
      <c r="AY111" s="285"/>
      <c r="AZ111" s="285"/>
      <c r="BA111" s="285"/>
      <c r="BB111" s="285"/>
      <c r="BC111" s="285"/>
      <c r="BD111" s="285"/>
      <c r="BE111" s="285"/>
      <c r="BF111" s="285"/>
      <c r="BG111" s="285"/>
      <c r="BH111" s="285"/>
      <c r="BI111" s="285"/>
      <c r="BJ111" s="285"/>
      <c r="BK111" s="285"/>
      <c r="BL111" s="285"/>
      <c r="BM111" s="285"/>
      <c r="BN111" s="285"/>
      <c r="BO111" s="285"/>
      <c r="BP111" s="285"/>
      <c r="BQ111" s="285"/>
      <c r="BR111" s="285"/>
      <c r="BS111" s="285"/>
      <c r="BT111" s="285"/>
      <c r="BU111" s="285"/>
      <c r="BV111" s="285"/>
      <c r="BW111" s="285"/>
      <c r="BX111" s="285"/>
      <c r="BY111" s="285"/>
      <c r="BZ111" s="285"/>
      <c r="CA111" s="285"/>
      <c r="CB111" s="285"/>
      <c r="CC111" s="285"/>
      <c r="CD111" s="286"/>
      <c r="CE111" s="286"/>
    </row>
    <row r="112" spans="1:83" x14ac:dyDescent="0.25">
      <c r="A112" s="285"/>
      <c r="B112" s="285"/>
      <c r="C112" s="285"/>
      <c r="D112" s="285"/>
      <c r="E112" s="285"/>
      <c r="F112" s="285"/>
      <c r="G112" s="285"/>
      <c r="H112" s="285"/>
      <c r="I112" s="285"/>
      <c r="J112" s="285"/>
      <c r="K112" s="285"/>
      <c r="L112" s="285"/>
      <c r="M112" s="287"/>
      <c r="N112" s="285"/>
      <c r="O112" s="285"/>
      <c r="P112" s="285"/>
      <c r="Q112" s="285"/>
      <c r="R112" s="285"/>
      <c r="S112" s="285"/>
      <c r="T112" s="285"/>
      <c r="U112" s="285"/>
      <c r="V112" s="285"/>
      <c r="W112" s="285"/>
      <c r="X112" s="285"/>
      <c r="Y112" s="285"/>
      <c r="Z112" s="285"/>
      <c r="AA112" s="285"/>
      <c r="AB112" s="285"/>
      <c r="AC112" s="285"/>
      <c r="AD112" s="285"/>
      <c r="AE112" s="285"/>
      <c r="AF112" s="285"/>
      <c r="AG112" s="285"/>
      <c r="AH112" s="285"/>
      <c r="AI112" s="285"/>
      <c r="AJ112" s="285"/>
      <c r="AK112" s="285"/>
      <c r="AL112" s="285"/>
      <c r="AM112" s="285"/>
      <c r="AN112" s="285"/>
      <c r="AO112" s="285"/>
      <c r="AP112" s="285"/>
      <c r="AQ112" s="285"/>
      <c r="AR112" s="285"/>
      <c r="AS112" s="285"/>
      <c r="AT112" s="285"/>
      <c r="AU112" s="285"/>
      <c r="AV112" s="285"/>
      <c r="AW112" s="285"/>
      <c r="AX112" s="285"/>
      <c r="AY112" s="285"/>
      <c r="AZ112" s="285"/>
      <c r="BA112" s="285"/>
      <c r="BB112" s="285"/>
      <c r="BC112" s="285"/>
      <c r="BD112" s="285"/>
      <c r="BE112" s="285"/>
      <c r="BF112" s="285"/>
      <c r="BG112" s="285"/>
      <c r="BH112" s="285"/>
      <c r="BI112" s="285"/>
      <c r="BJ112" s="285"/>
      <c r="BK112" s="285"/>
      <c r="BL112" s="285"/>
      <c r="BM112" s="285"/>
      <c r="BN112" s="285"/>
      <c r="BO112" s="285"/>
      <c r="BP112" s="285"/>
      <c r="BQ112" s="285"/>
      <c r="BR112" s="285"/>
      <c r="BS112" s="285"/>
      <c r="BT112" s="285"/>
      <c r="BU112" s="285"/>
      <c r="BV112" s="285"/>
      <c r="BW112" s="285"/>
      <c r="BX112" s="285"/>
      <c r="BY112" s="285"/>
      <c r="BZ112" s="285"/>
      <c r="CA112" s="285"/>
      <c r="CB112" s="285"/>
      <c r="CC112" s="285"/>
      <c r="CD112" s="286"/>
      <c r="CE112" s="286"/>
    </row>
    <row r="113" spans="1:83" ht="15.75" x14ac:dyDescent="0.25">
      <c r="A113" s="285"/>
      <c r="B113" s="285"/>
      <c r="C113" s="285"/>
      <c r="D113" s="285"/>
      <c r="E113" s="285"/>
      <c r="F113" s="285"/>
      <c r="G113" s="285"/>
      <c r="H113" s="285"/>
      <c r="I113" s="285"/>
      <c r="J113" s="285"/>
      <c r="K113" s="285"/>
      <c r="L113" s="288"/>
      <c r="M113" s="289"/>
      <c r="N113" s="290"/>
      <c r="O113" s="290"/>
      <c r="P113" s="290"/>
      <c r="Q113" s="290"/>
      <c r="R113" s="290"/>
      <c r="S113" s="290"/>
      <c r="T113" s="290"/>
      <c r="U113" s="290"/>
      <c r="V113" s="290"/>
      <c r="W113" s="290"/>
      <c r="X113" s="290"/>
      <c r="Y113" s="290"/>
      <c r="Z113" s="290"/>
      <c r="AA113" s="290"/>
      <c r="AB113" s="290"/>
      <c r="AC113" s="290"/>
      <c r="AD113" s="290"/>
      <c r="AE113" s="290"/>
      <c r="AF113" s="290"/>
      <c r="AG113" s="290"/>
      <c r="AH113" s="290"/>
      <c r="AI113" s="290"/>
      <c r="AJ113" s="290"/>
      <c r="AK113" s="291"/>
      <c r="AL113" s="290"/>
      <c r="AM113" s="290"/>
      <c r="AN113" s="290"/>
      <c r="AO113" s="290"/>
      <c r="AP113" s="290"/>
      <c r="AQ113" s="290"/>
      <c r="AR113" s="290"/>
      <c r="AS113" s="290"/>
      <c r="AT113" s="290"/>
      <c r="AU113" s="290"/>
      <c r="AV113" s="290"/>
      <c r="AW113" s="290"/>
      <c r="AX113" s="290"/>
      <c r="AY113" s="290"/>
      <c r="AZ113" s="290"/>
      <c r="BA113" s="290"/>
      <c r="BB113" s="290"/>
      <c r="BC113" s="290"/>
      <c r="BD113" s="290"/>
      <c r="BE113" s="290"/>
      <c r="BF113" s="290"/>
      <c r="BG113" s="290"/>
      <c r="BH113" s="290"/>
      <c r="BI113" s="290"/>
      <c r="BJ113" s="290"/>
      <c r="BK113" s="290"/>
      <c r="BL113" s="290"/>
      <c r="BM113" s="290"/>
      <c r="BN113" s="290"/>
      <c r="BO113" s="290"/>
      <c r="BP113" s="290"/>
      <c r="BQ113" s="290"/>
      <c r="BR113" s="290"/>
      <c r="BS113" s="290"/>
      <c r="BT113" s="290"/>
      <c r="BU113" s="290"/>
      <c r="BV113" s="290"/>
      <c r="BW113" s="290"/>
      <c r="BX113" s="290"/>
      <c r="BY113" s="290"/>
      <c r="BZ113" s="290"/>
      <c r="CA113" s="285"/>
      <c r="CB113" s="285"/>
      <c r="CC113" s="285"/>
      <c r="CD113" s="286"/>
      <c r="CE113" s="286"/>
    </row>
    <row r="114" spans="1:83" x14ac:dyDescent="0.25">
      <c r="A114" s="285"/>
      <c r="B114" s="285"/>
      <c r="C114" s="285"/>
      <c r="D114" s="285"/>
      <c r="E114" s="285"/>
      <c r="F114" s="285"/>
      <c r="G114" s="285"/>
      <c r="H114" s="285"/>
      <c r="I114" s="285"/>
      <c r="J114" s="285"/>
      <c r="K114" s="285"/>
      <c r="L114" s="285"/>
      <c r="M114" s="285"/>
      <c r="N114" s="285"/>
      <c r="O114" s="285"/>
      <c r="P114" s="285"/>
      <c r="Q114" s="285"/>
      <c r="R114" s="285"/>
      <c r="S114" s="285"/>
      <c r="T114" s="285"/>
      <c r="U114" s="285"/>
      <c r="V114" s="285"/>
      <c r="W114" s="285"/>
      <c r="X114" s="285"/>
      <c r="Y114" s="285"/>
      <c r="Z114" s="285"/>
      <c r="AA114" s="285"/>
      <c r="AB114" s="285"/>
      <c r="AC114" s="285"/>
      <c r="AD114" s="285"/>
      <c r="AE114" s="285"/>
      <c r="AF114" s="285"/>
      <c r="AG114" s="285"/>
      <c r="AH114" s="285"/>
      <c r="AI114" s="285"/>
      <c r="AJ114" s="285"/>
      <c r="AK114" s="285"/>
      <c r="AL114" s="285"/>
      <c r="AM114" s="285"/>
      <c r="AN114" s="285"/>
      <c r="AO114" s="285"/>
      <c r="AP114" s="285"/>
      <c r="AQ114" s="285"/>
      <c r="AR114" s="285"/>
      <c r="AS114" s="285"/>
      <c r="AT114" s="285"/>
      <c r="AU114" s="285"/>
      <c r="AV114" s="285"/>
      <c r="AW114" s="285"/>
      <c r="AX114" s="285"/>
      <c r="AY114" s="285"/>
      <c r="AZ114" s="285"/>
      <c r="BA114" s="285"/>
      <c r="BB114" s="285"/>
      <c r="BC114" s="285"/>
      <c r="BD114" s="285"/>
      <c r="BE114" s="285"/>
      <c r="BF114" s="285"/>
      <c r="BG114" s="285"/>
      <c r="BH114" s="285"/>
      <c r="BI114" s="285"/>
      <c r="BJ114" s="285"/>
      <c r="BK114" s="285"/>
      <c r="BL114" s="285"/>
      <c r="BM114" s="285"/>
      <c r="BN114" s="285"/>
      <c r="BO114" s="285"/>
      <c r="BP114" s="285"/>
      <c r="BQ114" s="285"/>
      <c r="BR114" s="285"/>
      <c r="BS114" s="285"/>
      <c r="BT114" s="285"/>
      <c r="BU114" s="285"/>
      <c r="BV114" s="285"/>
      <c r="BW114" s="285"/>
      <c r="BX114" s="285"/>
      <c r="BY114" s="285"/>
      <c r="BZ114" s="285"/>
      <c r="CA114" s="285"/>
      <c r="CB114" s="285"/>
      <c r="CC114" s="285"/>
      <c r="CD114" s="286"/>
      <c r="CE114" s="286"/>
    </row>
    <row r="115" spans="1:83" ht="15.75" x14ac:dyDescent="0.25">
      <c r="A115" s="285"/>
      <c r="B115" s="292"/>
      <c r="C115" s="292"/>
      <c r="D115" s="292"/>
      <c r="E115" s="292"/>
      <c r="F115" s="292"/>
      <c r="G115" s="292"/>
      <c r="H115" s="292"/>
      <c r="I115" s="292"/>
      <c r="J115" s="292"/>
      <c r="K115" s="292"/>
      <c r="L115" s="292"/>
      <c r="M115" s="293"/>
      <c r="N115" s="115"/>
      <c r="O115" s="293"/>
      <c r="P115" s="292"/>
      <c r="Q115" s="292"/>
      <c r="R115" s="294"/>
      <c r="S115" s="294"/>
      <c r="T115" s="295"/>
      <c r="U115" s="286"/>
      <c r="V115" s="286"/>
      <c r="W115" s="286"/>
      <c r="X115" s="286"/>
      <c r="Y115" s="286"/>
      <c r="Z115" s="286"/>
      <c r="AA115" s="286"/>
      <c r="AB115" s="286"/>
      <c r="AC115" s="286"/>
      <c r="AD115" s="286"/>
      <c r="AE115" s="286"/>
      <c r="AF115" s="286"/>
      <c r="AG115" s="286"/>
      <c r="AH115" s="286"/>
      <c r="AI115" s="286"/>
      <c r="AJ115" s="286"/>
      <c r="AK115" s="286"/>
      <c r="AL115" s="286"/>
      <c r="AM115" s="286"/>
      <c r="AN115" s="286"/>
      <c r="AO115" s="286"/>
      <c r="AP115" s="286"/>
      <c r="AQ115" s="286"/>
      <c r="AR115" s="286"/>
      <c r="AS115" s="286"/>
      <c r="AT115" s="286"/>
      <c r="AU115" s="286"/>
      <c r="AV115" s="286"/>
      <c r="AW115" s="286"/>
      <c r="AX115" s="286"/>
      <c r="AY115" s="286"/>
      <c r="AZ115" s="286"/>
      <c r="BA115" s="286"/>
      <c r="BB115" s="286"/>
      <c r="BC115" s="286"/>
      <c r="BD115" s="286"/>
      <c r="BE115" s="286"/>
      <c r="BF115" s="286"/>
      <c r="BG115" s="286"/>
      <c r="BH115" s="286"/>
      <c r="BI115" s="286"/>
      <c r="BJ115" s="286"/>
      <c r="BK115" s="286"/>
      <c r="BL115" s="286"/>
      <c r="BM115" s="286"/>
      <c r="BN115" s="286"/>
      <c r="BO115" s="286"/>
      <c r="BP115" s="286"/>
      <c r="BQ115" s="286"/>
      <c r="BR115" s="286"/>
      <c r="BS115" s="286"/>
      <c r="BT115" s="286"/>
      <c r="BU115" s="286"/>
      <c r="BV115" s="286"/>
      <c r="BW115" s="286"/>
      <c r="BX115" s="286"/>
      <c r="BY115" s="286"/>
      <c r="BZ115" s="286"/>
      <c r="CA115" s="286"/>
      <c r="CB115" s="286"/>
      <c r="CC115" s="286"/>
      <c r="CD115" s="286"/>
      <c r="CE115" s="286"/>
    </row>
    <row r="116" spans="1:83" ht="15.75" x14ac:dyDescent="0.25">
      <c r="A116" s="285"/>
      <c r="B116" s="292"/>
      <c r="C116" s="292"/>
      <c r="D116" s="292"/>
      <c r="E116" s="292"/>
      <c r="F116" s="292"/>
      <c r="G116" s="292"/>
      <c r="H116" s="292"/>
      <c r="I116" s="369" t="s">
        <v>251</v>
      </c>
      <c r="J116" s="369"/>
      <c r="K116" s="369"/>
      <c r="L116" s="369"/>
      <c r="M116" s="115"/>
      <c r="N116" s="115"/>
      <c r="O116" s="293"/>
      <c r="P116" s="296"/>
      <c r="Q116" s="297"/>
      <c r="R116" s="298"/>
      <c r="S116" s="298"/>
      <c r="T116" s="299"/>
      <c r="U116" s="299"/>
      <c r="V116" s="299"/>
      <c r="W116" s="286"/>
      <c r="X116" s="286"/>
      <c r="Y116" s="286"/>
      <c r="Z116" s="300"/>
      <c r="AA116" s="286"/>
      <c r="AB116" s="286"/>
      <c r="AC116" s="286"/>
      <c r="AD116" s="286"/>
      <c r="AE116" s="286"/>
      <c r="AF116" s="286"/>
      <c r="AG116" s="286"/>
      <c r="AH116" s="286"/>
      <c r="AI116" s="286"/>
      <c r="AJ116" s="286"/>
      <c r="AK116" s="286"/>
      <c r="AL116" s="286"/>
      <c r="AM116" s="286"/>
      <c r="AN116" s="286"/>
      <c r="AO116" s="286"/>
      <c r="AP116" s="286"/>
      <c r="AQ116" s="286"/>
      <c r="AR116" s="286"/>
      <c r="AS116" s="286"/>
      <c r="AT116" s="286"/>
      <c r="AU116" s="286"/>
      <c r="AV116" s="286"/>
      <c r="AW116" s="286"/>
      <c r="AX116" s="286"/>
      <c r="AY116" s="286"/>
      <c r="AZ116" s="286"/>
      <c r="BA116" s="286"/>
      <c r="BB116" s="286"/>
      <c r="BC116" s="286"/>
      <c r="BD116" s="286"/>
      <c r="BE116" s="286"/>
      <c r="BF116" s="286"/>
      <c r="BG116" s="286"/>
      <c r="BH116" s="286"/>
      <c r="BI116" s="286"/>
      <c r="BJ116" s="286"/>
      <c r="BK116" s="286"/>
      <c r="BL116" s="286"/>
      <c r="BM116" s="286"/>
      <c r="BN116" s="286"/>
      <c r="BO116" s="286"/>
      <c r="BP116" s="286"/>
      <c r="BQ116" s="286"/>
      <c r="BR116" s="286"/>
      <c r="BS116" s="286"/>
      <c r="BT116" s="286"/>
      <c r="BU116" s="286"/>
      <c r="BV116" s="286"/>
      <c r="BW116" s="286"/>
      <c r="BX116" s="286"/>
      <c r="BY116" s="286"/>
      <c r="BZ116" s="286"/>
      <c r="CA116" s="286"/>
      <c r="CB116" s="286"/>
      <c r="CC116" s="286"/>
      <c r="CD116" s="286"/>
      <c r="CE116" s="286"/>
    </row>
    <row r="117" spans="1:83" ht="18.75" x14ac:dyDescent="0.25">
      <c r="A117" s="285"/>
      <c r="B117" s="292"/>
      <c r="C117" s="370" t="s">
        <v>91</v>
      </c>
      <c r="D117" s="370"/>
      <c r="E117" s="370"/>
      <c r="F117" s="178">
        <f>'Análisis Espectral'!F117</f>
        <v>0</v>
      </c>
      <c r="G117" s="292"/>
      <c r="H117" s="292"/>
      <c r="I117" s="377" t="s">
        <v>250</v>
      </c>
      <c r="J117" s="377"/>
      <c r="K117" s="378" t="s">
        <v>43</v>
      </c>
      <c r="L117" s="378"/>
      <c r="M117" s="301"/>
      <c r="N117" s="301"/>
      <c r="O117" s="293"/>
      <c r="P117" s="296"/>
      <c r="Q117" s="297"/>
      <c r="R117" s="298"/>
      <c r="S117" s="298"/>
      <c r="T117" s="302"/>
      <c r="U117" s="299"/>
      <c r="V117" s="299"/>
      <c r="W117" s="286"/>
      <c r="X117" s="286"/>
      <c r="Y117" s="286"/>
      <c r="Z117" s="300"/>
      <c r="AA117" s="286"/>
      <c r="AB117" s="286"/>
      <c r="AC117" s="286"/>
      <c r="AD117" s="286"/>
      <c r="AE117" s="286"/>
      <c r="AF117" s="286"/>
      <c r="AG117" s="286"/>
      <c r="AH117" s="286"/>
      <c r="AI117" s="286"/>
      <c r="AJ117" s="286"/>
      <c r="AK117" s="286"/>
      <c r="AL117" s="286"/>
      <c r="AM117" s="286"/>
      <c r="AN117" s="286"/>
      <c r="AO117" s="286"/>
      <c r="AP117" s="286"/>
      <c r="AQ117" s="286"/>
      <c r="AR117" s="286"/>
      <c r="AS117" s="286"/>
      <c r="AT117" s="286"/>
      <c r="AU117" s="286"/>
      <c r="AV117" s="286"/>
      <c r="AW117" s="286"/>
      <c r="AX117" s="286"/>
      <c r="AY117" s="286"/>
      <c r="AZ117" s="286"/>
      <c r="BA117" s="286"/>
      <c r="BB117" s="286"/>
      <c r="BC117" s="286"/>
      <c r="BD117" s="286"/>
      <c r="BE117" s="286"/>
      <c r="BF117" s="286"/>
      <c r="BG117" s="286"/>
      <c r="BH117" s="286"/>
      <c r="BI117" s="286"/>
      <c r="BJ117" s="286"/>
      <c r="BK117" s="286"/>
      <c r="BL117" s="286"/>
      <c r="BM117" s="286"/>
      <c r="BN117" s="286"/>
      <c r="BO117" s="286"/>
      <c r="BP117" s="286"/>
      <c r="BQ117" s="286"/>
      <c r="BR117" s="286"/>
      <c r="BS117" s="286"/>
      <c r="BT117" s="286"/>
      <c r="BU117" s="286"/>
      <c r="BV117" s="286"/>
      <c r="BW117" s="286"/>
      <c r="BX117" s="286"/>
      <c r="BY117" s="286"/>
      <c r="BZ117" s="286"/>
      <c r="CA117" s="286"/>
      <c r="CB117" s="286"/>
      <c r="CC117" s="286"/>
      <c r="CD117" s="286"/>
      <c r="CE117" s="286"/>
    </row>
    <row r="118" spans="1:83" ht="15.75" x14ac:dyDescent="0.25">
      <c r="A118" s="285"/>
      <c r="B118" s="292"/>
      <c r="C118" s="292"/>
      <c r="D118" s="292"/>
      <c r="E118" s="292"/>
      <c r="F118" s="115"/>
      <c r="G118" s="292"/>
      <c r="H118" s="292"/>
      <c r="I118" s="292"/>
      <c r="J118" s="292"/>
      <c r="K118" s="303"/>
      <c r="L118" s="303"/>
      <c r="M118" s="296"/>
      <c r="N118" s="296"/>
      <c r="O118" s="293"/>
      <c r="P118" s="292"/>
      <c r="Q118" s="292"/>
      <c r="R118" s="298"/>
      <c r="S118" s="298"/>
      <c r="T118" s="299"/>
      <c r="U118" s="299"/>
      <c r="V118" s="299"/>
      <c r="W118" s="286"/>
      <c r="X118" s="286"/>
      <c r="Y118" s="286"/>
      <c r="Z118" s="300"/>
      <c r="AA118" s="286"/>
      <c r="AB118" s="286"/>
      <c r="AC118" s="286"/>
      <c r="AD118" s="286"/>
      <c r="AE118" s="286"/>
      <c r="AF118" s="286"/>
      <c r="AG118" s="286"/>
      <c r="AH118" s="286"/>
      <c r="AI118" s="286"/>
      <c r="AJ118" s="286"/>
      <c r="AK118" s="286"/>
      <c r="AL118" s="286"/>
      <c r="AM118" s="286"/>
      <c r="AN118" s="286"/>
      <c r="AO118" s="286"/>
      <c r="AP118" s="286"/>
      <c r="AQ118" s="286"/>
      <c r="AR118" s="286"/>
      <c r="AS118" s="286"/>
      <c r="AT118" s="286"/>
      <c r="AU118" s="286"/>
      <c r="AV118" s="286"/>
      <c r="AW118" s="286"/>
      <c r="AX118" s="286"/>
      <c r="AY118" s="286"/>
      <c r="AZ118" s="286"/>
      <c r="BA118" s="286"/>
      <c r="BB118" s="286"/>
      <c r="BC118" s="286"/>
      <c r="BD118" s="286"/>
      <c r="BE118" s="286"/>
      <c r="BF118" s="286"/>
      <c r="BG118" s="286"/>
      <c r="BH118" s="286"/>
      <c r="BI118" s="286"/>
      <c r="BJ118" s="286"/>
      <c r="BK118" s="286"/>
      <c r="BL118" s="286"/>
      <c r="BM118" s="286"/>
      <c r="BN118" s="286"/>
      <c r="BO118" s="286"/>
      <c r="BP118" s="286"/>
      <c r="BQ118" s="286"/>
      <c r="BR118" s="286"/>
      <c r="BS118" s="286"/>
      <c r="BT118" s="286"/>
      <c r="BU118" s="286"/>
      <c r="BV118" s="286"/>
      <c r="BW118" s="286"/>
      <c r="BX118" s="286"/>
      <c r="BY118" s="286"/>
      <c r="BZ118" s="286"/>
      <c r="CA118" s="286"/>
      <c r="CB118" s="286"/>
      <c r="CC118" s="286"/>
      <c r="CD118" s="286"/>
      <c r="CE118" s="286"/>
    </row>
    <row r="119" spans="1:83" ht="15.75" x14ac:dyDescent="0.25">
      <c r="A119" s="285"/>
      <c r="B119" s="292"/>
      <c r="C119" s="292"/>
      <c r="D119" s="292"/>
      <c r="E119" s="292"/>
      <c r="F119" s="292"/>
      <c r="G119" s="292"/>
      <c r="H119" s="292"/>
      <c r="I119" s="292"/>
      <c r="J119" s="292"/>
      <c r="K119" s="292"/>
      <c r="L119" s="292"/>
      <c r="M119" s="115"/>
      <c r="N119" s="115"/>
      <c r="O119" s="293"/>
      <c r="P119" s="296"/>
      <c r="Q119" s="292"/>
      <c r="R119" s="298"/>
      <c r="S119" s="298"/>
      <c r="T119" s="299"/>
      <c r="U119" s="299"/>
      <c r="V119" s="299"/>
      <c r="W119" s="286"/>
      <c r="X119" s="286"/>
      <c r="Y119" s="286"/>
      <c r="Z119" s="300"/>
      <c r="AA119" s="286"/>
      <c r="AB119" s="286"/>
      <c r="AC119" s="286"/>
      <c r="AD119" s="286"/>
      <c r="AE119" s="286"/>
      <c r="AF119" s="286"/>
      <c r="AG119" s="286"/>
      <c r="AH119" s="286"/>
      <c r="AI119" s="286"/>
      <c r="AJ119" s="286"/>
      <c r="AK119" s="286"/>
      <c r="AL119" s="286"/>
      <c r="AM119" s="286"/>
      <c r="AN119" s="286"/>
      <c r="AO119" s="286"/>
      <c r="AP119" s="286"/>
      <c r="AQ119" s="286"/>
      <c r="AR119" s="286"/>
      <c r="AS119" s="286"/>
      <c r="AT119" s="286"/>
      <c r="AU119" s="286"/>
      <c r="AV119" s="286"/>
      <c r="AW119" s="286"/>
      <c r="AX119" s="286"/>
      <c r="AY119" s="286"/>
      <c r="AZ119" s="286"/>
      <c r="BA119" s="286"/>
      <c r="BB119" s="286"/>
      <c r="BC119" s="286"/>
      <c r="BD119" s="286"/>
      <c r="BE119" s="286"/>
      <c r="BF119" s="286"/>
      <c r="BG119" s="286"/>
      <c r="BH119" s="286"/>
      <c r="BI119" s="286"/>
      <c r="BJ119" s="286"/>
      <c r="BK119" s="286"/>
      <c r="BL119" s="286"/>
      <c r="BM119" s="286"/>
      <c r="BN119" s="286"/>
      <c r="BO119" s="286"/>
      <c r="BP119" s="286"/>
      <c r="BQ119" s="286"/>
      <c r="BR119" s="286"/>
      <c r="BS119" s="286"/>
      <c r="BT119" s="286"/>
      <c r="BU119" s="286"/>
      <c r="BV119" s="286"/>
      <c r="BW119" s="286"/>
      <c r="BX119" s="286"/>
      <c r="BY119" s="286"/>
      <c r="BZ119" s="286"/>
      <c r="CA119" s="286"/>
      <c r="CB119" s="286"/>
      <c r="CC119" s="286"/>
      <c r="CD119" s="286"/>
      <c r="CE119" s="286"/>
    </row>
    <row r="120" spans="1:83" x14ac:dyDescent="0.25">
      <c r="A120" s="285"/>
      <c r="B120" s="292"/>
      <c r="C120" s="304"/>
      <c r="D120" s="304"/>
      <c r="E120" s="304"/>
      <c r="F120" s="115"/>
      <c r="G120" s="292"/>
      <c r="H120" s="292"/>
      <c r="I120" s="292"/>
      <c r="J120" s="292"/>
      <c r="K120" s="292"/>
      <c r="L120" s="292"/>
      <c r="M120" s="115"/>
      <c r="N120" s="115"/>
      <c r="O120" s="292"/>
      <c r="P120" s="294"/>
      <c r="Q120" s="292"/>
      <c r="R120" s="298"/>
      <c r="S120" s="298"/>
      <c r="T120" s="299"/>
      <c r="U120" s="299"/>
      <c r="V120" s="299"/>
      <c r="W120" s="286"/>
      <c r="X120" s="286"/>
      <c r="Y120" s="286"/>
      <c r="Z120" s="286"/>
      <c r="AA120" s="286"/>
      <c r="AB120" s="286"/>
      <c r="AC120" s="286"/>
      <c r="AD120" s="286"/>
      <c r="AE120" s="286"/>
      <c r="AF120" s="286"/>
      <c r="AG120" s="286"/>
      <c r="AH120" s="286"/>
      <c r="AI120" s="286"/>
      <c r="AJ120" s="286"/>
      <c r="AK120" s="286"/>
      <c r="AL120" s="286"/>
      <c r="AM120" s="286"/>
      <c r="AN120" s="286"/>
      <c r="AO120" s="286"/>
      <c r="AP120" s="286"/>
      <c r="AQ120" s="286"/>
      <c r="AR120" s="286"/>
      <c r="AS120" s="286"/>
      <c r="AT120" s="286"/>
      <c r="AU120" s="286"/>
      <c r="AV120" s="286"/>
      <c r="AW120" s="286"/>
      <c r="AX120" s="286"/>
      <c r="AY120" s="286"/>
      <c r="AZ120" s="286"/>
      <c r="BA120" s="286"/>
      <c r="BB120" s="286"/>
      <c r="BC120" s="286"/>
      <c r="BD120" s="286"/>
      <c r="BE120" s="286"/>
      <c r="BF120" s="286"/>
      <c r="BG120" s="286"/>
      <c r="BH120" s="286"/>
      <c r="BI120" s="286"/>
      <c r="BJ120" s="286"/>
      <c r="BK120" s="286"/>
      <c r="BL120" s="286"/>
      <c r="BM120" s="286"/>
      <c r="BN120" s="286"/>
      <c r="BO120" s="286"/>
      <c r="BP120" s="286"/>
      <c r="BQ120" s="286"/>
      <c r="BR120" s="286"/>
      <c r="BS120" s="286"/>
      <c r="BT120" s="286"/>
      <c r="BU120" s="286"/>
      <c r="BV120" s="286"/>
      <c r="BW120" s="286"/>
      <c r="BX120" s="286"/>
      <c r="BY120" s="286"/>
      <c r="BZ120" s="286"/>
      <c r="CA120" s="286"/>
      <c r="CB120" s="286"/>
      <c r="CC120" s="286"/>
      <c r="CD120" s="286"/>
      <c r="CE120" s="286"/>
    </row>
    <row r="121" spans="1:83" ht="18.75" x14ac:dyDescent="0.25">
      <c r="A121" s="285"/>
      <c r="B121" s="292"/>
      <c r="C121" s="382" t="s">
        <v>1</v>
      </c>
      <c r="D121" s="382"/>
      <c r="E121" s="382"/>
      <c r="F121" s="382"/>
      <c r="G121" s="383" t="s">
        <v>249</v>
      </c>
      <c r="H121" s="292"/>
      <c r="I121" s="292"/>
      <c r="J121" s="292"/>
      <c r="K121" s="292"/>
      <c r="L121" s="292"/>
      <c r="M121" s="115"/>
      <c r="N121" s="115"/>
      <c r="O121" s="292"/>
      <c r="P121" s="292"/>
      <c r="Q121" s="292"/>
      <c r="R121" s="298"/>
      <c r="S121" s="298"/>
      <c r="T121" s="299"/>
      <c r="U121" s="299"/>
      <c r="V121" s="299"/>
      <c r="W121" s="286"/>
      <c r="X121" s="286"/>
      <c r="Y121" s="286"/>
      <c r="Z121" s="286"/>
      <c r="AA121" s="286"/>
      <c r="AB121" s="286"/>
      <c r="AC121" s="286"/>
      <c r="AD121" s="286"/>
      <c r="AE121" s="286"/>
      <c r="AF121" s="286"/>
      <c r="AG121" s="286"/>
      <c r="AH121" s="286"/>
      <c r="AI121" s="286"/>
      <c r="AJ121" s="286"/>
      <c r="AK121" s="286"/>
      <c r="AL121" s="286"/>
      <c r="AM121" s="286"/>
      <c r="AN121" s="286"/>
      <c r="AO121" s="286"/>
      <c r="AP121" s="286"/>
      <c r="AQ121" s="286"/>
      <c r="AR121" s="286"/>
      <c r="AS121" s="286"/>
      <c r="AT121" s="286"/>
      <c r="AU121" s="286"/>
      <c r="AV121" s="286"/>
      <c r="AW121" s="286"/>
      <c r="AX121" s="286"/>
      <c r="AY121" s="286"/>
      <c r="AZ121" s="286"/>
      <c r="BA121" s="286"/>
      <c r="BB121" s="286"/>
      <c r="BC121" s="286"/>
      <c r="BD121" s="286"/>
      <c r="BE121" s="286"/>
      <c r="BF121" s="286"/>
      <c r="BG121" s="286"/>
      <c r="BH121" s="286"/>
      <c r="BI121" s="286"/>
      <c r="BJ121" s="286"/>
      <c r="BK121" s="286"/>
      <c r="BL121" s="286"/>
      <c r="BM121" s="286"/>
      <c r="BN121" s="286"/>
      <c r="BO121" s="286"/>
      <c r="BP121" s="286"/>
      <c r="BQ121" s="286"/>
      <c r="BR121" s="286"/>
      <c r="BS121" s="286"/>
      <c r="BT121" s="286"/>
      <c r="BU121" s="286"/>
      <c r="BV121" s="286"/>
      <c r="BW121" s="286"/>
      <c r="BX121" s="286"/>
      <c r="BY121" s="286"/>
      <c r="BZ121" s="286"/>
      <c r="CA121" s="286"/>
      <c r="CB121" s="286"/>
      <c r="CC121" s="286"/>
      <c r="CD121" s="286"/>
      <c r="CE121" s="286"/>
    </row>
    <row r="122" spans="1:83" ht="30" x14ac:dyDescent="0.25">
      <c r="A122" s="285"/>
      <c r="B122" s="292"/>
      <c r="C122" s="182" t="s">
        <v>149</v>
      </c>
      <c r="D122" s="182" t="s">
        <v>150</v>
      </c>
      <c r="E122" s="182" t="s">
        <v>77</v>
      </c>
      <c r="F122" s="182" t="s">
        <v>178</v>
      </c>
      <c r="G122" s="383"/>
      <c r="H122" s="292"/>
      <c r="I122" s="292"/>
      <c r="J122" s="292"/>
      <c r="K122" s="292"/>
      <c r="L122" s="292"/>
      <c r="M122" s="115"/>
      <c r="N122" s="115"/>
      <c r="O122" s="293"/>
      <c r="P122" s="292"/>
      <c r="Q122" s="292"/>
      <c r="R122" s="298"/>
      <c r="S122" s="298"/>
      <c r="T122" s="299"/>
      <c r="U122" s="299"/>
      <c r="V122" s="299"/>
      <c r="W122" s="286"/>
      <c r="X122" s="286"/>
      <c r="Y122" s="286"/>
      <c r="Z122" s="286"/>
      <c r="AA122" s="286"/>
      <c r="AB122" s="286"/>
      <c r="AC122" s="286"/>
      <c r="AD122" s="286"/>
      <c r="AE122" s="286"/>
      <c r="AF122" s="286"/>
      <c r="AG122" s="286"/>
      <c r="AH122" s="286"/>
      <c r="AI122" s="286"/>
      <c r="AJ122" s="286"/>
      <c r="AK122" s="286"/>
      <c r="AL122" s="286"/>
      <c r="AM122" s="286"/>
      <c r="AN122" s="286"/>
      <c r="AO122" s="286"/>
      <c r="AP122" s="286"/>
      <c r="AQ122" s="286"/>
      <c r="AR122" s="286"/>
      <c r="AS122" s="286"/>
      <c r="AT122" s="286"/>
      <c r="AU122" s="286"/>
      <c r="AV122" s="286"/>
      <c r="AW122" s="286"/>
      <c r="AX122" s="286"/>
      <c r="AY122" s="286"/>
      <c r="AZ122" s="286"/>
      <c r="BA122" s="286"/>
      <c r="BB122" s="286"/>
      <c r="BC122" s="286"/>
      <c r="BD122" s="286"/>
      <c r="BE122" s="286"/>
      <c r="BF122" s="286"/>
      <c r="BG122" s="286"/>
      <c r="BH122" s="286"/>
      <c r="BI122" s="286"/>
      <c r="BJ122" s="286"/>
      <c r="BK122" s="286"/>
      <c r="BL122" s="286"/>
      <c r="BM122" s="286"/>
      <c r="BN122" s="286"/>
      <c r="BO122" s="286"/>
      <c r="BP122" s="286"/>
      <c r="BQ122" s="286"/>
      <c r="BR122" s="286"/>
      <c r="BS122" s="286"/>
      <c r="BT122" s="286"/>
      <c r="BU122" s="286"/>
      <c r="BV122" s="286"/>
      <c r="BW122" s="286"/>
      <c r="BX122" s="286"/>
      <c r="BY122" s="286"/>
      <c r="BZ122" s="286"/>
      <c r="CA122" s="286"/>
      <c r="CB122" s="286"/>
      <c r="CC122" s="286"/>
      <c r="CD122" s="286"/>
      <c r="CE122" s="286"/>
    </row>
    <row r="123" spans="1:83" ht="15.75" x14ac:dyDescent="0.25">
      <c r="A123" s="285"/>
      <c r="B123" s="292"/>
      <c r="C123" s="183">
        <v>1</v>
      </c>
      <c r="D123" s="178" t="str">
        <f>IF('Análisis Espectral'!D123&lt;&gt;"",'Análisis Espectral'!D123,"")</f>
        <v/>
      </c>
      <c r="E123" s="178" t="str">
        <f>IF('Análisis Espectral'!E123&lt;&gt;"",'Análisis Espectral'!E123,"")</f>
        <v/>
      </c>
      <c r="F123" s="178" t="str">
        <f>IF('Análisis Espectral'!F123&lt;&gt;"",'Análisis Espectral'!F123,"")</f>
        <v/>
      </c>
      <c r="G123" s="173">
        <v>20</v>
      </c>
      <c r="H123" s="292"/>
      <c r="I123" s="292"/>
      <c r="J123" s="292"/>
      <c r="K123" s="292"/>
      <c r="L123" s="292"/>
      <c r="M123" s="115"/>
      <c r="N123" s="115"/>
      <c r="O123" s="293"/>
      <c r="P123" s="296"/>
      <c r="Q123" s="292"/>
      <c r="R123" s="298"/>
      <c r="S123" s="298"/>
      <c r="T123" s="299"/>
      <c r="U123" s="299"/>
      <c r="V123" s="299"/>
      <c r="W123" s="286"/>
      <c r="X123" s="286"/>
      <c r="Y123" s="286"/>
      <c r="Z123" s="286"/>
      <c r="AA123" s="286"/>
      <c r="AB123" s="286"/>
      <c r="AC123" s="286"/>
      <c r="AD123" s="286"/>
      <c r="AE123" s="286"/>
      <c r="AF123" s="286"/>
      <c r="AG123" s="286"/>
      <c r="AH123" s="286"/>
      <c r="AI123" s="286"/>
      <c r="AJ123" s="286"/>
      <c r="AK123" s="286"/>
      <c r="AL123" s="286"/>
      <c r="AM123" s="286"/>
      <c r="AN123" s="286"/>
      <c r="AO123" s="286"/>
      <c r="AP123" s="286"/>
      <c r="AQ123" s="286"/>
      <c r="AR123" s="286"/>
      <c r="AS123" s="286"/>
      <c r="AT123" s="286"/>
      <c r="AU123" s="286"/>
      <c r="AV123" s="286"/>
      <c r="AW123" s="286"/>
      <c r="AX123" s="286"/>
      <c r="AY123" s="286"/>
      <c r="AZ123" s="286"/>
      <c r="BA123" s="286"/>
      <c r="BB123" s="286"/>
      <c r="BC123" s="286"/>
      <c r="BD123" s="286"/>
      <c r="BE123" s="286"/>
      <c r="BF123" s="286"/>
      <c r="BG123" s="286"/>
      <c r="BH123" s="286"/>
      <c r="BI123" s="286"/>
      <c r="BJ123" s="286"/>
      <c r="BK123" s="286"/>
      <c r="BL123" s="286"/>
      <c r="BM123" s="286"/>
      <c r="BN123" s="286"/>
      <c r="BO123" s="286"/>
      <c r="BP123" s="286"/>
      <c r="BQ123" s="286"/>
      <c r="BR123" s="286"/>
      <c r="BS123" s="286"/>
      <c r="BT123" s="286"/>
      <c r="BU123" s="286"/>
      <c r="BV123" s="286"/>
      <c r="BW123" s="286"/>
      <c r="BX123" s="286"/>
      <c r="BY123" s="286"/>
      <c r="BZ123" s="286"/>
      <c r="CA123" s="286"/>
      <c r="CB123" s="286"/>
      <c r="CC123" s="286"/>
      <c r="CD123" s="286"/>
      <c r="CE123" s="286"/>
    </row>
    <row r="124" spans="1:83" ht="15.75" x14ac:dyDescent="0.25">
      <c r="A124" s="285"/>
      <c r="B124" s="292"/>
      <c r="C124" s="183">
        <v>2</v>
      </c>
      <c r="D124" s="178" t="str">
        <f>IF('Análisis Espectral'!D124&lt;&gt;"",'Análisis Espectral'!D124,"")</f>
        <v/>
      </c>
      <c r="E124" s="178" t="str">
        <f>IF('Análisis Espectral'!E124&lt;&gt;"",'Análisis Espectral'!E124,"")</f>
        <v/>
      </c>
      <c r="F124" s="178" t="str">
        <f>IF('Análisis Espectral'!F124&lt;&gt;"",'Análisis Espectral'!F124,"")</f>
        <v/>
      </c>
      <c r="G124" s="173">
        <v>20</v>
      </c>
      <c r="H124" s="292"/>
      <c r="I124" s="292"/>
      <c r="J124" s="292"/>
      <c r="K124" s="292"/>
      <c r="L124" s="305"/>
      <c r="M124" s="115"/>
      <c r="N124" s="115"/>
      <c r="O124" s="292"/>
      <c r="P124" s="296"/>
      <c r="Q124" s="292"/>
      <c r="R124" s="298"/>
      <c r="S124" s="298"/>
      <c r="T124" s="299"/>
      <c r="U124" s="286"/>
      <c r="V124" s="286"/>
      <c r="W124" s="286"/>
      <c r="X124" s="286"/>
      <c r="Y124" s="286"/>
      <c r="Z124" s="286"/>
      <c r="AA124" s="286"/>
      <c r="AB124" s="286"/>
      <c r="AC124" s="286"/>
      <c r="AD124" s="286"/>
      <c r="AE124" s="286"/>
      <c r="AF124" s="286"/>
      <c r="AG124" s="286"/>
      <c r="AH124" s="286"/>
      <c r="AI124" s="286"/>
      <c r="AJ124" s="286"/>
      <c r="AK124" s="286"/>
      <c r="AL124" s="286"/>
      <c r="AM124" s="286"/>
      <c r="AN124" s="286"/>
      <c r="AO124" s="286"/>
      <c r="AP124" s="286"/>
      <c r="AQ124" s="286"/>
      <c r="AR124" s="286"/>
      <c r="AS124" s="286"/>
      <c r="AT124" s="286"/>
      <c r="AU124" s="286"/>
      <c r="AV124" s="286"/>
      <c r="AW124" s="286"/>
      <c r="AX124" s="286"/>
      <c r="AY124" s="286"/>
      <c r="AZ124" s="286"/>
      <c r="BA124" s="286"/>
      <c r="BB124" s="286"/>
      <c r="BC124" s="286"/>
      <c r="BD124" s="286"/>
      <c r="BE124" s="286"/>
      <c r="BF124" s="286"/>
      <c r="BG124" s="286"/>
      <c r="BH124" s="286"/>
      <c r="BI124" s="286"/>
      <c r="BJ124" s="286"/>
      <c r="BK124" s="286"/>
      <c r="BL124" s="286"/>
      <c r="BM124" s="286"/>
      <c r="BN124" s="286"/>
      <c r="BO124" s="286"/>
      <c r="BP124" s="286"/>
      <c r="BQ124" s="286"/>
      <c r="BR124" s="286"/>
      <c r="BS124" s="286"/>
      <c r="BT124" s="286"/>
      <c r="BU124" s="286"/>
      <c r="BV124" s="286"/>
      <c r="BW124" s="286"/>
      <c r="BX124" s="286"/>
      <c r="BY124" s="286"/>
      <c r="BZ124" s="286"/>
      <c r="CA124" s="286"/>
      <c r="CB124" s="286"/>
      <c r="CC124" s="286"/>
      <c r="CD124" s="286"/>
      <c r="CE124" s="286"/>
    </row>
    <row r="125" spans="1:83" ht="15.75" x14ac:dyDescent="0.25">
      <c r="A125" s="285"/>
      <c r="B125" s="292"/>
      <c r="C125" s="183">
        <v>3</v>
      </c>
      <c r="D125" s="178" t="str">
        <f>IF('Análisis Espectral'!D125&lt;&gt;"",'Análisis Espectral'!D125,"")</f>
        <v/>
      </c>
      <c r="E125" s="178" t="str">
        <f>IF('Análisis Espectral'!E125&lt;&gt;"",'Análisis Espectral'!E125,"")</f>
        <v/>
      </c>
      <c r="F125" s="178" t="str">
        <f>IF('Análisis Espectral'!F125&lt;&gt;"",'Análisis Espectral'!F125,"")</f>
        <v/>
      </c>
      <c r="G125" s="173">
        <v>20</v>
      </c>
      <c r="H125" s="292"/>
      <c r="I125" s="370" t="s">
        <v>151</v>
      </c>
      <c r="J125" s="370"/>
      <c r="K125" s="370"/>
      <c r="L125" s="280">
        <v>4.2401884423173604</v>
      </c>
      <c r="M125" s="292"/>
      <c r="N125" s="292"/>
      <c r="O125" s="292"/>
      <c r="P125" s="292"/>
      <c r="Q125" s="298"/>
      <c r="R125" s="298"/>
      <c r="S125" s="298"/>
      <c r="T125" s="299"/>
      <c r="U125" s="286"/>
      <c r="V125" s="286"/>
      <c r="W125" s="286"/>
      <c r="X125" s="286"/>
      <c r="Y125" s="286"/>
      <c r="Z125" s="286"/>
      <c r="AA125" s="286"/>
      <c r="AB125" s="286"/>
      <c r="AC125" s="286"/>
      <c r="AD125" s="286"/>
      <c r="AE125" s="286"/>
      <c r="AF125" s="286"/>
      <c r="AG125" s="286"/>
      <c r="AH125" s="286"/>
      <c r="AI125" s="286"/>
      <c r="AJ125" s="286"/>
      <c r="AK125" s="286"/>
      <c r="AL125" s="286"/>
      <c r="AM125" s="286"/>
      <c r="AN125" s="286"/>
      <c r="AO125" s="286"/>
      <c r="AP125" s="286"/>
      <c r="AQ125" s="286"/>
      <c r="AR125" s="286"/>
      <c r="AS125" s="286"/>
      <c r="AT125" s="286"/>
      <c r="AU125" s="286"/>
      <c r="AV125" s="286"/>
      <c r="AW125" s="286"/>
      <c r="AX125" s="286"/>
      <c r="AY125" s="286"/>
      <c r="AZ125" s="286"/>
      <c r="BA125" s="286"/>
      <c r="BB125" s="286"/>
      <c r="BC125" s="286"/>
      <c r="BD125" s="286"/>
      <c r="BE125" s="286"/>
      <c r="BF125" s="286"/>
      <c r="BG125" s="286"/>
      <c r="BH125" s="286"/>
      <c r="BI125" s="286"/>
      <c r="BJ125" s="286"/>
      <c r="BK125" s="286"/>
      <c r="BL125" s="286"/>
      <c r="BM125" s="286"/>
      <c r="BN125" s="286"/>
      <c r="BO125" s="286"/>
      <c r="BP125" s="286"/>
      <c r="BQ125" s="286"/>
      <c r="BR125" s="286"/>
      <c r="BS125" s="286"/>
      <c r="BT125" s="286"/>
      <c r="BU125" s="286"/>
      <c r="BV125" s="286"/>
      <c r="BW125" s="286"/>
      <c r="BX125" s="286"/>
      <c r="BY125" s="286"/>
      <c r="BZ125" s="286"/>
      <c r="CA125" s="286"/>
      <c r="CB125" s="286"/>
      <c r="CC125" s="286"/>
      <c r="CD125" s="286"/>
      <c r="CE125" s="286"/>
    </row>
    <row r="126" spans="1:83" ht="15.75" x14ac:dyDescent="0.25">
      <c r="A126" s="285"/>
      <c r="B126" s="292"/>
      <c r="C126" s="183">
        <v>4</v>
      </c>
      <c r="D126" s="178" t="str">
        <f>IF('Análisis Espectral'!D126&lt;&gt;"",'Análisis Espectral'!D126,"")</f>
        <v/>
      </c>
      <c r="E126" s="178" t="str">
        <f>IF('Análisis Espectral'!E126&lt;&gt;"",'Análisis Espectral'!E126,"")</f>
        <v/>
      </c>
      <c r="F126" s="178" t="str">
        <f>IF('Análisis Espectral'!F126&lt;&gt;"",'Análisis Espectral'!F126,"")</f>
        <v/>
      </c>
      <c r="G126" s="173"/>
      <c r="H126" s="292"/>
      <c r="I126" s="370" t="s">
        <v>152</v>
      </c>
      <c r="J126" s="370"/>
      <c r="K126" s="370"/>
      <c r="L126" s="280">
        <v>2.7980388138657011</v>
      </c>
      <c r="M126" s="292"/>
      <c r="N126" s="292"/>
      <c r="O126" s="292"/>
      <c r="P126" s="292"/>
      <c r="Q126" s="298"/>
      <c r="R126" s="298"/>
      <c r="S126" s="298"/>
      <c r="T126" s="299"/>
      <c r="U126" s="286"/>
      <c r="V126" s="286"/>
      <c r="W126" s="286"/>
      <c r="X126" s="286"/>
      <c r="Y126" s="286"/>
      <c r="Z126" s="286"/>
      <c r="AA126" s="286"/>
      <c r="AB126" s="286"/>
      <c r="AC126" s="286"/>
      <c r="AD126" s="286"/>
      <c r="AE126" s="286"/>
      <c r="AF126" s="286"/>
      <c r="AG126" s="286"/>
      <c r="AH126" s="286"/>
      <c r="AI126" s="286"/>
      <c r="AJ126" s="286"/>
      <c r="AK126" s="286"/>
      <c r="AL126" s="286"/>
      <c r="AM126" s="286"/>
      <c r="AN126" s="286"/>
      <c r="AO126" s="286"/>
      <c r="AP126" s="286"/>
      <c r="AQ126" s="286"/>
      <c r="AR126" s="286"/>
      <c r="AS126" s="286"/>
      <c r="AT126" s="286"/>
      <c r="AU126" s="286"/>
      <c r="AV126" s="286"/>
      <c r="AW126" s="286"/>
      <c r="AX126" s="286"/>
      <c r="AY126" s="286"/>
      <c r="AZ126" s="286"/>
      <c r="BA126" s="286"/>
      <c r="BB126" s="286"/>
      <c r="BC126" s="286"/>
      <c r="BD126" s="286"/>
      <c r="BE126" s="286"/>
      <c r="BF126" s="286"/>
      <c r="BG126" s="286"/>
      <c r="BH126" s="286"/>
      <c r="BI126" s="286"/>
      <c r="BJ126" s="286"/>
      <c r="BK126" s="286"/>
      <c r="BL126" s="286"/>
      <c r="BM126" s="286"/>
      <c r="BN126" s="286"/>
      <c r="BO126" s="286"/>
      <c r="BP126" s="286"/>
      <c r="BQ126" s="286"/>
      <c r="BR126" s="286"/>
      <c r="BS126" s="286"/>
      <c r="BT126" s="286"/>
      <c r="BU126" s="286"/>
      <c r="BV126" s="286"/>
      <c r="BW126" s="286"/>
      <c r="BX126" s="286"/>
      <c r="BY126" s="286"/>
      <c r="BZ126" s="286"/>
      <c r="CA126" s="286"/>
      <c r="CB126" s="286"/>
      <c r="CC126" s="286"/>
      <c r="CD126" s="286"/>
      <c r="CE126" s="286"/>
    </row>
    <row r="127" spans="1:83" x14ac:dyDescent="0.25">
      <c r="A127" s="285"/>
      <c r="B127" s="292"/>
      <c r="C127" s="183">
        <v>5</v>
      </c>
      <c r="D127" s="178" t="str">
        <f>IF('Análisis Espectral'!D127&lt;&gt;"",'Análisis Espectral'!D127,"")</f>
        <v/>
      </c>
      <c r="E127" s="178" t="str">
        <f>IF('Análisis Espectral'!E127&lt;&gt;"",'Análisis Espectral'!E127,"")</f>
        <v/>
      </c>
      <c r="F127" s="178" t="str">
        <f>IF('Análisis Espectral'!F127&lt;&gt;"",'Análisis Espectral'!F127,"")</f>
        <v/>
      </c>
      <c r="G127" s="173"/>
      <c r="H127" s="292"/>
      <c r="I127" s="292"/>
      <c r="J127" s="292"/>
      <c r="K127" s="292"/>
      <c r="L127" s="292"/>
      <c r="M127" s="292"/>
      <c r="N127" s="292"/>
      <c r="O127" s="292"/>
      <c r="P127" s="292"/>
      <c r="Q127" s="298"/>
      <c r="R127" s="298"/>
      <c r="S127" s="298"/>
      <c r="T127" s="299"/>
      <c r="U127" s="286"/>
      <c r="V127" s="286"/>
      <c r="W127" s="286"/>
      <c r="X127" s="286"/>
      <c r="Y127" s="286"/>
      <c r="Z127" s="286"/>
      <c r="AA127" s="286"/>
      <c r="AB127" s="286"/>
      <c r="AC127" s="286"/>
      <c r="AD127" s="286"/>
      <c r="AE127" s="286"/>
      <c r="AF127" s="286"/>
      <c r="AG127" s="286"/>
      <c r="AH127" s="286"/>
      <c r="AI127" s="286"/>
      <c r="AJ127" s="286"/>
      <c r="AK127" s="286"/>
      <c r="AL127" s="286"/>
      <c r="AM127" s="286"/>
      <c r="AN127" s="286"/>
      <c r="AO127" s="286"/>
      <c r="AP127" s="286"/>
      <c r="AQ127" s="286"/>
      <c r="AR127" s="286"/>
      <c r="AS127" s="286"/>
      <c r="AT127" s="286"/>
      <c r="AU127" s="286"/>
      <c r="AV127" s="286"/>
      <c r="AW127" s="286"/>
      <c r="AX127" s="286"/>
      <c r="AY127" s="286"/>
      <c r="AZ127" s="286"/>
      <c r="BA127" s="286"/>
      <c r="BB127" s="286"/>
      <c r="BC127" s="286"/>
      <c r="BD127" s="286"/>
      <c r="BE127" s="286"/>
      <c r="BF127" s="286"/>
      <c r="BG127" s="286"/>
      <c r="BH127" s="286"/>
      <c r="BI127" s="286"/>
      <c r="BJ127" s="286"/>
      <c r="BK127" s="286"/>
      <c r="BL127" s="286"/>
      <c r="BM127" s="286"/>
      <c r="BN127" s="286"/>
      <c r="BO127" s="286"/>
      <c r="BP127" s="286"/>
      <c r="BQ127" s="286"/>
      <c r="BR127" s="286"/>
      <c r="BS127" s="286"/>
      <c r="BT127" s="286"/>
      <c r="BU127" s="286"/>
      <c r="BV127" s="286"/>
      <c r="BW127" s="286"/>
      <c r="BX127" s="286"/>
      <c r="BY127" s="286"/>
      <c r="BZ127" s="286"/>
      <c r="CA127" s="286"/>
      <c r="CB127" s="286"/>
      <c r="CC127" s="286"/>
      <c r="CD127" s="286"/>
      <c r="CE127" s="286"/>
    </row>
    <row r="128" spans="1:83" x14ac:dyDescent="0.25">
      <c r="A128" s="285"/>
      <c r="B128" s="292"/>
      <c r="C128" s="183">
        <v>6</v>
      </c>
      <c r="D128" s="178" t="str">
        <f>IF('Análisis Espectral'!D128&lt;&gt;"",'Análisis Espectral'!D128,"")</f>
        <v/>
      </c>
      <c r="E128" s="178" t="str">
        <f>IF('Análisis Espectral'!E128&lt;&gt;"",'Análisis Espectral'!E128,"")</f>
        <v/>
      </c>
      <c r="F128" s="178" t="str">
        <f>IF('Análisis Espectral'!F128&lt;&gt;"",'Análisis Espectral'!F128,"")</f>
        <v/>
      </c>
      <c r="G128" s="173"/>
      <c r="H128" s="292"/>
      <c r="I128" s="292"/>
      <c r="J128" s="292"/>
      <c r="K128" s="292"/>
      <c r="L128" s="292"/>
      <c r="M128" s="292"/>
      <c r="N128" s="292"/>
      <c r="O128" s="292"/>
      <c r="P128" s="292"/>
      <c r="Q128" s="298"/>
      <c r="R128" s="298"/>
      <c r="S128" s="298"/>
      <c r="T128" s="299"/>
      <c r="U128" s="286"/>
      <c r="V128" s="286"/>
      <c r="W128" s="286"/>
      <c r="X128" s="286"/>
      <c r="Y128" s="286"/>
      <c r="Z128" s="286"/>
      <c r="AA128" s="286"/>
      <c r="AB128" s="286"/>
      <c r="AC128" s="286"/>
      <c r="AD128" s="286"/>
      <c r="AE128" s="286"/>
      <c r="AF128" s="286"/>
      <c r="AG128" s="286"/>
      <c r="AH128" s="286"/>
      <c r="AI128" s="286"/>
      <c r="AJ128" s="286"/>
      <c r="AK128" s="286"/>
      <c r="AL128" s="286"/>
      <c r="AM128" s="286"/>
      <c r="AN128" s="286"/>
      <c r="AO128" s="286"/>
      <c r="AP128" s="286"/>
      <c r="AQ128" s="286"/>
      <c r="AR128" s="286"/>
      <c r="AS128" s="286"/>
      <c r="AT128" s="286"/>
      <c r="AU128" s="286"/>
      <c r="AV128" s="286"/>
      <c r="AW128" s="286"/>
      <c r="AX128" s="286"/>
      <c r="AY128" s="286"/>
      <c r="AZ128" s="286"/>
      <c r="BA128" s="286"/>
      <c r="BB128" s="286"/>
      <c r="BC128" s="286"/>
      <c r="BD128" s="286"/>
      <c r="BE128" s="286"/>
      <c r="BF128" s="286"/>
      <c r="BG128" s="286"/>
      <c r="BH128" s="286"/>
      <c r="BI128" s="286"/>
      <c r="BJ128" s="286"/>
      <c r="BK128" s="286"/>
      <c r="BL128" s="286"/>
      <c r="BM128" s="286"/>
      <c r="BN128" s="286"/>
      <c r="BO128" s="286"/>
      <c r="BP128" s="286"/>
      <c r="BQ128" s="286"/>
      <c r="BR128" s="286"/>
      <c r="BS128" s="286"/>
      <c r="BT128" s="286"/>
      <c r="BU128" s="286"/>
      <c r="BV128" s="286"/>
      <c r="BW128" s="286"/>
      <c r="BX128" s="286"/>
      <c r="BY128" s="286"/>
      <c r="BZ128" s="286"/>
      <c r="CA128" s="286"/>
      <c r="CB128" s="286"/>
      <c r="CC128" s="286"/>
      <c r="CD128" s="286"/>
      <c r="CE128" s="286"/>
    </row>
    <row r="129" spans="1:83" x14ac:dyDescent="0.25">
      <c r="A129" s="285"/>
      <c r="B129" s="292"/>
      <c r="C129" s="292"/>
      <c r="D129" s="292"/>
      <c r="E129" s="292"/>
      <c r="F129" s="292"/>
      <c r="G129" s="292"/>
      <c r="H129" s="292"/>
      <c r="I129" s="292"/>
      <c r="J129" s="292"/>
      <c r="K129" s="292"/>
      <c r="L129" s="292"/>
      <c r="M129" s="292"/>
      <c r="N129" s="292"/>
      <c r="O129" s="292"/>
      <c r="P129" s="292"/>
      <c r="Q129" s="298"/>
      <c r="R129" s="298"/>
      <c r="S129" s="298"/>
      <c r="T129" s="299"/>
      <c r="U129" s="286"/>
      <c r="V129" s="286"/>
      <c r="W129" s="286"/>
      <c r="X129" s="286"/>
      <c r="Y129" s="286"/>
      <c r="Z129" s="286"/>
      <c r="AA129" s="286"/>
      <c r="AB129" s="286"/>
      <c r="AC129" s="286"/>
      <c r="AD129" s="286"/>
      <c r="AE129" s="286"/>
      <c r="AF129" s="286"/>
      <c r="AG129" s="286"/>
      <c r="AH129" s="286"/>
      <c r="AI129" s="286"/>
      <c r="AJ129" s="286"/>
      <c r="AK129" s="286"/>
      <c r="AL129" s="286"/>
      <c r="AM129" s="286"/>
      <c r="AN129" s="286"/>
      <c r="AO129" s="286"/>
      <c r="AP129" s="286"/>
      <c r="AQ129" s="286"/>
      <c r="AR129" s="286"/>
      <c r="AS129" s="286"/>
      <c r="AT129" s="286"/>
      <c r="AU129" s="286"/>
      <c r="AV129" s="286"/>
      <c r="AW129" s="286"/>
      <c r="AX129" s="286"/>
      <c r="AY129" s="286"/>
      <c r="AZ129" s="286"/>
      <c r="BA129" s="286"/>
      <c r="BB129" s="286"/>
      <c r="BC129" s="286"/>
      <c r="BD129" s="286"/>
      <c r="BE129" s="286"/>
      <c r="BF129" s="286"/>
      <c r="BG129" s="286"/>
      <c r="BH129" s="286"/>
      <c r="BI129" s="286"/>
      <c r="BJ129" s="286"/>
      <c r="BK129" s="286"/>
      <c r="BL129" s="286"/>
      <c r="BM129" s="286"/>
      <c r="BN129" s="286"/>
      <c r="BO129" s="286"/>
      <c r="BP129" s="286"/>
      <c r="BQ129" s="286"/>
      <c r="BR129" s="286"/>
      <c r="BS129" s="286"/>
      <c r="BT129" s="286"/>
      <c r="BU129" s="286"/>
      <c r="BV129" s="286"/>
      <c r="BW129" s="286"/>
      <c r="BX129" s="286"/>
      <c r="BY129" s="286"/>
      <c r="BZ129" s="286"/>
      <c r="CA129" s="286"/>
      <c r="CB129" s="286"/>
      <c r="CC129" s="286"/>
      <c r="CD129" s="286"/>
      <c r="CE129" s="286"/>
    </row>
    <row r="130" spans="1:83" x14ac:dyDescent="0.25">
      <c r="A130" s="285"/>
      <c r="B130" s="292"/>
      <c r="C130" s="292"/>
      <c r="D130" s="292"/>
      <c r="E130" s="292"/>
      <c r="F130" s="292"/>
      <c r="G130" s="292"/>
      <c r="H130" s="292"/>
      <c r="I130" s="292"/>
      <c r="J130" s="292"/>
      <c r="K130" s="292"/>
      <c r="L130" s="292"/>
      <c r="M130" s="292"/>
      <c r="N130" s="292"/>
      <c r="O130" s="292"/>
      <c r="P130" s="292"/>
      <c r="Q130" s="298"/>
      <c r="R130" s="298"/>
      <c r="S130" s="298"/>
      <c r="T130" s="299"/>
      <c r="U130" s="286"/>
      <c r="V130" s="286"/>
      <c r="W130" s="286"/>
      <c r="X130" s="286"/>
      <c r="Y130" s="286"/>
      <c r="Z130" s="286"/>
      <c r="AA130" s="286"/>
      <c r="AB130" s="286"/>
      <c r="AC130" s="286"/>
      <c r="AD130" s="286"/>
      <c r="AE130" s="286"/>
      <c r="AF130" s="286"/>
      <c r="AG130" s="286"/>
      <c r="AH130" s="286"/>
      <c r="AI130" s="286"/>
      <c r="AJ130" s="286"/>
      <c r="AK130" s="286"/>
      <c r="AL130" s="286"/>
      <c r="AM130" s="286"/>
      <c r="AN130" s="286"/>
      <c r="AO130" s="286"/>
      <c r="AP130" s="286"/>
      <c r="AQ130" s="286"/>
      <c r="AR130" s="286"/>
      <c r="AS130" s="286"/>
      <c r="AT130" s="286"/>
      <c r="AU130" s="286"/>
      <c r="AV130" s="286"/>
      <c r="AW130" s="286"/>
      <c r="AX130" s="286"/>
      <c r="AY130" s="286"/>
      <c r="AZ130" s="286"/>
      <c r="BA130" s="286"/>
      <c r="BB130" s="286"/>
      <c r="BC130" s="286"/>
      <c r="BD130" s="286"/>
      <c r="BE130" s="286"/>
      <c r="BF130" s="286"/>
      <c r="BG130" s="286"/>
      <c r="BH130" s="286"/>
      <c r="BI130" s="286"/>
      <c r="BJ130" s="286"/>
      <c r="BK130" s="286"/>
      <c r="BL130" s="286"/>
      <c r="BM130" s="286"/>
      <c r="BN130" s="286"/>
      <c r="BO130" s="286"/>
      <c r="BP130" s="286"/>
      <c r="BQ130" s="286"/>
      <c r="BR130" s="286"/>
      <c r="BS130" s="286"/>
      <c r="BT130" s="286"/>
      <c r="BU130" s="286"/>
      <c r="BV130" s="286"/>
      <c r="BW130" s="286"/>
      <c r="BX130" s="286"/>
      <c r="BY130" s="286"/>
      <c r="BZ130" s="286"/>
      <c r="CA130" s="286"/>
      <c r="CB130" s="286"/>
      <c r="CC130" s="286"/>
      <c r="CD130" s="286"/>
      <c r="CE130" s="286"/>
    </row>
    <row r="131" spans="1:83" x14ac:dyDescent="0.25">
      <c r="A131" s="285"/>
      <c r="B131" s="292"/>
      <c r="C131" s="292"/>
      <c r="D131" s="292"/>
      <c r="E131" s="292"/>
      <c r="F131" s="292"/>
      <c r="G131" s="292"/>
      <c r="H131" s="292"/>
      <c r="I131" s="292"/>
      <c r="J131" s="292"/>
      <c r="K131" s="292"/>
      <c r="L131" s="292"/>
      <c r="M131" s="292"/>
      <c r="N131" s="292"/>
      <c r="O131" s="292"/>
      <c r="P131" s="292"/>
      <c r="Q131" s="298"/>
      <c r="R131" s="298"/>
      <c r="S131" s="298"/>
      <c r="T131" s="299"/>
      <c r="U131" s="286"/>
      <c r="V131" s="286"/>
      <c r="W131" s="286"/>
      <c r="X131" s="286"/>
      <c r="Y131" s="286"/>
      <c r="Z131" s="286"/>
      <c r="AA131" s="286"/>
      <c r="AB131" s="286"/>
      <c r="AC131" s="286"/>
      <c r="AD131" s="286"/>
      <c r="AE131" s="286"/>
      <c r="AF131" s="286"/>
      <c r="AG131" s="286"/>
      <c r="AH131" s="286"/>
      <c r="AI131" s="286"/>
      <c r="AJ131" s="286"/>
      <c r="AK131" s="286"/>
      <c r="AL131" s="286"/>
      <c r="AM131" s="286"/>
      <c r="AN131" s="286"/>
      <c r="AO131" s="286"/>
      <c r="AP131" s="286"/>
      <c r="AQ131" s="286"/>
      <c r="AR131" s="286"/>
      <c r="AS131" s="286"/>
      <c r="AT131" s="286"/>
      <c r="AU131" s="286"/>
      <c r="AV131" s="286"/>
      <c r="AW131" s="286"/>
      <c r="AX131" s="286"/>
      <c r="AY131" s="286"/>
      <c r="AZ131" s="286"/>
      <c r="BA131" s="286"/>
      <c r="BB131" s="286"/>
      <c r="BC131" s="286"/>
      <c r="BD131" s="286"/>
      <c r="BE131" s="286"/>
      <c r="BF131" s="286"/>
      <c r="BG131" s="286"/>
      <c r="BH131" s="286"/>
      <c r="BI131" s="286"/>
      <c r="BJ131" s="286"/>
      <c r="BK131" s="286"/>
      <c r="BL131" s="286"/>
      <c r="BM131" s="286"/>
      <c r="BN131" s="286"/>
      <c r="BO131" s="286"/>
      <c r="BP131" s="286"/>
      <c r="BQ131" s="286"/>
      <c r="BR131" s="286"/>
      <c r="BS131" s="286"/>
      <c r="BT131" s="286"/>
      <c r="BU131" s="286"/>
      <c r="BV131" s="286"/>
      <c r="BW131" s="286"/>
      <c r="BX131" s="286"/>
      <c r="BY131" s="286"/>
      <c r="BZ131" s="286"/>
      <c r="CA131" s="286"/>
      <c r="CB131" s="286"/>
      <c r="CC131" s="286"/>
      <c r="CD131" s="286"/>
      <c r="CE131" s="286"/>
    </row>
    <row r="132" spans="1:83" x14ac:dyDescent="0.25">
      <c r="A132" s="285"/>
      <c r="B132" s="292"/>
      <c r="C132" s="292"/>
      <c r="D132" s="292"/>
      <c r="E132" s="292"/>
      <c r="F132" s="292"/>
      <c r="G132" s="292"/>
      <c r="H132" s="292"/>
      <c r="I132" s="292"/>
      <c r="J132" s="292"/>
      <c r="K132" s="292"/>
      <c r="L132" s="292"/>
      <c r="M132" s="292"/>
      <c r="N132" s="292"/>
      <c r="O132" s="292"/>
      <c r="P132" s="292"/>
      <c r="Q132" s="298"/>
      <c r="R132" s="298"/>
      <c r="S132" s="298"/>
      <c r="T132" s="299"/>
      <c r="U132" s="286"/>
      <c r="V132" s="286"/>
      <c r="W132" s="286"/>
      <c r="X132" s="286"/>
      <c r="Y132" s="286"/>
      <c r="Z132" s="286"/>
      <c r="AA132" s="286"/>
      <c r="AB132" s="286"/>
      <c r="AC132" s="286"/>
      <c r="AD132" s="286"/>
      <c r="AE132" s="286"/>
      <c r="AF132" s="286"/>
      <c r="AG132" s="286"/>
      <c r="AH132" s="286"/>
      <c r="AI132" s="286"/>
      <c r="AJ132" s="286"/>
      <c r="AK132" s="286"/>
      <c r="AL132" s="286"/>
      <c r="AM132" s="286"/>
      <c r="AN132" s="286"/>
      <c r="AO132" s="286"/>
      <c r="AP132" s="286"/>
      <c r="AQ132" s="286"/>
      <c r="AR132" s="286"/>
      <c r="AS132" s="286"/>
      <c r="AT132" s="286"/>
      <c r="AU132" s="286"/>
      <c r="AV132" s="286"/>
      <c r="AW132" s="286"/>
      <c r="AX132" s="286"/>
      <c r="AY132" s="286"/>
      <c r="AZ132" s="286"/>
      <c r="BA132" s="286"/>
      <c r="BB132" s="286"/>
      <c r="BC132" s="286"/>
      <c r="BD132" s="286"/>
      <c r="BE132" s="286"/>
      <c r="BF132" s="286"/>
      <c r="BG132" s="286"/>
      <c r="BH132" s="286"/>
      <c r="BI132" s="286"/>
      <c r="BJ132" s="286"/>
      <c r="BK132" s="286"/>
      <c r="BL132" s="286"/>
      <c r="BM132" s="286"/>
      <c r="BN132" s="286"/>
      <c r="BO132" s="286"/>
      <c r="BP132" s="286"/>
      <c r="BQ132" s="286"/>
      <c r="BR132" s="286"/>
      <c r="BS132" s="286"/>
      <c r="BT132" s="286"/>
      <c r="BU132" s="286"/>
      <c r="BV132" s="286"/>
      <c r="BW132" s="286"/>
      <c r="BX132" s="286"/>
      <c r="BY132" s="286"/>
      <c r="BZ132" s="286"/>
      <c r="CA132" s="286"/>
      <c r="CB132" s="286"/>
      <c r="CC132" s="286"/>
      <c r="CD132" s="286"/>
      <c r="CE132" s="286"/>
    </row>
    <row r="133" spans="1:83" x14ac:dyDescent="0.25">
      <c r="A133" s="285"/>
      <c r="B133" s="292"/>
      <c r="C133" s="292"/>
      <c r="D133" s="292"/>
      <c r="E133" s="292"/>
      <c r="F133" s="292"/>
      <c r="G133" s="292"/>
      <c r="H133" s="292"/>
      <c r="I133" s="292"/>
      <c r="J133" s="292"/>
      <c r="K133" s="292"/>
      <c r="L133" s="292"/>
      <c r="M133" s="292"/>
      <c r="N133" s="292"/>
      <c r="O133" s="292"/>
      <c r="P133" s="292"/>
      <c r="Q133" s="298"/>
      <c r="R133" s="298"/>
      <c r="S133" s="298"/>
      <c r="T133" s="299"/>
      <c r="U133" s="286"/>
      <c r="V133" s="286"/>
      <c r="W133" s="286"/>
      <c r="X133" s="286"/>
      <c r="Y133" s="286"/>
      <c r="Z133" s="286"/>
      <c r="AA133" s="286"/>
      <c r="AB133" s="286"/>
      <c r="AC133" s="286"/>
      <c r="AD133" s="286"/>
      <c r="AE133" s="286"/>
      <c r="AF133" s="286"/>
      <c r="AG133" s="286"/>
      <c r="AH133" s="286"/>
      <c r="AI133" s="286"/>
      <c r="AJ133" s="286"/>
      <c r="AK133" s="286"/>
      <c r="AL133" s="286"/>
      <c r="AM133" s="286"/>
      <c r="AN133" s="286"/>
      <c r="AO133" s="286"/>
      <c r="AP133" s="286"/>
      <c r="AQ133" s="286"/>
      <c r="AR133" s="286"/>
      <c r="AS133" s="286"/>
      <c r="AT133" s="286"/>
      <c r="AU133" s="286"/>
      <c r="AV133" s="286"/>
      <c r="AW133" s="286"/>
      <c r="AX133" s="286"/>
      <c r="AY133" s="286"/>
      <c r="AZ133" s="286"/>
      <c r="BA133" s="286"/>
      <c r="BB133" s="286"/>
      <c r="BC133" s="286"/>
      <c r="BD133" s="286"/>
      <c r="BE133" s="286"/>
      <c r="BF133" s="286"/>
      <c r="BG133" s="286"/>
      <c r="BH133" s="286"/>
      <c r="BI133" s="286"/>
      <c r="BJ133" s="286"/>
      <c r="BK133" s="286"/>
      <c r="BL133" s="286"/>
      <c r="BM133" s="286"/>
      <c r="BN133" s="286"/>
      <c r="BO133" s="286"/>
      <c r="BP133" s="286"/>
      <c r="BQ133" s="286"/>
      <c r="BR133" s="286"/>
      <c r="BS133" s="286"/>
      <c r="BT133" s="286"/>
      <c r="BU133" s="286"/>
      <c r="BV133" s="286"/>
      <c r="BW133" s="286"/>
      <c r="BX133" s="286"/>
      <c r="BY133" s="286"/>
      <c r="BZ133" s="286"/>
      <c r="CA133" s="286"/>
      <c r="CB133" s="286"/>
      <c r="CC133" s="286"/>
      <c r="CD133" s="286"/>
      <c r="CE133" s="286"/>
    </row>
    <row r="134" spans="1:83" x14ac:dyDescent="0.25">
      <c r="A134" s="285"/>
      <c r="B134" s="292"/>
      <c r="C134" s="292"/>
      <c r="D134" s="292"/>
      <c r="E134" s="292"/>
      <c r="F134" s="292"/>
      <c r="G134" s="292"/>
      <c r="H134" s="292"/>
      <c r="I134" s="292"/>
      <c r="J134" s="292"/>
      <c r="K134" s="292"/>
      <c r="L134" s="292"/>
      <c r="M134" s="292"/>
      <c r="N134" s="292"/>
      <c r="O134" s="292"/>
      <c r="P134" s="292"/>
      <c r="Q134" s="298"/>
      <c r="R134" s="298"/>
      <c r="S134" s="298"/>
      <c r="T134" s="299"/>
      <c r="U134" s="286"/>
      <c r="V134" s="286"/>
      <c r="W134" s="286"/>
      <c r="X134" s="286"/>
      <c r="Y134" s="286"/>
      <c r="Z134" s="286"/>
      <c r="AA134" s="286"/>
      <c r="AB134" s="286"/>
      <c r="AC134" s="286"/>
      <c r="AD134" s="286"/>
      <c r="AE134" s="286"/>
      <c r="AF134" s="286"/>
      <c r="AG134" s="286"/>
      <c r="AH134" s="286"/>
      <c r="AI134" s="286"/>
      <c r="AJ134" s="286"/>
      <c r="AK134" s="286"/>
      <c r="AL134" s="286"/>
      <c r="AM134" s="286"/>
      <c r="AN134" s="286"/>
      <c r="AO134" s="286"/>
      <c r="AP134" s="286"/>
      <c r="AQ134" s="286"/>
      <c r="AR134" s="286"/>
      <c r="AS134" s="286"/>
      <c r="AT134" s="286"/>
      <c r="AU134" s="286"/>
      <c r="AV134" s="286"/>
      <c r="AW134" s="286"/>
      <c r="AX134" s="286"/>
      <c r="AY134" s="286"/>
      <c r="AZ134" s="286"/>
      <c r="BA134" s="286"/>
      <c r="BB134" s="286"/>
      <c r="BC134" s="286"/>
      <c r="BD134" s="286"/>
      <c r="BE134" s="286"/>
      <c r="BF134" s="286"/>
      <c r="BG134" s="286"/>
      <c r="BH134" s="286"/>
      <c r="BI134" s="286"/>
      <c r="BJ134" s="286"/>
      <c r="BK134" s="286"/>
      <c r="BL134" s="286"/>
      <c r="BM134" s="286"/>
      <c r="BN134" s="286"/>
      <c r="BO134" s="286"/>
      <c r="BP134" s="286"/>
      <c r="BQ134" s="286"/>
      <c r="BR134" s="286"/>
      <c r="BS134" s="286"/>
      <c r="BT134" s="286"/>
      <c r="BU134" s="286"/>
      <c r="BV134" s="286"/>
      <c r="BW134" s="286"/>
      <c r="BX134" s="286"/>
      <c r="BY134" s="286"/>
      <c r="BZ134" s="286"/>
      <c r="CA134" s="286"/>
      <c r="CB134" s="286"/>
      <c r="CC134" s="286"/>
      <c r="CD134" s="286"/>
      <c r="CE134" s="286"/>
    </row>
    <row r="135" spans="1:83" x14ac:dyDescent="0.25">
      <c r="A135" s="285"/>
      <c r="B135" s="286"/>
      <c r="C135" s="286"/>
      <c r="D135" s="286"/>
      <c r="E135" s="286"/>
      <c r="F135" s="286"/>
      <c r="G135" s="286"/>
      <c r="H135" s="286"/>
      <c r="I135" s="286"/>
      <c r="J135" s="286"/>
      <c r="K135" s="286"/>
      <c r="L135" s="286"/>
      <c r="M135" s="286"/>
      <c r="N135" s="286"/>
      <c r="O135" s="286"/>
      <c r="P135" s="286"/>
      <c r="Q135" s="299"/>
      <c r="R135" s="299"/>
      <c r="S135" s="299"/>
      <c r="T135" s="299"/>
      <c r="U135" s="286"/>
      <c r="V135" s="286"/>
      <c r="W135" s="286"/>
      <c r="X135" s="286"/>
      <c r="Y135" s="286"/>
      <c r="Z135" s="286"/>
      <c r="AA135" s="286"/>
      <c r="AB135" s="286"/>
      <c r="AC135" s="286"/>
      <c r="AD135" s="286"/>
      <c r="AE135" s="286"/>
      <c r="AF135" s="286"/>
      <c r="AG135" s="286"/>
      <c r="AH135" s="286"/>
      <c r="AI135" s="286"/>
      <c r="AJ135" s="286"/>
      <c r="AK135" s="286"/>
      <c r="AL135" s="286"/>
      <c r="AM135" s="286"/>
      <c r="AN135" s="286"/>
      <c r="AO135" s="286"/>
      <c r="AP135" s="286"/>
      <c r="AQ135" s="286"/>
      <c r="AR135" s="286"/>
      <c r="AS135" s="286"/>
      <c r="AT135" s="286"/>
      <c r="AU135" s="286"/>
      <c r="AV135" s="286"/>
      <c r="AW135" s="286"/>
      <c r="AX135" s="286"/>
      <c r="AY135" s="286"/>
      <c r="AZ135" s="286"/>
      <c r="BA135" s="286"/>
      <c r="BB135" s="286"/>
      <c r="BC135" s="286"/>
      <c r="BD135" s="286"/>
      <c r="BE135" s="286"/>
      <c r="BF135" s="286"/>
      <c r="BG135" s="286"/>
      <c r="BH135" s="286"/>
      <c r="BI135" s="286"/>
      <c r="BJ135" s="286"/>
      <c r="BK135" s="286"/>
      <c r="BL135" s="286"/>
      <c r="BM135" s="286"/>
      <c r="BN135" s="286"/>
      <c r="BO135" s="286"/>
      <c r="BP135" s="286"/>
      <c r="BQ135" s="286"/>
      <c r="BR135" s="286"/>
      <c r="BS135" s="286"/>
      <c r="BT135" s="286"/>
      <c r="BU135" s="286"/>
      <c r="BV135" s="286"/>
      <c r="BW135" s="286"/>
      <c r="BX135" s="286"/>
      <c r="BY135" s="286"/>
      <c r="BZ135" s="286"/>
      <c r="CA135" s="286"/>
      <c r="CB135" s="286"/>
      <c r="CC135" s="286"/>
      <c r="CD135" s="286"/>
      <c r="CE135" s="286"/>
    </row>
    <row r="136" spans="1:83" x14ac:dyDescent="0.25">
      <c r="A136" s="285"/>
      <c r="B136" s="286"/>
      <c r="C136" s="286"/>
      <c r="D136" s="286"/>
      <c r="E136" s="286"/>
      <c r="F136" s="286"/>
      <c r="G136" s="286"/>
      <c r="H136" s="286"/>
      <c r="I136" s="286"/>
      <c r="J136" s="286"/>
      <c r="K136" s="286"/>
      <c r="L136" s="286"/>
      <c r="M136" s="286"/>
      <c r="N136" s="286"/>
      <c r="O136" s="286"/>
      <c r="P136" s="286"/>
      <c r="Q136" s="299"/>
      <c r="R136" s="299"/>
      <c r="S136" s="299"/>
      <c r="T136" s="299"/>
      <c r="U136" s="286"/>
      <c r="V136" s="286"/>
      <c r="W136" s="286"/>
      <c r="X136" s="286"/>
      <c r="Y136" s="286"/>
      <c r="Z136" s="286"/>
      <c r="AA136" s="286"/>
      <c r="AB136" s="286"/>
      <c r="AC136" s="286"/>
      <c r="AD136" s="286"/>
      <c r="AE136" s="286"/>
      <c r="AF136" s="286"/>
      <c r="AG136" s="286"/>
      <c r="AH136" s="286"/>
      <c r="AI136" s="286"/>
      <c r="AJ136" s="286"/>
      <c r="AK136" s="286"/>
      <c r="AL136" s="286"/>
      <c r="AM136" s="286"/>
      <c r="AN136" s="286"/>
      <c r="AO136" s="286"/>
      <c r="AP136" s="286"/>
      <c r="AQ136" s="286"/>
      <c r="AR136" s="286"/>
      <c r="AS136" s="286"/>
      <c r="AT136" s="286"/>
      <c r="AU136" s="286"/>
      <c r="AV136" s="286"/>
      <c r="AW136" s="286"/>
      <c r="AX136" s="286"/>
      <c r="AY136" s="286"/>
      <c r="AZ136" s="286"/>
      <c r="BA136" s="286"/>
      <c r="BB136" s="286"/>
      <c r="BC136" s="286"/>
      <c r="BD136" s="286"/>
      <c r="BE136" s="286"/>
      <c r="BF136" s="286"/>
      <c r="BG136" s="286"/>
      <c r="BH136" s="286"/>
      <c r="BI136" s="286"/>
      <c r="BJ136" s="286"/>
      <c r="BK136" s="286"/>
      <c r="BL136" s="286"/>
      <c r="BM136" s="286"/>
      <c r="BN136" s="286"/>
      <c r="BO136" s="286"/>
      <c r="BP136" s="286"/>
      <c r="BQ136" s="286"/>
      <c r="BR136" s="286"/>
      <c r="BS136" s="286"/>
      <c r="BT136" s="286"/>
      <c r="BU136" s="286"/>
      <c r="BV136" s="286"/>
      <c r="BW136" s="286"/>
      <c r="BX136" s="286"/>
      <c r="BY136" s="286"/>
      <c r="BZ136" s="286"/>
      <c r="CA136" s="286"/>
      <c r="CB136" s="286"/>
      <c r="CC136" s="286"/>
      <c r="CD136" s="286"/>
      <c r="CE136" s="286"/>
    </row>
    <row r="137" spans="1:83" x14ac:dyDescent="0.25">
      <c r="A137" s="285"/>
      <c r="B137" s="286"/>
      <c r="C137" s="286"/>
      <c r="D137" s="286"/>
      <c r="E137" s="286"/>
      <c r="F137" s="286"/>
      <c r="G137" s="286"/>
      <c r="H137" s="286"/>
      <c r="I137" s="286"/>
      <c r="J137" s="286"/>
      <c r="K137" s="286"/>
      <c r="L137" s="286"/>
      <c r="M137" s="286"/>
      <c r="N137" s="286"/>
      <c r="O137" s="286"/>
      <c r="P137" s="286"/>
      <c r="Q137" s="299"/>
      <c r="R137" s="299"/>
      <c r="S137" s="299"/>
      <c r="T137" s="299"/>
      <c r="U137" s="286"/>
      <c r="V137" s="286"/>
      <c r="W137" s="286"/>
      <c r="X137" s="286"/>
      <c r="Y137" s="286"/>
      <c r="Z137" s="286"/>
      <c r="AA137" s="286"/>
      <c r="AB137" s="286"/>
      <c r="AC137" s="286"/>
      <c r="AD137" s="286"/>
      <c r="AE137" s="286"/>
      <c r="AF137" s="286"/>
      <c r="AG137" s="286"/>
      <c r="AH137" s="286"/>
      <c r="AI137" s="286"/>
      <c r="AJ137" s="286"/>
      <c r="AK137" s="286"/>
      <c r="AL137" s="286"/>
      <c r="AM137" s="286"/>
      <c r="AN137" s="286"/>
      <c r="AO137" s="286"/>
      <c r="AP137" s="286"/>
      <c r="AQ137" s="286"/>
      <c r="AR137" s="286"/>
      <c r="AS137" s="286"/>
      <c r="AT137" s="286"/>
      <c r="AU137" s="286"/>
      <c r="AV137" s="286"/>
      <c r="AW137" s="286"/>
      <c r="AX137" s="286"/>
      <c r="AY137" s="286"/>
      <c r="AZ137" s="286"/>
      <c r="BA137" s="286"/>
      <c r="BB137" s="286"/>
      <c r="BC137" s="286"/>
      <c r="BD137" s="286"/>
      <c r="BE137" s="286"/>
      <c r="BF137" s="286"/>
      <c r="BG137" s="286"/>
      <c r="BH137" s="286"/>
      <c r="BI137" s="286"/>
      <c r="BJ137" s="286"/>
      <c r="BK137" s="286"/>
      <c r="BL137" s="286"/>
      <c r="BM137" s="286"/>
      <c r="BN137" s="286"/>
      <c r="BO137" s="286"/>
      <c r="BP137" s="286"/>
      <c r="BQ137" s="286"/>
      <c r="BR137" s="286"/>
      <c r="BS137" s="286"/>
      <c r="BT137" s="286"/>
      <c r="BU137" s="286"/>
      <c r="BV137" s="286"/>
      <c r="BW137" s="286"/>
      <c r="BX137" s="286"/>
      <c r="BY137" s="286"/>
      <c r="BZ137" s="286"/>
      <c r="CA137" s="286"/>
      <c r="CB137" s="286"/>
      <c r="CC137" s="286"/>
      <c r="CD137" s="286"/>
      <c r="CE137" s="286"/>
    </row>
    <row r="138" spans="1:83" x14ac:dyDescent="0.25">
      <c r="A138" s="285"/>
      <c r="B138" s="286"/>
      <c r="C138" s="286"/>
      <c r="D138" s="286"/>
      <c r="E138" s="286"/>
      <c r="F138" s="286"/>
      <c r="G138" s="286"/>
      <c r="H138" s="286"/>
      <c r="I138" s="286"/>
      <c r="J138" s="286"/>
      <c r="K138" s="286"/>
      <c r="L138" s="286"/>
      <c r="M138" s="286"/>
      <c r="N138" s="286"/>
      <c r="O138" s="286"/>
      <c r="P138" s="286"/>
      <c r="Q138" s="299"/>
      <c r="R138" s="299"/>
      <c r="S138" s="299"/>
      <c r="T138" s="299"/>
      <c r="U138" s="286"/>
      <c r="V138" s="286"/>
      <c r="W138" s="286"/>
      <c r="X138" s="286"/>
      <c r="Y138" s="286"/>
      <c r="Z138" s="286"/>
      <c r="AA138" s="286"/>
      <c r="AB138" s="286"/>
      <c r="AC138" s="286"/>
      <c r="AD138" s="286"/>
      <c r="AE138" s="286"/>
      <c r="AF138" s="286"/>
      <c r="AG138" s="286"/>
      <c r="AH138" s="286"/>
      <c r="AI138" s="286"/>
      <c r="AJ138" s="286"/>
      <c r="AK138" s="286"/>
      <c r="AL138" s="286"/>
      <c r="AM138" s="286"/>
      <c r="AN138" s="286"/>
      <c r="AO138" s="286"/>
      <c r="AP138" s="286"/>
      <c r="AQ138" s="286"/>
      <c r="AR138" s="286"/>
      <c r="AS138" s="286"/>
      <c r="AT138" s="286"/>
      <c r="AU138" s="286"/>
      <c r="AV138" s="286"/>
      <c r="AW138" s="286"/>
      <c r="AX138" s="286"/>
      <c r="AY138" s="286"/>
      <c r="AZ138" s="286"/>
      <c r="BA138" s="286"/>
      <c r="BB138" s="286"/>
      <c r="BC138" s="286"/>
      <c r="BD138" s="286"/>
      <c r="BE138" s="286"/>
      <c r="BF138" s="286"/>
      <c r="BG138" s="286"/>
      <c r="BH138" s="286"/>
      <c r="BI138" s="286"/>
      <c r="BJ138" s="286"/>
      <c r="BK138" s="286"/>
      <c r="BL138" s="286"/>
      <c r="BM138" s="286"/>
      <c r="BN138" s="286"/>
      <c r="BO138" s="286"/>
      <c r="BP138" s="286"/>
      <c r="BQ138" s="286"/>
      <c r="BR138" s="286"/>
      <c r="BS138" s="286"/>
      <c r="BT138" s="286"/>
      <c r="BU138" s="286"/>
      <c r="BV138" s="286"/>
      <c r="BW138" s="286"/>
      <c r="BX138" s="286"/>
      <c r="BY138" s="286"/>
      <c r="BZ138" s="286"/>
      <c r="CA138" s="286"/>
      <c r="CB138" s="286"/>
      <c r="CC138" s="286"/>
      <c r="CD138" s="286"/>
      <c r="CE138" s="286"/>
    </row>
    <row r="139" spans="1:83" x14ac:dyDescent="0.25">
      <c r="A139" s="285"/>
      <c r="B139" s="286"/>
      <c r="C139" s="286"/>
      <c r="D139" s="286"/>
      <c r="E139" s="286"/>
      <c r="F139" s="286"/>
      <c r="G139" s="286"/>
      <c r="H139" s="286"/>
      <c r="I139" s="286"/>
      <c r="J139" s="286"/>
      <c r="K139" s="286"/>
      <c r="L139" s="286"/>
      <c r="M139" s="286"/>
      <c r="N139" s="286"/>
      <c r="O139" s="286"/>
      <c r="P139" s="286"/>
      <c r="Q139" s="299"/>
      <c r="R139" s="299"/>
      <c r="S139" s="299"/>
      <c r="T139" s="299"/>
      <c r="U139" s="286"/>
      <c r="V139" s="286"/>
      <c r="W139" s="286"/>
      <c r="X139" s="286"/>
      <c r="Y139" s="286"/>
      <c r="Z139" s="286"/>
      <c r="AA139" s="286"/>
      <c r="AB139" s="286"/>
      <c r="AC139" s="286"/>
      <c r="AD139" s="286"/>
      <c r="AE139" s="286"/>
      <c r="AF139" s="286"/>
      <c r="AG139" s="286"/>
      <c r="AH139" s="286"/>
      <c r="AI139" s="286"/>
      <c r="AJ139" s="286"/>
      <c r="AK139" s="286"/>
      <c r="AL139" s="286"/>
      <c r="AM139" s="286"/>
      <c r="AN139" s="286"/>
      <c r="AO139" s="286"/>
      <c r="AP139" s="286"/>
      <c r="AQ139" s="286"/>
      <c r="AR139" s="286"/>
      <c r="AS139" s="286"/>
      <c r="AT139" s="286"/>
      <c r="AU139" s="286"/>
      <c r="AV139" s="286"/>
      <c r="AW139" s="286"/>
      <c r="AX139" s="286"/>
      <c r="AY139" s="286"/>
      <c r="AZ139" s="286"/>
      <c r="BA139" s="286"/>
      <c r="BB139" s="286"/>
      <c r="BC139" s="286"/>
      <c r="BD139" s="286"/>
      <c r="BE139" s="286"/>
      <c r="BF139" s="286"/>
      <c r="BG139" s="286"/>
      <c r="BH139" s="286"/>
      <c r="BI139" s="286"/>
      <c r="BJ139" s="286"/>
      <c r="BK139" s="286"/>
      <c r="BL139" s="286"/>
      <c r="BM139" s="286"/>
      <c r="BN139" s="286"/>
      <c r="BO139" s="286"/>
      <c r="BP139" s="286"/>
      <c r="BQ139" s="286"/>
      <c r="BR139" s="286"/>
      <c r="BS139" s="286"/>
      <c r="BT139" s="286"/>
      <c r="BU139" s="286"/>
      <c r="BV139" s="286"/>
      <c r="BW139" s="286"/>
      <c r="BX139" s="286"/>
      <c r="BY139" s="286"/>
      <c r="BZ139" s="286"/>
      <c r="CA139" s="286"/>
      <c r="CB139" s="286"/>
      <c r="CC139" s="286"/>
      <c r="CD139" s="286"/>
      <c r="CE139" s="286"/>
    </row>
    <row r="140" spans="1:83" x14ac:dyDescent="0.25">
      <c r="A140" s="285"/>
      <c r="B140" s="286"/>
      <c r="C140" s="286"/>
      <c r="D140" s="286"/>
      <c r="E140" s="286"/>
      <c r="F140" s="286"/>
      <c r="G140" s="286"/>
      <c r="H140" s="286"/>
      <c r="I140" s="286"/>
      <c r="J140" s="286"/>
      <c r="K140" s="286"/>
      <c r="L140" s="286"/>
      <c r="M140" s="286"/>
      <c r="N140" s="286"/>
      <c r="O140" s="286"/>
      <c r="P140" s="286"/>
      <c r="Q140" s="299"/>
      <c r="R140" s="299"/>
      <c r="S140" s="299"/>
      <c r="T140" s="299"/>
      <c r="U140" s="286"/>
      <c r="V140" s="286"/>
      <c r="W140" s="286"/>
      <c r="X140" s="286"/>
      <c r="Y140" s="286"/>
      <c r="Z140" s="286"/>
      <c r="AA140" s="286"/>
      <c r="AB140" s="286"/>
      <c r="AC140" s="286"/>
      <c r="AD140" s="286"/>
      <c r="AE140" s="286"/>
      <c r="AF140" s="286"/>
      <c r="AG140" s="286"/>
      <c r="AH140" s="286"/>
      <c r="AI140" s="286"/>
      <c r="AJ140" s="286"/>
      <c r="AK140" s="286"/>
      <c r="AL140" s="286"/>
      <c r="AM140" s="286"/>
      <c r="AN140" s="286"/>
      <c r="AO140" s="286"/>
      <c r="AP140" s="286"/>
      <c r="AQ140" s="286"/>
      <c r="AR140" s="286"/>
      <c r="AS140" s="286"/>
      <c r="AT140" s="286"/>
      <c r="AU140" s="286"/>
      <c r="AV140" s="286"/>
      <c r="AW140" s="286"/>
      <c r="AX140" s="286"/>
      <c r="AY140" s="286"/>
      <c r="AZ140" s="286"/>
      <c r="BA140" s="286"/>
      <c r="BB140" s="286"/>
      <c r="BC140" s="286"/>
      <c r="BD140" s="286"/>
      <c r="BE140" s="286"/>
      <c r="BF140" s="286"/>
      <c r="BG140" s="286"/>
      <c r="BH140" s="286"/>
      <c r="BI140" s="286"/>
      <c r="BJ140" s="286"/>
      <c r="BK140" s="286"/>
      <c r="BL140" s="286"/>
      <c r="BM140" s="286"/>
      <c r="BN140" s="286"/>
      <c r="BO140" s="286"/>
      <c r="BP140" s="286"/>
      <c r="BQ140" s="286"/>
      <c r="BR140" s="286"/>
      <c r="BS140" s="286"/>
      <c r="BT140" s="286"/>
      <c r="BU140" s="286"/>
      <c r="BV140" s="286"/>
      <c r="BW140" s="286"/>
      <c r="BX140" s="286"/>
      <c r="BY140" s="286"/>
      <c r="BZ140" s="286"/>
      <c r="CA140" s="286"/>
      <c r="CB140" s="286"/>
      <c r="CC140" s="286"/>
      <c r="CD140" s="286"/>
      <c r="CE140" s="286"/>
    </row>
    <row r="141" spans="1:83" x14ac:dyDescent="0.25">
      <c r="A141" s="285"/>
      <c r="B141" s="286"/>
      <c r="C141" s="286"/>
      <c r="D141" s="286"/>
      <c r="E141" s="286"/>
      <c r="F141" s="286"/>
      <c r="G141" s="286"/>
      <c r="H141" s="286"/>
      <c r="I141" s="286"/>
      <c r="J141" s="286"/>
      <c r="K141" s="286"/>
      <c r="L141" s="286"/>
      <c r="M141" s="286"/>
      <c r="N141" s="286"/>
      <c r="O141" s="286"/>
      <c r="P141" s="286"/>
      <c r="Q141" s="299"/>
      <c r="R141" s="299"/>
      <c r="S141" s="299"/>
      <c r="T141" s="299"/>
      <c r="U141" s="286"/>
      <c r="V141" s="286"/>
      <c r="W141" s="286"/>
      <c r="X141" s="286"/>
      <c r="Y141" s="286"/>
      <c r="Z141" s="286"/>
      <c r="AA141" s="286"/>
      <c r="AB141" s="286"/>
      <c r="AC141" s="286"/>
      <c r="AD141" s="286"/>
      <c r="AE141" s="286"/>
      <c r="AF141" s="286"/>
      <c r="AG141" s="286"/>
      <c r="AH141" s="286"/>
      <c r="AI141" s="286"/>
      <c r="AJ141" s="286"/>
      <c r="AK141" s="286"/>
      <c r="AL141" s="286"/>
      <c r="AM141" s="286"/>
      <c r="AN141" s="286"/>
      <c r="AO141" s="286"/>
      <c r="AP141" s="286"/>
      <c r="AQ141" s="286"/>
      <c r="AR141" s="286"/>
      <c r="AS141" s="286"/>
      <c r="AT141" s="286"/>
      <c r="AU141" s="286"/>
      <c r="AV141" s="286"/>
      <c r="AW141" s="286"/>
      <c r="AX141" s="286"/>
      <c r="AY141" s="286"/>
      <c r="AZ141" s="286"/>
      <c r="BA141" s="286"/>
      <c r="BB141" s="286"/>
      <c r="BC141" s="286"/>
      <c r="BD141" s="286"/>
      <c r="BE141" s="286"/>
      <c r="BF141" s="286"/>
      <c r="BG141" s="286"/>
      <c r="BH141" s="286"/>
      <c r="BI141" s="286"/>
      <c r="BJ141" s="286"/>
      <c r="BK141" s="286"/>
      <c r="BL141" s="286"/>
      <c r="BM141" s="286"/>
      <c r="BN141" s="286"/>
      <c r="BO141" s="286"/>
      <c r="BP141" s="286"/>
      <c r="BQ141" s="286"/>
      <c r="BR141" s="286"/>
      <c r="BS141" s="286"/>
      <c r="BT141" s="286"/>
      <c r="BU141" s="286"/>
      <c r="BV141" s="286"/>
      <c r="BW141" s="286"/>
      <c r="BX141" s="286"/>
      <c r="BY141" s="286"/>
      <c r="BZ141" s="286"/>
      <c r="CA141" s="286"/>
      <c r="CB141" s="286"/>
      <c r="CC141" s="286"/>
      <c r="CD141" s="286"/>
      <c r="CE141" s="286"/>
    </row>
    <row r="142" spans="1:83" x14ac:dyDescent="0.25">
      <c r="A142" s="285"/>
      <c r="B142" s="286"/>
      <c r="C142" s="286"/>
      <c r="D142" s="286"/>
      <c r="E142" s="286"/>
      <c r="F142" s="286"/>
      <c r="G142" s="286"/>
      <c r="H142" s="286"/>
      <c r="I142" s="286"/>
      <c r="J142" s="286"/>
      <c r="K142" s="286"/>
      <c r="L142" s="286"/>
      <c r="M142" s="286"/>
      <c r="N142" s="286"/>
      <c r="O142" s="286"/>
      <c r="P142" s="286"/>
      <c r="Q142" s="299"/>
      <c r="R142" s="299"/>
      <c r="S142" s="299"/>
      <c r="T142" s="299"/>
      <c r="U142" s="286"/>
      <c r="V142" s="286"/>
      <c r="W142" s="286"/>
      <c r="X142" s="286"/>
      <c r="Y142" s="286"/>
      <c r="Z142" s="286"/>
      <c r="AA142" s="286"/>
      <c r="AB142" s="286"/>
      <c r="AC142" s="286"/>
      <c r="AD142" s="286"/>
      <c r="AE142" s="286"/>
      <c r="AF142" s="286"/>
      <c r="AG142" s="286"/>
      <c r="AH142" s="286"/>
      <c r="AI142" s="286"/>
      <c r="AJ142" s="286"/>
      <c r="AK142" s="286"/>
      <c r="AL142" s="286"/>
      <c r="AM142" s="286"/>
      <c r="AN142" s="286"/>
      <c r="AO142" s="286"/>
      <c r="AP142" s="286"/>
      <c r="AQ142" s="286"/>
      <c r="AR142" s="286"/>
      <c r="AS142" s="286"/>
      <c r="AT142" s="286"/>
      <c r="AU142" s="286"/>
      <c r="AV142" s="286"/>
      <c r="AW142" s="286"/>
      <c r="AX142" s="286"/>
      <c r="AY142" s="286"/>
      <c r="AZ142" s="286"/>
      <c r="BA142" s="286"/>
      <c r="BB142" s="286"/>
      <c r="BC142" s="286"/>
      <c r="BD142" s="286"/>
      <c r="BE142" s="286"/>
      <c r="BF142" s="286"/>
      <c r="BG142" s="286"/>
      <c r="BH142" s="286"/>
      <c r="BI142" s="286"/>
      <c r="BJ142" s="286"/>
      <c r="BK142" s="286"/>
      <c r="BL142" s="286"/>
      <c r="BM142" s="286"/>
      <c r="BN142" s="286"/>
      <c r="BO142" s="286"/>
      <c r="BP142" s="286"/>
      <c r="BQ142" s="286"/>
      <c r="BR142" s="286"/>
      <c r="BS142" s="286"/>
      <c r="BT142" s="286"/>
      <c r="BU142" s="286"/>
      <c r="BV142" s="286"/>
      <c r="BW142" s="286"/>
      <c r="BX142" s="286"/>
      <c r="BY142" s="286"/>
      <c r="BZ142" s="286"/>
      <c r="CA142" s="286"/>
      <c r="CB142" s="286"/>
      <c r="CC142" s="286"/>
      <c r="CD142" s="286"/>
      <c r="CE142" s="286"/>
    </row>
    <row r="143" spans="1:83" x14ac:dyDescent="0.25">
      <c r="A143" s="285"/>
      <c r="B143" s="286"/>
      <c r="C143" s="286"/>
      <c r="D143" s="286"/>
      <c r="E143" s="286"/>
      <c r="F143" s="286"/>
      <c r="G143" s="286"/>
      <c r="H143" s="286"/>
      <c r="I143" s="286"/>
      <c r="J143" s="286"/>
      <c r="K143" s="286"/>
      <c r="L143" s="286"/>
      <c r="M143" s="286"/>
      <c r="N143" s="286"/>
      <c r="O143" s="286"/>
      <c r="P143" s="286"/>
      <c r="Q143" s="299"/>
      <c r="R143" s="299"/>
      <c r="S143" s="299"/>
      <c r="T143" s="299"/>
      <c r="U143" s="286"/>
      <c r="V143" s="286"/>
      <c r="W143" s="286"/>
      <c r="X143" s="286"/>
      <c r="Y143" s="286"/>
      <c r="Z143" s="286"/>
      <c r="AA143" s="286"/>
      <c r="AB143" s="286"/>
      <c r="AC143" s="286"/>
      <c r="AD143" s="286"/>
      <c r="AE143" s="286"/>
      <c r="AF143" s="286"/>
      <c r="AG143" s="286"/>
      <c r="AH143" s="286"/>
      <c r="AI143" s="286"/>
      <c r="AJ143" s="286"/>
      <c r="AK143" s="286"/>
      <c r="AL143" s="286"/>
      <c r="AM143" s="286"/>
      <c r="AN143" s="286"/>
      <c r="AO143" s="286"/>
      <c r="AP143" s="286"/>
      <c r="AQ143" s="286"/>
      <c r="AR143" s="286"/>
      <c r="AS143" s="286"/>
      <c r="AT143" s="286"/>
      <c r="AU143" s="286"/>
      <c r="AV143" s="286"/>
      <c r="AW143" s="286"/>
      <c r="AX143" s="286"/>
      <c r="AY143" s="286"/>
      <c r="AZ143" s="286"/>
      <c r="BA143" s="286"/>
      <c r="BB143" s="286"/>
      <c r="BC143" s="286"/>
      <c r="BD143" s="286"/>
      <c r="BE143" s="286"/>
      <c r="BF143" s="286"/>
      <c r="BG143" s="286"/>
      <c r="BH143" s="286"/>
      <c r="BI143" s="286"/>
      <c r="BJ143" s="286"/>
      <c r="BK143" s="286"/>
      <c r="BL143" s="286"/>
      <c r="BM143" s="286"/>
      <c r="BN143" s="286"/>
      <c r="BO143" s="286"/>
      <c r="BP143" s="286"/>
      <c r="BQ143" s="286"/>
      <c r="BR143" s="286"/>
      <c r="BS143" s="286"/>
      <c r="BT143" s="286"/>
      <c r="BU143" s="286"/>
      <c r="BV143" s="286"/>
      <c r="BW143" s="286"/>
      <c r="BX143" s="286"/>
      <c r="BY143" s="286"/>
      <c r="BZ143" s="286"/>
      <c r="CA143" s="286"/>
      <c r="CB143" s="286"/>
      <c r="CC143" s="286"/>
      <c r="CD143" s="286"/>
      <c r="CE143" s="286"/>
    </row>
    <row r="144" spans="1:83" x14ac:dyDescent="0.25">
      <c r="A144" s="285"/>
      <c r="B144" s="286"/>
      <c r="C144" s="286"/>
      <c r="D144" s="286"/>
      <c r="E144" s="286"/>
      <c r="F144" s="286"/>
      <c r="G144" s="286"/>
      <c r="H144" s="286"/>
      <c r="I144" s="286"/>
      <c r="J144" s="286"/>
      <c r="K144" s="286"/>
      <c r="L144" s="286"/>
      <c r="M144" s="286"/>
      <c r="N144" s="286"/>
      <c r="O144" s="286"/>
      <c r="P144" s="286"/>
      <c r="Q144" s="299"/>
      <c r="R144" s="299"/>
      <c r="S144" s="299"/>
      <c r="T144" s="299"/>
      <c r="U144" s="286"/>
      <c r="V144" s="286"/>
      <c r="W144" s="286"/>
      <c r="X144" s="286"/>
      <c r="Y144" s="286"/>
      <c r="Z144" s="286"/>
      <c r="AA144" s="286"/>
      <c r="AB144" s="286"/>
      <c r="AC144" s="286"/>
      <c r="AD144" s="286"/>
      <c r="AE144" s="286"/>
      <c r="AF144" s="286"/>
      <c r="AG144" s="286"/>
      <c r="AH144" s="286"/>
      <c r="AI144" s="286"/>
      <c r="AJ144" s="286"/>
      <c r="AK144" s="286"/>
      <c r="AL144" s="286"/>
      <c r="AM144" s="286"/>
      <c r="AN144" s="286"/>
      <c r="AO144" s="286"/>
      <c r="AP144" s="286"/>
      <c r="AQ144" s="286"/>
      <c r="AR144" s="286"/>
      <c r="AS144" s="286"/>
      <c r="AT144" s="286"/>
      <c r="AU144" s="286"/>
      <c r="AV144" s="286"/>
      <c r="AW144" s="286"/>
      <c r="AX144" s="286"/>
      <c r="AY144" s="286"/>
      <c r="AZ144" s="286"/>
      <c r="BA144" s="286"/>
      <c r="BB144" s="286"/>
      <c r="BC144" s="286"/>
      <c r="BD144" s="286"/>
      <c r="BE144" s="286"/>
      <c r="BF144" s="286"/>
      <c r="BG144" s="286"/>
      <c r="BH144" s="286"/>
      <c r="BI144" s="286"/>
      <c r="BJ144" s="286"/>
      <c r="BK144" s="286"/>
      <c r="BL144" s="286"/>
      <c r="BM144" s="286"/>
      <c r="BN144" s="286"/>
      <c r="BO144" s="286"/>
      <c r="BP144" s="286"/>
      <c r="BQ144" s="286"/>
      <c r="BR144" s="286"/>
      <c r="BS144" s="286"/>
      <c r="BT144" s="286"/>
      <c r="BU144" s="286"/>
      <c r="BV144" s="286"/>
      <c r="BW144" s="286"/>
      <c r="BX144" s="286"/>
      <c r="BY144" s="286"/>
      <c r="BZ144" s="286"/>
      <c r="CA144" s="286"/>
      <c r="CB144" s="286"/>
      <c r="CC144" s="286"/>
      <c r="CD144" s="286"/>
      <c r="CE144" s="286"/>
    </row>
    <row r="145" spans="1:83" x14ac:dyDescent="0.25">
      <c r="A145" s="285"/>
      <c r="B145" s="286"/>
      <c r="C145" s="286"/>
      <c r="D145" s="286"/>
      <c r="E145" s="286"/>
      <c r="F145" s="286"/>
      <c r="G145" s="286"/>
      <c r="H145" s="286"/>
      <c r="I145" s="286"/>
      <c r="J145" s="286"/>
      <c r="K145" s="286"/>
      <c r="L145" s="286"/>
      <c r="M145" s="286"/>
      <c r="N145" s="286"/>
      <c r="O145" s="286"/>
      <c r="P145" s="286"/>
      <c r="Q145" s="299"/>
      <c r="R145" s="299"/>
      <c r="S145" s="299"/>
      <c r="T145" s="299"/>
      <c r="U145" s="286"/>
      <c r="V145" s="286"/>
      <c r="W145" s="286"/>
      <c r="X145" s="286"/>
      <c r="Y145" s="286"/>
      <c r="Z145" s="286"/>
      <c r="AA145" s="286"/>
      <c r="AB145" s="286"/>
      <c r="AC145" s="286"/>
      <c r="AD145" s="286"/>
      <c r="AE145" s="286"/>
      <c r="AF145" s="286"/>
      <c r="AG145" s="286"/>
      <c r="AH145" s="286"/>
      <c r="AI145" s="286"/>
      <c r="AJ145" s="286"/>
      <c r="AK145" s="286"/>
      <c r="AL145" s="286"/>
      <c r="AM145" s="286"/>
      <c r="AN145" s="286"/>
      <c r="AO145" s="286"/>
      <c r="AP145" s="286"/>
      <c r="AQ145" s="286"/>
      <c r="AR145" s="286"/>
      <c r="AS145" s="286"/>
      <c r="AT145" s="286"/>
      <c r="AU145" s="286"/>
      <c r="AV145" s="286"/>
      <c r="AW145" s="286"/>
      <c r="AX145" s="286"/>
      <c r="AY145" s="286"/>
      <c r="AZ145" s="286"/>
      <c r="BA145" s="286"/>
      <c r="BB145" s="286"/>
      <c r="BC145" s="286"/>
      <c r="BD145" s="286"/>
      <c r="BE145" s="286"/>
      <c r="BF145" s="286"/>
      <c r="BG145" s="286"/>
      <c r="BH145" s="286"/>
      <c r="BI145" s="286"/>
      <c r="BJ145" s="286"/>
      <c r="BK145" s="286"/>
      <c r="BL145" s="286"/>
      <c r="BM145" s="286"/>
      <c r="BN145" s="286"/>
      <c r="BO145" s="286"/>
      <c r="BP145" s="286"/>
      <c r="BQ145" s="286"/>
      <c r="BR145" s="286"/>
      <c r="BS145" s="286"/>
      <c r="BT145" s="286"/>
      <c r="BU145" s="286"/>
      <c r="BV145" s="286"/>
      <c r="BW145" s="286"/>
      <c r="BX145" s="286"/>
      <c r="BY145" s="286"/>
      <c r="BZ145" s="286"/>
      <c r="CA145" s="286"/>
      <c r="CB145" s="286"/>
      <c r="CC145" s="286"/>
      <c r="CD145" s="286"/>
      <c r="CE145" s="286"/>
    </row>
    <row r="146" spans="1:83" x14ac:dyDescent="0.25">
      <c r="A146" s="285"/>
      <c r="B146" s="286"/>
      <c r="C146" s="286"/>
      <c r="D146" s="286"/>
      <c r="E146" s="286"/>
      <c r="F146" s="286"/>
      <c r="G146" s="286"/>
      <c r="H146" s="286"/>
      <c r="I146" s="286"/>
      <c r="J146" s="286"/>
      <c r="K146" s="286"/>
      <c r="L146" s="286"/>
      <c r="M146" s="286"/>
      <c r="N146" s="286"/>
      <c r="O146" s="286"/>
      <c r="P146" s="286"/>
      <c r="Q146" s="299"/>
      <c r="R146" s="299"/>
      <c r="S146" s="299"/>
      <c r="T146" s="299"/>
      <c r="U146" s="286"/>
      <c r="V146" s="286"/>
      <c r="W146" s="286"/>
      <c r="X146" s="286"/>
      <c r="Y146" s="286"/>
      <c r="Z146" s="286"/>
      <c r="AA146" s="286"/>
      <c r="AB146" s="286"/>
      <c r="AC146" s="286"/>
      <c r="AD146" s="286"/>
      <c r="AE146" s="286"/>
      <c r="AF146" s="286"/>
      <c r="AG146" s="286"/>
      <c r="AH146" s="286"/>
      <c r="AI146" s="286"/>
      <c r="AJ146" s="286"/>
      <c r="AK146" s="286"/>
      <c r="AL146" s="286"/>
      <c r="AM146" s="286"/>
      <c r="AN146" s="286"/>
      <c r="AO146" s="286"/>
      <c r="AP146" s="286"/>
      <c r="AQ146" s="286"/>
      <c r="AR146" s="286"/>
      <c r="AS146" s="286"/>
      <c r="AT146" s="286"/>
      <c r="AU146" s="286"/>
      <c r="AV146" s="286"/>
      <c r="AW146" s="286"/>
      <c r="AX146" s="286"/>
      <c r="AY146" s="286"/>
      <c r="AZ146" s="286"/>
      <c r="BA146" s="286"/>
      <c r="BB146" s="286"/>
      <c r="BC146" s="286"/>
      <c r="BD146" s="286"/>
      <c r="BE146" s="286"/>
      <c r="BF146" s="286"/>
      <c r="BG146" s="286"/>
      <c r="BH146" s="286"/>
      <c r="BI146" s="286"/>
      <c r="BJ146" s="286"/>
      <c r="BK146" s="286"/>
      <c r="BL146" s="286"/>
      <c r="BM146" s="286"/>
      <c r="BN146" s="286"/>
      <c r="BO146" s="286"/>
      <c r="BP146" s="286"/>
      <c r="BQ146" s="286"/>
      <c r="BR146" s="286"/>
      <c r="BS146" s="286"/>
      <c r="BT146" s="286"/>
      <c r="BU146" s="286"/>
      <c r="BV146" s="286"/>
      <c r="BW146" s="286"/>
      <c r="BX146" s="286"/>
      <c r="BY146" s="286"/>
      <c r="BZ146" s="286"/>
      <c r="CA146" s="286"/>
      <c r="CB146" s="286"/>
      <c r="CC146" s="286"/>
      <c r="CD146" s="286"/>
      <c r="CE146" s="286"/>
    </row>
    <row r="147" spans="1:83" x14ac:dyDescent="0.25">
      <c r="A147" s="285"/>
      <c r="B147" s="286"/>
      <c r="C147" s="286"/>
      <c r="D147" s="286"/>
      <c r="E147" s="286"/>
      <c r="F147" s="286"/>
      <c r="G147" s="286"/>
      <c r="H147" s="286"/>
      <c r="I147" s="286"/>
      <c r="J147" s="286"/>
      <c r="K147" s="286"/>
      <c r="L147" s="286"/>
      <c r="M147" s="286"/>
      <c r="N147" s="286"/>
      <c r="O147" s="286"/>
      <c r="P147" s="286"/>
      <c r="Q147" s="299"/>
      <c r="R147" s="299"/>
      <c r="S147" s="299"/>
      <c r="T147" s="299"/>
      <c r="U147" s="286"/>
      <c r="V147" s="286"/>
      <c r="W147" s="286"/>
      <c r="X147" s="286"/>
      <c r="Y147" s="286"/>
      <c r="Z147" s="286"/>
      <c r="AA147" s="286"/>
      <c r="AB147" s="286"/>
      <c r="AC147" s="286"/>
      <c r="AD147" s="286"/>
      <c r="AE147" s="286"/>
      <c r="AF147" s="286"/>
      <c r="AG147" s="286"/>
      <c r="AH147" s="286"/>
      <c r="AI147" s="286"/>
      <c r="AJ147" s="286"/>
      <c r="AK147" s="286"/>
      <c r="AL147" s="286"/>
      <c r="AM147" s="286"/>
      <c r="AN147" s="286"/>
      <c r="AO147" s="286"/>
      <c r="AP147" s="286"/>
      <c r="AQ147" s="286"/>
      <c r="AR147" s="286"/>
      <c r="AS147" s="286"/>
      <c r="AT147" s="286"/>
      <c r="AU147" s="286"/>
      <c r="AV147" s="286"/>
      <c r="AW147" s="286"/>
      <c r="AX147" s="286"/>
      <c r="AY147" s="286"/>
      <c r="AZ147" s="286"/>
      <c r="BA147" s="286"/>
      <c r="BB147" s="286"/>
      <c r="BC147" s="286"/>
      <c r="BD147" s="286"/>
      <c r="BE147" s="286"/>
      <c r="BF147" s="286"/>
      <c r="BG147" s="286"/>
      <c r="BH147" s="286"/>
      <c r="BI147" s="286"/>
      <c r="BJ147" s="286"/>
      <c r="BK147" s="286"/>
      <c r="BL147" s="286"/>
      <c r="BM147" s="286"/>
      <c r="BN147" s="286"/>
      <c r="BO147" s="286"/>
      <c r="BP147" s="286"/>
      <c r="BQ147" s="286"/>
      <c r="BR147" s="286"/>
      <c r="BS147" s="286"/>
      <c r="BT147" s="286"/>
      <c r="BU147" s="286"/>
      <c r="BV147" s="286"/>
      <c r="BW147" s="286"/>
      <c r="BX147" s="286"/>
      <c r="BY147" s="286"/>
      <c r="BZ147" s="286"/>
      <c r="CA147" s="286"/>
      <c r="CB147" s="286"/>
      <c r="CC147" s="286"/>
      <c r="CD147" s="286"/>
      <c r="CE147" s="286"/>
    </row>
    <row r="148" spans="1:83" x14ac:dyDescent="0.25">
      <c r="A148" s="285"/>
      <c r="B148" s="286"/>
      <c r="C148" s="286"/>
      <c r="D148" s="286"/>
      <c r="E148" s="286"/>
      <c r="F148" s="286"/>
      <c r="G148" s="286"/>
      <c r="H148" s="286"/>
      <c r="I148" s="286"/>
      <c r="J148" s="286"/>
      <c r="K148" s="286"/>
      <c r="L148" s="286"/>
      <c r="M148" s="286"/>
      <c r="N148" s="286"/>
      <c r="O148" s="286"/>
      <c r="P148" s="286"/>
      <c r="Q148" s="299"/>
      <c r="R148" s="299"/>
      <c r="S148" s="299"/>
      <c r="T148" s="299"/>
      <c r="U148" s="286"/>
      <c r="V148" s="286"/>
      <c r="W148" s="286"/>
      <c r="X148" s="286"/>
      <c r="Y148" s="286"/>
      <c r="Z148" s="286"/>
      <c r="AA148" s="286"/>
      <c r="AB148" s="286"/>
      <c r="AC148" s="286"/>
      <c r="AD148" s="286"/>
      <c r="AE148" s="286"/>
      <c r="AF148" s="286"/>
      <c r="AG148" s="286"/>
      <c r="AH148" s="286"/>
      <c r="AI148" s="286"/>
      <c r="AJ148" s="286"/>
      <c r="AK148" s="286"/>
      <c r="AL148" s="286"/>
      <c r="AM148" s="286"/>
      <c r="AN148" s="286"/>
      <c r="AO148" s="286"/>
      <c r="AP148" s="286"/>
      <c r="AQ148" s="286"/>
      <c r="AR148" s="286"/>
      <c r="AS148" s="286"/>
      <c r="AT148" s="286"/>
      <c r="AU148" s="286"/>
      <c r="AV148" s="286"/>
      <c r="AW148" s="286"/>
      <c r="AX148" s="286"/>
      <c r="AY148" s="286"/>
      <c r="AZ148" s="286"/>
      <c r="BA148" s="286"/>
      <c r="BB148" s="286"/>
      <c r="BC148" s="286"/>
      <c r="BD148" s="286"/>
      <c r="BE148" s="286"/>
      <c r="BF148" s="286"/>
      <c r="BG148" s="286"/>
      <c r="BH148" s="286"/>
      <c r="BI148" s="286"/>
      <c r="BJ148" s="286"/>
      <c r="BK148" s="286"/>
      <c r="BL148" s="286"/>
      <c r="BM148" s="286"/>
      <c r="BN148" s="286"/>
      <c r="BO148" s="286"/>
      <c r="BP148" s="286"/>
      <c r="BQ148" s="286"/>
      <c r="BR148" s="286"/>
      <c r="BS148" s="286"/>
      <c r="BT148" s="286"/>
      <c r="BU148" s="286"/>
      <c r="BV148" s="286"/>
      <c r="BW148" s="286"/>
      <c r="BX148" s="286"/>
      <c r="BY148" s="286"/>
      <c r="BZ148" s="286"/>
      <c r="CA148" s="286"/>
      <c r="CB148" s="286"/>
      <c r="CC148" s="286"/>
      <c r="CD148" s="286"/>
      <c r="CE148" s="286"/>
    </row>
    <row r="149" spans="1:83" x14ac:dyDescent="0.25">
      <c r="A149" s="285"/>
      <c r="B149" s="286"/>
      <c r="C149" s="286"/>
      <c r="D149" s="286"/>
      <c r="E149" s="286"/>
      <c r="F149" s="286"/>
      <c r="G149" s="286"/>
      <c r="H149" s="286"/>
      <c r="I149" s="286"/>
      <c r="J149" s="286"/>
      <c r="K149" s="286"/>
      <c r="L149" s="286"/>
      <c r="M149" s="286"/>
      <c r="N149" s="286"/>
      <c r="O149" s="286"/>
      <c r="P149" s="286"/>
      <c r="Q149" s="299"/>
      <c r="R149" s="299"/>
      <c r="S149" s="299"/>
      <c r="T149" s="299"/>
      <c r="U149" s="286"/>
      <c r="V149" s="286"/>
      <c r="W149" s="286"/>
      <c r="X149" s="286"/>
      <c r="Y149" s="286"/>
      <c r="Z149" s="286"/>
      <c r="AA149" s="286"/>
      <c r="AB149" s="286"/>
      <c r="AC149" s="286"/>
      <c r="AD149" s="286"/>
      <c r="AE149" s="286"/>
      <c r="AF149" s="286"/>
      <c r="AG149" s="286"/>
      <c r="AH149" s="286"/>
      <c r="AI149" s="286"/>
      <c r="AJ149" s="286"/>
      <c r="AK149" s="286"/>
      <c r="AL149" s="286"/>
      <c r="AM149" s="286"/>
      <c r="AN149" s="286"/>
      <c r="AO149" s="286"/>
      <c r="AP149" s="286"/>
      <c r="AQ149" s="286"/>
      <c r="AR149" s="286"/>
      <c r="AS149" s="286"/>
      <c r="AT149" s="286"/>
      <c r="AU149" s="286"/>
      <c r="AV149" s="286"/>
      <c r="AW149" s="286"/>
      <c r="AX149" s="286"/>
      <c r="AY149" s="286"/>
      <c r="AZ149" s="286"/>
      <c r="BA149" s="286"/>
      <c r="BB149" s="286"/>
      <c r="BC149" s="286"/>
      <c r="BD149" s="286"/>
      <c r="BE149" s="286"/>
      <c r="BF149" s="286"/>
      <c r="BG149" s="286"/>
      <c r="BH149" s="286"/>
      <c r="BI149" s="286"/>
      <c r="BJ149" s="286"/>
      <c r="BK149" s="286"/>
      <c r="BL149" s="286"/>
      <c r="BM149" s="286"/>
      <c r="BN149" s="286"/>
      <c r="BO149" s="286"/>
      <c r="BP149" s="286"/>
      <c r="BQ149" s="286"/>
      <c r="BR149" s="286"/>
      <c r="BS149" s="286"/>
      <c r="BT149" s="286"/>
      <c r="BU149" s="286"/>
      <c r="BV149" s="286"/>
      <c r="BW149" s="286"/>
      <c r="BX149" s="286"/>
      <c r="BY149" s="286"/>
      <c r="BZ149" s="286"/>
      <c r="CA149" s="286"/>
      <c r="CB149" s="286"/>
      <c r="CC149" s="286"/>
      <c r="CD149" s="286"/>
      <c r="CE149" s="286"/>
    </row>
    <row r="150" spans="1:83" x14ac:dyDescent="0.25">
      <c r="A150" s="286"/>
      <c r="B150" s="286"/>
      <c r="C150" s="286"/>
      <c r="D150" s="286"/>
      <c r="E150" s="286"/>
      <c r="F150" s="286"/>
      <c r="G150" s="286"/>
      <c r="H150" s="286"/>
      <c r="I150" s="286"/>
      <c r="J150" s="286"/>
      <c r="K150" s="286"/>
      <c r="L150" s="286"/>
      <c r="M150" s="286"/>
      <c r="N150" s="286"/>
      <c r="O150" s="286"/>
      <c r="P150" s="286"/>
      <c r="Q150" s="299"/>
      <c r="R150" s="299"/>
      <c r="S150" s="299"/>
      <c r="T150" s="299"/>
      <c r="U150" s="286"/>
      <c r="V150" s="286"/>
      <c r="W150" s="286"/>
      <c r="X150" s="286"/>
      <c r="Y150" s="286"/>
      <c r="Z150" s="286"/>
      <c r="AA150" s="286"/>
      <c r="AB150" s="286"/>
      <c r="AC150" s="286"/>
      <c r="AD150" s="286"/>
      <c r="AE150" s="286"/>
      <c r="AF150" s="286"/>
      <c r="AG150" s="286"/>
      <c r="AH150" s="286"/>
      <c r="AI150" s="286"/>
      <c r="AJ150" s="286"/>
      <c r="AK150" s="286"/>
      <c r="AL150" s="286"/>
      <c r="AM150" s="286"/>
      <c r="AN150" s="286"/>
      <c r="AO150" s="286"/>
      <c r="AP150" s="286"/>
      <c r="AQ150" s="286"/>
      <c r="AR150" s="286"/>
      <c r="AS150" s="286"/>
      <c r="AT150" s="286"/>
      <c r="AU150" s="286"/>
      <c r="AV150" s="286"/>
      <c r="AW150" s="286"/>
      <c r="AX150" s="286"/>
      <c r="AY150" s="286"/>
      <c r="AZ150" s="286"/>
      <c r="BA150" s="286"/>
      <c r="BB150" s="286"/>
      <c r="BC150" s="286"/>
      <c r="BD150" s="286"/>
      <c r="BE150" s="286"/>
      <c r="BF150" s="286"/>
      <c r="BG150" s="286"/>
      <c r="BH150" s="286"/>
      <c r="BI150" s="286"/>
      <c r="BJ150" s="286"/>
      <c r="BK150" s="286"/>
      <c r="BL150" s="286"/>
      <c r="BM150" s="286"/>
      <c r="BN150" s="286"/>
      <c r="BO150" s="286"/>
      <c r="BP150" s="286"/>
      <c r="BQ150" s="286"/>
      <c r="BR150" s="286"/>
      <c r="BS150" s="286"/>
      <c r="BT150" s="286"/>
      <c r="BU150" s="286"/>
      <c r="BV150" s="286"/>
      <c r="BW150" s="286"/>
      <c r="BX150" s="286"/>
      <c r="BY150" s="286"/>
      <c r="BZ150" s="286"/>
      <c r="CA150" s="286"/>
      <c r="CB150" s="286"/>
      <c r="CC150" s="286"/>
      <c r="CD150" s="286"/>
      <c r="CE150" s="286"/>
    </row>
    <row r="151" spans="1:83" x14ac:dyDescent="0.25">
      <c r="A151" s="286"/>
      <c r="B151" s="286"/>
      <c r="C151" s="286"/>
      <c r="D151" s="286"/>
      <c r="E151" s="286"/>
      <c r="F151" s="286"/>
      <c r="G151" s="286"/>
      <c r="H151" s="286"/>
      <c r="I151" s="286"/>
      <c r="J151" s="286"/>
      <c r="K151" s="286"/>
      <c r="L151" s="286"/>
      <c r="M151" s="286"/>
      <c r="N151" s="286"/>
      <c r="O151" s="286"/>
      <c r="P151" s="286"/>
      <c r="Q151" s="299"/>
      <c r="R151" s="299"/>
      <c r="S151" s="299"/>
      <c r="T151" s="299"/>
      <c r="U151" s="286"/>
      <c r="V151" s="286"/>
      <c r="W151" s="286"/>
      <c r="X151" s="286"/>
      <c r="Y151" s="286"/>
      <c r="Z151" s="286"/>
      <c r="AA151" s="286"/>
      <c r="AB151" s="286"/>
      <c r="AC151" s="286"/>
      <c r="AD151" s="286"/>
      <c r="AE151" s="286"/>
      <c r="AF151" s="286"/>
      <c r="AG151" s="286"/>
      <c r="AH151" s="286"/>
      <c r="AI151" s="286"/>
      <c r="AJ151" s="286"/>
      <c r="AK151" s="286"/>
      <c r="AL151" s="286"/>
      <c r="AM151" s="286"/>
      <c r="AN151" s="286"/>
      <c r="AO151" s="286"/>
      <c r="AP151" s="286"/>
      <c r="AQ151" s="286"/>
      <c r="AR151" s="286"/>
      <c r="AS151" s="286"/>
      <c r="AT151" s="286"/>
      <c r="AU151" s="286"/>
      <c r="AV151" s="286"/>
      <c r="AW151" s="286"/>
      <c r="AX151" s="286"/>
      <c r="AY151" s="286"/>
      <c r="AZ151" s="286"/>
      <c r="BA151" s="286"/>
      <c r="BB151" s="286"/>
      <c r="BC151" s="286"/>
      <c r="BD151" s="286"/>
      <c r="BE151" s="286"/>
      <c r="BF151" s="286"/>
      <c r="BG151" s="286"/>
      <c r="BH151" s="286"/>
      <c r="BI151" s="286"/>
      <c r="BJ151" s="286"/>
      <c r="BK151" s="286"/>
      <c r="BL151" s="286"/>
      <c r="BM151" s="286"/>
      <c r="BN151" s="286"/>
      <c r="BO151" s="286"/>
      <c r="BP151" s="286"/>
      <c r="BQ151" s="286"/>
      <c r="BR151" s="286"/>
      <c r="BS151" s="286"/>
      <c r="BT151" s="286"/>
      <c r="BU151" s="286"/>
      <c r="BV151" s="286"/>
      <c r="BW151" s="286"/>
      <c r="BX151" s="286"/>
      <c r="BY151" s="286"/>
      <c r="BZ151" s="286"/>
      <c r="CA151" s="286"/>
      <c r="CB151" s="286"/>
      <c r="CC151" s="286"/>
      <c r="CD151" s="286"/>
      <c r="CE151" s="286"/>
    </row>
    <row r="152" spans="1:83" x14ac:dyDescent="0.25">
      <c r="A152" s="286"/>
      <c r="B152" s="286"/>
      <c r="C152" s="286"/>
      <c r="D152" s="286"/>
      <c r="E152" s="286"/>
      <c r="F152" s="286"/>
      <c r="G152" s="286"/>
      <c r="H152" s="286"/>
      <c r="I152" s="286"/>
      <c r="J152" s="286"/>
      <c r="K152" s="286"/>
      <c r="L152" s="286"/>
      <c r="M152" s="286"/>
      <c r="N152" s="286"/>
      <c r="O152" s="286"/>
      <c r="P152" s="286"/>
      <c r="Q152" s="299"/>
      <c r="R152" s="299"/>
      <c r="S152" s="299"/>
      <c r="T152" s="299"/>
      <c r="U152" s="286"/>
      <c r="V152" s="286"/>
      <c r="W152" s="286"/>
      <c r="X152" s="286"/>
      <c r="Y152" s="286"/>
      <c r="Z152" s="286"/>
      <c r="AA152" s="286"/>
      <c r="AB152" s="286"/>
      <c r="AC152" s="286"/>
      <c r="AD152" s="286"/>
      <c r="AE152" s="286"/>
      <c r="AF152" s="286"/>
      <c r="AG152" s="286"/>
      <c r="AH152" s="286"/>
      <c r="AI152" s="286"/>
      <c r="AJ152" s="286"/>
      <c r="AK152" s="286"/>
      <c r="AL152" s="286"/>
      <c r="AM152" s="286"/>
      <c r="AN152" s="286"/>
      <c r="AO152" s="286"/>
      <c r="AP152" s="286"/>
      <c r="AQ152" s="286"/>
      <c r="AR152" s="286"/>
      <c r="AS152" s="286"/>
      <c r="AT152" s="286"/>
      <c r="AU152" s="286"/>
      <c r="AV152" s="286"/>
      <c r="AW152" s="286"/>
      <c r="AX152" s="286"/>
      <c r="AY152" s="286"/>
      <c r="AZ152" s="286"/>
      <c r="BA152" s="286"/>
      <c r="BB152" s="286"/>
      <c r="BC152" s="286"/>
      <c r="BD152" s="286"/>
      <c r="BE152" s="286"/>
      <c r="BF152" s="286"/>
      <c r="BG152" s="286"/>
      <c r="BH152" s="286"/>
      <c r="BI152" s="286"/>
      <c r="BJ152" s="286"/>
      <c r="BK152" s="286"/>
      <c r="BL152" s="286"/>
      <c r="BM152" s="286"/>
      <c r="BN152" s="286"/>
      <c r="BO152" s="286"/>
      <c r="BP152" s="286"/>
      <c r="BQ152" s="286"/>
      <c r="BR152" s="286"/>
      <c r="BS152" s="286"/>
      <c r="BT152" s="286"/>
      <c r="BU152" s="286"/>
      <c r="BV152" s="286"/>
      <c r="BW152" s="286"/>
      <c r="BX152" s="286"/>
      <c r="BY152" s="286"/>
      <c r="BZ152" s="286"/>
      <c r="CA152" s="286"/>
      <c r="CB152" s="286"/>
      <c r="CC152" s="286"/>
      <c r="CD152" s="286"/>
      <c r="CE152" s="286"/>
    </row>
    <row r="153" spans="1:83" x14ac:dyDescent="0.25">
      <c r="A153" s="286"/>
      <c r="B153" s="286"/>
      <c r="C153" s="286"/>
      <c r="D153" s="286"/>
      <c r="E153" s="286"/>
      <c r="F153" s="286"/>
      <c r="G153" s="286"/>
      <c r="H153" s="286"/>
      <c r="I153" s="286"/>
      <c r="J153" s="286"/>
      <c r="K153" s="286"/>
      <c r="L153" s="286"/>
      <c r="M153" s="286"/>
      <c r="N153" s="286"/>
      <c r="O153" s="286"/>
      <c r="P153" s="286"/>
      <c r="Q153" s="299"/>
      <c r="R153" s="299"/>
      <c r="S153" s="299"/>
      <c r="T153" s="299"/>
      <c r="U153" s="286"/>
      <c r="V153" s="286"/>
      <c r="W153" s="286"/>
      <c r="X153" s="286"/>
      <c r="Y153" s="286"/>
      <c r="Z153" s="286"/>
      <c r="AA153" s="286"/>
      <c r="AB153" s="286"/>
      <c r="AC153" s="286"/>
      <c r="AD153" s="286"/>
      <c r="AE153" s="286"/>
      <c r="AF153" s="286"/>
      <c r="AG153" s="286"/>
      <c r="AH153" s="286"/>
      <c r="AI153" s="286"/>
      <c r="AJ153" s="286"/>
      <c r="AK153" s="286"/>
      <c r="AL153" s="286"/>
      <c r="AM153" s="286"/>
      <c r="AN153" s="286"/>
      <c r="AO153" s="286"/>
      <c r="AP153" s="286"/>
      <c r="AQ153" s="286"/>
      <c r="AR153" s="286"/>
      <c r="AS153" s="286"/>
      <c r="AT153" s="286"/>
      <c r="AU153" s="286"/>
      <c r="AV153" s="286"/>
      <c r="AW153" s="286"/>
      <c r="AX153" s="286"/>
      <c r="AY153" s="286"/>
      <c r="AZ153" s="286"/>
      <c r="BA153" s="286"/>
      <c r="BB153" s="286"/>
      <c r="BC153" s="286"/>
      <c r="BD153" s="286"/>
      <c r="BE153" s="286"/>
      <c r="BF153" s="286"/>
      <c r="BG153" s="286"/>
      <c r="BH153" s="286"/>
      <c r="BI153" s="286"/>
      <c r="BJ153" s="286"/>
      <c r="BK153" s="286"/>
      <c r="BL153" s="286"/>
      <c r="BM153" s="286"/>
      <c r="BN153" s="286"/>
      <c r="BO153" s="286"/>
      <c r="BP153" s="286"/>
      <c r="BQ153" s="286"/>
      <c r="BR153" s="286"/>
      <c r="BS153" s="286"/>
      <c r="BT153" s="286"/>
      <c r="BU153" s="286"/>
      <c r="BV153" s="286"/>
      <c r="BW153" s="286"/>
      <c r="BX153" s="286"/>
      <c r="BY153" s="286"/>
      <c r="BZ153" s="286"/>
      <c r="CA153" s="286"/>
      <c r="CB153" s="286"/>
      <c r="CC153" s="286"/>
      <c r="CD153" s="286"/>
      <c r="CE153" s="286"/>
    </row>
    <row r="154" spans="1:83" x14ac:dyDescent="0.25">
      <c r="A154" s="286"/>
      <c r="B154" s="286"/>
      <c r="C154" s="286"/>
      <c r="D154" s="286"/>
      <c r="E154" s="286"/>
      <c r="F154" s="286"/>
      <c r="G154" s="286"/>
      <c r="H154" s="286"/>
      <c r="I154" s="286"/>
      <c r="J154" s="286"/>
      <c r="K154" s="286"/>
      <c r="L154" s="286"/>
      <c r="M154" s="286"/>
      <c r="N154" s="286"/>
      <c r="O154" s="286"/>
      <c r="P154" s="286"/>
      <c r="Q154" s="299"/>
      <c r="R154" s="299"/>
      <c r="S154" s="299"/>
      <c r="T154" s="299"/>
      <c r="U154" s="286"/>
      <c r="V154" s="286"/>
      <c r="W154" s="286"/>
      <c r="X154" s="286"/>
      <c r="Y154" s="286"/>
      <c r="Z154" s="286"/>
      <c r="AA154" s="286"/>
      <c r="AB154" s="286"/>
      <c r="AC154" s="286"/>
      <c r="AD154" s="286"/>
      <c r="AE154" s="286"/>
      <c r="AF154" s="286"/>
      <c r="AG154" s="286"/>
      <c r="AH154" s="286"/>
      <c r="AI154" s="286"/>
      <c r="AJ154" s="286"/>
      <c r="AK154" s="286"/>
      <c r="AL154" s="286"/>
      <c r="AM154" s="286"/>
      <c r="AN154" s="286"/>
      <c r="AO154" s="286"/>
      <c r="AP154" s="286"/>
      <c r="AQ154" s="286"/>
      <c r="AR154" s="286"/>
      <c r="AS154" s="286"/>
      <c r="AT154" s="286"/>
      <c r="AU154" s="286"/>
      <c r="AV154" s="286"/>
      <c r="AW154" s="286"/>
      <c r="AX154" s="286"/>
      <c r="AY154" s="286"/>
      <c r="AZ154" s="286"/>
      <c r="BA154" s="286"/>
      <c r="BB154" s="286"/>
      <c r="BC154" s="286"/>
      <c r="BD154" s="286"/>
      <c r="BE154" s="286"/>
      <c r="BF154" s="286"/>
      <c r="BG154" s="286"/>
      <c r="BH154" s="286"/>
      <c r="BI154" s="286"/>
      <c r="BJ154" s="286"/>
      <c r="BK154" s="286"/>
      <c r="BL154" s="286"/>
      <c r="BM154" s="286"/>
      <c r="BN154" s="286"/>
      <c r="BO154" s="286"/>
      <c r="BP154" s="286"/>
      <c r="BQ154" s="286"/>
      <c r="BR154" s="286"/>
      <c r="BS154" s="286"/>
      <c r="BT154" s="286"/>
      <c r="BU154" s="286"/>
      <c r="BV154" s="286"/>
      <c r="BW154" s="286"/>
      <c r="BX154" s="286"/>
      <c r="BY154" s="286"/>
      <c r="BZ154" s="286"/>
      <c r="CA154" s="286"/>
      <c r="CB154" s="286"/>
      <c r="CC154" s="286"/>
      <c r="CD154" s="286"/>
      <c r="CE154" s="286"/>
    </row>
    <row r="155" spans="1:83" x14ac:dyDescent="0.25">
      <c r="A155" s="286"/>
      <c r="B155" s="286"/>
      <c r="C155" s="286"/>
      <c r="D155" s="286"/>
      <c r="E155" s="286"/>
      <c r="F155" s="286"/>
      <c r="G155" s="286"/>
      <c r="H155" s="286"/>
      <c r="I155" s="286"/>
      <c r="J155" s="286"/>
      <c r="K155" s="286"/>
      <c r="L155" s="286"/>
      <c r="M155" s="286"/>
      <c r="N155" s="286"/>
      <c r="O155" s="286"/>
      <c r="P155" s="286"/>
      <c r="Q155" s="299"/>
      <c r="R155" s="299"/>
      <c r="S155" s="299"/>
      <c r="T155" s="299"/>
      <c r="U155" s="286"/>
      <c r="V155" s="286"/>
      <c r="W155" s="286"/>
      <c r="X155" s="286"/>
      <c r="Y155" s="286"/>
      <c r="Z155" s="286"/>
      <c r="AA155" s="286"/>
      <c r="AB155" s="286"/>
      <c r="AC155" s="286"/>
      <c r="AD155" s="286"/>
      <c r="AE155" s="286"/>
      <c r="AF155" s="286"/>
      <c r="AG155" s="286"/>
      <c r="AH155" s="286"/>
      <c r="AI155" s="286"/>
      <c r="AJ155" s="286"/>
      <c r="AK155" s="286"/>
      <c r="AL155" s="286"/>
      <c r="AM155" s="286"/>
      <c r="AN155" s="286"/>
      <c r="AO155" s="286"/>
      <c r="AP155" s="286"/>
      <c r="AQ155" s="286"/>
      <c r="AR155" s="286"/>
      <c r="AS155" s="286"/>
      <c r="AT155" s="286"/>
      <c r="AU155" s="286"/>
      <c r="AV155" s="286"/>
      <c r="AW155" s="286"/>
      <c r="AX155" s="286"/>
      <c r="AY155" s="286"/>
      <c r="AZ155" s="286"/>
      <c r="BA155" s="286"/>
      <c r="BB155" s="286"/>
      <c r="BC155" s="286"/>
      <c r="BD155" s="286"/>
      <c r="BE155" s="286"/>
      <c r="BF155" s="286"/>
      <c r="BG155" s="286"/>
      <c r="BH155" s="286"/>
      <c r="BI155" s="286"/>
      <c r="BJ155" s="286"/>
      <c r="BK155" s="286"/>
      <c r="BL155" s="286"/>
      <c r="BM155" s="286"/>
      <c r="BN155" s="286"/>
      <c r="BO155" s="286"/>
      <c r="BP155" s="286"/>
      <c r="BQ155" s="286"/>
      <c r="BR155" s="286"/>
      <c r="BS155" s="286"/>
      <c r="BT155" s="286"/>
      <c r="BU155" s="286"/>
      <c r="BV155" s="286"/>
      <c r="BW155" s="286"/>
      <c r="BX155" s="286"/>
      <c r="BY155" s="286"/>
      <c r="BZ155" s="286"/>
      <c r="CA155" s="286"/>
      <c r="CB155" s="286"/>
      <c r="CC155" s="286"/>
      <c r="CD155" s="286"/>
      <c r="CE155" s="286"/>
    </row>
    <row r="156" spans="1:83" x14ac:dyDescent="0.25">
      <c r="A156" s="286"/>
      <c r="B156" s="286"/>
      <c r="C156" s="286"/>
      <c r="D156" s="286"/>
      <c r="E156" s="286"/>
      <c r="F156" s="286"/>
      <c r="G156" s="286"/>
      <c r="H156" s="286"/>
      <c r="I156" s="286"/>
      <c r="J156" s="286"/>
      <c r="K156" s="286"/>
      <c r="L156" s="286"/>
      <c r="M156" s="286"/>
      <c r="N156" s="286"/>
      <c r="O156" s="286"/>
      <c r="P156" s="286"/>
      <c r="Q156" s="299"/>
      <c r="R156" s="299"/>
      <c r="S156" s="299"/>
      <c r="T156" s="299"/>
      <c r="U156" s="286"/>
      <c r="V156" s="286"/>
      <c r="W156" s="286"/>
      <c r="X156" s="286"/>
      <c r="Y156" s="286"/>
      <c r="Z156" s="286"/>
      <c r="AA156" s="286"/>
      <c r="AB156" s="286"/>
      <c r="AC156" s="286"/>
      <c r="AD156" s="286"/>
      <c r="AE156" s="286"/>
      <c r="AF156" s="286"/>
      <c r="AG156" s="286"/>
      <c r="AH156" s="286"/>
      <c r="AI156" s="286"/>
      <c r="AJ156" s="286"/>
      <c r="AK156" s="286"/>
      <c r="AL156" s="286"/>
      <c r="AM156" s="286"/>
      <c r="AN156" s="286"/>
      <c r="AO156" s="286"/>
      <c r="AP156" s="286"/>
      <c r="AQ156" s="286"/>
      <c r="AR156" s="286"/>
      <c r="AS156" s="286"/>
      <c r="AT156" s="286"/>
      <c r="AU156" s="286"/>
      <c r="AV156" s="286"/>
      <c r="AW156" s="286"/>
      <c r="AX156" s="286"/>
      <c r="AY156" s="286"/>
      <c r="AZ156" s="286"/>
      <c r="BA156" s="286"/>
      <c r="BB156" s="286"/>
      <c r="BC156" s="286"/>
      <c r="BD156" s="286"/>
      <c r="BE156" s="286"/>
      <c r="BF156" s="286"/>
      <c r="BG156" s="286"/>
      <c r="BH156" s="286"/>
      <c r="BI156" s="286"/>
      <c r="BJ156" s="286"/>
      <c r="BK156" s="286"/>
      <c r="BL156" s="286"/>
      <c r="BM156" s="286"/>
      <c r="BN156" s="286"/>
      <c r="BO156" s="286"/>
      <c r="BP156" s="286"/>
      <c r="BQ156" s="286"/>
      <c r="BR156" s="286"/>
      <c r="BS156" s="286"/>
      <c r="BT156" s="286"/>
      <c r="BU156" s="286"/>
      <c r="BV156" s="286"/>
      <c r="BW156" s="286"/>
      <c r="BX156" s="286"/>
      <c r="BY156" s="286"/>
      <c r="BZ156" s="286"/>
      <c r="CA156" s="286"/>
      <c r="CB156" s="286"/>
      <c r="CC156" s="286"/>
      <c r="CD156" s="286"/>
      <c r="CE156" s="286"/>
    </row>
    <row r="157" spans="1:83" x14ac:dyDescent="0.25">
      <c r="A157" s="286"/>
      <c r="B157" s="286"/>
      <c r="C157" s="286"/>
      <c r="D157" s="286"/>
      <c r="E157" s="286"/>
      <c r="F157" s="286"/>
      <c r="G157" s="286"/>
      <c r="H157" s="286"/>
      <c r="I157" s="286"/>
      <c r="J157" s="286"/>
      <c r="K157" s="286"/>
      <c r="L157" s="286"/>
      <c r="M157" s="286"/>
      <c r="N157" s="286"/>
      <c r="O157" s="286"/>
      <c r="P157" s="286"/>
      <c r="Q157" s="299"/>
      <c r="R157" s="299"/>
      <c r="S157" s="299"/>
      <c r="T157" s="299"/>
      <c r="U157" s="286"/>
      <c r="V157" s="286"/>
      <c r="W157" s="286"/>
      <c r="X157" s="286"/>
      <c r="Y157" s="286"/>
      <c r="Z157" s="286"/>
      <c r="AA157" s="286"/>
      <c r="AB157" s="286"/>
      <c r="AC157" s="286"/>
      <c r="AD157" s="286"/>
      <c r="AE157" s="286"/>
      <c r="AF157" s="286"/>
      <c r="AG157" s="286"/>
      <c r="AH157" s="286"/>
      <c r="AI157" s="286"/>
      <c r="AJ157" s="286"/>
      <c r="AK157" s="286"/>
      <c r="AL157" s="286"/>
      <c r="AM157" s="286"/>
      <c r="AN157" s="286"/>
      <c r="AO157" s="286"/>
      <c r="AP157" s="286"/>
      <c r="AQ157" s="286"/>
      <c r="AR157" s="286"/>
      <c r="AS157" s="286"/>
      <c r="AT157" s="286"/>
      <c r="AU157" s="286"/>
      <c r="AV157" s="286"/>
      <c r="AW157" s="286"/>
      <c r="AX157" s="286"/>
      <c r="AY157" s="286"/>
      <c r="AZ157" s="286"/>
      <c r="BA157" s="286"/>
      <c r="BB157" s="286"/>
      <c r="BC157" s="286"/>
      <c r="BD157" s="286"/>
      <c r="BE157" s="286"/>
      <c r="BF157" s="286"/>
      <c r="BG157" s="286"/>
      <c r="BH157" s="286"/>
      <c r="BI157" s="286"/>
      <c r="BJ157" s="286"/>
      <c r="BK157" s="286"/>
      <c r="BL157" s="286"/>
      <c r="BM157" s="286"/>
      <c r="BN157" s="286"/>
      <c r="BO157" s="286"/>
      <c r="BP157" s="286"/>
      <c r="BQ157" s="286"/>
      <c r="BR157" s="286"/>
      <c r="BS157" s="286"/>
      <c r="BT157" s="286"/>
      <c r="BU157" s="286"/>
      <c r="BV157" s="286"/>
      <c r="BW157" s="286"/>
      <c r="BX157" s="286"/>
      <c r="BY157" s="286"/>
      <c r="BZ157" s="286"/>
      <c r="CA157" s="286"/>
      <c r="CB157" s="286"/>
      <c r="CC157" s="286"/>
      <c r="CD157" s="286"/>
      <c r="CE157" s="286"/>
    </row>
    <row r="158" spans="1:83" x14ac:dyDescent="0.25">
      <c r="A158" s="286"/>
      <c r="B158" s="286"/>
      <c r="C158" s="286"/>
      <c r="D158" s="286"/>
      <c r="E158" s="286"/>
      <c r="F158" s="286"/>
      <c r="G158" s="286"/>
      <c r="H158" s="286"/>
      <c r="I158" s="286"/>
      <c r="J158" s="286"/>
      <c r="K158" s="286"/>
      <c r="L158" s="286"/>
      <c r="M158" s="286"/>
      <c r="N158" s="286"/>
      <c r="O158" s="286"/>
      <c r="P158" s="286"/>
      <c r="Q158" s="299"/>
      <c r="R158" s="299"/>
      <c r="S158" s="299"/>
      <c r="T158" s="299"/>
      <c r="U158" s="286"/>
      <c r="V158" s="286"/>
      <c r="W158" s="286"/>
      <c r="X158" s="286"/>
      <c r="Y158" s="286"/>
      <c r="Z158" s="286"/>
      <c r="AA158" s="286"/>
      <c r="AB158" s="286"/>
      <c r="AC158" s="286"/>
      <c r="AD158" s="286"/>
      <c r="AE158" s="286"/>
      <c r="AF158" s="286"/>
      <c r="AG158" s="286"/>
      <c r="AH158" s="286"/>
      <c r="AI158" s="286"/>
      <c r="AJ158" s="286"/>
      <c r="AK158" s="286"/>
      <c r="AL158" s="286"/>
      <c r="AM158" s="286"/>
      <c r="AN158" s="286"/>
      <c r="AO158" s="286"/>
      <c r="AP158" s="286"/>
      <c r="AQ158" s="286"/>
      <c r="AR158" s="286"/>
      <c r="AS158" s="286"/>
      <c r="AT158" s="286"/>
      <c r="AU158" s="286"/>
      <c r="AV158" s="286"/>
      <c r="AW158" s="286"/>
      <c r="AX158" s="286"/>
      <c r="AY158" s="286"/>
      <c r="AZ158" s="286"/>
      <c r="BA158" s="286"/>
      <c r="BB158" s="286"/>
      <c r="BC158" s="286"/>
      <c r="BD158" s="286"/>
      <c r="BE158" s="286"/>
      <c r="BF158" s="286"/>
      <c r="BG158" s="286"/>
      <c r="BH158" s="286"/>
      <c r="BI158" s="286"/>
      <c r="BJ158" s="286"/>
      <c r="BK158" s="286"/>
      <c r="BL158" s="286"/>
      <c r="BM158" s="286"/>
      <c r="BN158" s="286"/>
      <c r="BO158" s="286"/>
      <c r="BP158" s="286"/>
      <c r="BQ158" s="286"/>
      <c r="BR158" s="286"/>
      <c r="BS158" s="286"/>
      <c r="BT158" s="286"/>
      <c r="BU158" s="286"/>
      <c r="BV158" s="286"/>
      <c r="BW158" s="286"/>
      <c r="BX158" s="286"/>
      <c r="BY158" s="286"/>
      <c r="BZ158" s="286"/>
      <c r="CA158" s="286"/>
      <c r="CB158" s="286"/>
      <c r="CC158" s="286"/>
      <c r="CD158" s="286"/>
      <c r="CE158" s="286"/>
    </row>
    <row r="159" spans="1:83" x14ac:dyDescent="0.25">
      <c r="A159" s="286"/>
      <c r="B159" s="286"/>
      <c r="C159" s="286"/>
      <c r="D159" s="286"/>
      <c r="E159" s="286"/>
      <c r="F159" s="286"/>
      <c r="G159" s="286"/>
      <c r="H159" s="286"/>
      <c r="I159" s="286"/>
      <c r="J159" s="286"/>
      <c r="K159" s="286"/>
      <c r="L159" s="286"/>
      <c r="M159" s="286"/>
      <c r="N159" s="286"/>
      <c r="O159" s="286"/>
      <c r="P159" s="286"/>
      <c r="Q159" s="299"/>
      <c r="R159" s="299"/>
      <c r="S159" s="299"/>
      <c r="T159" s="299"/>
      <c r="U159" s="286"/>
      <c r="V159" s="286"/>
      <c r="W159" s="286"/>
      <c r="X159" s="286"/>
      <c r="Y159" s="286"/>
      <c r="Z159" s="286"/>
      <c r="AA159" s="286"/>
      <c r="AB159" s="286"/>
      <c r="AC159" s="286"/>
      <c r="AD159" s="286"/>
      <c r="AE159" s="286"/>
      <c r="AF159" s="286"/>
      <c r="AG159" s="286"/>
      <c r="AH159" s="286"/>
      <c r="AI159" s="286"/>
      <c r="AJ159" s="286"/>
      <c r="AK159" s="286"/>
      <c r="AL159" s="286"/>
      <c r="AM159" s="286"/>
      <c r="AN159" s="286"/>
      <c r="AO159" s="286"/>
      <c r="AP159" s="286"/>
      <c r="AQ159" s="286"/>
      <c r="AR159" s="286"/>
      <c r="AS159" s="286"/>
      <c r="AT159" s="286"/>
      <c r="AU159" s="286"/>
      <c r="AV159" s="286"/>
      <c r="AW159" s="286"/>
      <c r="AX159" s="286"/>
      <c r="AY159" s="286"/>
      <c r="AZ159" s="286"/>
      <c r="BA159" s="286"/>
      <c r="BB159" s="286"/>
      <c r="BC159" s="286"/>
      <c r="BD159" s="286"/>
      <c r="BE159" s="286"/>
      <c r="BF159" s="286"/>
      <c r="BG159" s="286"/>
      <c r="BH159" s="286"/>
      <c r="BI159" s="286"/>
      <c r="BJ159" s="286"/>
      <c r="BK159" s="286"/>
      <c r="BL159" s="286"/>
      <c r="BM159" s="286"/>
      <c r="BN159" s="286"/>
      <c r="BO159" s="286"/>
      <c r="BP159" s="286"/>
      <c r="BQ159" s="286"/>
      <c r="BR159" s="286"/>
      <c r="BS159" s="286"/>
      <c r="BT159" s="286"/>
      <c r="BU159" s="286"/>
      <c r="BV159" s="286"/>
      <c r="BW159" s="286"/>
      <c r="BX159" s="286"/>
      <c r="BY159" s="286"/>
      <c r="BZ159" s="286"/>
      <c r="CA159" s="286"/>
      <c r="CB159" s="286"/>
      <c r="CC159" s="286"/>
      <c r="CD159" s="286"/>
      <c r="CE159" s="286"/>
    </row>
    <row r="160" spans="1:83" x14ac:dyDescent="0.25">
      <c r="A160" s="286"/>
      <c r="B160" s="286"/>
      <c r="C160" s="286"/>
      <c r="D160" s="286"/>
      <c r="E160" s="286"/>
      <c r="F160" s="286"/>
      <c r="G160" s="286"/>
      <c r="H160" s="286"/>
      <c r="I160" s="286"/>
      <c r="J160" s="286"/>
      <c r="K160" s="286"/>
      <c r="L160" s="286"/>
      <c r="M160" s="286"/>
      <c r="N160" s="286"/>
      <c r="O160" s="286"/>
      <c r="P160" s="286"/>
      <c r="Q160" s="299"/>
      <c r="R160" s="299"/>
      <c r="S160" s="299"/>
      <c r="T160" s="299"/>
      <c r="U160" s="286"/>
      <c r="V160" s="286"/>
      <c r="W160" s="286"/>
      <c r="X160" s="286"/>
      <c r="Y160" s="286"/>
      <c r="Z160" s="286"/>
      <c r="AA160" s="286"/>
      <c r="AB160" s="286"/>
      <c r="AC160" s="286"/>
      <c r="AD160" s="286"/>
      <c r="AE160" s="286"/>
      <c r="AF160" s="286"/>
      <c r="AG160" s="286"/>
      <c r="AH160" s="286"/>
      <c r="AI160" s="286"/>
      <c r="AJ160" s="286"/>
      <c r="AK160" s="286"/>
      <c r="AL160" s="286"/>
      <c r="AM160" s="286"/>
      <c r="AN160" s="286"/>
      <c r="AO160" s="286"/>
      <c r="AP160" s="286"/>
      <c r="AQ160" s="286"/>
      <c r="AR160" s="286"/>
      <c r="AS160" s="286"/>
      <c r="AT160" s="286"/>
      <c r="AU160" s="286"/>
      <c r="AV160" s="286"/>
      <c r="AW160" s="286"/>
      <c r="AX160" s="286"/>
      <c r="AY160" s="286"/>
      <c r="AZ160" s="286"/>
      <c r="BA160" s="286"/>
      <c r="BB160" s="286"/>
      <c r="BC160" s="286"/>
      <c r="BD160" s="286"/>
      <c r="BE160" s="286"/>
      <c r="BF160" s="286"/>
      <c r="BG160" s="286"/>
      <c r="BH160" s="286"/>
      <c r="BI160" s="286"/>
      <c r="BJ160" s="286"/>
      <c r="BK160" s="286"/>
      <c r="BL160" s="286"/>
      <c r="BM160" s="286"/>
      <c r="BN160" s="286"/>
      <c r="BO160" s="286"/>
      <c r="BP160" s="286"/>
      <c r="BQ160" s="286"/>
      <c r="BR160" s="286"/>
      <c r="BS160" s="286"/>
      <c r="BT160" s="286"/>
      <c r="BU160" s="286"/>
      <c r="BV160" s="286"/>
      <c r="BW160" s="286"/>
      <c r="BX160" s="286"/>
      <c r="BY160" s="286"/>
      <c r="BZ160" s="286"/>
      <c r="CA160" s="286"/>
      <c r="CB160" s="286"/>
      <c r="CC160" s="286"/>
      <c r="CD160" s="286"/>
      <c r="CE160" s="286"/>
    </row>
    <row r="161" spans="1:83" x14ac:dyDescent="0.25">
      <c r="A161" s="286"/>
      <c r="B161" s="286"/>
      <c r="C161" s="286"/>
      <c r="D161" s="286"/>
      <c r="E161" s="286"/>
      <c r="F161" s="286"/>
      <c r="G161" s="286"/>
      <c r="H161" s="286"/>
      <c r="I161" s="286"/>
      <c r="J161" s="286"/>
      <c r="K161" s="286"/>
      <c r="L161" s="286"/>
      <c r="M161" s="286"/>
      <c r="N161" s="286"/>
      <c r="O161" s="286"/>
      <c r="P161" s="286"/>
      <c r="Q161" s="299"/>
      <c r="R161" s="299"/>
      <c r="S161" s="299"/>
      <c r="T161" s="299"/>
      <c r="U161" s="286"/>
      <c r="V161" s="286"/>
      <c r="W161" s="286"/>
      <c r="X161" s="286"/>
      <c r="Y161" s="286"/>
      <c r="Z161" s="286"/>
      <c r="AA161" s="286"/>
      <c r="AB161" s="286"/>
      <c r="AC161" s="286"/>
      <c r="AD161" s="286"/>
      <c r="AE161" s="286"/>
      <c r="AF161" s="286"/>
      <c r="AG161" s="286"/>
      <c r="AH161" s="286"/>
      <c r="AI161" s="286"/>
      <c r="AJ161" s="286"/>
      <c r="AK161" s="286"/>
      <c r="AL161" s="286"/>
      <c r="AM161" s="286"/>
      <c r="AN161" s="286"/>
      <c r="AO161" s="286"/>
      <c r="AP161" s="286"/>
      <c r="AQ161" s="286"/>
      <c r="AR161" s="286"/>
      <c r="AS161" s="286"/>
      <c r="AT161" s="286"/>
      <c r="AU161" s="286"/>
      <c r="AV161" s="286"/>
      <c r="AW161" s="286"/>
      <c r="AX161" s="286"/>
      <c r="AY161" s="286"/>
      <c r="AZ161" s="286"/>
      <c r="BA161" s="286"/>
      <c r="BB161" s="286"/>
      <c r="BC161" s="286"/>
      <c r="BD161" s="286"/>
      <c r="BE161" s="286"/>
      <c r="BF161" s="286"/>
      <c r="BG161" s="286"/>
      <c r="BH161" s="286"/>
      <c r="BI161" s="286"/>
      <c r="BJ161" s="286"/>
      <c r="BK161" s="286"/>
      <c r="BL161" s="286"/>
      <c r="BM161" s="286"/>
      <c r="BN161" s="286"/>
      <c r="BO161" s="286"/>
      <c r="BP161" s="286"/>
      <c r="BQ161" s="286"/>
      <c r="BR161" s="286"/>
      <c r="BS161" s="286"/>
      <c r="BT161" s="286"/>
      <c r="BU161" s="286"/>
      <c r="BV161" s="286"/>
      <c r="BW161" s="286"/>
      <c r="BX161" s="286"/>
      <c r="BY161" s="286"/>
      <c r="BZ161" s="286"/>
      <c r="CA161" s="286"/>
      <c r="CB161" s="286"/>
      <c r="CC161" s="286"/>
      <c r="CD161" s="286"/>
      <c r="CE161" s="286"/>
    </row>
    <row r="162" spans="1:83" x14ac:dyDescent="0.25">
      <c r="A162" s="286"/>
      <c r="B162" s="286"/>
      <c r="C162" s="286"/>
      <c r="D162" s="286"/>
      <c r="E162" s="286"/>
      <c r="F162" s="286"/>
      <c r="G162" s="286"/>
      <c r="H162" s="286"/>
      <c r="I162" s="286"/>
      <c r="J162" s="286"/>
      <c r="K162" s="286"/>
      <c r="L162" s="286"/>
      <c r="M162" s="286"/>
      <c r="N162" s="286"/>
      <c r="O162" s="286"/>
      <c r="P162" s="286"/>
      <c r="Q162" s="299"/>
      <c r="R162" s="299"/>
      <c r="S162" s="299"/>
      <c r="T162" s="299"/>
      <c r="U162" s="286"/>
      <c r="V162" s="286"/>
      <c r="W162" s="286"/>
      <c r="X162" s="286"/>
      <c r="Y162" s="286"/>
      <c r="Z162" s="286"/>
      <c r="AA162" s="286"/>
      <c r="AB162" s="286"/>
      <c r="AC162" s="286"/>
      <c r="AD162" s="286"/>
      <c r="AE162" s="286"/>
      <c r="AF162" s="286"/>
      <c r="AG162" s="286"/>
      <c r="AH162" s="286"/>
      <c r="AI162" s="286"/>
      <c r="AJ162" s="286"/>
      <c r="AK162" s="286"/>
      <c r="AL162" s="286"/>
      <c r="AM162" s="286"/>
      <c r="AN162" s="286"/>
      <c r="AO162" s="286"/>
      <c r="AP162" s="286"/>
      <c r="AQ162" s="286"/>
      <c r="AR162" s="286"/>
      <c r="AS162" s="286"/>
      <c r="AT162" s="286"/>
      <c r="AU162" s="286"/>
      <c r="AV162" s="286"/>
      <c r="AW162" s="286"/>
      <c r="AX162" s="286"/>
      <c r="AY162" s="286"/>
      <c r="AZ162" s="286"/>
      <c r="BA162" s="286"/>
      <c r="BB162" s="286"/>
      <c r="BC162" s="286"/>
      <c r="BD162" s="286"/>
      <c r="BE162" s="286"/>
      <c r="BF162" s="286"/>
      <c r="BG162" s="286"/>
      <c r="BH162" s="286"/>
      <c r="BI162" s="286"/>
      <c r="BJ162" s="286"/>
      <c r="BK162" s="286"/>
      <c r="BL162" s="286"/>
      <c r="BM162" s="286"/>
      <c r="BN162" s="286"/>
      <c r="BO162" s="286"/>
      <c r="BP162" s="286"/>
      <c r="BQ162" s="286"/>
      <c r="BR162" s="286"/>
      <c r="BS162" s="286"/>
      <c r="BT162" s="286"/>
      <c r="BU162" s="286"/>
      <c r="BV162" s="286"/>
      <c r="BW162" s="286"/>
      <c r="BX162" s="286"/>
      <c r="BY162" s="286"/>
      <c r="BZ162" s="286"/>
      <c r="CA162" s="286"/>
      <c r="CB162" s="286"/>
      <c r="CC162" s="286"/>
      <c r="CD162" s="286"/>
      <c r="CE162" s="286"/>
    </row>
    <row r="163" spans="1:83" x14ac:dyDescent="0.25">
      <c r="A163" s="286"/>
      <c r="B163" s="286"/>
      <c r="C163" s="286"/>
      <c r="D163" s="286"/>
      <c r="E163" s="286"/>
      <c r="F163" s="286"/>
      <c r="G163" s="286"/>
      <c r="H163" s="286"/>
      <c r="I163" s="286"/>
      <c r="J163" s="286"/>
      <c r="K163" s="286"/>
      <c r="L163" s="286"/>
      <c r="M163" s="286"/>
      <c r="N163" s="286"/>
      <c r="O163" s="286"/>
      <c r="P163" s="286"/>
      <c r="Q163" s="299"/>
      <c r="R163" s="299"/>
      <c r="S163" s="299"/>
      <c r="T163" s="299"/>
      <c r="U163" s="286"/>
      <c r="V163" s="286"/>
      <c r="W163" s="286"/>
      <c r="X163" s="286"/>
      <c r="Y163" s="286"/>
      <c r="Z163" s="286"/>
      <c r="AA163" s="286"/>
      <c r="AB163" s="286"/>
      <c r="AC163" s="286"/>
      <c r="AD163" s="286"/>
      <c r="AE163" s="286"/>
      <c r="AF163" s="286"/>
      <c r="AG163" s="286"/>
      <c r="AH163" s="286"/>
      <c r="AI163" s="286"/>
      <c r="AJ163" s="286"/>
      <c r="AK163" s="286"/>
      <c r="AL163" s="286"/>
      <c r="AM163" s="286"/>
      <c r="AN163" s="286"/>
      <c r="AO163" s="286"/>
      <c r="AP163" s="286"/>
      <c r="AQ163" s="286"/>
      <c r="AR163" s="286"/>
      <c r="AS163" s="286"/>
      <c r="AT163" s="286"/>
      <c r="AU163" s="286"/>
      <c r="AV163" s="286"/>
      <c r="AW163" s="286"/>
      <c r="AX163" s="286"/>
      <c r="AY163" s="286"/>
      <c r="AZ163" s="286"/>
      <c r="BA163" s="286"/>
      <c r="BB163" s="286"/>
      <c r="BC163" s="286"/>
      <c r="BD163" s="286"/>
      <c r="BE163" s="286"/>
      <c r="BF163" s="286"/>
      <c r="BG163" s="286"/>
      <c r="BH163" s="286"/>
      <c r="BI163" s="286"/>
      <c r="BJ163" s="286"/>
      <c r="BK163" s="286"/>
      <c r="BL163" s="286"/>
      <c r="BM163" s="286"/>
      <c r="BN163" s="286"/>
      <c r="BO163" s="286"/>
      <c r="BP163" s="286"/>
      <c r="BQ163" s="286"/>
      <c r="BR163" s="286"/>
      <c r="BS163" s="286"/>
      <c r="BT163" s="286"/>
      <c r="BU163" s="286"/>
      <c r="BV163" s="286"/>
      <c r="BW163" s="286"/>
      <c r="BX163" s="286"/>
      <c r="BY163" s="286"/>
      <c r="BZ163" s="286"/>
      <c r="CA163" s="286"/>
      <c r="CB163" s="286"/>
      <c r="CC163" s="286"/>
      <c r="CD163" s="286"/>
      <c r="CE163" s="286"/>
    </row>
    <row r="164" spans="1:83" x14ac:dyDescent="0.25">
      <c r="A164" s="286"/>
      <c r="B164" s="286"/>
      <c r="C164" s="286"/>
      <c r="D164" s="286"/>
      <c r="E164" s="286"/>
      <c r="F164" s="286"/>
      <c r="G164" s="286"/>
      <c r="H164" s="286"/>
      <c r="I164" s="286"/>
      <c r="J164" s="286"/>
      <c r="K164" s="286"/>
      <c r="L164" s="286"/>
      <c r="M164" s="286"/>
      <c r="N164" s="286"/>
      <c r="O164" s="286"/>
      <c r="P164" s="286"/>
      <c r="Q164" s="299"/>
      <c r="R164" s="299"/>
      <c r="S164" s="299"/>
      <c r="T164" s="299"/>
      <c r="U164" s="286"/>
      <c r="V164" s="286"/>
      <c r="W164" s="286"/>
      <c r="X164" s="286"/>
      <c r="Y164" s="286"/>
      <c r="Z164" s="286"/>
      <c r="AA164" s="286"/>
      <c r="AB164" s="286"/>
      <c r="AC164" s="286"/>
      <c r="AD164" s="286"/>
      <c r="AE164" s="286"/>
      <c r="AF164" s="286"/>
      <c r="AG164" s="286"/>
      <c r="AH164" s="286"/>
      <c r="AI164" s="286"/>
      <c r="AJ164" s="286"/>
      <c r="AK164" s="286"/>
      <c r="AL164" s="286"/>
      <c r="AM164" s="286"/>
      <c r="AN164" s="286"/>
      <c r="AO164" s="286"/>
      <c r="AP164" s="286"/>
      <c r="AQ164" s="286"/>
      <c r="AR164" s="286"/>
      <c r="AS164" s="286"/>
      <c r="AT164" s="286"/>
      <c r="AU164" s="286"/>
      <c r="AV164" s="286"/>
      <c r="AW164" s="286"/>
      <c r="AX164" s="286"/>
      <c r="AY164" s="286"/>
      <c r="AZ164" s="286"/>
      <c r="BA164" s="286"/>
      <c r="BB164" s="286"/>
      <c r="BC164" s="286"/>
      <c r="BD164" s="286"/>
      <c r="BE164" s="286"/>
      <c r="BF164" s="286"/>
      <c r="BG164" s="286"/>
      <c r="BH164" s="286"/>
      <c r="BI164" s="286"/>
      <c r="BJ164" s="286"/>
      <c r="BK164" s="286"/>
      <c r="BL164" s="286"/>
      <c r="BM164" s="286"/>
      <c r="BN164" s="286"/>
      <c r="BO164" s="286"/>
      <c r="BP164" s="286"/>
      <c r="BQ164" s="286"/>
      <c r="BR164" s="286"/>
      <c r="BS164" s="286"/>
      <c r="BT164" s="286"/>
      <c r="BU164" s="286"/>
      <c r="BV164" s="286"/>
      <c r="BW164" s="286"/>
      <c r="BX164" s="286"/>
      <c r="BY164" s="286"/>
      <c r="BZ164" s="286"/>
      <c r="CA164" s="286"/>
      <c r="CB164" s="286"/>
      <c r="CC164" s="286"/>
      <c r="CD164" s="286"/>
      <c r="CE164" s="286"/>
    </row>
    <row r="165" spans="1:83" x14ac:dyDescent="0.25">
      <c r="A165" s="286"/>
      <c r="B165" s="286"/>
      <c r="C165" s="286"/>
      <c r="D165" s="286"/>
      <c r="E165" s="286"/>
      <c r="F165" s="286"/>
      <c r="G165" s="286"/>
      <c r="H165" s="286"/>
      <c r="I165" s="286"/>
      <c r="J165" s="286"/>
      <c r="K165" s="286"/>
      <c r="L165" s="286"/>
      <c r="M165" s="286"/>
      <c r="N165" s="286"/>
      <c r="O165" s="286"/>
      <c r="P165" s="286"/>
      <c r="Q165" s="299"/>
      <c r="R165" s="299"/>
      <c r="S165" s="299"/>
      <c r="T165" s="299"/>
      <c r="U165" s="286"/>
      <c r="V165" s="286"/>
      <c r="W165" s="286"/>
      <c r="X165" s="286"/>
      <c r="Y165" s="286"/>
      <c r="Z165" s="286"/>
      <c r="AA165" s="286"/>
      <c r="AB165" s="286"/>
      <c r="AC165" s="286"/>
      <c r="AD165" s="286"/>
      <c r="AE165" s="286"/>
      <c r="AF165" s="286"/>
      <c r="AG165" s="286"/>
      <c r="AH165" s="286"/>
      <c r="AI165" s="286"/>
      <c r="AJ165" s="286"/>
      <c r="AK165" s="286"/>
      <c r="AL165" s="286"/>
      <c r="AM165" s="286"/>
      <c r="AN165" s="286"/>
      <c r="AO165" s="286"/>
      <c r="AP165" s="286"/>
      <c r="AQ165" s="286"/>
      <c r="AR165" s="286"/>
      <c r="AS165" s="286"/>
      <c r="AT165" s="286"/>
      <c r="AU165" s="286"/>
      <c r="AV165" s="286"/>
      <c r="AW165" s="286"/>
      <c r="AX165" s="286"/>
      <c r="AY165" s="286"/>
      <c r="AZ165" s="286"/>
      <c r="BA165" s="286"/>
      <c r="BB165" s="286"/>
      <c r="BC165" s="286"/>
      <c r="BD165" s="286"/>
      <c r="BE165" s="286"/>
      <c r="BF165" s="286"/>
      <c r="BG165" s="286"/>
      <c r="BH165" s="286"/>
      <c r="BI165" s="286"/>
      <c r="BJ165" s="286"/>
      <c r="BK165" s="286"/>
      <c r="BL165" s="286"/>
      <c r="BM165" s="286"/>
      <c r="BN165" s="286"/>
      <c r="BO165" s="286"/>
      <c r="BP165" s="286"/>
      <c r="BQ165" s="286"/>
      <c r="BR165" s="286"/>
      <c r="BS165" s="286"/>
      <c r="BT165" s="286"/>
      <c r="BU165" s="286"/>
      <c r="BV165" s="286"/>
      <c r="BW165" s="286"/>
      <c r="BX165" s="286"/>
      <c r="BY165" s="286"/>
      <c r="BZ165" s="286"/>
      <c r="CA165" s="286"/>
      <c r="CB165" s="286"/>
      <c r="CC165" s="286"/>
      <c r="CD165" s="286"/>
      <c r="CE165" s="286"/>
    </row>
    <row r="166" spans="1:83" x14ac:dyDescent="0.25">
      <c r="A166" s="286"/>
      <c r="B166" s="286"/>
      <c r="C166" s="286"/>
      <c r="D166" s="286"/>
      <c r="E166" s="286"/>
      <c r="F166" s="286"/>
      <c r="G166" s="286"/>
      <c r="H166" s="286"/>
      <c r="I166" s="286"/>
      <c r="J166" s="286"/>
      <c r="K166" s="286"/>
      <c r="L166" s="286"/>
      <c r="M166" s="286"/>
      <c r="N166" s="286"/>
      <c r="O166" s="286"/>
      <c r="P166" s="286"/>
      <c r="Q166" s="299"/>
      <c r="R166" s="299"/>
      <c r="S166" s="299"/>
      <c r="T166" s="299"/>
      <c r="U166" s="286"/>
      <c r="V166" s="286"/>
      <c r="W166" s="286"/>
      <c r="X166" s="286"/>
      <c r="Y166" s="286"/>
      <c r="Z166" s="286"/>
      <c r="AA166" s="286"/>
      <c r="AB166" s="286"/>
      <c r="AC166" s="286"/>
      <c r="AD166" s="286"/>
      <c r="AE166" s="286"/>
      <c r="AF166" s="286"/>
      <c r="AG166" s="286"/>
      <c r="AH166" s="286"/>
      <c r="AI166" s="286"/>
      <c r="AJ166" s="286"/>
      <c r="AK166" s="286"/>
      <c r="AL166" s="286"/>
      <c r="AM166" s="286"/>
      <c r="AN166" s="286"/>
      <c r="AO166" s="286"/>
      <c r="AP166" s="286"/>
      <c r="AQ166" s="286"/>
      <c r="AR166" s="286"/>
      <c r="AS166" s="286"/>
      <c r="AT166" s="286"/>
      <c r="AU166" s="286"/>
      <c r="AV166" s="286"/>
      <c r="AW166" s="286"/>
      <c r="AX166" s="286"/>
      <c r="AY166" s="286"/>
      <c r="AZ166" s="286"/>
      <c r="BA166" s="286"/>
      <c r="BB166" s="286"/>
      <c r="BC166" s="286"/>
      <c r="BD166" s="286"/>
      <c r="BE166" s="286"/>
      <c r="BF166" s="286"/>
      <c r="BG166" s="286"/>
      <c r="BH166" s="286"/>
      <c r="BI166" s="286"/>
      <c r="BJ166" s="286"/>
      <c r="BK166" s="286"/>
      <c r="BL166" s="286"/>
      <c r="BM166" s="286"/>
      <c r="BN166" s="286"/>
      <c r="BO166" s="286"/>
      <c r="BP166" s="286"/>
      <c r="BQ166" s="286"/>
      <c r="BR166" s="286"/>
      <c r="BS166" s="286"/>
      <c r="BT166" s="286"/>
      <c r="BU166" s="286"/>
      <c r="BV166" s="286"/>
      <c r="BW166" s="286"/>
      <c r="BX166" s="286"/>
      <c r="BY166" s="286"/>
      <c r="BZ166" s="286"/>
      <c r="CA166" s="286"/>
      <c r="CB166" s="286"/>
      <c r="CC166" s="286"/>
      <c r="CD166" s="286"/>
      <c r="CE166" s="286"/>
    </row>
    <row r="167" spans="1:83" x14ac:dyDescent="0.25">
      <c r="A167" s="286"/>
      <c r="B167" s="286"/>
      <c r="C167" s="286"/>
      <c r="D167" s="286"/>
      <c r="E167" s="286"/>
      <c r="F167" s="286"/>
      <c r="G167" s="286"/>
      <c r="H167" s="286"/>
      <c r="I167" s="286"/>
      <c r="J167" s="286"/>
      <c r="K167" s="286"/>
      <c r="L167" s="286"/>
      <c r="M167" s="286"/>
      <c r="N167" s="286"/>
      <c r="O167" s="286"/>
      <c r="P167" s="286"/>
      <c r="Q167" s="299"/>
      <c r="R167" s="299"/>
      <c r="S167" s="299"/>
      <c r="T167" s="299"/>
      <c r="U167" s="286"/>
      <c r="V167" s="286"/>
      <c r="W167" s="286"/>
      <c r="X167" s="286"/>
      <c r="Y167" s="286"/>
      <c r="Z167" s="286"/>
      <c r="AA167" s="286"/>
      <c r="AB167" s="286"/>
      <c r="AC167" s="286"/>
      <c r="AD167" s="286"/>
      <c r="AE167" s="286"/>
      <c r="AF167" s="286"/>
      <c r="AG167" s="286"/>
      <c r="AH167" s="286"/>
      <c r="AI167" s="286"/>
      <c r="AJ167" s="286"/>
      <c r="AK167" s="286"/>
      <c r="AL167" s="286"/>
      <c r="AM167" s="286"/>
      <c r="AN167" s="286"/>
      <c r="AO167" s="286"/>
      <c r="AP167" s="286"/>
      <c r="AQ167" s="286"/>
      <c r="AR167" s="286"/>
      <c r="AS167" s="286"/>
      <c r="AT167" s="286"/>
      <c r="AU167" s="286"/>
      <c r="AV167" s="286"/>
      <c r="AW167" s="286"/>
      <c r="AX167" s="286"/>
      <c r="AY167" s="286"/>
      <c r="AZ167" s="286"/>
      <c r="BA167" s="286"/>
      <c r="BB167" s="286"/>
      <c r="BC167" s="286"/>
      <c r="BD167" s="286"/>
      <c r="BE167" s="286"/>
      <c r="BF167" s="286"/>
      <c r="BG167" s="286"/>
      <c r="BH167" s="286"/>
      <c r="BI167" s="286"/>
      <c r="BJ167" s="286"/>
      <c r="BK167" s="286"/>
      <c r="BL167" s="286"/>
      <c r="BM167" s="286"/>
      <c r="BN167" s="286"/>
      <c r="BO167" s="286"/>
      <c r="BP167" s="286"/>
      <c r="BQ167" s="286"/>
      <c r="BR167" s="286"/>
      <c r="BS167" s="286"/>
      <c r="BT167" s="286"/>
      <c r="BU167" s="286"/>
      <c r="BV167" s="286"/>
      <c r="BW167" s="286"/>
      <c r="BX167" s="286"/>
      <c r="BY167" s="286"/>
      <c r="BZ167" s="286"/>
      <c r="CA167" s="286"/>
      <c r="CB167" s="286"/>
      <c r="CC167" s="286"/>
      <c r="CD167" s="286"/>
      <c r="CE167" s="286"/>
    </row>
    <row r="168" spans="1:83" x14ac:dyDescent="0.25">
      <c r="A168" s="286"/>
      <c r="B168" s="286"/>
      <c r="C168" s="286"/>
      <c r="D168" s="286"/>
      <c r="E168" s="286"/>
      <c r="F168" s="286"/>
      <c r="G168" s="286"/>
      <c r="H168" s="286"/>
      <c r="I168" s="286"/>
      <c r="J168" s="286"/>
      <c r="K168" s="286"/>
      <c r="L168" s="286"/>
      <c r="M168" s="286"/>
      <c r="N168" s="286"/>
      <c r="O168" s="286"/>
      <c r="P168" s="286"/>
      <c r="Q168" s="299"/>
      <c r="R168" s="299"/>
      <c r="S168" s="299"/>
      <c r="T168" s="299"/>
      <c r="U168" s="286"/>
      <c r="V168" s="286"/>
      <c r="W168" s="286"/>
      <c r="X168" s="286"/>
      <c r="Y168" s="286"/>
      <c r="Z168" s="286"/>
      <c r="AA168" s="286"/>
      <c r="AB168" s="286"/>
      <c r="AC168" s="286"/>
      <c r="AD168" s="286"/>
      <c r="AE168" s="286"/>
      <c r="AF168" s="286"/>
      <c r="AG168" s="286"/>
      <c r="AH168" s="286"/>
      <c r="AI168" s="286"/>
      <c r="AJ168" s="286"/>
      <c r="AK168" s="286"/>
      <c r="AL168" s="286"/>
      <c r="AM168" s="286"/>
      <c r="AN168" s="286"/>
      <c r="AO168" s="286"/>
      <c r="AP168" s="286"/>
      <c r="AQ168" s="286"/>
      <c r="AR168" s="286"/>
      <c r="AS168" s="286"/>
      <c r="AT168" s="286"/>
      <c r="AU168" s="286"/>
      <c r="AV168" s="286"/>
      <c r="AW168" s="286"/>
      <c r="AX168" s="286"/>
      <c r="AY168" s="286"/>
      <c r="AZ168" s="286"/>
      <c r="BA168" s="286"/>
      <c r="BB168" s="286"/>
      <c r="BC168" s="286"/>
      <c r="BD168" s="286"/>
      <c r="BE168" s="286"/>
      <c r="BF168" s="286"/>
      <c r="BG168" s="286"/>
      <c r="BH168" s="286"/>
      <c r="BI168" s="286"/>
      <c r="BJ168" s="286"/>
      <c r="BK168" s="286"/>
      <c r="BL168" s="286"/>
      <c r="BM168" s="286"/>
      <c r="BN168" s="286"/>
      <c r="BO168" s="286"/>
      <c r="BP168" s="286"/>
      <c r="BQ168" s="286"/>
      <c r="BR168" s="286"/>
      <c r="BS168" s="286"/>
      <c r="BT168" s="286"/>
      <c r="BU168" s="286"/>
      <c r="BV168" s="286"/>
      <c r="BW168" s="286"/>
      <c r="BX168" s="286"/>
      <c r="BY168" s="286"/>
      <c r="BZ168" s="286"/>
      <c r="CA168" s="286"/>
      <c r="CB168" s="286"/>
      <c r="CC168" s="286"/>
      <c r="CD168" s="286"/>
      <c r="CE168" s="286"/>
    </row>
    <row r="169" spans="1:83" x14ac:dyDescent="0.25">
      <c r="A169" s="286"/>
      <c r="B169" s="286"/>
      <c r="C169" s="286"/>
      <c r="D169" s="286"/>
      <c r="E169" s="286"/>
      <c r="F169" s="286"/>
      <c r="G169" s="286"/>
      <c r="H169" s="286"/>
      <c r="I169" s="286"/>
      <c r="J169" s="286"/>
      <c r="K169" s="286"/>
      <c r="L169" s="286"/>
      <c r="M169" s="286"/>
      <c r="N169" s="286"/>
      <c r="O169" s="286"/>
      <c r="P169" s="286"/>
      <c r="Q169" s="299"/>
      <c r="R169" s="299"/>
      <c r="S169" s="299"/>
      <c r="T169" s="299"/>
      <c r="U169" s="286"/>
      <c r="V169" s="286"/>
      <c r="W169" s="286"/>
      <c r="X169" s="286"/>
      <c r="Y169" s="286"/>
      <c r="Z169" s="286"/>
      <c r="AA169" s="286"/>
      <c r="AB169" s="286"/>
      <c r="AC169" s="286"/>
      <c r="AD169" s="286"/>
      <c r="AE169" s="286"/>
      <c r="AF169" s="286"/>
      <c r="AG169" s="286"/>
      <c r="AH169" s="286"/>
      <c r="AI169" s="286"/>
      <c r="AJ169" s="286"/>
      <c r="AK169" s="286"/>
      <c r="AL169" s="286"/>
      <c r="AM169" s="286"/>
      <c r="AN169" s="286"/>
      <c r="AO169" s="286"/>
      <c r="AP169" s="286"/>
      <c r="AQ169" s="286"/>
      <c r="AR169" s="286"/>
      <c r="AS169" s="286"/>
      <c r="AT169" s="286"/>
      <c r="AU169" s="286"/>
      <c r="AV169" s="286"/>
      <c r="AW169" s="286"/>
      <c r="AX169" s="286"/>
      <c r="AY169" s="286"/>
      <c r="AZ169" s="286"/>
      <c r="BA169" s="286"/>
      <c r="BB169" s="286"/>
      <c r="BC169" s="286"/>
      <c r="BD169" s="286"/>
      <c r="BE169" s="286"/>
      <c r="BF169" s="286"/>
      <c r="BG169" s="286"/>
      <c r="BH169" s="286"/>
      <c r="BI169" s="286"/>
      <c r="BJ169" s="286"/>
      <c r="BK169" s="286"/>
      <c r="BL169" s="286"/>
      <c r="BM169" s="286"/>
      <c r="BN169" s="286"/>
      <c r="BO169" s="286"/>
      <c r="BP169" s="286"/>
      <c r="BQ169" s="286"/>
      <c r="BR169" s="286"/>
      <c r="BS169" s="286"/>
      <c r="BT169" s="286"/>
      <c r="BU169" s="286"/>
      <c r="BV169" s="286"/>
      <c r="BW169" s="286"/>
      <c r="BX169" s="286"/>
      <c r="BY169" s="286"/>
      <c r="BZ169" s="286"/>
      <c r="CA169" s="286"/>
      <c r="CB169" s="286"/>
      <c r="CC169" s="286"/>
      <c r="CD169" s="286"/>
      <c r="CE169" s="286"/>
    </row>
    <row r="170" spans="1:83" x14ac:dyDescent="0.25">
      <c r="A170" s="286"/>
      <c r="B170" s="286"/>
      <c r="C170" s="286"/>
      <c r="D170" s="286"/>
      <c r="E170" s="286"/>
      <c r="F170" s="286"/>
      <c r="G170" s="286"/>
      <c r="H170" s="286"/>
      <c r="I170" s="286"/>
      <c r="J170" s="286"/>
      <c r="K170" s="286"/>
      <c r="L170" s="286"/>
      <c r="M170" s="286"/>
      <c r="N170" s="286"/>
      <c r="O170" s="286"/>
      <c r="P170" s="286"/>
      <c r="Q170" s="299"/>
      <c r="R170" s="299"/>
      <c r="S170" s="299"/>
      <c r="T170" s="299"/>
      <c r="U170" s="286"/>
      <c r="V170" s="286"/>
      <c r="W170" s="286"/>
      <c r="X170" s="286"/>
      <c r="Y170" s="286"/>
      <c r="Z170" s="286"/>
      <c r="AA170" s="286"/>
      <c r="AB170" s="286"/>
      <c r="AC170" s="286"/>
      <c r="AD170" s="286"/>
      <c r="AE170" s="286"/>
      <c r="AF170" s="286"/>
      <c r="AG170" s="286"/>
      <c r="AH170" s="286"/>
      <c r="AI170" s="286"/>
      <c r="AJ170" s="286"/>
      <c r="AK170" s="286"/>
      <c r="AL170" s="286"/>
      <c r="AM170" s="286"/>
      <c r="AN170" s="286"/>
      <c r="AO170" s="286"/>
      <c r="AP170" s="286"/>
      <c r="AQ170" s="286"/>
      <c r="AR170" s="286"/>
      <c r="AS170" s="286"/>
      <c r="AT170" s="286"/>
      <c r="AU170" s="286"/>
      <c r="AV170" s="286"/>
      <c r="AW170" s="286"/>
      <c r="AX170" s="286"/>
      <c r="AY170" s="286"/>
      <c r="AZ170" s="286"/>
      <c r="BA170" s="286"/>
      <c r="BB170" s="286"/>
      <c r="BC170" s="286"/>
      <c r="BD170" s="286"/>
      <c r="BE170" s="286"/>
      <c r="BF170" s="286"/>
      <c r="BG170" s="286"/>
      <c r="BH170" s="286"/>
      <c r="BI170" s="286"/>
      <c r="BJ170" s="286"/>
      <c r="BK170" s="286"/>
      <c r="BL170" s="286"/>
      <c r="BM170" s="286"/>
      <c r="BN170" s="286"/>
      <c r="BO170" s="286"/>
      <c r="BP170" s="286"/>
      <c r="BQ170" s="286"/>
      <c r="BR170" s="286"/>
      <c r="BS170" s="286"/>
      <c r="BT170" s="286"/>
      <c r="BU170" s="286"/>
      <c r="BV170" s="286"/>
      <c r="BW170" s="286"/>
      <c r="BX170" s="286"/>
      <c r="BY170" s="286"/>
      <c r="BZ170" s="286"/>
      <c r="CA170" s="286"/>
      <c r="CB170" s="286"/>
      <c r="CC170" s="286"/>
      <c r="CD170" s="286"/>
      <c r="CE170" s="286"/>
    </row>
    <row r="171" spans="1:83" x14ac:dyDescent="0.25">
      <c r="A171" s="286"/>
      <c r="B171" s="286"/>
      <c r="C171" s="286"/>
      <c r="D171" s="286"/>
      <c r="E171" s="286"/>
      <c r="F171" s="286"/>
      <c r="G171" s="286"/>
      <c r="H171" s="286"/>
      <c r="I171" s="286"/>
      <c r="J171" s="286"/>
      <c r="K171" s="286"/>
      <c r="L171" s="286"/>
      <c r="M171" s="286"/>
      <c r="N171" s="286"/>
      <c r="O171" s="286"/>
      <c r="P171" s="286"/>
      <c r="Q171" s="299"/>
      <c r="R171" s="299"/>
      <c r="S171" s="299"/>
      <c r="T171" s="299"/>
      <c r="U171" s="286"/>
      <c r="V171" s="286"/>
      <c r="W171" s="286"/>
      <c r="X171" s="286"/>
      <c r="Y171" s="286"/>
      <c r="Z171" s="286"/>
      <c r="AA171" s="286"/>
      <c r="AB171" s="286"/>
      <c r="AC171" s="286"/>
      <c r="AD171" s="286"/>
      <c r="AE171" s="286"/>
      <c r="AF171" s="286"/>
      <c r="AG171" s="286"/>
      <c r="AH171" s="286"/>
      <c r="AI171" s="286"/>
      <c r="AJ171" s="286"/>
      <c r="AK171" s="286"/>
      <c r="AL171" s="286"/>
      <c r="AM171" s="286"/>
      <c r="AN171" s="286"/>
      <c r="AO171" s="286"/>
      <c r="AP171" s="286"/>
      <c r="AQ171" s="286"/>
      <c r="AR171" s="286"/>
      <c r="AS171" s="286"/>
      <c r="AT171" s="286"/>
      <c r="AU171" s="286"/>
      <c r="AV171" s="286"/>
      <c r="AW171" s="286"/>
      <c r="AX171" s="286"/>
      <c r="AY171" s="286"/>
      <c r="AZ171" s="286"/>
      <c r="BA171" s="286"/>
      <c r="BB171" s="286"/>
      <c r="BC171" s="286"/>
      <c r="BD171" s="286"/>
      <c r="BE171" s="286"/>
      <c r="BF171" s="286"/>
      <c r="BG171" s="286"/>
      <c r="BH171" s="286"/>
      <c r="BI171" s="286"/>
      <c r="BJ171" s="286"/>
      <c r="BK171" s="286"/>
      <c r="BL171" s="286"/>
      <c r="BM171" s="286"/>
      <c r="BN171" s="286"/>
      <c r="BO171" s="286"/>
      <c r="BP171" s="286"/>
      <c r="BQ171" s="286"/>
      <c r="BR171" s="286"/>
      <c r="BS171" s="286"/>
      <c r="BT171" s="286"/>
      <c r="BU171" s="286"/>
      <c r="BV171" s="286"/>
      <c r="BW171" s="286"/>
      <c r="BX171" s="286"/>
      <c r="BY171" s="286"/>
      <c r="BZ171" s="286"/>
      <c r="CA171" s="286"/>
      <c r="CB171" s="286"/>
      <c r="CC171" s="286"/>
      <c r="CD171" s="286"/>
      <c r="CE171" s="286"/>
    </row>
    <row r="172" spans="1:83" x14ac:dyDescent="0.25">
      <c r="A172" s="286"/>
      <c r="B172" s="286"/>
      <c r="C172" s="286"/>
      <c r="D172" s="286"/>
      <c r="E172" s="286"/>
      <c r="F172" s="286"/>
      <c r="G172" s="286"/>
      <c r="H172" s="286"/>
      <c r="I172" s="286"/>
      <c r="J172" s="286"/>
      <c r="K172" s="286"/>
      <c r="L172" s="286"/>
      <c r="M172" s="286"/>
      <c r="N172" s="286"/>
      <c r="O172" s="286"/>
      <c r="P172" s="286"/>
      <c r="Q172" s="299"/>
      <c r="R172" s="299"/>
      <c r="S172" s="299"/>
      <c r="T172" s="299"/>
      <c r="U172" s="286"/>
      <c r="V172" s="286"/>
      <c r="W172" s="286"/>
      <c r="X172" s="286"/>
      <c r="Y172" s="286"/>
      <c r="Z172" s="286"/>
      <c r="AA172" s="286"/>
      <c r="AB172" s="286"/>
      <c r="AC172" s="286"/>
      <c r="AD172" s="286"/>
      <c r="AE172" s="286"/>
      <c r="AF172" s="286"/>
      <c r="AG172" s="286"/>
      <c r="AH172" s="286"/>
      <c r="AI172" s="286"/>
      <c r="AJ172" s="286"/>
      <c r="AK172" s="286"/>
      <c r="AL172" s="286"/>
      <c r="AM172" s="286"/>
      <c r="AN172" s="286"/>
      <c r="AO172" s="286"/>
      <c r="AP172" s="286"/>
      <c r="AQ172" s="286"/>
      <c r="AR172" s="286"/>
      <c r="AS172" s="286"/>
      <c r="AT172" s="286"/>
      <c r="AU172" s="286"/>
      <c r="AV172" s="286"/>
      <c r="AW172" s="286"/>
      <c r="AX172" s="286"/>
      <c r="AY172" s="286"/>
      <c r="AZ172" s="286"/>
      <c r="BA172" s="286"/>
      <c r="BB172" s="286"/>
      <c r="BC172" s="286"/>
      <c r="BD172" s="286"/>
      <c r="BE172" s="286"/>
      <c r="BF172" s="286"/>
      <c r="BG172" s="286"/>
      <c r="BH172" s="286"/>
      <c r="BI172" s="286"/>
      <c r="BJ172" s="286"/>
      <c r="BK172" s="286"/>
      <c r="BL172" s="286"/>
      <c r="BM172" s="286"/>
      <c r="BN172" s="286"/>
      <c r="BO172" s="286"/>
      <c r="BP172" s="286"/>
      <c r="BQ172" s="286"/>
      <c r="BR172" s="286"/>
      <c r="BS172" s="286"/>
      <c r="BT172" s="286"/>
      <c r="BU172" s="286"/>
      <c r="BV172" s="286"/>
      <c r="BW172" s="286"/>
      <c r="BX172" s="286"/>
      <c r="BY172" s="286"/>
      <c r="BZ172" s="286"/>
      <c r="CA172" s="286"/>
      <c r="CB172" s="286"/>
      <c r="CC172" s="286"/>
      <c r="CD172" s="286"/>
      <c r="CE172" s="286"/>
    </row>
    <row r="173" spans="1:83" x14ac:dyDescent="0.25">
      <c r="A173" s="286"/>
      <c r="B173" s="286"/>
      <c r="C173" s="286"/>
      <c r="D173" s="286"/>
      <c r="E173" s="286"/>
      <c r="F173" s="286"/>
      <c r="G173" s="286"/>
      <c r="H173" s="286"/>
      <c r="I173" s="286"/>
      <c r="J173" s="286"/>
      <c r="K173" s="286"/>
      <c r="L173" s="286"/>
      <c r="M173" s="286"/>
      <c r="N173" s="286"/>
      <c r="O173" s="286"/>
      <c r="P173" s="286"/>
      <c r="Q173" s="299"/>
      <c r="R173" s="299"/>
      <c r="S173" s="299"/>
      <c r="T173" s="299"/>
      <c r="U173" s="286"/>
      <c r="V173" s="286"/>
      <c r="W173" s="286"/>
      <c r="X173" s="286"/>
      <c r="Y173" s="286"/>
      <c r="Z173" s="286"/>
      <c r="AA173" s="286"/>
      <c r="AB173" s="286"/>
      <c r="AC173" s="286"/>
      <c r="AD173" s="286"/>
      <c r="AE173" s="286"/>
      <c r="AF173" s="286"/>
      <c r="AG173" s="286"/>
      <c r="AH173" s="286"/>
      <c r="AI173" s="286"/>
      <c r="AJ173" s="286"/>
      <c r="AK173" s="286"/>
      <c r="AL173" s="286"/>
      <c r="AM173" s="286"/>
      <c r="AN173" s="286"/>
      <c r="AO173" s="286"/>
      <c r="AP173" s="286"/>
      <c r="AQ173" s="286"/>
      <c r="AR173" s="286"/>
      <c r="AS173" s="286"/>
      <c r="AT173" s="286"/>
      <c r="AU173" s="286"/>
      <c r="AV173" s="286"/>
      <c r="AW173" s="286"/>
      <c r="AX173" s="286"/>
      <c r="AY173" s="286"/>
      <c r="AZ173" s="286"/>
      <c r="BA173" s="286"/>
      <c r="BB173" s="286"/>
      <c r="BC173" s="286"/>
      <c r="BD173" s="286"/>
      <c r="BE173" s="286"/>
      <c r="BF173" s="286"/>
      <c r="BG173" s="286"/>
      <c r="BH173" s="286"/>
      <c r="BI173" s="286"/>
      <c r="BJ173" s="286"/>
      <c r="BK173" s="286"/>
      <c r="BL173" s="286"/>
      <c r="BM173" s="286"/>
      <c r="BN173" s="286"/>
      <c r="BO173" s="286"/>
      <c r="BP173" s="286"/>
      <c r="BQ173" s="286"/>
      <c r="BR173" s="286"/>
      <c r="BS173" s="286"/>
      <c r="BT173" s="286"/>
      <c r="BU173" s="286"/>
      <c r="BV173" s="286"/>
      <c r="BW173" s="286"/>
      <c r="BX173" s="286"/>
      <c r="BY173" s="286"/>
      <c r="BZ173" s="286"/>
      <c r="CA173" s="286"/>
      <c r="CB173" s="286"/>
      <c r="CC173" s="286"/>
      <c r="CD173" s="286"/>
      <c r="CE173" s="286"/>
    </row>
    <row r="174" spans="1:83" x14ac:dyDescent="0.25">
      <c r="A174" s="286"/>
      <c r="B174" s="286"/>
      <c r="C174" s="286"/>
      <c r="D174" s="286"/>
      <c r="E174" s="286"/>
      <c r="F174" s="286"/>
      <c r="G174" s="286"/>
      <c r="H174" s="286"/>
      <c r="I174" s="286"/>
      <c r="J174" s="286"/>
      <c r="K174" s="286"/>
      <c r="L174" s="286"/>
      <c r="M174" s="286"/>
      <c r="N174" s="286"/>
      <c r="O174" s="286"/>
      <c r="P174" s="286"/>
      <c r="Q174" s="299"/>
      <c r="R174" s="299"/>
      <c r="S174" s="299"/>
      <c r="T174" s="299"/>
      <c r="U174" s="286"/>
      <c r="V174" s="286"/>
      <c r="W174" s="286"/>
      <c r="X174" s="286"/>
      <c r="Y174" s="286"/>
      <c r="Z174" s="286"/>
      <c r="AA174" s="286"/>
      <c r="AB174" s="286"/>
      <c r="AC174" s="286"/>
      <c r="AD174" s="286"/>
      <c r="AE174" s="286"/>
      <c r="AF174" s="286"/>
      <c r="AG174" s="286"/>
      <c r="AH174" s="286"/>
      <c r="AI174" s="286"/>
      <c r="AJ174" s="286"/>
      <c r="AK174" s="286"/>
      <c r="AL174" s="286"/>
      <c r="AM174" s="286"/>
      <c r="AN174" s="286"/>
      <c r="AO174" s="286"/>
      <c r="AP174" s="286"/>
      <c r="AQ174" s="286"/>
      <c r="AR174" s="286"/>
      <c r="AS174" s="286"/>
      <c r="AT174" s="286"/>
      <c r="AU174" s="286"/>
      <c r="AV174" s="286"/>
      <c r="AW174" s="286"/>
      <c r="AX174" s="286"/>
      <c r="AY174" s="286"/>
      <c r="AZ174" s="286"/>
      <c r="BA174" s="286"/>
      <c r="BB174" s="286"/>
      <c r="BC174" s="286"/>
      <c r="BD174" s="286"/>
      <c r="BE174" s="286"/>
      <c r="BF174" s="286"/>
      <c r="BG174" s="286"/>
      <c r="BH174" s="286"/>
      <c r="BI174" s="286"/>
      <c r="BJ174" s="286"/>
      <c r="BK174" s="286"/>
      <c r="BL174" s="286"/>
      <c r="BM174" s="286"/>
      <c r="BN174" s="286"/>
      <c r="BO174" s="286"/>
      <c r="BP174" s="286"/>
      <c r="BQ174" s="286"/>
      <c r="BR174" s="286"/>
      <c r="BS174" s="286"/>
      <c r="BT174" s="286"/>
      <c r="BU174" s="286"/>
      <c r="BV174" s="286"/>
      <c r="BW174" s="286"/>
      <c r="BX174" s="286"/>
      <c r="BY174" s="286"/>
      <c r="BZ174" s="286"/>
      <c r="CA174" s="286"/>
      <c r="CB174" s="286"/>
      <c r="CC174" s="286"/>
      <c r="CD174" s="286"/>
      <c r="CE174" s="286"/>
    </row>
    <row r="175" spans="1:83" x14ac:dyDescent="0.25">
      <c r="A175" s="286"/>
      <c r="B175" s="286"/>
      <c r="C175" s="286"/>
      <c r="D175" s="286"/>
      <c r="E175" s="286"/>
      <c r="F175" s="286"/>
      <c r="G175" s="286"/>
      <c r="H175" s="286"/>
      <c r="I175" s="286"/>
      <c r="J175" s="286"/>
      <c r="K175" s="286"/>
      <c r="L175" s="286"/>
      <c r="M175" s="286"/>
      <c r="N175" s="286"/>
      <c r="O175" s="286"/>
      <c r="P175" s="286"/>
      <c r="Q175" s="299"/>
      <c r="R175" s="299"/>
      <c r="S175" s="299"/>
      <c r="T175" s="299"/>
      <c r="U175" s="286"/>
      <c r="V175" s="286"/>
      <c r="W175" s="286"/>
      <c r="X175" s="286"/>
      <c r="Y175" s="286"/>
      <c r="Z175" s="286"/>
      <c r="AA175" s="286"/>
      <c r="AB175" s="286"/>
      <c r="AC175" s="286"/>
      <c r="AD175" s="286"/>
      <c r="AE175" s="286"/>
      <c r="AF175" s="286"/>
      <c r="AG175" s="286"/>
      <c r="AH175" s="286"/>
      <c r="AI175" s="286"/>
      <c r="AJ175" s="286"/>
      <c r="AK175" s="286"/>
      <c r="AL175" s="286"/>
      <c r="AM175" s="286"/>
      <c r="AN175" s="286"/>
      <c r="AO175" s="286"/>
      <c r="AP175" s="286"/>
      <c r="AQ175" s="286"/>
      <c r="AR175" s="286"/>
      <c r="AS175" s="286"/>
      <c r="AT175" s="286"/>
      <c r="AU175" s="286"/>
      <c r="AV175" s="286"/>
      <c r="AW175" s="286"/>
      <c r="AX175" s="286"/>
      <c r="AY175" s="286"/>
      <c r="AZ175" s="286"/>
      <c r="BA175" s="286"/>
      <c r="BB175" s="286"/>
      <c r="BC175" s="286"/>
      <c r="BD175" s="286"/>
      <c r="BE175" s="286"/>
      <c r="BF175" s="286"/>
      <c r="BG175" s="286"/>
      <c r="BH175" s="286"/>
      <c r="BI175" s="286"/>
      <c r="BJ175" s="286"/>
      <c r="BK175" s="286"/>
      <c r="BL175" s="286"/>
      <c r="BM175" s="286"/>
      <c r="BN175" s="286"/>
      <c r="BO175" s="286"/>
      <c r="BP175" s="286"/>
      <c r="BQ175" s="286"/>
      <c r="BR175" s="286"/>
      <c r="BS175" s="286"/>
      <c r="BT175" s="286"/>
      <c r="BU175" s="286"/>
      <c r="BV175" s="286"/>
      <c r="BW175" s="286"/>
      <c r="BX175" s="286"/>
      <c r="BY175" s="286"/>
      <c r="BZ175" s="286"/>
      <c r="CA175" s="286"/>
      <c r="CB175" s="286"/>
      <c r="CC175" s="286"/>
      <c r="CD175" s="286"/>
      <c r="CE175" s="286"/>
    </row>
    <row r="176" spans="1:83" x14ac:dyDescent="0.25">
      <c r="A176" s="286"/>
      <c r="B176" s="286"/>
      <c r="C176" s="286"/>
      <c r="D176" s="286"/>
      <c r="E176" s="286"/>
      <c r="F176" s="286"/>
      <c r="G176" s="286"/>
      <c r="H176" s="286"/>
      <c r="I176" s="286"/>
      <c r="J176" s="286"/>
      <c r="K176" s="286"/>
      <c r="L176" s="286"/>
      <c r="M176" s="286"/>
      <c r="N176" s="286"/>
      <c r="O176" s="286"/>
      <c r="P176" s="286"/>
      <c r="Q176" s="299"/>
      <c r="R176" s="299"/>
      <c r="S176" s="299"/>
      <c r="T176" s="299"/>
      <c r="U176" s="286"/>
      <c r="V176" s="286"/>
      <c r="W176" s="286"/>
      <c r="X176" s="286"/>
      <c r="Y176" s="286"/>
      <c r="Z176" s="286"/>
      <c r="AA176" s="286"/>
      <c r="AB176" s="286"/>
      <c r="AC176" s="286"/>
      <c r="AD176" s="286"/>
      <c r="AE176" s="286"/>
      <c r="AF176" s="286"/>
      <c r="AG176" s="286"/>
      <c r="AH176" s="286"/>
      <c r="AI176" s="286"/>
      <c r="AJ176" s="286"/>
      <c r="AK176" s="286"/>
      <c r="AL176" s="286"/>
      <c r="AM176" s="286"/>
      <c r="AN176" s="286"/>
      <c r="AO176" s="286"/>
      <c r="AP176" s="286"/>
      <c r="AQ176" s="286"/>
      <c r="AR176" s="286"/>
      <c r="AS176" s="286"/>
      <c r="AT176" s="286"/>
      <c r="AU176" s="286"/>
      <c r="AV176" s="286"/>
      <c r="AW176" s="286"/>
      <c r="AX176" s="286"/>
      <c r="AY176" s="286"/>
      <c r="AZ176" s="286"/>
      <c r="BA176" s="286"/>
      <c r="BB176" s="286"/>
      <c r="BC176" s="286"/>
      <c r="BD176" s="286"/>
      <c r="BE176" s="286"/>
      <c r="BF176" s="286"/>
      <c r="BG176" s="286"/>
      <c r="BH176" s="286"/>
      <c r="BI176" s="286"/>
      <c r="BJ176" s="286"/>
      <c r="BK176" s="286"/>
      <c r="BL176" s="286"/>
      <c r="BM176" s="286"/>
      <c r="BN176" s="286"/>
      <c r="BO176" s="286"/>
      <c r="BP176" s="286"/>
      <c r="BQ176" s="286"/>
      <c r="BR176" s="286"/>
      <c r="BS176" s="286"/>
      <c r="BT176" s="286"/>
      <c r="BU176" s="286"/>
      <c r="BV176" s="286"/>
      <c r="BW176" s="286"/>
      <c r="BX176" s="286"/>
      <c r="BY176" s="286"/>
      <c r="BZ176" s="286"/>
      <c r="CA176" s="286"/>
      <c r="CB176" s="286"/>
      <c r="CC176" s="286"/>
      <c r="CD176" s="286"/>
      <c r="CE176" s="286"/>
    </row>
    <row r="177" spans="1:83" x14ac:dyDescent="0.25">
      <c r="A177" s="286"/>
      <c r="B177" s="286"/>
      <c r="C177" s="286"/>
      <c r="D177" s="286"/>
      <c r="E177" s="286"/>
      <c r="F177" s="286"/>
      <c r="G177" s="286"/>
      <c r="H177" s="286"/>
      <c r="I177" s="286"/>
      <c r="J177" s="286"/>
      <c r="K177" s="286"/>
      <c r="L177" s="286"/>
      <c r="M177" s="286"/>
      <c r="N177" s="286"/>
      <c r="O177" s="286"/>
      <c r="P177" s="286"/>
      <c r="Q177" s="299"/>
      <c r="R177" s="299"/>
      <c r="S177" s="299"/>
      <c r="T177" s="299"/>
      <c r="U177" s="286"/>
      <c r="V177" s="286"/>
      <c r="W177" s="286"/>
      <c r="X177" s="286"/>
      <c r="Y177" s="286"/>
      <c r="Z177" s="286"/>
      <c r="AA177" s="286"/>
      <c r="AB177" s="286"/>
      <c r="AC177" s="286"/>
      <c r="AD177" s="286"/>
      <c r="AE177" s="286"/>
      <c r="AF177" s="286"/>
      <c r="AG177" s="286"/>
      <c r="AH177" s="286"/>
      <c r="AI177" s="286"/>
      <c r="AJ177" s="286"/>
      <c r="AK177" s="286"/>
      <c r="AL177" s="286"/>
      <c r="AM177" s="286"/>
      <c r="AN177" s="286"/>
      <c r="AO177" s="286"/>
      <c r="AP177" s="286"/>
      <c r="AQ177" s="286"/>
      <c r="AR177" s="286"/>
      <c r="AS177" s="286"/>
      <c r="AT177" s="286"/>
      <c r="AU177" s="286"/>
      <c r="AV177" s="286"/>
      <c r="AW177" s="286"/>
      <c r="AX177" s="286"/>
      <c r="AY177" s="286"/>
      <c r="AZ177" s="286"/>
      <c r="BA177" s="286"/>
      <c r="BB177" s="286"/>
      <c r="BC177" s="286"/>
      <c r="BD177" s="286"/>
      <c r="BE177" s="286"/>
      <c r="BF177" s="286"/>
      <c r="BG177" s="286"/>
      <c r="BH177" s="286"/>
      <c r="BI177" s="286"/>
      <c r="BJ177" s="286"/>
      <c r="BK177" s="286"/>
      <c r="BL177" s="286"/>
      <c r="BM177" s="286"/>
      <c r="BN177" s="286"/>
      <c r="BO177" s="286"/>
      <c r="BP177" s="286"/>
      <c r="BQ177" s="286"/>
      <c r="BR177" s="286"/>
      <c r="BS177" s="286"/>
      <c r="BT177" s="286"/>
      <c r="BU177" s="286"/>
      <c r="BV177" s="286"/>
      <c r="BW177" s="286"/>
      <c r="BX177" s="286"/>
      <c r="BY177" s="286"/>
      <c r="BZ177" s="286"/>
      <c r="CA177" s="286"/>
      <c r="CB177" s="286"/>
      <c r="CC177" s="286"/>
      <c r="CD177" s="286"/>
      <c r="CE177" s="286"/>
    </row>
    <row r="178" spans="1:83" x14ac:dyDescent="0.25">
      <c r="A178" s="286"/>
      <c r="B178" s="286"/>
      <c r="C178" s="286"/>
      <c r="D178" s="286"/>
      <c r="E178" s="286"/>
      <c r="F178" s="286"/>
      <c r="G178" s="286"/>
      <c r="H178" s="286"/>
      <c r="I178" s="286"/>
      <c r="J178" s="286"/>
      <c r="K178" s="286"/>
      <c r="L178" s="286"/>
      <c r="M178" s="286"/>
      <c r="N178" s="286"/>
      <c r="O178" s="286"/>
      <c r="P178" s="286"/>
      <c r="Q178" s="299"/>
      <c r="R178" s="299"/>
      <c r="S178" s="299"/>
      <c r="T178" s="299"/>
      <c r="U178" s="286"/>
      <c r="V178" s="286"/>
      <c r="W178" s="286"/>
      <c r="X178" s="286"/>
      <c r="Y178" s="286"/>
      <c r="Z178" s="286"/>
      <c r="AA178" s="286"/>
      <c r="AB178" s="286"/>
      <c r="AC178" s="286"/>
      <c r="AD178" s="286"/>
      <c r="AE178" s="286"/>
      <c r="AF178" s="286"/>
      <c r="AG178" s="286"/>
      <c r="AH178" s="286"/>
      <c r="AI178" s="286"/>
      <c r="AJ178" s="286"/>
      <c r="AK178" s="286"/>
      <c r="AL178" s="286"/>
      <c r="AM178" s="286"/>
      <c r="AN178" s="286"/>
      <c r="AO178" s="286"/>
      <c r="AP178" s="286"/>
      <c r="AQ178" s="286"/>
      <c r="AR178" s="286"/>
      <c r="AS178" s="286"/>
      <c r="AT178" s="286"/>
      <c r="AU178" s="286"/>
      <c r="AV178" s="286"/>
      <c r="AW178" s="286"/>
      <c r="AX178" s="286"/>
      <c r="AY178" s="286"/>
      <c r="AZ178" s="286"/>
      <c r="BA178" s="286"/>
      <c r="BB178" s="286"/>
      <c r="BC178" s="286"/>
      <c r="BD178" s="286"/>
      <c r="BE178" s="286"/>
      <c r="BF178" s="286"/>
      <c r="BG178" s="286"/>
      <c r="BH178" s="286"/>
      <c r="BI178" s="286"/>
      <c r="BJ178" s="286"/>
      <c r="BK178" s="286"/>
      <c r="BL178" s="286"/>
      <c r="BM178" s="286"/>
      <c r="BN178" s="286"/>
      <c r="BO178" s="286"/>
      <c r="BP178" s="286"/>
      <c r="BQ178" s="286"/>
      <c r="BR178" s="286"/>
      <c r="BS178" s="286"/>
      <c r="BT178" s="286"/>
      <c r="BU178" s="286"/>
      <c r="BV178" s="286"/>
      <c r="BW178" s="286"/>
      <c r="BX178" s="286"/>
      <c r="BY178" s="286"/>
      <c r="BZ178" s="286"/>
      <c r="CA178" s="286"/>
      <c r="CB178" s="286"/>
      <c r="CC178" s="286"/>
      <c r="CD178" s="286"/>
      <c r="CE178" s="286"/>
    </row>
    <row r="179" spans="1:83" x14ac:dyDescent="0.25">
      <c r="A179" s="286"/>
      <c r="B179" s="286"/>
      <c r="C179" s="286"/>
      <c r="D179" s="286"/>
      <c r="E179" s="286"/>
      <c r="F179" s="286"/>
      <c r="G179" s="286"/>
      <c r="H179" s="286"/>
      <c r="I179" s="286"/>
      <c r="J179" s="286"/>
      <c r="K179" s="286"/>
      <c r="L179" s="286"/>
      <c r="M179" s="286"/>
      <c r="N179" s="286"/>
      <c r="O179" s="286"/>
      <c r="P179" s="286"/>
      <c r="Q179" s="299"/>
      <c r="R179" s="299"/>
      <c r="S179" s="299"/>
      <c r="T179" s="299"/>
      <c r="U179" s="286"/>
      <c r="V179" s="286"/>
      <c r="W179" s="286"/>
      <c r="X179" s="286"/>
      <c r="Y179" s="286"/>
      <c r="Z179" s="286"/>
      <c r="AA179" s="286"/>
      <c r="AB179" s="286"/>
      <c r="AC179" s="286"/>
      <c r="AD179" s="286"/>
      <c r="AE179" s="286"/>
      <c r="AF179" s="286"/>
      <c r="AG179" s="286"/>
      <c r="AH179" s="286"/>
      <c r="AI179" s="286"/>
      <c r="AJ179" s="286"/>
      <c r="AK179" s="286"/>
      <c r="AL179" s="286"/>
      <c r="AM179" s="286"/>
      <c r="AN179" s="286"/>
      <c r="AO179" s="286"/>
      <c r="AP179" s="286"/>
      <c r="AQ179" s="286"/>
      <c r="AR179" s="286"/>
      <c r="AS179" s="286"/>
      <c r="AT179" s="286"/>
      <c r="AU179" s="286"/>
      <c r="AV179" s="286"/>
      <c r="AW179" s="286"/>
      <c r="AX179" s="286"/>
      <c r="AY179" s="286"/>
      <c r="AZ179" s="286"/>
      <c r="BA179" s="286"/>
      <c r="BB179" s="286"/>
      <c r="BC179" s="286"/>
      <c r="BD179" s="286"/>
      <c r="BE179" s="286"/>
      <c r="BF179" s="286"/>
      <c r="BG179" s="286"/>
      <c r="BH179" s="286"/>
      <c r="BI179" s="286"/>
      <c r="BJ179" s="286"/>
      <c r="BK179" s="286"/>
      <c r="BL179" s="286"/>
      <c r="BM179" s="286"/>
      <c r="BN179" s="286"/>
      <c r="BO179" s="286"/>
      <c r="BP179" s="286"/>
      <c r="BQ179" s="286"/>
      <c r="BR179" s="286"/>
      <c r="BS179" s="286"/>
      <c r="BT179" s="286"/>
      <c r="BU179" s="286"/>
      <c r="BV179" s="286"/>
      <c r="BW179" s="286"/>
      <c r="BX179" s="286"/>
      <c r="BY179" s="286"/>
      <c r="BZ179" s="286"/>
      <c r="CA179" s="286"/>
      <c r="CB179" s="286"/>
      <c r="CC179" s="286"/>
      <c r="CD179" s="286"/>
      <c r="CE179" s="286"/>
    </row>
    <row r="180" spans="1:83" x14ac:dyDescent="0.25">
      <c r="A180" s="286"/>
      <c r="B180" s="286"/>
      <c r="C180" s="286"/>
      <c r="D180" s="286"/>
      <c r="E180" s="286"/>
      <c r="F180" s="286"/>
      <c r="G180" s="286"/>
      <c r="H180" s="286"/>
      <c r="I180" s="286"/>
      <c r="J180" s="286"/>
      <c r="K180" s="286"/>
      <c r="L180" s="286"/>
      <c r="M180" s="286"/>
      <c r="N180" s="286"/>
      <c r="O180" s="286"/>
      <c r="P180" s="286"/>
      <c r="Q180" s="286"/>
      <c r="R180" s="286"/>
      <c r="S180" s="286"/>
      <c r="T180" s="286"/>
      <c r="U180" s="286"/>
      <c r="V180" s="286"/>
      <c r="W180" s="286"/>
      <c r="X180" s="286"/>
      <c r="Y180" s="286"/>
      <c r="Z180" s="286"/>
      <c r="AA180" s="286"/>
      <c r="AB180" s="286"/>
      <c r="AC180" s="286"/>
      <c r="AD180" s="286"/>
      <c r="AE180" s="286"/>
      <c r="AF180" s="286"/>
      <c r="AG180" s="286"/>
      <c r="AH180" s="286"/>
      <c r="AI180" s="286"/>
      <c r="AJ180" s="286"/>
      <c r="AK180" s="286"/>
      <c r="AL180" s="286"/>
      <c r="AM180" s="286"/>
      <c r="AN180" s="286"/>
      <c r="AO180" s="286"/>
      <c r="AP180" s="286"/>
      <c r="AQ180" s="286"/>
      <c r="AR180" s="286"/>
      <c r="AS180" s="286"/>
      <c r="AT180" s="286"/>
      <c r="AU180" s="286"/>
      <c r="AV180" s="286"/>
      <c r="AW180" s="286"/>
      <c r="AX180" s="286"/>
      <c r="AY180" s="286"/>
      <c r="AZ180" s="286"/>
      <c r="BA180" s="286"/>
      <c r="BB180" s="286"/>
      <c r="BC180" s="286"/>
      <c r="BD180" s="286"/>
      <c r="BE180" s="286"/>
      <c r="BF180" s="286"/>
      <c r="BG180" s="286"/>
      <c r="BH180" s="286"/>
      <c r="BI180" s="286"/>
      <c r="BJ180" s="286"/>
      <c r="BK180" s="286"/>
      <c r="BL180" s="286"/>
      <c r="BM180" s="286"/>
      <c r="BN180" s="286"/>
      <c r="BO180" s="286"/>
      <c r="BP180" s="286"/>
      <c r="BQ180" s="286"/>
      <c r="BR180" s="286"/>
      <c r="BS180" s="286"/>
      <c r="BT180" s="286"/>
      <c r="BU180" s="286"/>
      <c r="BV180" s="286"/>
      <c r="BW180" s="286"/>
      <c r="BX180" s="286"/>
      <c r="BY180" s="286"/>
      <c r="BZ180" s="286"/>
      <c r="CA180" s="286"/>
      <c r="CB180" s="286"/>
      <c r="CC180" s="286"/>
      <c r="CD180" s="286"/>
      <c r="CE180" s="286"/>
    </row>
    <row r="181" spans="1:83" x14ac:dyDescent="0.25">
      <c r="A181" s="286"/>
      <c r="B181" s="286"/>
      <c r="C181" s="286"/>
      <c r="D181" s="286"/>
      <c r="E181" s="286"/>
      <c r="F181" s="286"/>
      <c r="G181" s="286"/>
      <c r="H181" s="286"/>
      <c r="I181" s="286"/>
      <c r="J181" s="286"/>
      <c r="K181" s="286"/>
      <c r="L181" s="286"/>
      <c r="M181" s="286"/>
      <c r="N181" s="286"/>
      <c r="O181" s="286"/>
      <c r="P181" s="286"/>
      <c r="Q181" s="299"/>
      <c r="R181" s="299"/>
      <c r="S181" s="299"/>
      <c r="T181" s="299"/>
      <c r="U181" s="286"/>
      <c r="V181" s="286"/>
      <c r="W181" s="286"/>
      <c r="X181" s="286"/>
      <c r="Y181" s="286"/>
      <c r="Z181" s="286"/>
      <c r="AA181" s="286"/>
      <c r="AB181" s="286"/>
      <c r="AC181" s="286"/>
      <c r="AD181" s="286"/>
      <c r="AE181" s="286"/>
      <c r="AF181" s="286"/>
      <c r="AG181" s="286"/>
      <c r="AH181" s="286"/>
      <c r="AI181" s="286"/>
      <c r="AJ181" s="286"/>
      <c r="AK181" s="286"/>
      <c r="AL181" s="286"/>
      <c r="AM181" s="286"/>
      <c r="AN181" s="286"/>
      <c r="AO181" s="286"/>
      <c r="AP181" s="286"/>
      <c r="AQ181" s="286"/>
      <c r="AR181" s="286"/>
      <c r="AS181" s="286"/>
      <c r="AT181" s="286"/>
      <c r="AU181" s="286"/>
      <c r="AV181" s="286"/>
      <c r="AW181" s="286"/>
      <c r="AX181" s="286"/>
      <c r="AY181" s="286"/>
      <c r="AZ181" s="286"/>
      <c r="BA181" s="286"/>
      <c r="BB181" s="286"/>
      <c r="BC181" s="286"/>
      <c r="BD181" s="286"/>
      <c r="BE181" s="286"/>
      <c r="BF181" s="286"/>
      <c r="BG181" s="286"/>
      <c r="BH181" s="286"/>
      <c r="BI181" s="286"/>
      <c r="BJ181" s="286"/>
      <c r="BK181" s="286"/>
      <c r="BL181" s="286"/>
      <c r="BM181" s="286"/>
      <c r="BN181" s="286"/>
      <c r="BO181" s="286"/>
      <c r="BP181" s="286"/>
      <c r="BQ181" s="286"/>
      <c r="BR181" s="286"/>
      <c r="BS181" s="286"/>
      <c r="BT181" s="286"/>
      <c r="BU181" s="286"/>
      <c r="BV181" s="286"/>
      <c r="BW181" s="286"/>
      <c r="BX181" s="286"/>
      <c r="BY181" s="286"/>
      <c r="BZ181" s="286"/>
      <c r="CA181" s="286"/>
      <c r="CB181" s="286"/>
      <c r="CC181" s="286"/>
      <c r="CD181" s="286"/>
      <c r="CE181" s="286"/>
    </row>
    <row r="182" spans="1:83" x14ac:dyDescent="0.25">
      <c r="A182" s="286"/>
      <c r="B182" s="286"/>
      <c r="C182" s="286"/>
      <c r="D182" s="286"/>
      <c r="E182" s="286"/>
      <c r="F182" s="286"/>
      <c r="G182" s="286"/>
      <c r="H182" s="286"/>
      <c r="I182" s="286"/>
      <c r="J182" s="286"/>
      <c r="K182" s="286"/>
      <c r="L182" s="286"/>
      <c r="M182" s="286"/>
      <c r="N182" s="286"/>
      <c r="O182" s="286"/>
      <c r="P182" s="286"/>
      <c r="Q182" s="286"/>
      <c r="R182" s="286"/>
      <c r="S182" s="286"/>
      <c r="T182" s="286"/>
      <c r="U182" s="286"/>
      <c r="V182" s="286"/>
      <c r="W182" s="286"/>
      <c r="X182" s="286"/>
      <c r="Y182" s="286"/>
      <c r="Z182" s="286"/>
      <c r="AA182" s="286"/>
      <c r="AB182" s="286"/>
      <c r="AC182" s="286"/>
      <c r="AD182" s="286"/>
      <c r="AE182" s="286"/>
      <c r="AF182" s="286"/>
      <c r="AG182" s="286"/>
      <c r="AH182" s="286"/>
      <c r="AI182" s="286"/>
      <c r="AJ182" s="286"/>
      <c r="AK182" s="286"/>
      <c r="AL182" s="286"/>
      <c r="AM182" s="286"/>
      <c r="AN182" s="286"/>
      <c r="AO182" s="286"/>
      <c r="AP182" s="286"/>
      <c r="AQ182" s="286"/>
      <c r="AR182" s="286"/>
      <c r="AS182" s="286"/>
      <c r="AT182" s="286"/>
      <c r="AU182" s="286"/>
      <c r="AV182" s="286"/>
      <c r="AW182" s="286"/>
      <c r="AX182" s="286"/>
      <c r="AY182" s="286"/>
      <c r="AZ182" s="286"/>
      <c r="BA182" s="286"/>
      <c r="BB182" s="286"/>
      <c r="BC182" s="286"/>
      <c r="BD182" s="286"/>
      <c r="BE182" s="286"/>
      <c r="BF182" s="286"/>
      <c r="BG182" s="286"/>
      <c r="BH182" s="286"/>
      <c r="BI182" s="286"/>
      <c r="BJ182" s="286"/>
      <c r="BK182" s="286"/>
      <c r="BL182" s="286"/>
      <c r="BM182" s="286"/>
      <c r="BN182" s="286"/>
      <c r="BO182" s="286"/>
      <c r="BP182" s="286"/>
      <c r="BQ182" s="286"/>
      <c r="BR182" s="286"/>
      <c r="BS182" s="286"/>
      <c r="BT182" s="286"/>
      <c r="BU182" s="286"/>
      <c r="BV182" s="286"/>
      <c r="BW182" s="286"/>
      <c r="BX182" s="286"/>
      <c r="BY182" s="286"/>
      <c r="BZ182" s="286"/>
      <c r="CA182" s="286"/>
      <c r="CB182" s="286"/>
      <c r="CC182" s="286"/>
      <c r="CD182" s="286"/>
      <c r="CE182" s="286"/>
    </row>
    <row r="183" spans="1:83" x14ac:dyDescent="0.25">
      <c r="A183" s="286"/>
      <c r="B183" s="286"/>
      <c r="C183" s="286"/>
      <c r="D183" s="286"/>
      <c r="E183" s="286"/>
      <c r="F183" s="286"/>
      <c r="G183" s="286"/>
      <c r="H183" s="286"/>
      <c r="I183" s="286"/>
      <c r="J183" s="286"/>
      <c r="K183" s="286"/>
      <c r="L183" s="286"/>
      <c r="M183" s="286"/>
      <c r="N183" s="286"/>
      <c r="O183" s="286"/>
      <c r="P183" s="286"/>
      <c r="Q183" s="286"/>
      <c r="R183" s="286"/>
      <c r="S183" s="286"/>
      <c r="T183" s="286"/>
      <c r="U183" s="286"/>
      <c r="V183" s="286"/>
      <c r="W183" s="286"/>
      <c r="X183" s="286"/>
      <c r="Y183" s="286"/>
      <c r="Z183" s="286"/>
      <c r="AA183" s="286"/>
      <c r="AB183" s="286"/>
      <c r="AC183" s="286"/>
      <c r="AD183" s="286"/>
      <c r="AE183" s="286"/>
      <c r="AF183" s="286"/>
      <c r="AG183" s="286"/>
      <c r="AH183" s="286"/>
      <c r="AI183" s="286"/>
      <c r="AJ183" s="286"/>
      <c r="AK183" s="286"/>
      <c r="AL183" s="286"/>
      <c r="AM183" s="286"/>
      <c r="AN183" s="286"/>
      <c r="AO183" s="286"/>
      <c r="AP183" s="286"/>
      <c r="AQ183" s="286"/>
      <c r="AR183" s="286"/>
      <c r="AS183" s="286"/>
      <c r="AT183" s="286"/>
      <c r="AU183" s="286"/>
      <c r="AV183" s="286"/>
      <c r="AW183" s="286"/>
      <c r="AX183" s="286"/>
      <c r="AY183" s="286"/>
      <c r="AZ183" s="286"/>
      <c r="BA183" s="286"/>
      <c r="BB183" s="286"/>
      <c r="BC183" s="286"/>
      <c r="BD183" s="286"/>
      <c r="BE183" s="286"/>
      <c r="BF183" s="286"/>
      <c r="BG183" s="286"/>
      <c r="BH183" s="286"/>
      <c r="BI183" s="286"/>
      <c r="BJ183" s="286"/>
      <c r="BK183" s="286"/>
      <c r="BL183" s="286"/>
      <c r="BM183" s="286"/>
      <c r="BN183" s="286"/>
      <c r="BO183" s="286"/>
      <c r="BP183" s="286"/>
      <c r="BQ183" s="286"/>
      <c r="BR183" s="286"/>
      <c r="BS183" s="286"/>
      <c r="BT183" s="286"/>
      <c r="BU183" s="286"/>
      <c r="BV183" s="286"/>
      <c r="BW183" s="286"/>
      <c r="BX183" s="286"/>
      <c r="BY183" s="286"/>
      <c r="BZ183" s="286"/>
      <c r="CA183" s="286"/>
      <c r="CB183" s="286"/>
      <c r="CC183" s="286"/>
      <c r="CD183" s="286"/>
      <c r="CE183" s="286"/>
    </row>
    <row r="184" spans="1:83" x14ac:dyDescent="0.25">
      <c r="A184" s="286"/>
      <c r="B184" s="286"/>
      <c r="C184" s="286"/>
      <c r="D184" s="286"/>
      <c r="E184" s="286"/>
      <c r="F184" s="286"/>
      <c r="G184" s="286"/>
      <c r="H184" s="286"/>
      <c r="I184" s="286"/>
      <c r="J184" s="286"/>
      <c r="K184" s="286"/>
      <c r="L184" s="286"/>
      <c r="M184" s="286"/>
      <c r="N184" s="286"/>
      <c r="O184" s="286"/>
      <c r="P184" s="286"/>
      <c r="Q184" s="295"/>
      <c r="R184" s="295"/>
      <c r="S184" s="295"/>
      <c r="T184" s="295"/>
      <c r="U184" s="286"/>
      <c r="V184" s="286"/>
      <c r="W184" s="286"/>
      <c r="X184" s="286"/>
      <c r="Y184" s="286"/>
      <c r="Z184" s="286"/>
      <c r="AA184" s="286"/>
      <c r="AB184" s="286"/>
      <c r="AC184" s="286"/>
      <c r="AD184" s="286"/>
      <c r="AE184" s="286"/>
      <c r="AF184" s="286"/>
      <c r="AG184" s="286"/>
      <c r="AH184" s="286"/>
      <c r="AI184" s="286"/>
      <c r="AJ184" s="286"/>
      <c r="AK184" s="286"/>
      <c r="AL184" s="286"/>
      <c r="AM184" s="286"/>
      <c r="AN184" s="286"/>
      <c r="AO184" s="286"/>
      <c r="AP184" s="286"/>
      <c r="AQ184" s="286"/>
      <c r="AR184" s="286"/>
      <c r="AS184" s="286"/>
      <c r="AT184" s="286"/>
      <c r="AU184" s="286"/>
      <c r="AV184" s="286"/>
      <c r="AW184" s="286"/>
      <c r="AX184" s="286"/>
      <c r="AY184" s="286"/>
      <c r="AZ184" s="286"/>
      <c r="BA184" s="286"/>
      <c r="BB184" s="286"/>
      <c r="BC184" s="286"/>
      <c r="BD184" s="286"/>
      <c r="BE184" s="286"/>
      <c r="BF184" s="286"/>
      <c r="BG184" s="286"/>
      <c r="BH184" s="286"/>
      <c r="BI184" s="286"/>
      <c r="BJ184" s="286"/>
      <c r="BK184" s="286"/>
      <c r="BL184" s="286"/>
      <c r="BM184" s="286"/>
      <c r="BN184" s="286"/>
      <c r="BO184" s="286"/>
      <c r="BP184" s="286"/>
      <c r="BQ184" s="286"/>
      <c r="BR184" s="286"/>
      <c r="BS184" s="286"/>
      <c r="BT184" s="286"/>
      <c r="BU184" s="286"/>
      <c r="BV184" s="286"/>
      <c r="BW184" s="286"/>
      <c r="BX184" s="286"/>
      <c r="BY184" s="286"/>
      <c r="BZ184" s="286"/>
      <c r="CA184" s="286"/>
      <c r="CB184" s="286"/>
      <c r="CC184" s="286"/>
      <c r="CD184" s="286"/>
      <c r="CE184" s="286"/>
    </row>
    <row r="185" spans="1:83" x14ac:dyDescent="0.25">
      <c r="A185" s="286"/>
      <c r="B185" s="286"/>
      <c r="C185" s="286"/>
      <c r="D185" s="286"/>
      <c r="E185" s="286"/>
      <c r="F185" s="286"/>
      <c r="G185" s="286"/>
      <c r="H185" s="286"/>
      <c r="I185" s="286"/>
      <c r="J185" s="286"/>
      <c r="K185" s="286"/>
      <c r="L185" s="286"/>
      <c r="M185" s="286"/>
      <c r="N185" s="286"/>
      <c r="O185" s="286"/>
      <c r="P185" s="286"/>
      <c r="Q185" s="300"/>
      <c r="R185" s="300"/>
      <c r="S185" s="300"/>
      <c r="T185" s="300"/>
      <c r="U185" s="286"/>
      <c r="V185" s="286"/>
      <c r="W185" s="286"/>
      <c r="X185" s="286"/>
      <c r="Y185" s="286"/>
      <c r="Z185" s="286"/>
      <c r="AA185" s="286"/>
      <c r="AB185" s="286"/>
      <c r="AC185" s="286"/>
      <c r="AD185" s="286"/>
      <c r="AE185" s="286"/>
      <c r="AF185" s="286"/>
      <c r="AG185" s="286"/>
      <c r="AH185" s="286"/>
      <c r="AI185" s="286"/>
      <c r="AJ185" s="286"/>
      <c r="AK185" s="286"/>
      <c r="AL185" s="286"/>
      <c r="AM185" s="286"/>
      <c r="AN185" s="286"/>
      <c r="AO185" s="286"/>
      <c r="AP185" s="286"/>
      <c r="AQ185" s="286"/>
      <c r="AR185" s="286"/>
      <c r="AS185" s="286"/>
      <c r="AT185" s="286"/>
      <c r="AU185" s="286"/>
      <c r="AV185" s="286"/>
      <c r="AW185" s="286"/>
      <c r="AX185" s="286"/>
      <c r="AY185" s="286"/>
      <c r="AZ185" s="286"/>
      <c r="BA185" s="286"/>
      <c r="BB185" s="286"/>
      <c r="BC185" s="286"/>
      <c r="BD185" s="286"/>
      <c r="BE185" s="286"/>
      <c r="BF185" s="286"/>
      <c r="BG185" s="286"/>
      <c r="BH185" s="286"/>
      <c r="BI185" s="286"/>
      <c r="BJ185" s="286"/>
      <c r="BK185" s="286"/>
      <c r="BL185" s="286"/>
      <c r="BM185" s="286"/>
      <c r="BN185" s="286"/>
      <c r="BO185" s="286"/>
      <c r="BP185" s="286"/>
      <c r="BQ185" s="286"/>
      <c r="BR185" s="286"/>
      <c r="BS185" s="286"/>
      <c r="BT185" s="286"/>
      <c r="BU185" s="286"/>
      <c r="BV185" s="286"/>
      <c r="BW185" s="286"/>
      <c r="BX185" s="286"/>
      <c r="BY185" s="286"/>
      <c r="BZ185" s="286"/>
      <c r="CA185" s="286"/>
      <c r="CB185" s="286"/>
      <c r="CC185" s="286"/>
      <c r="CD185" s="286"/>
      <c r="CE185" s="286"/>
    </row>
    <row r="186" spans="1:83" x14ac:dyDescent="0.25">
      <c r="A186" s="286"/>
      <c r="B186" s="286"/>
      <c r="C186" s="286"/>
      <c r="D186" s="286"/>
      <c r="E186" s="286"/>
      <c r="F186" s="286"/>
      <c r="G186" s="286"/>
      <c r="H186" s="286"/>
      <c r="I186" s="286"/>
      <c r="J186" s="286"/>
      <c r="K186" s="286"/>
      <c r="L186" s="286"/>
      <c r="M186" s="286"/>
      <c r="N186" s="286"/>
      <c r="O186" s="286"/>
      <c r="P186" s="286"/>
      <c r="Q186" s="286"/>
      <c r="R186" s="286"/>
      <c r="S186" s="286"/>
      <c r="T186" s="286"/>
      <c r="U186" s="286"/>
      <c r="V186" s="286"/>
      <c r="W186" s="286"/>
      <c r="X186" s="286"/>
      <c r="Y186" s="286"/>
      <c r="Z186" s="286"/>
      <c r="AA186" s="286"/>
      <c r="AB186" s="286"/>
      <c r="AC186" s="286"/>
      <c r="AD186" s="286"/>
      <c r="AE186" s="286"/>
      <c r="AF186" s="286"/>
      <c r="AG186" s="286"/>
      <c r="AH186" s="286"/>
      <c r="AI186" s="286"/>
      <c r="AJ186" s="286"/>
      <c r="AK186" s="286"/>
      <c r="AL186" s="286"/>
      <c r="AM186" s="286"/>
      <c r="AN186" s="286"/>
      <c r="AO186" s="286"/>
      <c r="AP186" s="286"/>
      <c r="AQ186" s="286"/>
      <c r="AR186" s="286"/>
      <c r="AS186" s="286"/>
      <c r="AT186" s="286"/>
      <c r="AU186" s="286"/>
      <c r="AV186" s="286"/>
      <c r="AW186" s="286"/>
      <c r="AX186" s="286"/>
      <c r="AY186" s="286"/>
      <c r="AZ186" s="286"/>
      <c r="BA186" s="286"/>
      <c r="BB186" s="286"/>
      <c r="BC186" s="286"/>
      <c r="BD186" s="286"/>
      <c r="BE186" s="286"/>
      <c r="BF186" s="286"/>
      <c r="BG186" s="286"/>
      <c r="BH186" s="286"/>
      <c r="BI186" s="286"/>
      <c r="BJ186" s="286"/>
      <c r="BK186" s="286"/>
      <c r="BL186" s="286"/>
      <c r="BM186" s="286"/>
      <c r="BN186" s="286"/>
      <c r="BO186" s="286"/>
      <c r="BP186" s="286"/>
      <c r="BQ186" s="286"/>
      <c r="BR186" s="286"/>
      <c r="BS186" s="286"/>
      <c r="BT186" s="286"/>
      <c r="BU186" s="286"/>
      <c r="BV186" s="286"/>
      <c r="BW186" s="286"/>
      <c r="BX186" s="286"/>
      <c r="BY186" s="286"/>
      <c r="BZ186" s="286"/>
      <c r="CA186" s="286"/>
      <c r="CB186" s="286"/>
      <c r="CC186" s="286"/>
      <c r="CD186" s="286"/>
      <c r="CE186" s="286"/>
    </row>
    <row r="187" spans="1:83" x14ac:dyDescent="0.25">
      <c r="A187" s="286"/>
      <c r="B187" s="286"/>
      <c r="C187" s="286"/>
      <c r="D187" s="286"/>
      <c r="E187" s="286"/>
      <c r="F187" s="286"/>
      <c r="G187" s="286"/>
      <c r="H187" s="286"/>
      <c r="I187" s="286"/>
      <c r="J187" s="286"/>
      <c r="K187" s="286"/>
      <c r="L187" s="286"/>
      <c r="M187" s="286"/>
      <c r="N187" s="286"/>
      <c r="O187" s="286"/>
      <c r="P187" s="286"/>
      <c r="Q187" s="295"/>
      <c r="R187" s="295"/>
      <c r="S187" s="286"/>
      <c r="T187" s="286"/>
      <c r="U187" s="286"/>
      <c r="V187" s="286"/>
      <c r="W187" s="286"/>
      <c r="X187" s="286"/>
      <c r="Y187" s="286"/>
      <c r="Z187" s="286"/>
      <c r="AA187" s="286"/>
      <c r="AB187" s="286"/>
      <c r="AC187" s="286"/>
      <c r="AD187" s="286"/>
      <c r="AE187" s="286"/>
      <c r="AF187" s="286"/>
      <c r="AG187" s="286"/>
      <c r="AH187" s="286"/>
      <c r="AI187" s="286"/>
      <c r="AJ187" s="286"/>
      <c r="AK187" s="286"/>
      <c r="AL187" s="286"/>
      <c r="AM187" s="286"/>
      <c r="AN187" s="286"/>
      <c r="AO187" s="286"/>
      <c r="AP187" s="286"/>
      <c r="AQ187" s="286"/>
      <c r="AR187" s="286"/>
      <c r="AS187" s="286"/>
      <c r="AT187" s="286"/>
      <c r="AU187" s="286"/>
      <c r="AV187" s="286"/>
      <c r="AW187" s="286"/>
      <c r="AX187" s="286"/>
      <c r="AY187" s="286"/>
      <c r="AZ187" s="286"/>
      <c r="BA187" s="286"/>
      <c r="BB187" s="286"/>
      <c r="BC187" s="286"/>
      <c r="BD187" s="286"/>
      <c r="BE187" s="286"/>
      <c r="BF187" s="286"/>
      <c r="BG187" s="286"/>
      <c r="BH187" s="286"/>
      <c r="BI187" s="286"/>
      <c r="BJ187" s="286"/>
      <c r="BK187" s="286"/>
      <c r="BL187" s="286"/>
      <c r="BM187" s="286"/>
      <c r="BN187" s="286"/>
      <c r="BO187" s="286"/>
      <c r="BP187" s="286"/>
      <c r="BQ187" s="286"/>
      <c r="BR187" s="286"/>
      <c r="BS187" s="286"/>
      <c r="BT187" s="286"/>
      <c r="BU187" s="286"/>
      <c r="BV187" s="286"/>
      <c r="BW187" s="286"/>
      <c r="BX187" s="286"/>
      <c r="BY187" s="286"/>
      <c r="BZ187" s="286"/>
      <c r="CA187" s="286"/>
      <c r="CB187" s="286"/>
      <c r="CC187" s="286"/>
      <c r="CD187" s="286"/>
      <c r="CE187" s="286"/>
    </row>
    <row r="188" spans="1:83" x14ac:dyDescent="0.25">
      <c r="A188" s="286"/>
      <c r="B188" s="286"/>
      <c r="C188" s="286"/>
      <c r="D188" s="286"/>
      <c r="E188" s="286"/>
      <c r="F188" s="286"/>
      <c r="G188" s="286"/>
      <c r="H188" s="286"/>
      <c r="I188" s="286"/>
      <c r="J188" s="286"/>
      <c r="K188" s="286"/>
      <c r="L188" s="286"/>
      <c r="M188" s="286"/>
      <c r="N188" s="286"/>
      <c r="O188" s="286"/>
      <c r="P188" s="286"/>
      <c r="Q188" s="300"/>
      <c r="R188" s="300"/>
      <c r="S188" s="286"/>
      <c r="T188" s="286"/>
      <c r="U188" s="286"/>
      <c r="V188" s="286"/>
      <c r="W188" s="286"/>
      <c r="X188" s="286"/>
      <c r="Y188" s="286"/>
      <c r="Z188" s="286"/>
      <c r="AA188" s="286"/>
      <c r="AB188" s="286"/>
      <c r="AC188" s="286"/>
      <c r="AD188" s="286"/>
      <c r="AE188" s="286"/>
      <c r="AF188" s="286"/>
      <c r="AG188" s="286"/>
      <c r="AH188" s="286"/>
      <c r="AI188" s="286"/>
      <c r="AJ188" s="286"/>
      <c r="AK188" s="286"/>
      <c r="AL188" s="286"/>
      <c r="AM188" s="286"/>
      <c r="AN188" s="286"/>
      <c r="AO188" s="286"/>
      <c r="AP188" s="286"/>
      <c r="AQ188" s="286"/>
      <c r="AR188" s="286"/>
      <c r="AS188" s="286"/>
      <c r="AT188" s="286"/>
      <c r="AU188" s="286"/>
      <c r="AV188" s="286"/>
      <c r="AW188" s="286"/>
      <c r="AX188" s="286"/>
      <c r="AY188" s="286"/>
      <c r="AZ188" s="286"/>
      <c r="BA188" s="286"/>
      <c r="BB188" s="286"/>
      <c r="BC188" s="286"/>
      <c r="BD188" s="286"/>
      <c r="BE188" s="286"/>
      <c r="BF188" s="286"/>
      <c r="BG188" s="286"/>
      <c r="BH188" s="286"/>
      <c r="BI188" s="286"/>
      <c r="BJ188" s="286"/>
      <c r="BK188" s="286"/>
      <c r="BL188" s="286"/>
      <c r="BM188" s="286"/>
      <c r="BN188" s="286"/>
      <c r="BO188" s="286"/>
      <c r="BP188" s="286"/>
      <c r="BQ188" s="286"/>
      <c r="BR188" s="286"/>
      <c r="BS188" s="286"/>
      <c r="BT188" s="286"/>
      <c r="BU188" s="286"/>
      <c r="BV188" s="286"/>
      <c r="BW188" s="286"/>
      <c r="BX188" s="286"/>
      <c r="BY188" s="286"/>
      <c r="BZ188" s="286"/>
      <c r="CA188" s="286"/>
      <c r="CB188" s="286"/>
      <c r="CC188" s="286"/>
      <c r="CD188" s="286"/>
      <c r="CE188" s="286"/>
    </row>
    <row r="189" spans="1:83" x14ac:dyDescent="0.25">
      <c r="A189" s="286"/>
      <c r="B189" s="286"/>
      <c r="C189" s="286"/>
      <c r="D189" s="286"/>
      <c r="E189" s="286"/>
      <c r="F189" s="286"/>
      <c r="G189" s="286"/>
      <c r="H189" s="286"/>
      <c r="I189" s="286"/>
      <c r="J189" s="286"/>
      <c r="K189" s="286"/>
      <c r="L189" s="286"/>
      <c r="M189" s="286"/>
      <c r="N189" s="286"/>
      <c r="O189" s="286"/>
      <c r="P189" s="286"/>
      <c r="Q189" s="286"/>
      <c r="R189" s="286"/>
      <c r="S189" s="286"/>
      <c r="T189" s="286"/>
      <c r="U189" s="286"/>
      <c r="V189" s="286"/>
      <c r="W189" s="286"/>
      <c r="X189" s="286"/>
      <c r="Y189" s="286"/>
      <c r="Z189" s="286"/>
      <c r="AA189" s="286"/>
      <c r="AB189" s="286"/>
      <c r="AC189" s="286"/>
      <c r="AD189" s="286"/>
      <c r="AE189" s="286"/>
      <c r="AF189" s="286"/>
      <c r="AG189" s="286"/>
      <c r="AH189" s="286"/>
      <c r="AI189" s="286"/>
      <c r="AJ189" s="286"/>
      <c r="AK189" s="286"/>
      <c r="AL189" s="286"/>
      <c r="AM189" s="286"/>
      <c r="AN189" s="286"/>
      <c r="AO189" s="286"/>
      <c r="AP189" s="286"/>
      <c r="AQ189" s="286"/>
      <c r="AR189" s="286"/>
      <c r="AS189" s="286"/>
      <c r="AT189" s="286"/>
      <c r="AU189" s="286"/>
      <c r="AV189" s="286"/>
      <c r="AW189" s="286"/>
      <c r="AX189" s="286"/>
      <c r="AY189" s="286"/>
      <c r="AZ189" s="286"/>
      <c r="BA189" s="286"/>
      <c r="BB189" s="286"/>
      <c r="BC189" s="286"/>
      <c r="BD189" s="286"/>
      <c r="BE189" s="286"/>
      <c r="BF189" s="286"/>
      <c r="BG189" s="286"/>
      <c r="BH189" s="286"/>
      <c r="BI189" s="286"/>
      <c r="BJ189" s="286"/>
      <c r="BK189" s="286"/>
      <c r="BL189" s="286"/>
      <c r="BM189" s="286"/>
      <c r="BN189" s="286"/>
      <c r="BO189" s="286"/>
      <c r="BP189" s="286"/>
      <c r="BQ189" s="286"/>
      <c r="BR189" s="286"/>
      <c r="BS189" s="286"/>
      <c r="BT189" s="286"/>
      <c r="BU189" s="286"/>
      <c r="BV189" s="286"/>
      <c r="BW189" s="286"/>
      <c r="BX189" s="286"/>
      <c r="BY189" s="286"/>
      <c r="BZ189" s="286"/>
      <c r="CA189" s="286"/>
      <c r="CB189" s="286"/>
      <c r="CC189" s="286"/>
      <c r="CD189" s="286"/>
      <c r="CE189" s="286"/>
    </row>
    <row r="190" spans="1:83" x14ac:dyDescent="0.25">
      <c r="A190" s="286"/>
      <c r="B190" s="286"/>
      <c r="C190" s="286"/>
      <c r="D190" s="286"/>
      <c r="E190" s="286"/>
      <c r="F190" s="286"/>
      <c r="G190" s="286"/>
      <c r="H190" s="286"/>
      <c r="I190" s="286"/>
      <c r="J190" s="286"/>
      <c r="K190" s="286"/>
      <c r="L190" s="286"/>
      <c r="M190" s="286"/>
      <c r="N190" s="286"/>
      <c r="O190" s="286"/>
      <c r="P190" s="286"/>
      <c r="Q190" s="286"/>
      <c r="R190" s="286"/>
      <c r="S190" s="286"/>
      <c r="T190" s="286"/>
      <c r="U190" s="286"/>
      <c r="V190" s="286"/>
      <c r="W190" s="286"/>
      <c r="X190" s="286"/>
      <c r="Y190" s="286"/>
      <c r="Z190" s="286"/>
      <c r="AA190" s="286"/>
      <c r="AB190" s="286"/>
      <c r="AC190" s="286"/>
      <c r="AD190" s="286"/>
      <c r="AE190" s="286"/>
      <c r="AF190" s="286"/>
      <c r="AG190" s="286"/>
      <c r="AH190" s="286"/>
      <c r="AI190" s="286"/>
      <c r="AJ190" s="286"/>
      <c r="AK190" s="286"/>
      <c r="AL190" s="286"/>
      <c r="AM190" s="286"/>
      <c r="AN190" s="286"/>
      <c r="AO190" s="286"/>
      <c r="AP190" s="286"/>
      <c r="AQ190" s="286"/>
      <c r="AR190" s="286"/>
      <c r="AS190" s="286"/>
      <c r="AT190" s="286"/>
      <c r="AU190" s="286"/>
      <c r="AV190" s="286"/>
      <c r="AW190" s="286"/>
      <c r="AX190" s="286"/>
      <c r="AY190" s="286"/>
      <c r="AZ190" s="286"/>
      <c r="BA190" s="286"/>
      <c r="BB190" s="286"/>
      <c r="BC190" s="286"/>
      <c r="BD190" s="286"/>
      <c r="BE190" s="286"/>
      <c r="BF190" s="286"/>
      <c r="BG190" s="286"/>
      <c r="BH190" s="286"/>
      <c r="BI190" s="286"/>
      <c r="BJ190" s="286"/>
      <c r="BK190" s="286"/>
      <c r="BL190" s="286"/>
      <c r="BM190" s="286"/>
      <c r="BN190" s="286"/>
      <c r="BO190" s="286"/>
      <c r="BP190" s="286"/>
      <c r="BQ190" s="286"/>
      <c r="BR190" s="286"/>
      <c r="BS190" s="286"/>
      <c r="BT190" s="286"/>
      <c r="BU190" s="286"/>
      <c r="BV190" s="286"/>
      <c r="BW190" s="286"/>
      <c r="BX190" s="286"/>
      <c r="BY190" s="286"/>
      <c r="BZ190" s="286"/>
      <c r="CA190" s="286"/>
      <c r="CB190" s="286"/>
      <c r="CC190" s="286"/>
      <c r="CD190" s="286"/>
      <c r="CE190" s="286"/>
    </row>
    <row r="191" spans="1:83" x14ac:dyDescent="0.25">
      <c r="A191" s="286"/>
      <c r="B191" s="286"/>
      <c r="C191" s="286"/>
      <c r="D191" s="286"/>
      <c r="E191" s="286"/>
      <c r="F191" s="286"/>
      <c r="G191" s="286"/>
      <c r="H191" s="286"/>
      <c r="I191" s="286"/>
      <c r="J191" s="286"/>
      <c r="K191" s="286"/>
      <c r="L191" s="286"/>
      <c r="M191" s="286"/>
      <c r="N191" s="286"/>
      <c r="O191" s="286"/>
      <c r="P191" s="286"/>
      <c r="Q191" s="306"/>
      <c r="R191" s="307"/>
      <c r="S191" s="286"/>
      <c r="T191" s="286"/>
      <c r="U191" s="286"/>
      <c r="V191" s="286"/>
      <c r="W191" s="286"/>
      <c r="X191" s="286"/>
      <c r="Y191" s="286"/>
      <c r="Z191" s="286"/>
      <c r="AA191" s="286"/>
      <c r="AB191" s="286"/>
      <c r="AC191" s="286"/>
      <c r="AD191" s="286"/>
      <c r="AE191" s="286"/>
      <c r="AF191" s="286"/>
      <c r="AG191" s="286"/>
      <c r="AH191" s="286"/>
      <c r="AI191" s="286"/>
      <c r="AJ191" s="286"/>
      <c r="AK191" s="286"/>
      <c r="AL191" s="286"/>
      <c r="AM191" s="286"/>
      <c r="AN191" s="286"/>
      <c r="AO191" s="286"/>
      <c r="AP191" s="286"/>
      <c r="AQ191" s="286"/>
      <c r="AR191" s="286"/>
      <c r="AS191" s="286"/>
      <c r="AT191" s="286"/>
      <c r="AU191" s="286"/>
      <c r="AV191" s="286"/>
      <c r="AW191" s="286"/>
      <c r="AX191" s="286"/>
      <c r="AY191" s="286"/>
      <c r="AZ191" s="286"/>
      <c r="BA191" s="286"/>
      <c r="BB191" s="286"/>
      <c r="BC191" s="286"/>
      <c r="BD191" s="286"/>
      <c r="BE191" s="286"/>
      <c r="BF191" s="286"/>
      <c r="BG191" s="286"/>
      <c r="BH191" s="286"/>
      <c r="BI191" s="286"/>
      <c r="BJ191" s="286"/>
      <c r="BK191" s="286"/>
      <c r="BL191" s="286"/>
      <c r="BM191" s="286"/>
      <c r="BN191" s="286"/>
      <c r="BO191" s="286"/>
      <c r="BP191" s="286"/>
      <c r="BQ191" s="286"/>
      <c r="BR191" s="286"/>
      <c r="BS191" s="286"/>
      <c r="BT191" s="286"/>
      <c r="BU191" s="286"/>
      <c r="BV191" s="286"/>
      <c r="BW191" s="286"/>
      <c r="BX191" s="286"/>
      <c r="BY191" s="286"/>
      <c r="BZ191" s="286"/>
      <c r="CA191" s="286"/>
      <c r="CB191" s="286"/>
      <c r="CC191" s="286"/>
      <c r="CD191" s="286"/>
      <c r="CE191" s="286"/>
    </row>
    <row r="192" spans="1:83" x14ac:dyDescent="0.25">
      <c r="A192" s="286"/>
      <c r="B192" s="286"/>
      <c r="C192" s="286"/>
      <c r="D192" s="286"/>
      <c r="E192" s="286"/>
      <c r="F192" s="286"/>
      <c r="G192" s="286"/>
      <c r="H192" s="286"/>
      <c r="I192" s="286"/>
      <c r="J192" s="286"/>
      <c r="K192" s="286"/>
      <c r="L192" s="286"/>
      <c r="M192" s="286"/>
      <c r="N192" s="286"/>
      <c r="O192" s="286"/>
      <c r="P192" s="286"/>
      <c r="Q192" s="286"/>
      <c r="R192" s="286"/>
      <c r="S192" s="286"/>
      <c r="T192" s="286"/>
      <c r="U192" s="286"/>
      <c r="V192" s="286"/>
      <c r="W192" s="286"/>
      <c r="X192" s="286"/>
      <c r="Y192" s="286"/>
      <c r="Z192" s="286"/>
      <c r="AA192" s="286"/>
      <c r="AB192" s="286"/>
      <c r="AC192" s="286"/>
      <c r="AD192" s="286"/>
      <c r="AE192" s="286"/>
      <c r="AF192" s="286"/>
      <c r="AG192" s="286"/>
      <c r="AH192" s="286"/>
      <c r="AI192" s="286"/>
      <c r="AJ192" s="286"/>
      <c r="AK192" s="286"/>
      <c r="AL192" s="286"/>
      <c r="AM192" s="286"/>
      <c r="AN192" s="286"/>
      <c r="AO192" s="286"/>
      <c r="AP192" s="286"/>
      <c r="AQ192" s="286"/>
      <c r="AR192" s="286"/>
      <c r="AS192" s="286"/>
      <c r="AT192" s="286"/>
      <c r="AU192" s="286"/>
      <c r="AV192" s="286"/>
      <c r="AW192" s="286"/>
      <c r="AX192" s="286"/>
      <c r="AY192" s="286"/>
      <c r="AZ192" s="286"/>
      <c r="BA192" s="286"/>
      <c r="BB192" s="286"/>
      <c r="BC192" s="286"/>
      <c r="BD192" s="286"/>
      <c r="BE192" s="286"/>
      <c r="BF192" s="286"/>
      <c r="BG192" s="286"/>
      <c r="BH192" s="286"/>
      <c r="BI192" s="286"/>
      <c r="BJ192" s="286"/>
      <c r="BK192" s="286"/>
      <c r="BL192" s="286"/>
      <c r="BM192" s="286"/>
      <c r="BN192" s="286"/>
      <c r="BO192" s="286"/>
      <c r="BP192" s="286"/>
      <c r="BQ192" s="286"/>
      <c r="BR192" s="286"/>
      <c r="BS192" s="286"/>
      <c r="BT192" s="286"/>
      <c r="BU192" s="286"/>
      <c r="BV192" s="286"/>
      <c r="BW192" s="286"/>
      <c r="BX192" s="286"/>
      <c r="BY192" s="286"/>
      <c r="BZ192" s="286"/>
      <c r="CA192" s="286"/>
      <c r="CB192" s="286"/>
      <c r="CC192" s="286"/>
      <c r="CD192" s="286"/>
      <c r="CE192" s="286"/>
    </row>
    <row r="193" spans="1:83" x14ac:dyDescent="0.25">
      <c r="A193" s="286"/>
      <c r="B193" s="286"/>
      <c r="C193" s="286"/>
      <c r="D193" s="286"/>
      <c r="E193" s="286"/>
      <c r="F193" s="286"/>
      <c r="G193" s="286"/>
      <c r="H193" s="286"/>
      <c r="I193" s="286"/>
      <c r="J193" s="286"/>
      <c r="K193" s="286"/>
      <c r="L193" s="286"/>
      <c r="M193" s="286"/>
      <c r="N193" s="286"/>
      <c r="O193" s="286"/>
      <c r="P193" s="286"/>
      <c r="Q193" s="295"/>
      <c r="R193" s="299"/>
      <c r="S193" s="286"/>
      <c r="T193" s="286"/>
      <c r="U193" s="286"/>
      <c r="V193" s="286"/>
      <c r="W193" s="286"/>
      <c r="X193" s="286"/>
      <c r="Y193" s="286"/>
      <c r="Z193" s="286"/>
      <c r="AA193" s="286"/>
      <c r="AB193" s="286"/>
      <c r="AC193" s="286"/>
      <c r="AD193" s="286"/>
      <c r="AE193" s="286"/>
      <c r="AF193" s="286"/>
      <c r="AG193" s="286"/>
      <c r="AH193" s="286"/>
      <c r="AI193" s="286"/>
      <c r="AJ193" s="286"/>
      <c r="AK193" s="286"/>
      <c r="AL193" s="286"/>
      <c r="AM193" s="286"/>
      <c r="AN193" s="286"/>
      <c r="AO193" s="286"/>
      <c r="AP193" s="286"/>
      <c r="AQ193" s="286"/>
      <c r="AR193" s="286"/>
      <c r="AS193" s="286"/>
      <c r="AT193" s="286"/>
      <c r="AU193" s="286"/>
      <c r="AV193" s="286"/>
      <c r="AW193" s="286"/>
      <c r="AX193" s="286"/>
      <c r="AY193" s="286"/>
      <c r="AZ193" s="286"/>
      <c r="BA193" s="286"/>
      <c r="BB193" s="286"/>
      <c r="BC193" s="286"/>
      <c r="BD193" s="286"/>
      <c r="BE193" s="286"/>
      <c r="BF193" s="286"/>
      <c r="BG193" s="286"/>
      <c r="BH193" s="286"/>
      <c r="BI193" s="286"/>
      <c r="BJ193" s="286"/>
      <c r="BK193" s="286"/>
      <c r="BL193" s="286"/>
      <c r="BM193" s="286"/>
      <c r="BN193" s="286"/>
      <c r="BO193" s="286"/>
      <c r="BP193" s="286"/>
      <c r="BQ193" s="286"/>
      <c r="BR193" s="286"/>
      <c r="BS193" s="286"/>
      <c r="BT193" s="286"/>
      <c r="BU193" s="286"/>
      <c r="BV193" s="286"/>
      <c r="BW193" s="286"/>
      <c r="BX193" s="286"/>
      <c r="BY193" s="286"/>
      <c r="BZ193" s="286"/>
      <c r="CA193" s="286"/>
      <c r="CB193" s="286"/>
      <c r="CC193" s="286"/>
      <c r="CD193" s="286"/>
      <c r="CE193" s="286"/>
    </row>
    <row r="194" spans="1:83" x14ac:dyDescent="0.25">
      <c r="A194" s="286"/>
      <c r="B194" s="286"/>
      <c r="C194" s="286"/>
      <c r="D194" s="286"/>
      <c r="E194" s="286"/>
      <c r="F194" s="286"/>
      <c r="G194" s="286"/>
      <c r="H194" s="286"/>
      <c r="I194" s="286"/>
      <c r="J194" s="286"/>
      <c r="K194" s="286"/>
      <c r="L194" s="286"/>
      <c r="M194" s="286"/>
      <c r="N194" s="286"/>
      <c r="O194" s="286"/>
      <c r="P194" s="286"/>
      <c r="Q194" s="295"/>
      <c r="R194" s="299"/>
      <c r="S194" s="286"/>
      <c r="T194" s="286"/>
      <c r="U194" s="286"/>
      <c r="V194" s="286"/>
      <c r="W194" s="286"/>
      <c r="X194" s="286"/>
      <c r="Y194" s="286"/>
      <c r="Z194" s="286"/>
      <c r="AA194" s="286"/>
      <c r="AB194" s="286"/>
      <c r="AC194" s="286"/>
      <c r="AD194" s="286"/>
      <c r="AE194" s="286"/>
      <c r="AF194" s="286"/>
      <c r="AG194" s="286"/>
      <c r="AH194" s="286"/>
      <c r="AI194" s="286"/>
      <c r="AJ194" s="286"/>
      <c r="AK194" s="286"/>
      <c r="AL194" s="286"/>
      <c r="AM194" s="286"/>
      <c r="AN194" s="286"/>
      <c r="AO194" s="286"/>
      <c r="AP194" s="286"/>
      <c r="AQ194" s="286"/>
      <c r="AR194" s="286"/>
      <c r="AS194" s="286"/>
      <c r="AT194" s="286"/>
      <c r="AU194" s="286"/>
      <c r="AV194" s="286"/>
      <c r="AW194" s="286"/>
      <c r="AX194" s="286"/>
      <c r="AY194" s="286"/>
      <c r="AZ194" s="286"/>
      <c r="BA194" s="286"/>
      <c r="BB194" s="286"/>
      <c r="BC194" s="286"/>
      <c r="BD194" s="286"/>
      <c r="BE194" s="286"/>
      <c r="BF194" s="286"/>
      <c r="BG194" s="286"/>
      <c r="BH194" s="286"/>
      <c r="BI194" s="286"/>
      <c r="BJ194" s="286"/>
      <c r="BK194" s="286"/>
      <c r="BL194" s="286"/>
      <c r="BM194" s="286"/>
      <c r="BN194" s="286"/>
      <c r="BO194" s="286"/>
      <c r="BP194" s="286"/>
      <c r="BQ194" s="286"/>
      <c r="BR194" s="286"/>
      <c r="BS194" s="286"/>
      <c r="BT194" s="286"/>
      <c r="BU194" s="286"/>
      <c r="BV194" s="286"/>
      <c r="BW194" s="286"/>
      <c r="BX194" s="286"/>
      <c r="BY194" s="286"/>
      <c r="BZ194" s="286"/>
      <c r="CA194" s="286"/>
      <c r="CB194" s="286"/>
      <c r="CC194" s="286"/>
      <c r="CD194" s="286"/>
      <c r="CE194" s="286"/>
    </row>
    <row r="195" spans="1:83" x14ac:dyDescent="0.25">
      <c r="A195" s="286"/>
      <c r="B195" s="286"/>
      <c r="C195" s="286"/>
      <c r="D195" s="286"/>
      <c r="E195" s="286"/>
      <c r="F195" s="286"/>
      <c r="G195" s="286"/>
      <c r="H195" s="286"/>
      <c r="I195" s="286"/>
      <c r="J195" s="286"/>
      <c r="K195" s="286"/>
      <c r="L195" s="286"/>
      <c r="M195" s="286"/>
      <c r="N195" s="286"/>
      <c r="O195" s="286"/>
      <c r="P195" s="286"/>
      <c r="Q195" s="286"/>
      <c r="R195" s="286"/>
      <c r="S195" s="286"/>
      <c r="T195" s="286"/>
      <c r="U195" s="286"/>
      <c r="V195" s="286"/>
      <c r="W195" s="286"/>
      <c r="X195" s="286"/>
      <c r="Y195" s="286"/>
      <c r="Z195" s="286"/>
      <c r="AA195" s="286"/>
      <c r="AB195" s="286"/>
      <c r="AC195" s="286"/>
      <c r="AD195" s="286"/>
      <c r="AE195" s="286"/>
      <c r="AF195" s="286"/>
      <c r="AG195" s="286"/>
      <c r="AH195" s="286"/>
      <c r="AI195" s="286"/>
      <c r="AJ195" s="286"/>
      <c r="AK195" s="286"/>
      <c r="AL195" s="286"/>
      <c r="AM195" s="286"/>
      <c r="AN195" s="286"/>
      <c r="AO195" s="286"/>
      <c r="AP195" s="286"/>
      <c r="AQ195" s="286"/>
      <c r="AR195" s="286"/>
      <c r="AS195" s="286"/>
      <c r="AT195" s="286"/>
      <c r="AU195" s="286"/>
      <c r="AV195" s="286"/>
      <c r="AW195" s="286"/>
      <c r="AX195" s="286"/>
      <c r="AY195" s="286"/>
      <c r="AZ195" s="286"/>
      <c r="BA195" s="286"/>
      <c r="BB195" s="286"/>
      <c r="BC195" s="286"/>
      <c r="BD195" s="286"/>
      <c r="BE195" s="286"/>
      <c r="BF195" s="286"/>
      <c r="BG195" s="286"/>
      <c r="BH195" s="286"/>
      <c r="BI195" s="286"/>
      <c r="BJ195" s="286"/>
      <c r="BK195" s="286"/>
      <c r="BL195" s="286"/>
      <c r="BM195" s="286"/>
      <c r="BN195" s="286"/>
      <c r="BO195" s="286"/>
      <c r="BP195" s="286"/>
      <c r="BQ195" s="286"/>
      <c r="BR195" s="286"/>
      <c r="BS195" s="286"/>
      <c r="BT195" s="286"/>
      <c r="BU195" s="286"/>
      <c r="BV195" s="286"/>
      <c r="BW195" s="286"/>
      <c r="BX195" s="286"/>
      <c r="BY195" s="286"/>
      <c r="BZ195" s="286"/>
      <c r="CA195" s="286"/>
      <c r="CB195" s="286"/>
      <c r="CC195" s="286"/>
      <c r="CD195" s="286"/>
      <c r="CE195" s="286"/>
    </row>
    <row r="196" spans="1:83" x14ac:dyDescent="0.25">
      <c r="A196" s="286"/>
      <c r="B196" s="286"/>
      <c r="C196" s="286"/>
      <c r="D196" s="286"/>
      <c r="E196" s="286"/>
      <c r="F196" s="286"/>
      <c r="G196" s="286"/>
      <c r="H196" s="286"/>
      <c r="I196" s="286"/>
      <c r="J196" s="286"/>
      <c r="K196" s="286"/>
      <c r="L196" s="286"/>
      <c r="M196" s="286"/>
      <c r="N196" s="286"/>
      <c r="O196" s="286"/>
      <c r="P196" s="286"/>
      <c r="Q196" s="286"/>
      <c r="R196" s="286"/>
      <c r="S196" s="286"/>
      <c r="T196" s="286"/>
      <c r="U196" s="286"/>
      <c r="V196" s="286"/>
      <c r="W196" s="286"/>
      <c r="X196" s="286"/>
      <c r="Y196" s="286"/>
      <c r="Z196" s="286"/>
      <c r="AA196" s="286"/>
      <c r="AB196" s="286"/>
      <c r="AC196" s="286"/>
      <c r="AD196" s="286"/>
      <c r="AE196" s="286"/>
      <c r="AF196" s="286"/>
      <c r="AG196" s="286"/>
      <c r="AH196" s="286"/>
      <c r="AI196" s="286"/>
      <c r="AJ196" s="286"/>
      <c r="AK196" s="286"/>
      <c r="AL196" s="286"/>
      <c r="AM196" s="286"/>
      <c r="AN196" s="286"/>
      <c r="AO196" s="286"/>
      <c r="AP196" s="286"/>
      <c r="AQ196" s="286"/>
      <c r="AR196" s="286"/>
      <c r="AS196" s="286"/>
      <c r="AT196" s="286"/>
      <c r="AU196" s="286"/>
      <c r="AV196" s="286"/>
      <c r="AW196" s="286"/>
      <c r="AX196" s="286"/>
      <c r="AY196" s="286"/>
      <c r="AZ196" s="286"/>
      <c r="BA196" s="286"/>
      <c r="BB196" s="286"/>
      <c r="BC196" s="286"/>
      <c r="BD196" s="286"/>
      <c r="BE196" s="286"/>
      <c r="BF196" s="286"/>
      <c r="BG196" s="286"/>
      <c r="BH196" s="286"/>
      <c r="BI196" s="286"/>
      <c r="BJ196" s="286"/>
      <c r="BK196" s="286"/>
      <c r="BL196" s="286"/>
      <c r="BM196" s="286"/>
      <c r="BN196" s="286"/>
      <c r="BO196" s="286"/>
      <c r="BP196" s="286"/>
      <c r="BQ196" s="286"/>
      <c r="BR196" s="286"/>
      <c r="BS196" s="286"/>
      <c r="BT196" s="286"/>
      <c r="BU196" s="286"/>
      <c r="BV196" s="286"/>
      <c r="BW196" s="286"/>
      <c r="BX196" s="286"/>
      <c r="BY196" s="286"/>
      <c r="BZ196" s="286"/>
      <c r="CA196" s="286"/>
      <c r="CB196" s="286"/>
      <c r="CC196" s="286"/>
      <c r="CD196" s="286"/>
      <c r="CE196" s="286"/>
    </row>
    <row r="197" spans="1:83" x14ac:dyDescent="0.25">
      <c r="A197" s="286"/>
      <c r="B197" s="286"/>
      <c r="C197" s="286"/>
      <c r="D197" s="286"/>
      <c r="E197" s="286"/>
      <c r="F197" s="286"/>
      <c r="G197" s="286"/>
      <c r="H197" s="286"/>
      <c r="I197" s="286"/>
      <c r="J197" s="286"/>
      <c r="K197" s="286"/>
      <c r="L197" s="286"/>
      <c r="M197" s="286"/>
      <c r="N197" s="286"/>
      <c r="O197" s="286"/>
      <c r="P197" s="286"/>
      <c r="Q197" s="286"/>
      <c r="R197" s="286"/>
      <c r="S197" s="286"/>
      <c r="T197" s="286"/>
      <c r="U197" s="286"/>
      <c r="V197" s="286"/>
      <c r="W197" s="286"/>
      <c r="X197" s="286"/>
      <c r="Y197" s="286"/>
      <c r="Z197" s="286"/>
      <c r="AA197" s="286"/>
      <c r="AB197" s="286"/>
      <c r="AC197" s="286"/>
      <c r="AD197" s="286"/>
      <c r="AE197" s="286"/>
      <c r="AF197" s="286"/>
      <c r="AG197" s="286"/>
      <c r="AH197" s="286"/>
      <c r="AI197" s="286"/>
      <c r="AJ197" s="286"/>
      <c r="AK197" s="286"/>
      <c r="AL197" s="286"/>
      <c r="AM197" s="286"/>
      <c r="AN197" s="286"/>
      <c r="AO197" s="286"/>
      <c r="AP197" s="286"/>
      <c r="AQ197" s="286"/>
      <c r="AR197" s="286"/>
      <c r="AS197" s="286"/>
      <c r="AT197" s="286"/>
      <c r="AU197" s="286"/>
      <c r="AV197" s="286"/>
      <c r="AW197" s="286"/>
      <c r="AX197" s="286"/>
      <c r="AY197" s="286"/>
      <c r="AZ197" s="286"/>
      <c r="BA197" s="286"/>
      <c r="BB197" s="286"/>
      <c r="BC197" s="286"/>
      <c r="BD197" s="286"/>
      <c r="BE197" s="286"/>
      <c r="BF197" s="286"/>
      <c r="BG197" s="286"/>
      <c r="BH197" s="286"/>
      <c r="BI197" s="286"/>
      <c r="BJ197" s="286"/>
      <c r="BK197" s="286"/>
      <c r="BL197" s="286"/>
      <c r="BM197" s="286"/>
      <c r="BN197" s="286"/>
      <c r="BO197" s="286"/>
      <c r="BP197" s="286"/>
      <c r="BQ197" s="286"/>
      <c r="BR197" s="286"/>
      <c r="BS197" s="286"/>
      <c r="BT197" s="286"/>
      <c r="BU197" s="286"/>
      <c r="BV197" s="286"/>
      <c r="BW197" s="286"/>
      <c r="BX197" s="286"/>
      <c r="BY197" s="286"/>
      <c r="BZ197" s="286"/>
      <c r="CA197" s="286"/>
      <c r="CB197" s="286"/>
      <c r="CC197" s="286"/>
      <c r="CD197" s="286"/>
      <c r="CE197" s="286"/>
    </row>
  </sheetData>
  <mergeCells count="19">
    <mergeCell ref="I126:K126"/>
    <mergeCell ref="C117:E117"/>
    <mergeCell ref="I117:J117"/>
    <mergeCell ref="K117:L117"/>
    <mergeCell ref="C121:F121"/>
    <mergeCell ref="G121:G122"/>
    <mergeCell ref="I125:K125"/>
    <mergeCell ref="I116:L116"/>
    <mergeCell ref="AM41:AO41"/>
    <mergeCell ref="AP41:AR41"/>
    <mergeCell ref="U6:X6"/>
    <mergeCell ref="O7:Q7"/>
    <mergeCell ref="U7:V7"/>
    <mergeCell ref="W7:X7"/>
    <mergeCell ref="U8:V8"/>
    <mergeCell ref="W8:X8"/>
    <mergeCell ref="O11:R11"/>
    <mergeCell ref="U15:W15"/>
    <mergeCell ref="U16:W1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9265" r:id="rId3" name="Button 1">
              <controlPr defaultSize="0" print="0" autoFill="0" autoPict="0" macro="[0]!Módulo9.Botón4_Haga_clic_en">
                <anchor moveWithCells="1" sizeWithCells="1">
                  <from>
                    <xdr:col>4</xdr:col>
                    <xdr:colOff>209550</xdr:colOff>
                    <xdr:row>8</xdr:row>
                    <xdr:rowOff>171450</xdr:rowOff>
                  </from>
                  <to>
                    <xdr:col>9</xdr:col>
                    <xdr:colOff>514350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6" r:id="rId4" name="Button 2">
              <controlPr defaultSize="0" print="0" autoFill="0" autoPict="0" macro="[0]!IniciaAnalisisEspectral">
                <anchor moveWithCells="1" sizeWithCells="1">
                  <from>
                    <xdr:col>20</xdr:col>
                    <xdr:colOff>685800</xdr:colOff>
                    <xdr:row>10</xdr:row>
                    <xdr:rowOff>142875</xdr:rowOff>
                  </from>
                  <to>
                    <xdr:col>23</xdr:col>
                    <xdr:colOff>276225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7" r:id="rId5" name="Button 3">
              <controlPr defaultSize="0" print="0" autoFill="0" autoPict="0" macro="[0]!analisisprobabilista">
                <anchor moveWithCells="1" sizeWithCells="1">
                  <from>
                    <xdr:col>8</xdr:col>
                    <xdr:colOff>428625</xdr:colOff>
                    <xdr:row>118</xdr:row>
                    <xdr:rowOff>152400</xdr:rowOff>
                  </from>
                  <to>
                    <xdr:col>11</xdr:col>
                    <xdr:colOff>352425</xdr:colOff>
                    <xdr:row>121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8" r:id="rId6" name="Button 4">
              <controlPr defaultSize="0" print="0" autoFill="0" autoPict="0" macro="[0]!Botón4_Haga_clic_en">
                <anchor moveWithCells="1" sizeWithCells="1">
                  <from>
                    <xdr:col>11</xdr:col>
                    <xdr:colOff>695325</xdr:colOff>
                    <xdr:row>46</xdr:row>
                    <xdr:rowOff>76200</xdr:rowOff>
                  </from>
                  <to>
                    <xdr:col>19</xdr:col>
                    <xdr:colOff>171450</xdr:colOff>
                    <xdr:row>51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1:AG115"/>
  <sheetViews>
    <sheetView topLeftCell="A16" zoomScale="86" zoomScaleNormal="85" workbookViewId="0">
      <selection activeCell="C49" sqref="C49"/>
    </sheetView>
  </sheetViews>
  <sheetFormatPr baseColWidth="10" defaultColWidth="11.5703125" defaultRowHeight="15" x14ac:dyDescent="0.25"/>
  <cols>
    <col min="2" max="2" width="19.7109375" customWidth="1"/>
    <col min="3" max="3" width="17.140625" customWidth="1"/>
    <col min="4" max="4" width="15.85546875" customWidth="1"/>
    <col min="5" max="5" width="18.28515625" customWidth="1"/>
    <col min="6" max="6" width="19.42578125" customWidth="1"/>
    <col min="7" max="7" width="16.85546875" customWidth="1"/>
    <col min="8" max="8" width="14.140625" customWidth="1"/>
    <col min="9" max="9" width="13.140625" customWidth="1"/>
    <col min="10" max="10" width="15.140625" customWidth="1"/>
    <col min="11" max="11" width="15.5703125" customWidth="1"/>
    <col min="12" max="12" width="17.5703125" customWidth="1"/>
    <col min="13" max="13" width="12.5703125" customWidth="1"/>
    <col min="14" max="14" width="14" customWidth="1"/>
    <col min="15" max="15" width="14.28515625" bestFit="1" customWidth="1"/>
    <col min="16" max="20" width="10.28515625" bestFit="1" customWidth="1"/>
    <col min="21" max="21" width="14.42578125" bestFit="1" customWidth="1"/>
    <col min="22" max="22" width="11.42578125" customWidth="1"/>
    <col min="25" max="25" width="15" bestFit="1" customWidth="1"/>
    <col min="26" max="26" width="14.85546875" bestFit="1" customWidth="1"/>
    <col min="27" max="28" width="15" bestFit="1" customWidth="1"/>
    <col min="29" max="29" width="13.42578125" customWidth="1"/>
    <col min="30" max="30" width="15.140625" customWidth="1"/>
  </cols>
  <sheetData>
    <row r="1" spans="1:33" ht="13.5" customHeight="1" x14ac:dyDescent="0.25">
      <c r="A1" s="92">
        <v>1</v>
      </c>
      <c r="B1" s="92">
        <v>2</v>
      </c>
      <c r="C1" s="92">
        <v>3</v>
      </c>
      <c r="D1" s="92">
        <v>4</v>
      </c>
      <c r="E1" s="92">
        <v>5</v>
      </c>
      <c r="F1" s="92">
        <v>6</v>
      </c>
      <c r="G1" s="92">
        <v>7</v>
      </c>
      <c r="H1" s="92">
        <v>8</v>
      </c>
      <c r="I1" s="92">
        <v>9</v>
      </c>
      <c r="J1" s="92">
        <v>10</v>
      </c>
      <c r="K1" s="92">
        <v>11</v>
      </c>
      <c r="L1" s="92">
        <v>12</v>
      </c>
      <c r="M1" s="92">
        <v>13</v>
      </c>
      <c r="N1" s="92">
        <v>14</v>
      </c>
      <c r="O1" s="92">
        <v>15</v>
      </c>
      <c r="P1" s="92">
        <v>16</v>
      </c>
      <c r="Q1" s="92">
        <v>17</v>
      </c>
      <c r="R1" s="92">
        <v>18</v>
      </c>
      <c r="S1" s="92">
        <v>19</v>
      </c>
      <c r="T1" s="92">
        <v>20</v>
      </c>
      <c r="U1" s="92">
        <v>21</v>
      </c>
      <c r="V1" s="92">
        <v>22</v>
      </c>
      <c r="W1" s="92">
        <v>23</v>
      </c>
      <c r="X1" s="92">
        <v>24</v>
      </c>
      <c r="Y1" s="92">
        <v>25</v>
      </c>
      <c r="Z1" s="92">
        <v>26</v>
      </c>
      <c r="AA1" s="92">
        <v>27</v>
      </c>
      <c r="AB1" s="92">
        <v>28</v>
      </c>
      <c r="AC1" s="92">
        <v>29</v>
      </c>
      <c r="AD1" s="92">
        <v>30</v>
      </c>
    </row>
    <row r="2" spans="1:33" s="91" customFormat="1" ht="42.75" customHeight="1" x14ac:dyDescent="0.2">
      <c r="A2" s="107" t="s">
        <v>2</v>
      </c>
      <c r="B2" s="107" t="s">
        <v>18</v>
      </c>
      <c r="C2" s="107" t="s">
        <v>110</v>
      </c>
      <c r="D2" s="107" t="s">
        <v>109</v>
      </c>
      <c r="E2" s="107" t="s">
        <v>9</v>
      </c>
      <c r="F2" s="107" t="s">
        <v>92</v>
      </c>
      <c r="G2" s="107" t="s">
        <v>19</v>
      </c>
      <c r="H2" s="108" t="s">
        <v>3</v>
      </c>
      <c r="I2" s="109" t="s">
        <v>20</v>
      </c>
      <c r="J2" s="109" t="s">
        <v>117</v>
      </c>
      <c r="K2" s="109" t="s">
        <v>118</v>
      </c>
      <c r="L2" s="109" t="s">
        <v>119</v>
      </c>
      <c r="M2" s="109" t="s">
        <v>80</v>
      </c>
      <c r="N2" s="109" t="s">
        <v>90</v>
      </c>
      <c r="O2" s="109" t="s">
        <v>89</v>
      </c>
      <c r="P2" s="109" t="s">
        <v>4</v>
      </c>
      <c r="Q2" s="109" t="s">
        <v>5</v>
      </c>
      <c r="R2" s="110" t="s">
        <v>6</v>
      </c>
      <c r="S2" s="109" t="s">
        <v>7</v>
      </c>
      <c r="T2" s="109" t="s">
        <v>8</v>
      </c>
      <c r="U2" s="109" t="s">
        <v>88</v>
      </c>
      <c r="V2" s="109" t="s">
        <v>87</v>
      </c>
      <c r="W2" s="109" t="s">
        <v>86</v>
      </c>
      <c r="X2" s="109" t="s">
        <v>85</v>
      </c>
      <c r="Y2" s="109" t="s">
        <v>84</v>
      </c>
      <c r="Z2" s="109" t="s">
        <v>83</v>
      </c>
      <c r="AA2" s="109" t="s">
        <v>82</v>
      </c>
      <c r="AB2" s="109" t="s">
        <v>81</v>
      </c>
      <c r="AC2" s="109" t="s">
        <v>80</v>
      </c>
      <c r="AD2" s="109" t="s">
        <v>79</v>
      </c>
    </row>
    <row r="3" spans="1:33" x14ac:dyDescent="0.25">
      <c r="A3" s="2"/>
      <c r="B3" s="2"/>
      <c r="C3" s="2">
        <v>691200</v>
      </c>
      <c r="D3" s="2">
        <v>0.25</v>
      </c>
      <c r="E3" s="2">
        <v>0.35</v>
      </c>
      <c r="F3" s="2">
        <v>3.5462936700074694</v>
      </c>
      <c r="G3" s="95">
        <v>18.001371637588178</v>
      </c>
      <c r="H3" s="2"/>
      <c r="I3" s="2"/>
      <c r="J3" s="103">
        <v>34.447191849550144</v>
      </c>
      <c r="K3" s="103">
        <v>-1.4263335735143219</v>
      </c>
      <c r="L3" s="103">
        <v>-1.4263335735143219</v>
      </c>
      <c r="M3" s="113">
        <v>5.1281286676808695E-5</v>
      </c>
      <c r="N3" s="113">
        <v>-1.8784192665114089E-5</v>
      </c>
      <c r="O3" s="113">
        <v>-1.8784192665114089E-5</v>
      </c>
      <c r="P3" s="113"/>
      <c r="Q3" s="113"/>
      <c r="R3" s="113"/>
      <c r="S3" s="113"/>
      <c r="T3" s="113"/>
      <c r="U3" s="113"/>
      <c r="V3" s="10">
        <v>2.5746972159823248E-2</v>
      </c>
      <c r="W3" s="10">
        <v>-1.4263335735143219</v>
      </c>
      <c r="X3" s="10">
        <v>-1.4263335735143219</v>
      </c>
      <c r="Y3" s="10">
        <v>0</v>
      </c>
      <c r="Z3" s="2"/>
      <c r="AA3" s="2"/>
      <c r="AB3" s="2"/>
      <c r="AC3" s="152"/>
      <c r="AD3" s="152">
        <v>-1.8784192665114089E-5</v>
      </c>
      <c r="AE3" s="151"/>
      <c r="AF3" s="151"/>
    </row>
    <row r="4" spans="1:33" x14ac:dyDescent="0.25">
      <c r="A4" s="2"/>
      <c r="B4" s="2"/>
      <c r="C4" s="2">
        <v>115200</v>
      </c>
      <c r="D4" s="2"/>
      <c r="E4" s="2"/>
      <c r="F4" s="2"/>
      <c r="G4" s="95">
        <v>84.316389452137187</v>
      </c>
      <c r="H4" s="2"/>
      <c r="I4" s="2"/>
      <c r="J4" s="103">
        <v>1.6429286955575166</v>
      </c>
      <c r="K4" s="103">
        <v>-8.1492993327111324E-2</v>
      </c>
      <c r="L4" s="103">
        <v>-8.1492993327111324E-2</v>
      </c>
      <c r="M4" s="113">
        <v>1.4756716934778597E-5</v>
      </c>
      <c r="N4" s="113">
        <v>-5.4513497318381348E-6</v>
      </c>
      <c r="O4" s="113">
        <v>-5.4513497318381348E-6</v>
      </c>
      <c r="P4" s="113"/>
      <c r="Q4" s="113"/>
      <c r="R4" s="113"/>
      <c r="S4" s="113"/>
      <c r="T4" s="113"/>
      <c r="U4" s="113"/>
      <c r="V4" s="113"/>
      <c r="W4" s="10">
        <v>-8.1492993327111324E-2</v>
      </c>
      <c r="X4" s="10">
        <v>-8.1492993327111324E-2</v>
      </c>
      <c r="Y4" s="10">
        <v>0</v>
      </c>
      <c r="Z4" s="2"/>
      <c r="AA4" s="2"/>
      <c r="AB4" s="2"/>
      <c r="AC4" s="152"/>
      <c r="AD4" s="152">
        <v>-5.4513497318381348E-6</v>
      </c>
    </row>
    <row r="5" spans="1:33" x14ac:dyDescent="0.25">
      <c r="G5" s="19"/>
      <c r="W5" s="112"/>
      <c r="X5" s="112"/>
      <c r="AD5" s="152"/>
      <c r="AF5" s="384"/>
      <c r="AG5" s="384"/>
    </row>
    <row r="6" spans="1:33" x14ac:dyDescent="0.25">
      <c r="J6" s="20">
        <v>6.2040898880335691</v>
      </c>
      <c r="M6" s="113">
        <v>1.042031740378124E-5</v>
      </c>
      <c r="AC6" s="152">
        <v>2.8718770969591038E-4</v>
      </c>
      <c r="AD6" s="152">
        <v>-4.4828534195544826E-6</v>
      </c>
      <c r="AF6" s="151"/>
      <c r="AG6" s="151"/>
    </row>
    <row r="7" spans="1:33" x14ac:dyDescent="0.25">
      <c r="J7" s="20">
        <v>1.4042171462959461</v>
      </c>
      <c r="M7" s="113">
        <v>1.2684568069660797E-5</v>
      </c>
      <c r="AC7" s="152">
        <v>4.1059798962019749E-4</v>
      </c>
      <c r="AD7" s="152">
        <v>-4.7260976290469054E-6</v>
      </c>
      <c r="AF7" s="151"/>
      <c r="AG7" s="151"/>
    </row>
    <row r="9" spans="1:33" ht="17.25" x14ac:dyDescent="0.3">
      <c r="A9" s="15">
        <v>1</v>
      </c>
      <c r="B9" s="4" t="s">
        <v>27</v>
      </c>
      <c r="C9" s="4">
        <v>15</v>
      </c>
      <c r="D9" s="4">
        <v>3500000</v>
      </c>
      <c r="E9" s="5"/>
      <c r="F9" s="14"/>
      <c r="G9" s="5">
        <v>15</v>
      </c>
      <c r="H9" s="130"/>
      <c r="I9" s="5">
        <v>30.909639748564178</v>
      </c>
      <c r="J9" s="6">
        <v>82.049922573226567</v>
      </c>
      <c r="K9" s="6">
        <v>21.292868204492787</v>
      </c>
      <c r="L9" s="6">
        <v>-1.8264451985107748</v>
      </c>
      <c r="M9" s="12">
        <v>1.8809168630283218E-4</v>
      </c>
      <c r="N9" s="12">
        <v>-1.696337219164435E-5</v>
      </c>
      <c r="O9" s="12">
        <v>-9.499105492678137E-5</v>
      </c>
      <c r="P9" s="7">
        <v>1.0535245753428353E-2</v>
      </c>
      <c r="Q9" s="7">
        <v>9.3139722472856373E-2</v>
      </c>
      <c r="R9" s="7">
        <v>4.2684564737631131E-2</v>
      </c>
      <c r="S9" s="7">
        <v>0.13189428109379697</v>
      </c>
      <c r="T9" s="7">
        <v>3.5217466990881074E-2</v>
      </c>
      <c r="U9" s="8">
        <v>1.7605633343570931E-2</v>
      </c>
      <c r="V9" s="9">
        <f>SUM(U9:U23)</f>
        <v>0.35728666120436947</v>
      </c>
      <c r="W9" s="10">
        <v>-0.86300773349844262</v>
      </c>
      <c r="X9" s="10">
        <v>20.329430739480454</v>
      </c>
      <c r="Y9" s="10">
        <v>0.14214651123131919</v>
      </c>
      <c r="Z9" s="10"/>
      <c r="AA9" s="21"/>
      <c r="AB9" s="21"/>
      <c r="AC9" s="12">
        <v>1.8809168630283218E-4</v>
      </c>
      <c r="AD9" s="12">
        <v>-9.1752322550909984E-5</v>
      </c>
    </row>
    <row r="10" spans="1:33" ht="17.25" x14ac:dyDescent="0.3">
      <c r="A10" s="15">
        <v>2</v>
      </c>
      <c r="B10" s="4" t="s">
        <v>28</v>
      </c>
      <c r="C10" s="4">
        <v>20</v>
      </c>
      <c r="D10" s="4">
        <v>400000</v>
      </c>
      <c r="E10" s="5"/>
      <c r="F10" s="14"/>
      <c r="G10" s="5">
        <v>30.909639748564178</v>
      </c>
      <c r="H10" s="130"/>
      <c r="I10" s="5">
        <v>50.909639748564175</v>
      </c>
      <c r="J10" s="6">
        <v>47.613522669091978</v>
      </c>
      <c r="K10" s="6">
        <v>5.3305264732942916</v>
      </c>
      <c r="L10" s="6">
        <v>-2.0909655244142846</v>
      </c>
      <c r="M10" s="12">
        <v>1.8591870534793591E-4</v>
      </c>
      <c r="N10" s="12">
        <v>-4.2409474109371594E-5</v>
      </c>
      <c r="O10" s="12">
        <v>-8.2485530896997893E-5</v>
      </c>
      <c r="P10" s="7">
        <v>9.2183400342498084E-2</v>
      </c>
      <c r="Q10" s="7">
        <v>6.7637808346582645E-2</v>
      </c>
      <c r="R10" s="7">
        <v>3.5105462293048832E-2</v>
      </c>
      <c r="S10" s="7">
        <v>6.7637808346582645E-2</v>
      </c>
      <c r="T10" s="7">
        <v>3.5105462293048832E-2</v>
      </c>
      <c r="U10" s="6">
        <v>3.0495205942880334E-2</v>
      </c>
      <c r="V10" s="3"/>
      <c r="W10" s="10">
        <v>-0.11380411631878183</v>
      </c>
      <c r="X10" s="10">
        <v>3.3533650651987883</v>
      </c>
      <c r="Y10" s="10">
        <v>0.2917123388993344</v>
      </c>
      <c r="Z10" s="10"/>
      <c r="AA10" s="21"/>
      <c r="AB10" s="21"/>
      <c r="AC10" s="12">
        <v>1.8591870534793591E-4</v>
      </c>
      <c r="AD10" s="12">
        <v>-7.2324779897969184E-5</v>
      </c>
    </row>
    <row r="11" spans="1:33" ht="17.25" x14ac:dyDescent="0.3">
      <c r="A11" s="15">
        <v>3</v>
      </c>
      <c r="B11" s="4" t="s">
        <v>147</v>
      </c>
      <c r="C11" s="4">
        <v>30</v>
      </c>
      <c r="D11" s="4">
        <v>250000</v>
      </c>
      <c r="E11" s="5"/>
      <c r="F11" s="14"/>
      <c r="G11" s="5">
        <v>47.635420694665108</v>
      </c>
      <c r="H11" s="130"/>
      <c r="I11" s="5">
        <v>77.6354206946651</v>
      </c>
      <c r="J11" s="6">
        <v>25.020939747355921</v>
      </c>
      <c r="K11" s="6">
        <v>2.4162965882909404</v>
      </c>
      <c r="L11" s="6">
        <v>-1.1142406879631614</v>
      </c>
      <c r="M11" s="12">
        <v>2.4565220182241199E-4</v>
      </c>
      <c r="N11" s="12">
        <v>-5.9510480824965256E-5</v>
      </c>
      <c r="O11" s="12">
        <v>-1.0717273405439562E-4</v>
      </c>
      <c r="P11" s="7">
        <v>0.14749344054799693</v>
      </c>
      <c r="Q11" s="7">
        <v>5.0466511581898986E-2</v>
      </c>
      <c r="R11" s="7">
        <v>2.7711025795922977E-2</v>
      </c>
      <c r="S11" s="7">
        <v>5.0466511581898986E-2</v>
      </c>
      <c r="T11" s="7">
        <v>2.7711025795922977E-2</v>
      </c>
      <c r="U11" s="6">
        <v>3.6232845183686538E-2</v>
      </c>
      <c r="V11" s="3"/>
      <c r="W11" s="10">
        <v>1.1844218600499106</v>
      </c>
      <c r="X11" s="10">
        <v>0.11763404027786825</v>
      </c>
      <c r="Y11" s="10">
        <v>0.33914693331340362</v>
      </c>
      <c r="Z11" s="10"/>
      <c r="AA11" s="21"/>
      <c r="AB11" s="21"/>
      <c r="AC11" s="12">
        <v>2.4565220182241199E-4</v>
      </c>
      <c r="AD11" s="12">
        <v>-9.4990720068659237E-5</v>
      </c>
    </row>
    <row r="12" spans="1:33" ht="17.25" x14ac:dyDescent="0.3">
      <c r="A12" s="15">
        <v>4</v>
      </c>
      <c r="B12" s="4" t="s">
        <v>59</v>
      </c>
      <c r="C12" s="4">
        <v>40</v>
      </c>
      <c r="D12" s="4">
        <v>100000</v>
      </c>
      <c r="E12" s="5"/>
      <c r="F12" s="14"/>
      <c r="G12" s="5">
        <v>84.293981442142282</v>
      </c>
      <c r="H12" s="130"/>
      <c r="I12" s="5">
        <v>84.294981442142287</v>
      </c>
      <c r="J12" s="6">
        <v>21.950564686512024</v>
      </c>
      <c r="K12" s="6">
        <v>2.1807620483014762</v>
      </c>
      <c r="L12" s="6">
        <v>-0.98691606752884886</v>
      </c>
      <c r="M12" s="12">
        <v>2.1532718593241605E-4</v>
      </c>
      <c r="N12" s="12">
        <v>-5.1565149683426344E-5</v>
      </c>
      <c r="O12" s="12">
        <v>-9.4328804247135748E-5</v>
      </c>
      <c r="P12" s="7">
        <v>0.36873360136999234</v>
      </c>
      <c r="Q12" s="7">
        <v>4.7569592877967401E-2</v>
      </c>
      <c r="R12" s="7">
        <v>2.6454845285547555E-2</v>
      </c>
      <c r="S12" s="7">
        <v>4.7569592877967401E-2</v>
      </c>
      <c r="T12" s="7">
        <v>2.6454845285547555E-2</v>
      </c>
      <c r="U12" s="6">
        <v>0.27295297673423169</v>
      </c>
      <c r="V12" s="3"/>
      <c r="W12" s="10">
        <v>1.2642644801547627</v>
      </c>
      <c r="X12" s="10">
        <v>-7.0418499382135416E-2</v>
      </c>
      <c r="Y12" s="10">
        <v>0.33214139228118827</v>
      </c>
      <c r="Z12" s="10"/>
      <c r="AA12" s="21"/>
      <c r="AB12" s="21"/>
      <c r="AC12" s="12">
        <v>2.1532718593241605E-4</v>
      </c>
      <c r="AD12" s="12">
        <v>-8.5658617983022989E-5</v>
      </c>
    </row>
    <row r="13" spans="1:33" x14ac:dyDescent="0.25">
      <c r="H13" s="22"/>
      <c r="I13" s="22"/>
    </row>
    <row r="15" spans="1:33" x14ac:dyDescent="0.25">
      <c r="C15" s="104" t="s">
        <v>94</v>
      </c>
      <c r="D15" s="104" t="s">
        <v>95</v>
      </c>
      <c r="E15" s="104" t="s">
        <v>99</v>
      </c>
      <c r="F15" s="104" t="s">
        <v>101</v>
      </c>
    </row>
    <row r="16" spans="1:33" x14ac:dyDescent="0.25">
      <c r="C16" s="105" t="s">
        <v>93</v>
      </c>
      <c r="D16" s="105" t="s">
        <v>96</v>
      </c>
      <c r="E16" s="105" t="s">
        <v>100</v>
      </c>
      <c r="F16" s="105" t="s">
        <v>102</v>
      </c>
    </row>
    <row r="17" spans="2:9" x14ac:dyDescent="0.25">
      <c r="C17" s="106" t="s">
        <v>98</v>
      </c>
      <c r="D17" s="106" t="s">
        <v>97</v>
      </c>
      <c r="E17" s="106" t="s">
        <v>103</v>
      </c>
      <c r="F17" s="106" t="s">
        <v>104</v>
      </c>
    </row>
    <row r="18" spans="2:9" x14ac:dyDescent="0.25">
      <c r="B18" s="93" t="s">
        <v>13</v>
      </c>
      <c r="C18" s="95">
        <v>90</v>
      </c>
      <c r="D18" s="95">
        <v>18</v>
      </c>
      <c r="E18" s="95">
        <v>25.456814035431929</v>
      </c>
      <c r="F18" s="95">
        <v>86.216318236424769</v>
      </c>
    </row>
    <row r="19" spans="2:9" x14ac:dyDescent="0.25">
      <c r="B19" s="93" t="s">
        <v>12</v>
      </c>
      <c r="C19" s="95">
        <v>90</v>
      </c>
      <c r="D19" s="95">
        <v>18</v>
      </c>
      <c r="E19" s="95">
        <v>25.456814035431929</v>
      </c>
      <c r="F19" s="95">
        <v>86.216318236424769</v>
      </c>
    </row>
    <row r="20" spans="2:9" x14ac:dyDescent="0.25">
      <c r="B20" s="93" t="s">
        <v>14</v>
      </c>
      <c r="C20" s="95">
        <v>8.3929251873924979</v>
      </c>
      <c r="D20" s="95">
        <v>123.32072007574396</v>
      </c>
      <c r="E20" s="95">
        <v>124.62764292417057</v>
      </c>
      <c r="F20" s="95">
        <v>149.3896031531126</v>
      </c>
    </row>
    <row r="21" spans="2:9" x14ac:dyDescent="0.25">
      <c r="B21" s="93" t="s">
        <v>15</v>
      </c>
      <c r="C21" s="95">
        <v>8.3929251873924979</v>
      </c>
      <c r="D21" s="95">
        <v>123.32072007574396</v>
      </c>
      <c r="E21" s="95">
        <v>124.62764292417057</v>
      </c>
      <c r="F21" s="95">
        <v>149.3896031531126</v>
      </c>
    </row>
    <row r="22" spans="2:9" x14ac:dyDescent="0.25">
      <c r="B22" s="93" t="s">
        <v>16</v>
      </c>
      <c r="C22" s="95">
        <v>4.2190953492484544</v>
      </c>
      <c r="D22" s="95">
        <v>244.66303357883879</v>
      </c>
      <c r="E22" s="95">
        <v>245.32437583908077</v>
      </c>
      <c r="F22" s="95">
        <v>258.78418330772166</v>
      </c>
      <c r="I22" s="76"/>
    </row>
    <row r="23" spans="2:9" x14ac:dyDescent="0.25">
      <c r="B23" s="93" t="s">
        <v>17</v>
      </c>
      <c r="C23" s="95">
        <v>4.2190953492484544</v>
      </c>
      <c r="D23" s="95">
        <v>244.66303357883879</v>
      </c>
      <c r="E23" s="95">
        <v>245.32437583908077</v>
      </c>
      <c r="F23" s="95">
        <v>258.78418330772166</v>
      </c>
      <c r="I23" s="124"/>
    </row>
    <row r="24" spans="2:9" x14ac:dyDescent="0.25">
      <c r="C24" s="19"/>
      <c r="D24" s="19"/>
      <c r="E24" s="19"/>
      <c r="F24" s="19"/>
      <c r="I24" s="124"/>
    </row>
    <row r="25" spans="2:9" x14ac:dyDescent="0.25">
      <c r="B25" s="2"/>
      <c r="C25" s="150" t="s">
        <v>55</v>
      </c>
      <c r="D25" s="150" t="s">
        <v>68</v>
      </c>
      <c r="E25" s="150" t="s">
        <v>69</v>
      </c>
      <c r="F25" s="150" t="s">
        <v>70</v>
      </c>
      <c r="I25" s="76"/>
    </row>
    <row r="26" spans="2:9" x14ac:dyDescent="0.25">
      <c r="B26" s="93" t="s">
        <v>105</v>
      </c>
      <c r="C26" s="103">
        <v>5.0757217746047774</v>
      </c>
      <c r="D26" s="2">
        <v>1.0508637887943706E-2</v>
      </c>
      <c r="E26" s="2">
        <v>8.3808393794325333E-3</v>
      </c>
      <c r="F26" s="2">
        <v>-3.0134283569107831E-4</v>
      </c>
    </row>
    <row r="27" spans="2:9" x14ac:dyDescent="0.25">
      <c r="B27" s="93" t="s">
        <v>106</v>
      </c>
      <c r="C27" s="103">
        <v>5.0757217746047774</v>
      </c>
      <c r="D27" s="2">
        <v>1.0508637887943706E-2</v>
      </c>
      <c r="E27" s="2">
        <v>8.3808393794325333E-3</v>
      </c>
      <c r="F27" s="2">
        <v>-3.0134283569107831E-4</v>
      </c>
    </row>
    <row r="28" spans="2:9" x14ac:dyDescent="0.25">
      <c r="B28" s="93" t="s">
        <v>107</v>
      </c>
      <c r="C28" s="103">
        <v>13.999000000000001</v>
      </c>
      <c r="D28" s="2">
        <v>2.7002867868973951E-4</v>
      </c>
      <c r="E28" s="2">
        <v>1.5287025965317147E-3</v>
      </c>
      <c r="F28" s="2">
        <v>2.5376336276825402E-4</v>
      </c>
    </row>
    <row r="29" spans="2:9" x14ac:dyDescent="0.25">
      <c r="B29" s="93" t="s">
        <v>108</v>
      </c>
      <c r="C29" s="103">
        <v>13.999000000000001</v>
      </c>
      <c r="D29" s="2">
        <v>2.7002867868973951E-4</v>
      </c>
      <c r="E29" s="2">
        <v>1.5287025965317147E-3</v>
      </c>
      <c r="F29" s="2">
        <v>2.5376336276825402E-4</v>
      </c>
    </row>
    <row r="31" spans="2:9" x14ac:dyDescent="0.25">
      <c r="B31" s="93" t="s">
        <v>13</v>
      </c>
      <c r="C31" s="116">
        <v>6.2040898880335691</v>
      </c>
      <c r="D31" s="116">
        <v>1.4042171462959461</v>
      </c>
    </row>
    <row r="32" spans="2:9" x14ac:dyDescent="0.25">
      <c r="B32" s="93" t="s">
        <v>12</v>
      </c>
      <c r="C32" s="116"/>
      <c r="D32" s="116"/>
    </row>
    <row r="33" spans="2:9" x14ac:dyDescent="0.25">
      <c r="B33" s="93" t="s">
        <v>14</v>
      </c>
      <c r="C33" s="116"/>
      <c r="D33" s="116"/>
    </row>
    <row r="34" spans="2:9" x14ac:dyDescent="0.25">
      <c r="B34" s="93" t="s">
        <v>15</v>
      </c>
      <c r="C34" s="116"/>
      <c r="D34" s="116"/>
    </row>
    <row r="35" spans="2:9" x14ac:dyDescent="0.25">
      <c r="B35" s="93" t="s">
        <v>16</v>
      </c>
      <c r="C35" s="116"/>
      <c r="D35" s="116"/>
    </row>
    <row r="36" spans="2:9" x14ac:dyDescent="0.25">
      <c r="B36" s="93" t="s">
        <v>17</v>
      </c>
      <c r="C36" s="116"/>
      <c r="D36" s="116"/>
    </row>
    <row r="38" spans="2:9" x14ac:dyDescent="0.25">
      <c r="B38" s="102"/>
      <c r="C38" s="385" t="s">
        <v>113</v>
      </c>
      <c r="D38" s="386"/>
      <c r="E38" s="385" t="s">
        <v>114</v>
      </c>
      <c r="F38" s="386"/>
    </row>
    <row r="39" spans="2:9" x14ac:dyDescent="0.25">
      <c r="B39" s="13"/>
      <c r="C39" s="385" t="s">
        <v>112</v>
      </c>
      <c r="D39" s="386"/>
      <c r="E39" s="385" t="s">
        <v>112</v>
      </c>
      <c r="F39" s="386"/>
    </row>
    <row r="40" spans="2:9" x14ac:dyDescent="0.25">
      <c r="B40" s="99" t="s">
        <v>111</v>
      </c>
      <c r="C40" s="100">
        <v>1</v>
      </c>
      <c r="D40" s="101">
        <v>2</v>
      </c>
      <c r="E40" s="100">
        <v>1</v>
      </c>
      <c r="F40" s="101">
        <v>2</v>
      </c>
    </row>
    <row r="41" spans="2:9" x14ac:dyDescent="0.25">
      <c r="B41" s="18">
        <v>1</v>
      </c>
      <c r="C41">
        <v>-1.4263335735143219</v>
      </c>
      <c r="D41">
        <v>-8.1492993327111324E-2</v>
      </c>
      <c r="E41">
        <v>-1.4263335735143219</v>
      </c>
      <c r="F41" s="85">
        <v>-8.1492993327111324E-2</v>
      </c>
    </row>
    <row r="42" spans="2:9" x14ac:dyDescent="0.25">
      <c r="B42" s="18">
        <v>2</v>
      </c>
      <c r="F42" s="85"/>
    </row>
    <row r="43" spans="2:9" x14ac:dyDescent="0.25">
      <c r="B43" s="18">
        <v>3</v>
      </c>
      <c r="F43" s="85"/>
      <c r="G43" s="98"/>
      <c r="H43" s="98"/>
      <c r="I43" s="98"/>
    </row>
    <row r="44" spans="2:9" x14ac:dyDescent="0.25">
      <c r="B44" s="18">
        <v>4</v>
      </c>
      <c r="F44" s="85"/>
    </row>
    <row r="45" spans="2:9" x14ac:dyDescent="0.25">
      <c r="B45" s="18">
        <v>5</v>
      </c>
      <c r="F45" s="85"/>
    </row>
    <row r="46" spans="2:9" x14ac:dyDescent="0.25">
      <c r="B46" s="18">
        <v>6</v>
      </c>
      <c r="C46" s="96"/>
      <c r="D46" s="96"/>
      <c r="E46" s="96"/>
      <c r="F46" s="97"/>
    </row>
    <row r="48" spans="2:9" x14ac:dyDescent="0.25">
      <c r="B48" s="99" t="s">
        <v>148</v>
      </c>
      <c r="C48" s="128"/>
    </row>
    <row r="49" spans="2:5" x14ac:dyDescent="0.25">
      <c r="B49" s="93">
        <v>1</v>
      </c>
      <c r="C49" s="95">
        <v>18.001371637588178</v>
      </c>
      <c r="E49" s="111"/>
    </row>
    <row r="50" spans="2:5" x14ac:dyDescent="0.25">
      <c r="B50" s="93">
        <v>2</v>
      </c>
      <c r="C50" s="95">
        <v>84.316389452137187</v>
      </c>
    </row>
    <row r="51" spans="2:5" x14ac:dyDescent="0.25">
      <c r="B51" s="93">
        <v>3</v>
      </c>
      <c r="C51" s="95">
        <v>97.734962717092728</v>
      </c>
    </row>
    <row r="52" spans="2:5" x14ac:dyDescent="0.25">
      <c r="B52" s="93">
        <v>4</v>
      </c>
      <c r="C52" s="95">
        <v>97.962008553310937</v>
      </c>
    </row>
    <row r="53" spans="2:5" x14ac:dyDescent="0.25">
      <c r="B53" s="93">
        <v>5</v>
      </c>
      <c r="C53" s="95">
        <v>128.97762253051542</v>
      </c>
    </row>
    <row r="54" spans="2:5" ht="15" customHeight="1" x14ac:dyDescent="0.25">
      <c r="B54" s="93">
        <v>6</v>
      </c>
      <c r="C54" s="95"/>
    </row>
    <row r="75" spans="5:5" x14ac:dyDescent="0.25">
      <c r="E75" s="149"/>
    </row>
    <row r="76" spans="5:5" x14ac:dyDescent="0.25">
      <c r="E76" s="149"/>
    </row>
    <row r="77" spans="5:5" x14ac:dyDescent="0.25">
      <c r="E77" s="149"/>
    </row>
    <row r="78" spans="5:5" x14ac:dyDescent="0.25">
      <c r="E78" s="149"/>
    </row>
    <row r="79" spans="5:5" x14ac:dyDescent="0.25">
      <c r="E79" s="149"/>
    </row>
    <row r="80" spans="5:5" x14ac:dyDescent="0.25">
      <c r="E80" s="149"/>
    </row>
    <row r="81" spans="5:5" x14ac:dyDescent="0.25">
      <c r="E81" s="149"/>
    </row>
    <row r="82" spans="5:5" x14ac:dyDescent="0.25">
      <c r="E82" s="149"/>
    </row>
    <row r="83" spans="5:5" x14ac:dyDescent="0.25">
      <c r="E83" s="149"/>
    </row>
    <row r="84" spans="5:5" x14ac:dyDescent="0.25">
      <c r="E84" s="149"/>
    </row>
    <row r="85" spans="5:5" x14ac:dyDescent="0.25">
      <c r="E85" s="149"/>
    </row>
    <row r="86" spans="5:5" x14ac:dyDescent="0.25">
      <c r="E86" s="149"/>
    </row>
    <row r="87" spans="5:5" x14ac:dyDescent="0.25">
      <c r="E87" s="149"/>
    </row>
    <row r="88" spans="5:5" x14ac:dyDescent="0.25">
      <c r="E88" s="149"/>
    </row>
    <row r="89" spans="5:5" x14ac:dyDescent="0.25">
      <c r="E89" s="149"/>
    </row>
    <row r="90" spans="5:5" x14ac:dyDescent="0.25">
      <c r="E90" s="149"/>
    </row>
    <row r="91" spans="5:5" x14ac:dyDescent="0.25">
      <c r="E91" s="149"/>
    </row>
    <row r="92" spans="5:5" x14ac:dyDescent="0.25">
      <c r="E92" s="149"/>
    </row>
    <row r="93" spans="5:5" x14ac:dyDescent="0.25">
      <c r="E93" s="149"/>
    </row>
    <row r="94" spans="5:5" x14ac:dyDescent="0.25">
      <c r="E94" s="149"/>
    </row>
    <row r="95" spans="5:5" x14ac:dyDescent="0.25">
      <c r="E95" s="149"/>
    </row>
    <row r="96" spans="5:5" x14ac:dyDescent="0.25">
      <c r="E96" s="149"/>
    </row>
    <row r="97" spans="5:5" x14ac:dyDescent="0.25">
      <c r="E97" s="149"/>
    </row>
    <row r="98" spans="5:5" x14ac:dyDescent="0.25">
      <c r="E98" s="149"/>
    </row>
    <row r="99" spans="5:5" x14ac:dyDescent="0.25">
      <c r="E99" s="149"/>
    </row>
    <row r="100" spans="5:5" x14ac:dyDescent="0.25">
      <c r="E100" s="149"/>
    </row>
    <row r="101" spans="5:5" x14ac:dyDescent="0.25">
      <c r="E101" s="149"/>
    </row>
    <row r="102" spans="5:5" x14ac:dyDescent="0.25">
      <c r="E102" s="149"/>
    </row>
    <row r="103" spans="5:5" x14ac:dyDescent="0.25">
      <c r="E103" s="149"/>
    </row>
    <row r="104" spans="5:5" x14ac:dyDescent="0.25">
      <c r="E104" s="149"/>
    </row>
    <row r="105" spans="5:5" x14ac:dyDescent="0.25">
      <c r="E105" s="149"/>
    </row>
    <row r="106" spans="5:5" x14ac:dyDescent="0.25">
      <c r="E106" s="149"/>
    </row>
    <row r="107" spans="5:5" x14ac:dyDescent="0.25">
      <c r="E107" s="149"/>
    </row>
    <row r="108" spans="5:5" x14ac:dyDescent="0.25">
      <c r="E108" s="149"/>
    </row>
    <row r="109" spans="5:5" x14ac:dyDescent="0.25">
      <c r="E109" s="149"/>
    </row>
    <row r="110" spans="5:5" x14ac:dyDescent="0.25">
      <c r="E110" s="149"/>
    </row>
    <row r="111" spans="5:5" x14ac:dyDescent="0.25">
      <c r="E111" s="149"/>
    </row>
    <row r="112" spans="5:5" x14ac:dyDescent="0.25">
      <c r="E112" s="149"/>
    </row>
    <row r="113" spans="5:5" x14ac:dyDescent="0.25">
      <c r="E113" s="149"/>
    </row>
    <row r="114" spans="5:5" x14ac:dyDescent="0.25">
      <c r="E114" s="149"/>
    </row>
    <row r="115" spans="5:5" x14ac:dyDescent="0.25">
      <c r="E115" s="149"/>
    </row>
  </sheetData>
  <mergeCells count="5">
    <mergeCell ref="AF5:AG5"/>
    <mergeCell ref="C38:D38"/>
    <mergeCell ref="E38:F38"/>
    <mergeCell ref="C39:D39"/>
    <mergeCell ref="E39:F39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"/>
  <dimension ref="A1:T25"/>
  <sheetViews>
    <sheetView zoomScaleNormal="100" workbookViewId="0">
      <selection activeCell="C3" sqref="C3"/>
    </sheetView>
  </sheetViews>
  <sheetFormatPr baseColWidth="10" defaultColWidth="11.5703125" defaultRowHeight="15" x14ac:dyDescent="0.25"/>
  <sheetData>
    <row r="1" spans="1:20" ht="16.5" customHeight="1" thickBot="1" x14ac:dyDescent="0.3">
      <c r="A1" s="80"/>
      <c r="B1" s="79"/>
      <c r="C1" s="24">
        <v>0</v>
      </c>
      <c r="D1" s="25">
        <v>0.2</v>
      </c>
      <c r="E1" s="25">
        <v>0.4</v>
      </c>
      <c r="F1" s="25">
        <v>0.6</v>
      </c>
      <c r="G1" s="25">
        <v>0.8</v>
      </c>
      <c r="H1" s="25">
        <v>1</v>
      </c>
      <c r="I1" s="25">
        <v>1.2</v>
      </c>
      <c r="J1" s="25">
        <v>1.5</v>
      </c>
      <c r="K1" s="25">
        <v>2</v>
      </c>
      <c r="L1" s="25">
        <v>3</v>
      </c>
      <c r="M1" s="25">
        <v>4</v>
      </c>
      <c r="N1" s="25">
        <v>5</v>
      </c>
      <c r="O1" s="26">
        <v>6</v>
      </c>
      <c r="P1" s="26">
        <v>7</v>
      </c>
      <c r="Q1" s="26">
        <v>8</v>
      </c>
      <c r="R1" s="26">
        <v>10</v>
      </c>
      <c r="S1" s="26">
        <v>12</v>
      </c>
      <c r="T1" s="27">
        <v>14</v>
      </c>
    </row>
    <row r="2" spans="1:20" ht="15" customHeight="1" thickBot="1" x14ac:dyDescent="0.3">
      <c r="A2" s="37"/>
      <c r="B2" s="81"/>
      <c r="C2" s="82">
        <v>1</v>
      </c>
      <c r="D2" s="83">
        <v>2</v>
      </c>
      <c r="E2" s="83">
        <v>3</v>
      </c>
      <c r="F2" s="83">
        <v>4</v>
      </c>
      <c r="G2" s="83">
        <v>5</v>
      </c>
      <c r="H2" s="83">
        <v>6</v>
      </c>
      <c r="I2" s="83">
        <v>7</v>
      </c>
      <c r="J2" s="83">
        <v>8</v>
      </c>
      <c r="K2" s="83">
        <v>9</v>
      </c>
      <c r="L2" s="83">
        <v>10</v>
      </c>
      <c r="M2" s="83">
        <v>11</v>
      </c>
      <c r="N2" s="83">
        <v>12</v>
      </c>
      <c r="O2" s="83">
        <v>13</v>
      </c>
      <c r="P2" s="83">
        <v>14</v>
      </c>
      <c r="Q2" s="83">
        <v>15</v>
      </c>
      <c r="R2" s="83">
        <v>16</v>
      </c>
      <c r="S2" s="83">
        <v>17</v>
      </c>
      <c r="T2" s="84">
        <v>18</v>
      </c>
    </row>
    <row r="3" spans="1:20" x14ac:dyDescent="0.25">
      <c r="A3" s="66">
        <v>0</v>
      </c>
      <c r="B3" s="78">
        <v>1</v>
      </c>
      <c r="C3" s="77">
        <v>1</v>
      </c>
      <c r="D3" s="43">
        <v>1</v>
      </c>
      <c r="E3" s="43">
        <v>1</v>
      </c>
      <c r="F3" s="43">
        <v>1</v>
      </c>
      <c r="G3" s="43">
        <v>1</v>
      </c>
      <c r="H3" s="43">
        <v>0.5</v>
      </c>
      <c r="I3" s="43">
        <v>0</v>
      </c>
      <c r="J3" s="43">
        <v>0</v>
      </c>
      <c r="K3" s="43">
        <v>0</v>
      </c>
      <c r="L3" s="43">
        <v>0</v>
      </c>
      <c r="M3" s="43">
        <v>0</v>
      </c>
      <c r="N3" s="43">
        <v>0</v>
      </c>
      <c r="O3" s="43">
        <v>0</v>
      </c>
      <c r="P3" s="43">
        <v>0</v>
      </c>
      <c r="Q3" s="43">
        <v>0</v>
      </c>
      <c r="R3" s="43">
        <v>0</v>
      </c>
      <c r="S3" s="43">
        <v>0</v>
      </c>
      <c r="T3" s="44">
        <v>0</v>
      </c>
    </row>
    <row r="4" spans="1:20" x14ac:dyDescent="0.25">
      <c r="A4" s="31">
        <v>0.1</v>
      </c>
      <c r="B4" s="71">
        <v>2</v>
      </c>
      <c r="C4" s="75">
        <v>0.99902000000000002</v>
      </c>
      <c r="D4" s="29">
        <v>0.9988800000000001</v>
      </c>
      <c r="E4" s="29">
        <v>0.99817</v>
      </c>
      <c r="F4" s="29">
        <v>0.99550000000000005</v>
      </c>
      <c r="G4" s="29">
        <v>0.97592999999999996</v>
      </c>
      <c r="H4" s="29">
        <v>0.48402999999999996</v>
      </c>
      <c r="I4" s="29">
        <v>1.7459999999999989E-2</v>
      </c>
      <c r="J4" s="29">
        <v>1.1499999999999982E-3</v>
      </c>
      <c r="K4" s="29">
        <v>1.1000000000000072E-4</v>
      </c>
      <c r="L4" s="29">
        <v>1.0000000000000026E-5</v>
      </c>
      <c r="M4" s="29">
        <v>0</v>
      </c>
      <c r="N4" s="29">
        <v>0</v>
      </c>
      <c r="O4" s="29">
        <v>0</v>
      </c>
      <c r="P4" s="29">
        <v>1.4999999999999999E-4</v>
      </c>
      <c r="Q4" s="29">
        <v>1E-4</v>
      </c>
      <c r="R4" s="29">
        <v>0</v>
      </c>
      <c r="S4" s="29">
        <v>0</v>
      </c>
      <c r="T4" s="30">
        <v>0</v>
      </c>
    </row>
    <row r="5" spans="1:20" x14ac:dyDescent="0.25">
      <c r="A5" s="31">
        <v>0.2</v>
      </c>
      <c r="B5" s="71">
        <v>3</v>
      </c>
      <c r="C5" s="75">
        <v>0.99245000000000005</v>
      </c>
      <c r="D5" s="29">
        <v>0.99129999999999996</v>
      </c>
      <c r="E5" s="29">
        <v>0.98655999999999999</v>
      </c>
      <c r="F5" s="29">
        <v>0.97006999999999999</v>
      </c>
      <c r="G5" s="29">
        <v>0.88997000000000004</v>
      </c>
      <c r="H5" s="29">
        <v>0.46781999999999996</v>
      </c>
      <c r="I5" s="29">
        <v>7.6739999999999989E-2</v>
      </c>
      <c r="J5" s="29">
        <v>8.0300000000000024E-3</v>
      </c>
      <c r="K5" s="29">
        <v>8.6999999999999925E-4</v>
      </c>
      <c r="L5" s="45">
        <v>6.999999999999975E-5</v>
      </c>
      <c r="M5" s="29">
        <v>1.0000000000000026E-5</v>
      </c>
      <c r="N5" s="29">
        <v>0</v>
      </c>
      <c r="O5" s="46">
        <v>2.4000000000000001E-4</v>
      </c>
      <c r="P5" s="46">
        <v>1.4999999999999999E-4</v>
      </c>
      <c r="Q5" s="46">
        <v>1E-4</v>
      </c>
      <c r="R5" s="29">
        <v>0</v>
      </c>
      <c r="S5" s="29">
        <v>0</v>
      </c>
      <c r="T5" s="30">
        <v>0</v>
      </c>
    </row>
    <row r="6" spans="1:20" x14ac:dyDescent="0.25">
      <c r="A6" s="31">
        <v>0.3</v>
      </c>
      <c r="B6" s="71">
        <v>4</v>
      </c>
      <c r="C6" s="75">
        <v>0.97626999999999997</v>
      </c>
      <c r="D6" s="29">
        <v>0.97304999999999997</v>
      </c>
      <c r="E6" s="29">
        <v>0.96333999999999997</v>
      </c>
      <c r="F6" s="29">
        <v>0.92172999999999994</v>
      </c>
      <c r="G6" s="29">
        <v>0.79337999999999997</v>
      </c>
      <c r="H6" s="29">
        <v>0.45132</v>
      </c>
      <c r="I6" s="29">
        <v>0.13647999999999999</v>
      </c>
      <c r="J6" s="29">
        <v>2.1999999999999999E-2</v>
      </c>
      <c r="K6" s="29">
        <v>2.7400000000000028E-3</v>
      </c>
      <c r="L6" s="29">
        <v>2.3000000000000017E-4</v>
      </c>
      <c r="M6" s="45">
        <v>5.0000000000000131E-5</v>
      </c>
      <c r="N6" s="47">
        <v>1.0000000000000001E-5</v>
      </c>
      <c r="O6" s="29">
        <v>0</v>
      </c>
      <c r="P6" s="29">
        <v>0</v>
      </c>
      <c r="Q6" s="29">
        <v>0</v>
      </c>
      <c r="R6" s="29">
        <v>0</v>
      </c>
      <c r="S6" s="29">
        <v>0</v>
      </c>
      <c r="T6" s="30">
        <v>0</v>
      </c>
    </row>
    <row r="7" spans="1:20" x14ac:dyDescent="0.25">
      <c r="A7" s="31">
        <v>0.4</v>
      </c>
      <c r="B7" s="71">
        <v>5</v>
      </c>
      <c r="C7" s="75">
        <v>0.62861</v>
      </c>
      <c r="D7" s="29">
        <v>0.62014999999999998</v>
      </c>
      <c r="E7" s="29">
        <v>0.59240999999999999</v>
      </c>
      <c r="F7" s="29">
        <v>0.53766999999999998</v>
      </c>
      <c r="G7" s="29">
        <v>0.44329000000000002</v>
      </c>
      <c r="H7" s="29">
        <v>0.31047999999999998</v>
      </c>
      <c r="I7" s="29">
        <v>0.18709000000000001</v>
      </c>
      <c r="J7" s="29">
        <v>8.5930000000000006E-2</v>
      </c>
      <c r="K7" s="29">
        <v>3.1179999999999999E-2</v>
      </c>
      <c r="L7" s="47">
        <v>5.2999999999999998E-4</v>
      </c>
      <c r="M7" s="47">
        <v>1.05E-4</v>
      </c>
      <c r="N7" s="47">
        <v>5.0000000000000002E-5</v>
      </c>
      <c r="O7" s="47">
        <v>1.0000000000000001E-5</v>
      </c>
      <c r="P7" s="29">
        <v>0</v>
      </c>
      <c r="Q7" s="29">
        <v>0</v>
      </c>
      <c r="R7" s="29">
        <v>0</v>
      </c>
      <c r="S7" s="29">
        <v>0</v>
      </c>
      <c r="T7" s="30">
        <v>0</v>
      </c>
    </row>
    <row r="8" spans="1:20" x14ac:dyDescent="0.25">
      <c r="A8" s="31">
        <v>0.5</v>
      </c>
      <c r="B8" s="71">
        <v>6</v>
      </c>
      <c r="C8" s="75">
        <v>0.91056000000000004</v>
      </c>
      <c r="D8" s="29">
        <v>0.90155000000000007</v>
      </c>
      <c r="E8" s="29">
        <v>0.86945000000000006</v>
      </c>
      <c r="F8" s="29">
        <v>0.79554000000000002</v>
      </c>
      <c r="G8" s="29">
        <v>0.64626000000000006</v>
      </c>
      <c r="H8" s="29">
        <v>0.41747000000000001</v>
      </c>
      <c r="I8" s="29">
        <v>0.20721000000000001</v>
      </c>
      <c r="J8" s="29">
        <v>6.0440000000000008E-2</v>
      </c>
      <c r="K8" s="29">
        <v>1.0500000000000002E-2</v>
      </c>
      <c r="L8" s="48">
        <v>1.15E-3</v>
      </c>
      <c r="M8" s="29">
        <v>1.8999999999999963E-4</v>
      </c>
      <c r="N8" s="49">
        <v>9.9999999999999829E-5</v>
      </c>
      <c r="O8" s="45">
        <v>2.0000000000000052E-5</v>
      </c>
      <c r="P8" s="50">
        <v>-1.9999999999999944E-5</v>
      </c>
      <c r="Q8" s="46">
        <v>3.9999999999999996E-5</v>
      </c>
      <c r="R8" s="46">
        <v>0</v>
      </c>
      <c r="S8" s="46">
        <v>9.9999999999999991E-6</v>
      </c>
      <c r="T8" s="51">
        <v>0</v>
      </c>
    </row>
    <row r="9" spans="1:20" x14ac:dyDescent="0.25">
      <c r="A9" s="31">
        <v>0.6</v>
      </c>
      <c r="B9" s="71">
        <v>7</v>
      </c>
      <c r="C9" s="75">
        <v>0.86380999999999997</v>
      </c>
      <c r="D9" s="29">
        <v>0.85221999999999998</v>
      </c>
      <c r="E9" s="29">
        <v>0.81386000000000003</v>
      </c>
      <c r="F9" s="29">
        <v>0.73249000000000009</v>
      </c>
      <c r="G9" s="29">
        <v>0.59087000000000001</v>
      </c>
      <c r="H9" s="29">
        <v>0.40027999999999997</v>
      </c>
      <c r="I9" s="29">
        <v>0.22409000000000001</v>
      </c>
      <c r="J9" s="29">
        <v>7.9089999999999994E-2</v>
      </c>
      <c r="K9" s="47">
        <v>1.6449999999999999E-2</v>
      </c>
      <c r="L9" s="47">
        <v>1.72E-3</v>
      </c>
      <c r="M9" s="47">
        <v>2.9E-4</v>
      </c>
      <c r="N9" s="47">
        <v>1.3999999999999999E-4</v>
      </c>
      <c r="O9" s="47">
        <v>3.4999999999999997E-5</v>
      </c>
      <c r="P9" s="47">
        <v>2.0000000000000002E-5</v>
      </c>
      <c r="Q9" s="47">
        <v>1.0000000000000001E-5</v>
      </c>
      <c r="R9" s="47">
        <v>0</v>
      </c>
      <c r="S9" s="47">
        <v>0</v>
      </c>
      <c r="T9" s="52">
        <v>0</v>
      </c>
    </row>
    <row r="10" spans="1:20" x14ac:dyDescent="0.25">
      <c r="A10" s="31">
        <v>0.7</v>
      </c>
      <c r="B10" s="71">
        <v>8</v>
      </c>
      <c r="C10" s="75">
        <v>0.81140999999999996</v>
      </c>
      <c r="D10" s="29">
        <v>0.79835999999999996</v>
      </c>
      <c r="E10" s="29">
        <v>0.75563000000000002</v>
      </c>
      <c r="F10" s="29">
        <v>0.67357</v>
      </c>
      <c r="G10" s="29">
        <v>0.54471000000000003</v>
      </c>
      <c r="H10" s="48">
        <v>0.37712999999999997</v>
      </c>
      <c r="I10" s="29">
        <v>0.23333000000000001</v>
      </c>
      <c r="J10" s="29">
        <v>9.5259999999999997E-2</v>
      </c>
      <c r="K10" s="29">
        <v>2.2290000000000001E-2</v>
      </c>
      <c r="L10" s="47">
        <v>2.3400000000000001E-3</v>
      </c>
      <c r="M10" s="47">
        <v>4.2999999999999999E-4</v>
      </c>
      <c r="N10" s="47">
        <v>1.95E-4</v>
      </c>
      <c r="O10" s="47">
        <v>4.8999999999999998E-5</v>
      </c>
      <c r="P10" s="47">
        <v>3.0000000000000001E-5</v>
      </c>
      <c r="Q10" s="47">
        <v>2.0000000000000002E-5</v>
      </c>
      <c r="R10" s="47">
        <v>0</v>
      </c>
      <c r="S10" s="47">
        <v>0</v>
      </c>
      <c r="T10" s="52">
        <v>0</v>
      </c>
    </row>
    <row r="11" spans="1:20" x14ac:dyDescent="0.25">
      <c r="A11" s="31">
        <v>0.8</v>
      </c>
      <c r="B11" s="71">
        <v>9</v>
      </c>
      <c r="C11" s="75">
        <v>0.75622</v>
      </c>
      <c r="D11" s="29">
        <v>0.74239999999999995</v>
      </c>
      <c r="E11" s="29">
        <v>0.69862000000000002</v>
      </c>
      <c r="F11" s="29">
        <v>0.61941999999999997</v>
      </c>
      <c r="G11" s="29">
        <v>0.50360000000000005</v>
      </c>
      <c r="H11" s="29">
        <v>0.36588999999999999</v>
      </c>
      <c r="I11" s="29">
        <v>0.23736000000000002</v>
      </c>
      <c r="J11" s="29">
        <v>0.10850000000000001</v>
      </c>
      <c r="K11" s="47">
        <v>2.8219999999999999E-2</v>
      </c>
      <c r="L11" s="47">
        <v>3.2499999999999999E-3</v>
      </c>
      <c r="M11" s="47">
        <v>6.7000000000000002E-4</v>
      </c>
      <c r="N11" s="47">
        <v>2.7999999999999998E-4</v>
      </c>
      <c r="O11" s="47">
        <v>6.7999999999999999E-5</v>
      </c>
      <c r="P11" s="47">
        <v>4.0000000000000003E-5</v>
      </c>
      <c r="Q11" s="47">
        <v>3.0000000000000001E-5</v>
      </c>
      <c r="R11" s="47">
        <v>0</v>
      </c>
      <c r="S11" s="47">
        <v>0</v>
      </c>
      <c r="T11" s="52">
        <v>0</v>
      </c>
    </row>
    <row r="12" spans="1:20" x14ac:dyDescent="0.25">
      <c r="A12" s="31">
        <v>0.9</v>
      </c>
      <c r="B12" s="71">
        <v>10</v>
      </c>
      <c r="C12" s="75">
        <v>0.70066000000000006</v>
      </c>
      <c r="D12" s="29">
        <v>0.68767</v>
      </c>
      <c r="E12" s="29">
        <v>0.64402999999999999</v>
      </c>
      <c r="F12" s="29">
        <v>0.57006000000000001</v>
      </c>
      <c r="G12" s="29">
        <v>0.46723000000000003</v>
      </c>
      <c r="H12" s="29">
        <v>0.34892000000000001</v>
      </c>
      <c r="I12" s="29">
        <v>0.23760000000000001</v>
      </c>
      <c r="J12" s="29">
        <v>0.11889</v>
      </c>
      <c r="K12" s="47">
        <v>3.465E-2</v>
      </c>
      <c r="L12" s="47">
        <v>4.5500000000000002E-3</v>
      </c>
      <c r="M12" s="47">
        <v>1.0300000000000001E-3</v>
      </c>
      <c r="N12" s="47">
        <v>3.6999999999999999E-4</v>
      </c>
      <c r="O12" s="47">
        <v>1E-4</v>
      </c>
      <c r="P12" s="47">
        <v>6.0000000000000002E-5</v>
      </c>
      <c r="Q12" s="47">
        <v>4.0000000000000003E-5</v>
      </c>
      <c r="R12" s="47">
        <v>1.0000000000000001E-5</v>
      </c>
      <c r="S12" s="47">
        <v>0</v>
      </c>
      <c r="T12" s="52">
        <v>0</v>
      </c>
    </row>
    <row r="13" spans="1:20" x14ac:dyDescent="0.25">
      <c r="A13" s="31">
        <v>1</v>
      </c>
      <c r="B13" s="71">
        <v>11</v>
      </c>
      <c r="C13" s="75">
        <v>0.6464399999999999</v>
      </c>
      <c r="D13" s="29">
        <v>0.63315999999999995</v>
      </c>
      <c r="E13" s="29">
        <v>0.59079999999999999</v>
      </c>
      <c r="F13" s="29">
        <v>0.52515999999999996</v>
      </c>
      <c r="G13" s="29">
        <v>0.43446000000000001</v>
      </c>
      <c r="H13" s="29">
        <v>0.33223000000000003</v>
      </c>
      <c r="I13" s="29">
        <v>0.23538999999999999</v>
      </c>
      <c r="J13" s="29">
        <v>0.12662999999999999</v>
      </c>
      <c r="K13" s="29">
        <v>4.1800000000000004E-2</v>
      </c>
      <c r="L13" s="29">
        <v>6.2700000000000013E-3</v>
      </c>
      <c r="M13" s="29">
        <v>1.5299999999999992E-3</v>
      </c>
      <c r="N13" s="29">
        <v>4.9000000000000042E-4</v>
      </c>
      <c r="O13" s="29">
        <v>1.5999999999999999E-4</v>
      </c>
      <c r="P13" s="29">
        <v>7.9999999999999993E-5</v>
      </c>
      <c r="Q13" s="29">
        <v>5.0000000000000023E-5</v>
      </c>
      <c r="R13" s="29">
        <v>1.9999999999999998E-5</v>
      </c>
      <c r="S13" s="29">
        <v>1.9999999999999998E-5</v>
      </c>
      <c r="T13" s="30">
        <v>0</v>
      </c>
    </row>
    <row r="14" spans="1:20" x14ac:dyDescent="0.25">
      <c r="A14" s="31">
        <v>1.2</v>
      </c>
      <c r="B14" s="71">
        <v>12</v>
      </c>
      <c r="C14" s="75">
        <v>0.54663000000000006</v>
      </c>
      <c r="D14" s="29">
        <v>0.53525</v>
      </c>
      <c r="E14" s="29">
        <v>0.50143000000000004</v>
      </c>
      <c r="F14" s="29">
        <v>0.44725999999999999</v>
      </c>
      <c r="G14" s="29">
        <v>0.37739</v>
      </c>
      <c r="H14" s="29">
        <v>0.30015999999999998</v>
      </c>
      <c r="I14" s="29">
        <v>0.22572</v>
      </c>
      <c r="J14" s="29">
        <v>0.13569999999999999</v>
      </c>
      <c r="K14" s="29">
        <v>5.2830000000000002E-2</v>
      </c>
      <c r="L14" s="29">
        <v>9.3999999999999986E-3</v>
      </c>
      <c r="M14" s="29">
        <v>2.3900000000000006E-3</v>
      </c>
      <c r="N14" s="29">
        <v>8.1000000000000039E-4</v>
      </c>
      <c r="O14" s="29">
        <v>3.3E-4</v>
      </c>
      <c r="P14" s="29">
        <v>1.4999999999999996E-4</v>
      </c>
      <c r="Q14" s="29">
        <v>7.9999999999999993E-5</v>
      </c>
      <c r="R14" s="47">
        <v>3.0000000000000001E-5</v>
      </c>
      <c r="S14" s="47">
        <v>2.4000000000000001E-5</v>
      </c>
      <c r="T14" s="52">
        <v>0</v>
      </c>
    </row>
    <row r="15" spans="1:20" x14ac:dyDescent="0.25">
      <c r="A15" s="31">
        <v>1.5</v>
      </c>
      <c r="B15" s="71">
        <v>13</v>
      </c>
      <c r="C15" s="75">
        <v>0.42397000000000001</v>
      </c>
      <c r="D15" s="29">
        <v>0.41576999999999997</v>
      </c>
      <c r="E15" s="29">
        <v>0.39215</v>
      </c>
      <c r="F15" s="29">
        <v>0.35498000000000002</v>
      </c>
      <c r="G15" s="29">
        <v>0.30803999999999998</v>
      </c>
      <c r="H15" s="29">
        <v>0.25624000000000002</v>
      </c>
      <c r="I15" s="29">
        <v>0.20489000000000002</v>
      </c>
      <c r="J15" s="29">
        <v>0.13793</v>
      </c>
      <c r="K15" s="29">
        <v>6.5009999999999998E-2</v>
      </c>
      <c r="L15" s="29">
        <v>1.4730000000000002E-2</v>
      </c>
      <c r="M15" s="29">
        <v>4.13E-3</v>
      </c>
      <c r="N15" s="29">
        <v>1.47E-3</v>
      </c>
      <c r="O15" s="29">
        <v>5.9999999999999984E-4</v>
      </c>
      <c r="P15" s="29">
        <v>2.8999999999999989E-4</v>
      </c>
      <c r="Q15" s="29">
        <v>1.4999999999999996E-4</v>
      </c>
      <c r="R15" s="45">
        <v>4.9999999999999914E-5</v>
      </c>
      <c r="S15" s="29">
        <v>2.999999999999997E-5</v>
      </c>
      <c r="T15" s="30">
        <v>1.0000000000000026E-5</v>
      </c>
    </row>
    <row r="16" spans="1:20" x14ac:dyDescent="0.25">
      <c r="A16" s="31">
        <v>2</v>
      </c>
      <c r="B16" s="71">
        <v>14</v>
      </c>
      <c r="C16" s="75">
        <v>0.28445999999999999</v>
      </c>
      <c r="D16" s="29">
        <v>0.28597</v>
      </c>
      <c r="E16" s="29">
        <v>0.26784000000000002</v>
      </c>
      <c r="F16" s="29">
        <v>0.24845</v>
      </c>
      <c r="G16" s="29">
        <v>0.22386</v>
      </c>
      <c r="H16" s="29">
        <v>0.19600000000000001</v>
      </c>
      <c r="I16" s="29">
        <v>0.16725000000000001</v>
      </c>
      <c r="J16" s="29">
        <v>0.12646000000000002</v>
      </c>
      <c r="K16" s="29">
        <v>7.3319999999999996E-2</v>
      </c>
      <c r="L16" s="29">
        <v>2.249E-2</v>
      </c>
      <c r="M16" s="29">
        <v>7.4999999999999989E-3</v>
      </c>
      <c r="N16" s="29">
        <v>2.8800000000000002E-3</v>
      </c>
      <c r="O16" s="29">
        <v>1.2099999999999997E-3</v>
      </c>
      <c r="P16" s="29">
        <v>6.1999999999999989E-4</v>
      </c>
      <c r="Q16" s="29">
        <v>3.1999999999999997E-4</v>
      </c>
      <c r="R16" s="49">
        <v>9.9999999999999937E-5</v>
      </c>
      <c r="S16" s="45">
        <v>5.9999999999999941E-5</v>
      </c>
      <c r="T16" s="30">
        <v>3.0000000000000024E-5</v>
      </c>
    </row>
    <row r="17" spans="1:20" x14ac:dyDescent="0.25">
      <c r="A17" s="31">
        <v>2.5</v>
      </c>
      <c r="B17" s="71">
        <v>15</v>
      </c>
      <c r="C17" s="75">
        <v>0.19958999999999999</v>
      </c>
      <c r="D17" s="29">
        <v>0.19730999999999999</v>
      </c>
      <c r="E17" s="29">
        <v>0.19073000000000001</v>
      </c>
      <c r="F17" s="29">
        <v>0.18024999999999999</v>
      </c>
      <c r="G17" s="29">
        <v>0.16671</v>
      </c>
      <c r="H17" s="29">
        <v>0.15104000000000001</v>
      </c>
      <c r="I17" s="29">
        <v>0.13424</v>
      </c>
      <c r="J17" s="29">
        <v>0.10902000000000001</v>
      </c>
      <c r="K17" s="29">
        <v>7.2160000000000002E-2</v>
      </c>
      <c r="L17" s="29">
        <v>2.8040000000000002E-2</v>
      </c>
      <c r="M17" s="29">
        <v>1.091E-2</v>
      </c>
      <c r="N17" s="29">
        <v>4.6099999999999995E-3</v>
      </c>
      <c r="O17" s="29">
        <v>2.1299999999999995E-3</v>
      </c>
      <c r="P17" s="29">
        <v>1.0699999999999998E-3</v>
      </c>
      <c r="Q17" s="29">
        <v>5.8E-4</v>
      </c>
      <c r="R17" s="29">
        <v>2.1000000000000001E-4</v>
      </c>
      <c r="S17" s="29">
        <v>9.0000000000000019E-5</v>
      </c>
      <c r="T17" s="30">
        <v>3.9999999999999996E-5</v>
      </c>
    </row>
    <row r="18" spans="1:20" x14ac:dyDescent="0.25">
      <c r="A18" s="31">
        <v>3</v>
      </c>
      <c r="B18" s="71">
        <v>16</v>
      </c>
      <c r="C18" s="75">
        <v>0.14618999999999999</v>
      </c>
      <c r="D18" s="29">
        <v>0.14495</v>
      </c>
      <c r="E18" s="29">
        <v>0.14121</v>
      </c>
      <c r="F18" s="29">
        <v>0.13521</v>
      </c>
      <c r="G18" s="29">
        <v>0.12740000000000001</v>
      </c>
      <c r="H18" s="29">
        <v>0.11812</v>
      </c>
      <c r="I18" s="29">
        <v>0.10792</v>
      </c>
      <c r="J18" s="29">
        <v>9.1929999999999998E-2</v>
      </c>
      <c r="K18" s="29">
        <v>6.6610000000000003E-2</v>
      </c>
      <c r="L18" s="29">
        <v>3.0920000000000003E-2</v>
      </c>
      <c r="M18" s="29">
        <v>1.3770000000000001E-2</v>
      </c>
      <c r="N18" s="29">
        <v>6.3600000000000002E-3</v>
      </c>
      <c r="O18" s="29">
        <v>3.13E-3</v>
      </c>
      <c r="P18" s="29">
        <v>1.67E-3</v>
      </c>
      <c r="Q18" s="29">
        <v>9.0999999999999978E-4</v>
      </c>
      <c r="R18" s="29">
        <v>3.3E-4</v>
      </c>
      <c r="S18" s="29">
        <v>1.4000000000000004E-4</v>
      </c>
      <c r="T18" s="53">
        <v>5.0000000000000023E-5</v>
      </c>
    </row>
    <row r="19" spans="1:20" x14ac:dyDescent="0.25">
      <c r="A19" s="31">
        <v>4</v>
      </c>
      <c r="B19" s="71">
        <v>17</v>
      </c>
      <c r="C19" s="75">
        <v>8.6930000000000007E-2</v>
      </c>
      <c r="D19" s="29">
        <v>8.6419999999999997E-2</v>
      </c>
      <c r="E19" s="29">
        <v>8.4690000000000001E-2</v>
      </c>
      <c r="F19" s="29">
        <v>8.1850000000000006E-2</v>
      </c>
      <c r="G19" s="29">
        <v>7.9770000000000008E-2</v>
      </c>
      <c r="H19" s="29">
        <v>7.5220000000000009E-2</v>
      </c>
      <c r="I19" s="29">
        <v>7.1830000000000005E-2</v>
      </c>
      <c r="J19" s="29">
        <v>6.4849999999999991E-2</v>
      </c>
      <c r="K19" s="29">
        <v>5.2589999999999998E-2</v>
      </c>
      <c r="L19" s="29">
        <v>3.107E-2</v>
      </c>
      <c r="M19" s="29">
        <v>1.704E-2</v>
      </c>
      <c r="N19" s="29">
        <v>9.2300000000000004E-3</v>
      </c>
      <c r="O19" s="29">
        <v>5.0699999999999999E-3</v>
      </c>
      <c r="P19" s="29">
        <v>2.9000000000000002E-3</v>
      </c>
      <c r="Q19" s="29">
        <v>1.73E-3</v>
      </c>
      <c r="R19" s="29">
        <v>6.600000000000001E-4</v>
      </c>
      <c r="S19" s="29">
        <v>3.0999999999999995E-4</v>
      </c>
      <c r="T19" s="30">
        <v>1.4999999999999996E-4</v>
      </c>
    </row>
    <row r="20" spans="1:20" x14ac:dyDescent="0.25">
      <c r="A20" s="31">
        <v>5</v>
      </c>
      <c r="B20" s="71">
        <v>18</v>
      </c>
      <c r="C20" s="32">
        <v>5.7139999999999996E-2</v>
      </c>
      <c r="D20" s="1">
        <v>5.6980000000000003E-2</v>
      </c>
      <c r="E20" s="73">
        <v>5.5469999999999998E-2</v>
      </c>
      <c r="F20" s="73">
        <v>5.432E-2</v>
      </c>
      <c r="G20" s="73">
        <v>5.3510000000000002E-2</v>
      </c>
      <c r="H20" s="1">
        <v>5.219E-2</v>
      </c>
      <c r="I20" s="73">
        <v>5.1049999999999998E-2</v>
      </c>
      <c r="J20" s="74">
        <v>4.6449999999999998E-2</v>
      </c>
      <c r="K20" s="29">
        <v>4.0470000000000006E-2</v>
      </c>
      <c r="L20" s="29">
        <v>2.7709999999999999E-2</v>
      </c>
      <c r="M20" s="29">
        <v>1.7590000000000001E-2</v>
      </c>
      <c r="N20" s="29">
        <v>1.0790000000000001E-2</v>
      </c>
      <c r="O20" s="29">
        <v>6.5900000000000004E-3</v>
      </c>
      <c r="P20" s="29">
        <v>4.0699999999999998E-3</v>
      </c>
      <c r="Q20" s="29">
        <v>2.5500000000000002E-3</v>
      </c>
      <c r="R20" s="29">
        <v>1.0899999999999998E-3</v>
      </c>
      <c r="S20" s="29">
        <v>5.1999999999999995E-4</v>
      </c>
      <c r="T20" s="30">
        <v>2.6000000000000003E-4</v>
      </c>
    </row>
    <row r="21" spans="1:20" x14ac:dyDescent="0.25">
      <c r="A21" s="31">
        <v>6</v>
      </c>
      <c r="B21" s="71">
        <v>19</v>
      </c>
      <c r="C21" s="32">
        <v>4.027E-2</v>
      </c>
      <c r="D21" s="73">
        <v>3.9820000000000001E-2</v>
      </c>
      <c r="E21" s="73">
        <v>3.9210000000000002E-2</v>
      </c>
      <c r="F21" s="73">
        <v>3.8429999999999999E-2</v>
      </c>
      <c r="G21" s="73">
        <v>3.8150000000000003E-2</v>
      </c>
      <c r="H21" s="1">
        <v>3.7749999999999999E-2</v>
      </c>
      <c r="I21" s="73">
        <v>3.7010000000000001E-2</v>
      </c>
      <c r="J21" s="73">
        <v>3.4509999999999999E-2</v>
      </c>
      <c r="K21" s="29">
        <v>3.1359999999999999E-2</v>
      </c>
      <c r="L21" s="29">
        <v>2.3629999999999998E-2</v>
      </c>
      <c r="M21" s="29">
        <v>1.6620000000000003E-2</v>
      </c>
      <c r="N21" s="29">
        <v>1.124E-2</v>
      </c>
      <c r="O21" s="29">
        <v>7.4599999999999996E-3</v>
      </c>
      <c r="P21" s="29">
        <v>4.9399999999999999E-3</v>
      </c>
      <c r="Q21" s="29">
        <v>3.2699999999999999E-3</v>
      </c>
      <c r="R21" s="29">
        <v>1.5100000000000001E-3</v>
      </c>
      <c r="S21" s="29">
        <v>7.7000000000000007E-4</v>
      </c>
      <c r="T21" s="30">
        <v>3.9000000000000005E-4</v>
      </c>
    </row>
    <row r="22" spans="1:20" x14ac:dyDescent="0.25">
      <c r="A22" s="31">
        <v>7</v>
      </c>
      <c r="B22" s="71">
        <v>20</v>
      </c>
      <c r="C22" s="32">
        <v>2.9850000000000002E-2</v>
      </c>
      <c r="D22" s="73">
        <v>2.9510000000000002E-2</v>
      </c>
      <c r="E22" s="73">
        <v>2.9020000000000001E-2</v>
      </c>
      <c r="F22" s="73">
        <v>2.8549999999999999E-2</v>
      </c>
      <c r="G22" s="73">
        <v>2.8459999999999999E-2</v>
      </c>
      <c r="H22" s="1">
        <v>2.844E-2</v>
      </c>
      <c r="I22" s="54">
        <v>2.785E-2</v>
      </c>
      <c r="J22" s="73">
        <v>2.6190000000000001E-2</v>
      </c>
      <c r="K22" s="75">
        <v>2.4709999999999999E-2</v>
      </c>
      <c r="L22" s="29">
        <v>1.9880000000000002E-2</v>
      </c>
      <c r="M22" s="29">
        <v>1.5030000000000002E-2</v>
      </c>
      <c r="N22" s="29">
        <v>1.095E-2</v>
      </c>
      <c r="O22" s="29">
        <v>7.77E-3</v>
      </c>
      <c r="P22" s="29">
        <v>5.45E-3</v>
      </c>
      <c r="Q22" s="29">
        <v>3.8399999999999997E-3</v>
      </c>
      <c r="R22" s="29">
        <v>1.91E-3</v>
      </c>
      <c r="S22" s="29">
        <v>1.01E-3</v>
      </c>
      <c r="T22" s="30">
        <v>5.4000000000000001E-4</v>
      </c>
    </row>
    <row r="23" spans="1:20" x14ac:dyDescent="0.25">
      <c r="A23" s="31">
        <v>8</v>
      </c>
      <c r="B23" s="71">
        <v>21</v>
      </c>
      <c r="C23" s="32">
        <v>2.298E-2</v>
      </c>
      <c r="D23" s="73">
        <v>2.273E-2</v>
      </c>
      <c r="E23" s="73">
        <v>2.2409999999999999E-2</v>
      </c>
      <c r="F23" s="73">
        <v>2.2179999999999998E-2</v>
      </c>
      <c r="G23" s="73">
        <v>2.2159999999999999E-2</v>
      </c>
      <c r="H23" s="1">
        <v>2.214E-2</v>
      </c>
      <c r="I23" s="55">
        <v>2.1680000000000001E-2</v>
      </c>
      <c r="J23" s="73">
        <v>2.061E-2</v>
      </c>
      <c r="K23" s="75">
        <v>1.9819999999999997E-2</v>
      </c>
      <c r="L23" s="29">
        <v>1.669E-2</v>
      </c>
      <c r="M23" s="29">
        <v>1.333E-2</v>
      </c>
      <c r="N23" s="29">
        <v>1.026E-2</v>
      </c>
      <c r="O23" s="29">
        <v>7.7000000000000002E-3</v>
      </c>
      <c r="P23" s="29">
        <v>5.6800000000000002E-3</v>
      </c>
      <c r="Q23" s="29">
        <v>4.1700000000000001E-3</v>
      </c>
      <c r="R23" s="29">
        <v>2.2399999999999998E-3</v>
      </c>
      <c r="S23" s="29">
        <v>1.2600000000000001E-3</v>
      </c>
      <c r="T23" s="30">
        <v>6.8999999999999997E-4</v>
      </c>
    </row>
    <row r="24" spans="1:20" x14ac:dyDescent="0.25">
      <c r="A24" s="31">
        <v>9</v>
      </c>
      <c r="B24" s="71">
        <v>22</v>
      </c>
      <c r="C24" s="32">
        <v>1.8239999999999999E-2</v>
      </c>
      <c r="D24" s="73">
        <v>1.8110000000000001E-2</v>
      </c>
      <c r="E24" s="73">
        <v>1.7829999999999999E-2</v>
      </c>
      <c r="F24" s="73">
        <v>1.7739999999999999E-2</v>
      </c>
      <c r="G24" s="73">
        <v>1.772E-2</v>
      </c>
      <c r="H24" s="1">
        <v>1.77E-2</v>
      </c>
      <c r="I24" s="55">
        <v>1.7330000000000002E-2</v>
      </c>
      <c r="J24" s="73">
        <v>1.6750000000000001E-2</v>
      </c>
      <c r="K24" s="75">
        <v>1.6199999999999999E-2</v>
      </c>
      <c r="L24" s="29">
        <v>1.4080000000000001E-2</v>
      </c>
      <c r="M24" s="29">
        <v>1.171E-2</v>
      </c>
      <c r="N24" s="29">
        <v>9.4199999999999996E-3</v>
      </c>
      <c r="O24" s="29">
        <v>7.3900000000000007E-3</v>
      </c>
      <c r="P24" s="29">
        <v>5.6600000000000001E-3</v>
      </c>
      <c r="Q24" s="29">
        <v>4.3400000000000001E-3</v>
      </c>
      <c r="R24" s="29">
        <v>2.5000000000000001E-3</v>
      </c>
      <c r="S24" s="29">
        <v>1.4500000000000001E-3</v>
      </c>
      <c r="T24" s="30">
        <v>8.4000000000000003E-4</v>
      </c>
    </row>
    <row r="25" spans="1:20" ht="15.75" thickBot="1" x14ac:dyDescent="0.3">
      <c r="A25" s="33">
        <v>10</v>
      </c>
      <c r="B25" s="68">
        <v>23</v>
      </c>
      <c r="C25" s="34">
        <v>1.515E-2</v>
      </c>
      <c r="D25" s="35">
        <v>1.4919999999999999E-2</v>
      </c>
      <c r="E25" s="35">
        <v>1.478E-2</v>
      </c>
      <c r="F25" s="35">
        <v>1.4710000000000001E-2</v>
      </c>
      <c r="G25" s="35">
        <v>1.4630000000000001E-2</v>
      </c>
      <c r="H25" s="35">
        <v>1.4579999999999999E-2</v>
      </c>
      <c r="I25" s="35">
        <v>1.435E-2</v>
      </c>
      <c r="J25" s="56">
        <v>1.401E-2</v>
      </c>
      <c r="K25" s="56">
        <v>1.3439999999999999E-2</v>
      </c>
      <c r="L25" s="56">
        <v>1.2019999999999999E-2</v>
      </c>
      <c r="M25" s="56">
        <v>1.0279999999999999E-2</v>
      </c>
      <c r="N25" s="56">
        <v>8.5299999999999994E-3</v>
      </c>
      <c r="O25" s="56">
        <v>7.0799999999999995E-3</v>
      </c>
      <c r="P25" s="56">
        <v>5.5399999999999998E-3</v>
      </c>
      <c r="Q25" s="56">
        <v>4.3999999999999994E-3</v>
      </c>
      <c r="R25" s="57">
        <v>2.7000000000000001E-3</v>
      </c>
      <c r="S25" s="73">
        <v>1.65E-3</v>
      </c>
      <c r="T25" s="58">
        <v>9.1E-4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4"/>
  <dimension ref="A1:T25"/>
  <sheetViews>
    <sheetView zoomScale="85" zoomScaleNormal="85" workbookViewId="0">
      <selection activeCell="C3" sqref="C3:T25"/>
    </sheetView>
  </sheetViews>
  <sheetFormatPr baseColWidth="10" defaultColWidth="11.5703125" defaultRowHeight="15" x14ac:dyDescent="0.25"/>
  <sheetData>
    <row r="1" spans="1:20" x14ac:dyDescent="0.25">
      <c r="A1" t="s">
        <v>56</v>
      </c>
      <c r="B1" t="s">
        <v>57</v>
      </c>
      <c r="C1" s="66">
        <v>0</v>
      </c>
      <c r="D1" s="66">
        <v>0.2</v>
      </c>
      <c r="E1" s="66">
        <v>0.4</v>
      </c>
      <c r="F1" s="66">
        <v>0.6</v>
      </c>
      <c r="G1" s="66">
        <v>0.8</v>
      </c>
      <c r="H1" s="66">
        <v>1</v>
      </c>
      <c r="I1" s="66">
        <v>1.2</v>
      </c>
      <c r="J1" s="66">
        <v>1.5</v>
      </c>
      <c r="K1" s="66">
        <v>2</v>
      </c>
      <c r="L1" s="66">
        <v>3</v>
      </c>
      <c r="M1" s="66">
        <v>4</v>
      </c>
      <c r="N1" s="66">
        <v>5</v>
      </c>
      <c r="O1" s="66">
        <v>6</v>
      </c>
      <c r="P1" s="66">
        <v>7</v>
      </c>
      <c r="Q1" s="66">
        <v>8</v>
      </c>
      <c r="R1" s="66">
        <v>10</v>
      </c>
      <c r="S1" s="66">
        <v>12</v>
      </c>
      <c r="T1" s="66">
        <v>14</v>
      </c>
    </row>
    <row r="2" spans="1:20" ht="15.75" thickBot="1" x14ac:dyDescent="0.3">
      <c r="A2" s="72"/>
      <c r="B2" s="69"/>
      <c r="C2" s="67">
        <v>1</v>
      </c>
      <c r="D2" s="67">
        <v>2</v>
      </c>
      <c r="E2" s="67">
        <v>3</v>
      </c>
      <c r="F2" s="67">
        <v>4</v>
      </c>
      <c r="G2" s="67">
        <v>5</v>
      </c>
      <c r="H2" s="67">
        <v>6</v>
      </c>
      <c r="I2" s="67">
        <v>7</v>
      </c>
      <c r="J2" s="67">
        <v>8</v>
      </c>
      <c r="K2" s="67">
        <v>9</v>
      </c>
      <c r="L2" s="67">
        <v>10</v>
      </c>
      <c r="M2" s="67">
        <v>11</v>
      </c>
      <c r="N2" s="67">
        <v>12</v>
      </c>
      <c r="O2" s="67">
        <v>13</v>
      </c>
      <c r="P2" s="67">
        <v>14</v>
      </c>
      <c r="Q2" s="67">
        <v>15</v>
      </c>
      <c r="R2" s="67">
        <v>16</v>
      </c>
      <c r="S2" s="67">
        <v>17</v>
      </c>
      <c r="T2" s="68">
        <v>18</v>
      </c>
    </row>
    <row r="3" spans="1:20" ht="15.75" thickBot="1" x14ac:dyDescent="0.3">
      <c r="A3" s="70">
        <v>0</v>
      </c>
      <c r="B3" s="71">
        <v>1</v>
      </c>
      <c r="C3" s="42">
        <v>0.85</v>
      </c>
      <c r="D3" s="42">
        <v>0.85</v>
      </c>
      <c r="E3" s="42">
        <v>0.85</v>
      </c>
      <c r="F3" s="42">
        <v>0.85</v>
      </c>
      <c r="G3" s="42">
        <v>0.85</v>
      </c>
      <c r="H3" s="42">
        <v>0.35</v>
      </c>
      <c r="I3" s="42">
        <v>-0.10416600000000001</v>
      </c>
      <c r="J3" s="42">
        <v>-6.6666000000000017E-2</v>
      </c>
      <c r="K3" s="42">
        <v>-3.7500000000000006E-2</v>
      </c>
      <c r="L3" s="42">
        <v>-1.6668000000000002E-2</v>
      </c>
      <c r="M3" s="42">
        <v>-9.3750000000000014E-3</v>
      </c>
      <c r="N3" s="42">
        <v>-6.000000000000001E-3</v>
      </c>
      <c r="O3" s="42">
        <v>-4.1670000000000006E-3</v>
      </c>
      <c r="P3" s="42">
        <v>-3.0600000000000007E-3</v>
      </c>
      <c r="Q3" s="42">
        <v>-2.3430000000000005E-3</v>
      </c>
      <c r="R3" s="42">
        <v>-1.5000000000000002E-3</v>
      </c>
      <c r="S3" s="42">
        <v>-1.0410000000000003E-3</v>
      </c>
      <c r="T3" s="42">
        <v>-7.6500000000000016E-4</v>
      </c>
    </row>
    <row r="4" spans="1:20" ht="15.75" thickBot="1" x14ac:dyDescent="0.3">
      <c r="A4" s="62">
        <v>0.1</v>
      </c>
      <c r="B4" s="64">
        <v>2</v>
      </c>
      <c r="C4" s="42">
        <v>0.71616500000000005</v>
      </c>
      <c r="D4" s="42">
        <v>0.711198</v>
      </c>
      <c r="E4" s="42">
        <v>0.69366599999999989</v>
      </c>
      <c r="F4" s="42">
        <v>0.65166400000000002</v>
      </c>
      <c r="G4" s="42">
        <v>0.53786599999999996</v>
      </c>
      <c r="H4" s="42">
        <v>0.33502599999999993</v>
      </c>
      <c r="I4" s="42">
        <v>0.12518499999999999</v>
      </c>
      <c r="J4" s="42">
        <v>1.1422999999999989E-2</v>
      </c>
      <c r="K4" s="42">
        <v>-1.1498000000000005E-2</v>
      </c>
      <c r="L4" s="42">
        <v>-9.9460000000000034E-3</v>
      </c>
      <c r="M4" s="42">
        <v>-6.6550000000000021E-3</v>
      </c>
      <c r="N4" s="42">
        <v>-4.6370000000000005E-3</v>
      </c>
      <c r="O4" s="42">
        <v>-3.4200000000000003E-3</v>
      </c>
      <c r="P4" s="42">
        <v>-2.65E-3</v>
      </c>
      <c r="Q4" s="42">
        <v>-2.1250000000000002E-3</v>
      </c>
      <c r="R4" s="42">
        <v>-1.4700000000000002E-3</v>
      </c>
      <c r="S4" s="42">
        <v>-1.023E-3</v>
      </c>
      <c r="T4" s="42">
        <v>-7.5300000000000009E-4</v>
      </c>
    </row>
    <row r="5" spans="1:20" ht="15.75" thickBot="1" x14ac:dyDescent="0.3">
      <c r="A5" s="62">
        <v>0.2</v>
      </c>
      <c r="B5" s="64">
        <v>3</v>
      </c>
      <c r="C5" s="42">
        <v>0.58900799999999998</v>
      </c>
      <c r="D5" s="42">
        <v>0.5803609999999999</v>
      </c>
      <c r="E5" s="42">
        <v>0.5513499999999999</v>
      </c>
      <c r="F5" s="42">
        <v>0.48907999999999996</v>
      </c>
      <c r="G5" s="42">
        <v>0.37422300000000003</v>
      </c>
      <c r="H5" s="42">
        <v>0.308471</v>
      </c>
      <c r="I5" s="42">
        <v>0.22349599999999997</v>
      </c>
      <c r="J5" s="42">
        <v>7.553399999999999E-2</v>
      </c>
      <c r="K5" s="42">
        <v>1.2947E-2</v>
      </c>
      <c r="L5" s="42">
        <v>-3.3570000000000023E-3</v>
      </c>
      <c r="M5" s="42">
        <v>-3.9750000000000028E-3</v>
      </c>
      <c r="N5" s="42">
        <v>-3.2840000000000013E-3</v>
      </c>
      <c r="O5" s="42">
        <v>-2.6090000000000002E-3</v>
      </c>
      <c r="P5" s="42">
        <v>-2.0830000000000006E-3</v>
      </c>
      <c r="Q5" s="42">
        <v>-1.6960000000000005E-3</v>
      </c>
      <c r="R5" s="42">
        <v>-1.2700000000000001E-3</v>
      </c>
      <c r="S5" s="42">
        <v>-1.0080000000000002E-3</v>
      </c>
      <c r="T5" s="42">
        <v>-7.4100000000000012E-4</v>
      </c>
    </row>
    <row r="6" spans="1:20" ht="15.75" thickBot="1" x14ac:dyDescent="0.3">
      <c r="A6" s="62">
        <v>0.3</v>
      </c>
      <c r="B6" s="64">
        <v>4</v>
      </c>
      <c r="C6" s="42">
        <v>0.47394399999999998</v>
      </c>
      <c r="D6" s="42">
        <v>0.46406800000000004</v>
      </c>
      <c r="E6" s="42">
        <v>0.43758599999999997</v>
      </c>
      <c r="F6" s="42">
        <v>0.37564799999999998</v>
      </c>
      <c r="G6" s="42">
        <v>0.29617599999999999</v>
      </c>
      <c r="H6" s="42">
        <v>0.27962100000000001</v>
      </c>
      <c r="I6" s="42">
        <v>0.24365000000000003</v>
      </c>
      <c r="J6" s="42">
        <v>0.11924899999999999</v>
      </c>
      <c r="K6" s="42">
        <v>3.4529999999999991E-2</v>
      </c>
      <c r="L6" s="42">
        <v>2.975999999999996E-3</v>
      </c>
      <c r="M6" s="42">
        <v>-1.3280000000000019E-3</v>
      </c>
      <c r="N6" s="42">
        <v>-1.870000000000001E-3</v>
      </c>
      <c r="O6" s="42">
        <v>-1.9250000000000005E-3</v>
      </c>
      <c r="P6" s="42">
        <v>-1.5710000000000008E-3</v>
      </c>
      <c r="Q6" s="42">
        <v>-1.3850000000000004E-3</v>
      </c>
      <c r="R6" s="42">
        <v>-1.0050000000000003E-3</v>
      </c>
      <c r="S6" s="42">
        <v>-8.2700000000000026E-4</v>
      </c>
      <c r="T6" s="42">
        <v>-7.3200000000000012E-4</v>
      </c>
    </row>
    <row r="7" spans="1:20" ht="15.75" thickBot="1" x14ac:dyDescent="0.3">
      <c r="A7" s="62">
        <v>0.4</v>
      </c>
      <c r="B7" s="64">
        <v>5</v>
      </c>
      <c r="C7" s="42">
        <v>0.27994699999999995</v>
      </c>
      <c r="D7" s="42">
        <v>0.27222499999999994</v>
      </c>
      <c r="E7" s="42">
        <v>0.24949699999999997</v>
      </c>
      <c r="F7" s="42">
        <v>0.21651899999999996</v>
      </c>
      <c r="G7" s="42">
        <v>0.19862299999999999</v>
      </c>
      <c r="H7" s="42">
        <v>0.23025599999999996</v>
      </c>
      <c r="I7" s="42">
        <v>0.24110300000000001</v>
      </c>
      <c r="J7" s="42">
        <v>0.16437099999999999</v>
      </c>
      <c r="K7" s="42">
        <v>7.2496000000000005E-2</v>
      </c>
      <c r="L7" s="42">
        <v>2.146E-2</v>
      </c>
      <c r="M7" s="42">
        <v>8.3800000000000003E-3</v>
      </c>
      <c r="N7" s="42">
        <v>4.3899999999999998E-3</v>
      </c>
      <c r="O7" s="42">
        <v>2.3800000000000002E-3</v>
      </c>
      <c r="P7" s="42">
        <v>1.5349999999999999E-3</v>
      </c>
      <c r="Q7" s="42">
        <v>1.06E-3</v>
      </c>
      <c r="R7" s="42">
        <v>5.4000000000000001E-4</v>
      </c>
      <c r="S7" s="42">
        <v>2.8400000000000002E-4</v>
      </c>
      <c r="T7" s="42">
        <v>1E-4</v>
      </c>
    </row>
    <row r="8" spans="1:20" ht="15.75" thickBot="1" x14ac:dyDescent="0.3">
      <c r="A8" s="62">
        <v>0.5</v>
      </c>
      <c r="B8" s="64">
        <v>6</v>
      </c>
      <c r="C8" s="42">
        <v>0.29098000000000002</v>
      </c>
      <c r="D8" s="42">
        <v>0.28346199999999999</v>
      </c>
      <c r="E8" s="42">
        <v>0.26105400000000001</v>
      </c>
      <c r="F8" s="42">
        <v>0.23169699999999999</v>
      </c>
      <c r="G8" s="42">
        <v>0.21465599999999999</v>
      </c>
      <c r="H8" s="42">
        <v>0.22303299999999998</v>
      </c>
      <c r="I8" s="42">
        <v>0.21835599999999999</v>
      </c>
      <c r="J8" s="42">
        <v>0.15415600000000002</v>
      </c>
      <c r="K8" s="42">
        <v>6.6369999999999985E-2</v>
      </c>
      <c r="L8" s="42">
        <v>1.4545999999999996E-2</v>
      </c>
      <c r="M8" s="42">
        <v>3.6689999999999987E-3</v>
      </c>
      <c r="N8" s="42">
        <v>6.8299999999999871E-4</v>
      </c>
      <c r="O8" s="42">
        <v>-3.2600000000000077E-4</v>
      </c>
      <c r="P8" s="42">
        <v>-6.140000000000004E-4</v>
      </c>
      <c r="Q8" s="42">
        <v>-6.9200000000000012E-4</v>
      </c>
      <c r="R8" s="42">
        <v>-6.7500000000000004E-4</v>
      </c>
      <c r="S8" s="42">
        <v>-5.5900000000000025E-4</v>
      </c>
      <c r="T8" s="42">
        <v>-4.6800000000000015E-4</v>
      </c>
    </row>
    <row r="9" spans="1:20" ht="15.75" thickBot="1" x14ac:dyDescent="0.3">
      <c r="A9" s="62">
        <v>0.6</v>
      </c>
      <c r="B9" s="64">
        <v>7</v>
      </c>
      <c r="C9" s="42">
        <v>0.22352499999999997</v>
      </c>
      <c r="D9" s="42">
        <v>0.21752900000000003</v>
      </c>
      <c r="E9" s="42">
        <v>0.20718700000000001</v>
      </c>
      <c r="F9" s="42">
        <v>0.18806300000000001</v>
      </c>
      <c r="G9" s="42">
        <v>0.18518800000000002</v>
      </c>
      <c r="H9" s="42">
        <v>0.19728000000000001</v>
      </c>
      <c r="I9" s="42">
        <v>0.19836499999999999</v>
      </c>
      <c r="J9" s="42">
        <v>0.15495300000000001</v>
      </c>
      <c r="K9" s="42">
        <v>7.5549999999999992E-2</v>
      </c>
      <c r="L9" s="42">
        <v>1.9393000000000001E-2</v>
      </c>
      <c r="M9" s="42">
        <v>6.1099999999999991E-3</v>
      </c>
      <c r="N9" s="42">
        <v>1.8399999999999988E-3</v>
      </c>
      <c r="O9" s="42">
        <v>5.0099999999999928E-4</v>
      </c>
      <c r="P9" s="42">
        <v>-2.1600000000000005E-4</v>
      </c>
      <c r="Q9" s="42">
        <v>-3.8100000000000026E-4</v>
      </c>
      <c r="R9" s="42">
        <v>-5.300000000000002E-4</v>
      </c>
      <c r="S9" s="42">
        <v>-4.630000000000002E-4</v>
      </c>
      <c r="T9" s="42">
        <v>-3.990000000000001E-4</v>
      </c>
    </row>
    <row r="10" spans="1:20" ht="15.75" thickBot="1" x14ac:dyDescent="0.3">
      <c r="A10" s="62">
        <v>0.7</v>
      </c>
      <c r="B10" s="64">
        <v>8</v>
      </c>
      <c r="C10" s="42">
        <v>0.17011899999999996</v>
      </c>
      <c r="D10" s="42">
        <v>0.16709399999999999</v>
      </c>
      <c r="E10" s="42">
        <v>0.15937499999999999</v>
      </c>
      <c r="F10" s="42">
        <v>0.15423499999999996</v>
      </c>
      <c r="G10" s="42">
        <v>0.15996099999999999</v>
      </c>
      <c r="H10" s="42">
        <v>0.16936799999999996</v>
      </c>
      <c r="I10" s="42">
        <v>0.17826</v>
      </c>
      <c r="J10" s="42">
        <v>0.14994999999999997</v>
      </c>
      <c r="K10" s="42">
        <v>8.2789000000000001E-2</v>
      </c>
      <c r="L10" s="42">
        <v>2.3625E-2</v>
      </c>
      <c r="M10" s="42">
        <v>8.5699999999999995E-3</v>
      </c>
      <c r="N10" s="42">
        <v>3.3199999999999992E-3</v>
      </c>
      <c r="O10" s="42">
        <v>1.3189999999999994E-3</v>
      </c>
      <c r="P10" s="42">
        <v>1.7699999999999964E-4</v>
      </c>
      <c r="Q10" s="42">
        <v>-8.8000000000000187E-5</v>
      </c>
      <c r="R10" s="42">
        <v>-3.7500000000000012E-4</v>
      </c>
      <c r="S10" s="42">
        <v>-3.7700000000000016E-4</v>
      </c>
      <c r="T10" s="42">
        <v>-3.3300000000000007E-4</v>
      </c>
    </row>
    <row r="11" spans="1:20" ht="15.75" thickBot="1" x14ac:dyDescent="0.3">
      <c r="A11" s="62">
        <v>0.8</v>
      </c>
      <c r="B11" s="64">
        <v>9</v>
      </c>
      <c r="C11" s="42">
        <v>0.128552</v>
      </c>
      <c r="D11" s="42">
        <v>0.12787500000000002</v>
      </c>
      <c r="E11" s="42">
        <v>0.12529999999999999</v>
      </c>
      <c r="F11" s="42">
        <v>0.12692999999999999</v>
      </c>
      <c r="G11" s="42">
        <v>0.13721899999999998</v>
      </c>
      <c r="H11" s="42">
        <v>0.15196099999999998</v>
      </c>
      <c r="I11" s="42">
        <v>0.15909300000000001</v>
      </c>
      <c r="J11" s="42">
        <v>0.14169699999999996</v>
      </c>
      <c r="K11" s="42">
        <v>8.5834999999999995E-2</v>
      </c>
      <c r="L11" s="42">
        <v>2.7465000000000003E-2</v>
      </c>
      <c r="M11" s="42">
        <v>1.056E-2</v>
      </c>
      <c r="N11" s="42">
        <v>4.3799999999999993E-3</v>
      </c>
      <c r="O11" s="42">
        <v>1.895E-3</v>
      </c>
      <c r="P11" s="42">
        <v>6.2799999999999965E-4</v>
      </c>
      <c r="Q11" s="42">
        <v>2.2799999999999947E-4</v>
      </c>
      <c r="R11" s="42">
        <v>-2.2999999999999995E-4</v>
      </c>
      <c r="S11" s="42">
        <v>-2.7500000000000018E-4</v>
      </c>
      <c r="T11" s="42">
        <v>-2.8000000000000003E-4</v>
      </c>
    </row>
    <row r="12" spans="1:20" ht="15.75" thickBot="1" x14ac:dyDescent="0.3">
      <c r="A12" s="62">
        <v>0.9</v>
      </c>
      <c r="B12" s="64">
        <v>10</v>
      </c>
      <c r="C12" s="42">
        <v>9.6573999999999993E-2</v>
      </c>
      <c r="D12" s="42">
        <v>9.7507999999999984E-2</v>
      </c>
      <c r="E12" s="42">
        <v>9.8684000000000022E-2</v>
      </c>
      <c r="F12" s="42">
        <v>0.10489299999999999</v>
      </c>
      <c r="G12" s="42">
        <v>0.117536</v>
      </c>
      <c r="H12" s="42">
        <v>0.13264499999999999</v>
      </c>
      <c r="I12" s="42">
        <v>0.14121800000000001</v>
      </c>
      <c r="J12" s="42">
        <v>0.13181199999999998</v>
      </c>
      <c r="K12" s="42">
        <v>8.6558999999999997E-2</v>
      </c>
      <c r="L12" s="42">
        <v>3.0834999999999998E-2</v>
      </c>
      <c r="M12" s="42">
        <v>1.2269999999999998E-2</v>
      </c>
      <c r="N12" s="42">
        <v>5.4999999999999988E-3</v>
      </c>
      <c r="O12" s="42">
        <v>2.4989999999999991E-3</v>
      </c>
      <c r="P12" s="42">
        <v>1.1099999999999994E-3</v>
      </c>
      <c r="Q12" s="42">
        <v>4.9099999999999968E-4</v>
      </c>
      <c r="R12" s="42">
        <v>-6.5000000000000387E-5</v>
      </c>
      <c r="S12" s="42">
        <v>-1.8300000000000011E-4</v>
      </c>
      <c r="T12" s="42">
        <v>-2.2400000000000013E-4</v>
      </c>
    </row>
    <row r="13" spans="1:20" ht="15.75" thickBot="1" x14ac:dyDescent="0.3">
      <c r="A13" s="62">
        <v>1</v>
      </c>
      <c r="B13" s="64">
        <v>11</v>
      </c>
      <c r="C13" s="42">
        <v>7.2177999999999992E-2</v>
      </c>
      <c r="D13" s="42">
        <v>7.3680999999999996E-2</v>
      </c>
      <c r="E13" s="42">
        <v>7.4340000000000031E-2</v>
      </c>
      <c r="F13" s="42">
        <v>8.6603999999999987E-2</v>
      </c>
      <c r="G13" s="42">
        <v>0.10048599999999999</v>
      </c>
      <c r="H13" s="42">
        <v>0.115414</v>
      </c>
      <c r="I13" s="42">
        <v>0.12506999999999999</v>
      </c>
      <c r="J13" s="42">
        <v>0.12128499999999999</v>
      </c>
      <c r="K13" s="42">
        <v>8.6484000000000005E-2</v>
      </c>
      <c r="L13" s="42">
        <v>3.3472000000000002E-2</v>
      </c>
      <c r="M13" s="42">
        <v>1.3883999999999999E-2</v>
      </c>
      <c r="N13" s="42">
        <v>6.3839999999999991E-3</v>
      </c>
      <c r="O13" s="42">
        <v>3.1189999999999989E-3</v>
      </c>
      <c r="P13" s="42">
        <v>1.5879999999999996E-3</v>
      </c>
      <c r="Q13" s="42">
        <v>7.9799999999999966E-4</v>
      </c>
      <c r="R13" s="42">
        <v>1.2999999999999991E-4</v>
      </c>
      <c r="S13" s="42">
        <v>-8.7000000000000163E-5</v>
      </c>
      <c r="T13" s="42">
        <v>-1.7100000000000014E-4</v>
      </c>
    </row>
    <row r="14" spans="1:20" ht="15.75" thickBot="1" x14ac:dyDescent="0.3">
      <c r="A14" s="62">
        <v>1.2</v>
      </c>
      <c r="B14" s="64">
        <v>12</v>
      </c>
      <c r="C14" s="42">
        <v>3.9593000000000003E-2</v>
      </c>
      <c r="D14" s="42">
        <v>4.247500000000002E-2</v>
      </c>
      <c r="E14" s="42">
        <v>4.8343999999999984E-2</v>
      </c>
      <c r="F14" s="42">
        <v>5.9946999999999993E-2</v>
      </c>
      <c r="G14" s="42">
        <v>7.2950000000000001E-2</v>
      </c>
      <c r="H14" s="42">
        <v>8.6966999999999989E-2</v>
      </c>
      <c r="I14" s="42">
        <v>9.7279000000000004E-2</v>
      </c>
      <c r="J14" s="42">
        <v>0.100562</v>
      </c>
      <c r="K14" s="42">
        <v>8.0984E-2</v>
      </c>
      <c r="L14" s="42">
        <v>3.6982000000000001E-2</v>
      </c>
      <c r="M14" s="42">
        <v>1.6756E-2</v>
      </c>
      <c r="N14" s="42">
        <v>8.2490000000000011E-3</v>
      </c>
      <c r="O14" s="42">
        <v>4.3609999999999994E-3</v>
      </c>
      <c r="P14" s="42">
        <v>2.4089999999999997E-3</v>
      </c>
      <c r="Q14" s="42">
        <v>1.3650000000000001E-3</v>
      </c>
      <c r="R14" s="42">
        <v>4.4499999999999987E-4</v>
      </c>
      <c r="S14" s="42">
        <v>1.1999999999999988E-4</v>
      </c>
      <c r="T14" s="42">
        <v>-1.0600000000000008E-4</v>
      </c>
    </row>
    <row r="15" spans="1:20" ht="15.75" thickBot="1" x14ac:dyDescent="0.3">
      <c r="A15" s="62">
        <v>1.5</v>
      </c>
      <c r="B15" s="64">
        <v>13</v>
      </c>
      <c r="C15" s="42">
        <v>1.4748999999999981E-2</v>
      </c>
      <c r="D15" s="42">
        <v>1.7681999999999996E-2</v>
      </c>
      <c r="E15" s="42">
        <v>2.3285999999999991E-2</v>
      </c>
      <c r="F15" s="42">
        <v>3.2932000000000003E-2</v>
      </c>
      <c r="G15" s="42">
        <v>4.4698999999999996E-2</v>
      </c>
      <c r="H15" s="42">
        <v>5.6416000000000001E-2</v>
      </c>
      <c r="I15" s="42">
        <v>6.6110000000000002E-2</v>
      </c>
      <c r="J15" s="42">
        <v>7.3746999999999993E-2</v>
      </c>
      <c r="K15" s="42">
        <v>6.8590999999999999E-2</v>
      </c>
      <c r="L15" s="42">
        <v>3.8876999999999995E-2</v>
      </c>
      <c r="M15" s="42">
        <v>1.9805999999999997E-2</v>
      </c>
      <c r="N15" s="42">
        <v>1.0555999999999999E-2</v>
      </c>
      <c r="O15" s="42">
        <v>5.9559999999999995E-3</v>
      </c>
      <c r="P15" s="42">
        <v>3.5419999999999991E-3</v>
      </c>
      <c r="Q15" s="42">
        <v>2.1619999999999999E-3</v>
      </c>
      <c r="R15" s="42">
        <v>8.619999999999997E-4</v>
      </c>
      <c r="S15" s="42">
        <v>3.48E-4</v>
      </c>
      <c r="T15" s="42">
        <v>-2.400000000000015E-5</v>
      </c>
    </row>
    <row r="16" spans="1:20" ht="15.75" thickBot="1" x14ac:dyDescent="0.3">
      <c r="A16" s="62">
        <v>2</v>
      </c>
      <c r="B16" s="64">
        <v>14</v>
      </c>
      <c r="C16" s="42">
        <v>2.9599999999998725E-4</v>
      </c>
      <c r="D16" s="42">
        <v>4.3050000000000033E-3</v>
      </c>
      <c r="E16" s="42">
        <v>6.2020000000000061E-3</v>
      </c>
      <c r="F16" s="42">
        <v>1.2120999999999988E-2</v>
      </c>
      <c r="G16" s="42">
        <v>1.9962999999999998E-2</v>
      </c>
      <c r="H16" s="42">
        <v>2.7222E-2</v>
      </c>
      <c r="I16" s="42">
        <v>3.4513999999999996E-2</v>
      </c>
      <c r="J16" s="42">
        <v>4.2695999999999998E-2</v>
      </c>
      <c r="K16" s="42">
        <v>4.7271000000000001E-2</v>
      </c>
      <c r="L16" s="42">
        <v>3.5680000000000003E-2</v>
      </c>
      <c r="M16" s="42">
        <v>2.1752000000000001E-2</v>
      </c>
      <c r="N16" s="42">
        <v>1.2975999999999998E-2</v>
      </c>
      <c r="O16" s="42">
        <v>7.9109999999999996E-3</v>
      </c>
      <c r="P16" s="42">
        <v>5.0459999999999993E-3</v>
      </c>
      <c r="Q16" s="42">
        <v>3.2999999999999991E-3</v>
      </c>
      <c r="R16" s="42">
        <v>1.5269999999999997E-3</v>
      </c>
      <c r="S16" s="42">
        <v>7.629999999999999E-4</v>
      </c>
      <c r="T16" s="42">
        <v>3.9299999999999979E-4</v>
      </c>
    </row>
    <row r="17" spans="1:20" ht="15.75" thickBot="1" x14ac:dyDescent="0.3">
      <c r="A17" s="62">
        <v>2.5</v>
      </c>
      <c r="B17" s="64">
        <v>15</v>
      </c>
      <c r="C17" s="42">
        <v>-3.2380000000000048E-3</v>
      </c>
      <c r="D17" s="42">
        <v>2.5000000000004186E-5</v>
      </c>
      <c r="E17" s="42">
        <v>6.160000000000037E-4</v>
      </c>
      <c r="F17" s="42">
        <v>4.0850000000000001E-3</v>
      </c>
      <c r="G17" s="42">
        <v>8.4329999999999891E-3</v>
      </c>
      <c r="H17" s="42">
        <v>1.4054000000000004E-2</v>
      </c>
      <c r="I17" s="42">
        <v>1.8102999999999998E-2</v>
      </c>
      <c r="J17" s="42">
        <v>2.4581000000000006E-2</v>
      </c>
      <c r="K17" s="42">
        <v>3.1102999999999999E-2</v>
      </c>
      <c r="L17" s="42">
        <v>2.9434999999999999E-2</v>
      </c>
      <c r="M17" s="42">
        <v>2.1008999999999996E-2</v>
      </c>
      <c r="N17" s="42">
        <v>1.3902000000000001E-2</v>
      </c>
      <c r="O17" s="42">
        <v>9.1529999999999979E-3</v>
      </c>
      <c r="P17" s="42">
        <v>6.1180000000000002E-3</v>
      </c>
      <c r="Q17" s="42">
        <v>4.1919999999999995E-3</v>
      </c>
      <c r="R17" s="42">
        <v>2.1059999999999998E-3</v>
      </c>
      <c r="S17" s="42">
        <v>1.1320000000000002E-3</v>
      </c>
      <c r="T17" s="42">
        <v>6.3299999999999999E-4</v>
      </c>
    </row>
    <row r="18" spans="1:20" ht="15.75" thickBot="1" x14ac:dyDescent="0.3">
      <c r="A18" s="62">
        <v>3</v>
      </c>
      <c r="B18" s="64">
        <v>16</v>
      </c>
      <c r="C18" s="42">
        <v>-3.8180000000000045E-3</v>
      </c>
      <c r="D18" s="42">
        <v>-2.1350000000000041E-3</v>
      </c>
      <c r="E18" s="42">
        <v>-1.4709999999999992E-3</v>
      </c>
      <c r="F18" s="42">
        <v>4.9699999999999397E-4</v>
      </c>
      <c r="G18" s="42">
        <v>3.3179999999999998E-3</v>
      </c>
      <c r="H18" s="42">
        <v>6.3999999999999986E-3</v>
      </c>
      <c r="I18" s="42">
        <v>9.5500000000000012E-3</v>
      </c>
      <c r="J18" s="42">
        <v>1.4262E-2</v>
      </c>
      <c r="K18" s="42">
        <v>2.0202000000000001E-2</v>
      </c>
      <c r="L18" s="42">
        <v>2.2968000000000002E-2</v>
      </c>
      <c r="M18" s="42">
        <v>1.8810000000000004E-2</v>
      </c>
      <c r="N18" s="42">
        <v>1.3694000000000001E-2</v>
      </c>
      <c r="O18" s="42">
        <v>9.6509999999999999E-3</v>
      </c>
      <c r="P18" s="42">
        <v>6.8089999999999991E-3</v>
      </c>
      <c r="Q18" s="42">
        <v>4.8249999999999994E-3</v>
      </c>
      <c r="R18" s="42">
        <v>2.5749999999999996E-3</v>
      </c>
      <c r="S18" s="42">
        <v>1.454E-3</v>
      </c>
      <c r="T18" s="42">
        <v>8.6699999999999993E-4</v>
      </c>
    </row>
    <row r="19" spans="1:20" ht="15.75" thickBot="1" x14ac:dyDescent="0.3">
      <c r="A19" s="62">
        <v>4</v>
      </c>
      <c r="B19" s="64">
        <v>17</v>
      </c>
      <c r="C19" s="42">
        <v>-3.1589999999999977E-3</v>
      </c>
      <c r="D19" s="42">
        <v>-1.9299999999999977E-3</v>
      </c>
      <c r="E19" s="42">
        <v>-1.0350000000000003E-3</v>
      </c>
      <c r="F19" s="42">
        <v>-2.4590000000000011E-3</v>
      </c>
      <c r="G19" s="42">
        <v>-2.2799999999999643E-4</v>
      </c>
      <c r="H19" s="42">
        <v>2.1160000000000007E-3</v>
      </c>
      <c r="I19" s="42">
        <v>2.6849999999999964E-3</v>
      </c>
      <c r="J19" s="42">
        <v>4.971999999999999E-3</v>
      </c>
      <c r="K19" s="42">
        <v>8.5269999999999999E-3</v>
      </c>
      <c r="L19" s="42">
        <v>1.3048000000000001E-2</v>
      </c>
      <c r="M19" s="42">
        <v>1.3310000000000001E-2</v>
      </c>
      <c r="N19" s="42">
        <v>1.1474E-2</v>
      </c>
      <c r="O19" s="42">
        <v>9.1339999999999998E-3</v>
      </c>
      <c r="P19" s="42">
        <v>7.0669999999999995E-3</v>
      </c>
      <c r="Q19" s="42">
        <v>5.4199999999999995E-3</v>
      </c>
      <c r="R19" s="42">
        <v>3.2009999999999999E-3</v>
      </c>
      <c r="S19" s="42">
        <v>1.9620000000000002E-3</v>
      </c>
      <c r="T19" s="42">
        <v>1.2449999999999998E-3</v>
      </c>
    </row>
    <row r="20" spans="1:20" ht="15.75" thickBot="1" x14ac:dyDescent="0.3">
      <c r="A20" s="62">
        <v>5</v>
      </c>
      <c r="B20" s="64">
        <v>18</v>
      </c>
      <c r="C20" s="42">
        <v>-2.3529999999999996E-3</v>
      </c>
      <c r="D20" s="42">
        <v>-1.5010000000000015E-3</v>
      </c>
      <c r="E20" s="42">
        <v>-1.3250000000000002E-3</v>
      </c>
      <c r="F20" s="42">
        <v>-8.7399999999999934E-4</v>
      </c>
      <c r="G20" s="42">
        <v>-3.8300000000000139E-4</v>
      </c>
      <c r="H20" s="42">
        <v>-1.1999999999999815E-4</v>
      </c>
      <c r="I20" s="42">
        <v>2.0450000000000021E-3</v>
      </c>
      <c r="J20" s="42">
        <v>3.4750000000000015E-3</v>
      </c>
      <c r="K20" s="42">
        <v>3.7209999999999995E-3</v>
      </c>
      <c r="L20" s="42">
        <v>7.2379999999999988E-3</v>
      </c>
      <c r="M20" s="42">
        <v>6.1939999999999999E-3</v>
      </c>
      <c r="N20" s="42">
        <v>8.633E-3</v>
      </c>
      <c r="O20" s="42">
        <v>7.6920000000000001E-3</v>
      </c>
      <c r="P20" s="42">
        <v>6.4679999999999998E-3</v>
      </c>
      <c r="Q20" s="42">
        <v>5.2979999999999989E-3</v>
      </c>
      <c r="R20" s="42">
        <v>3.4649999999999998E-3</v>
      </c>
      <c r="S20" s="42">
        <v>2.264E-3</v>
      </c>
      <c r="T20" s="42">
        <v>1.516E-3</v>
      </c>
    </row>
    <row r="21" spans="1:20" ht="15.75" thickBot="1" x14ac:dyDescent="0.3">
      <c r="A21" s="62">
        <v>6</v>
      </c>
      <c r="B21" s="64">
        <v>19</v>
      </c>
      <c r="C21" s="42">
        <v>-1.7630000000000007E-3</v>
      </c>
      <c r="D21" s="42">
        <v>-1.4780000000000006E-3</v>
      </c>
      <c r="E21" s="42">
        <v>-1.0720000000000009E-3</v>
      </c>
      <c r="F21" s="42">
        <v>-7.3600000000000011E-4</v>
      </c>
      <c r="G21" s="42">
        <v>-3.8799999999999946E-4</v>
      </c>
      <c r="H21" s="42">
        <v>-6.00000000000123E-6</v>
      </c>
      <c r="I21" s="42">
        <v>8.8999999999999973E-4</v>
      </c>
      <c r="J21" s="42">
        <v>1.4340000000000012E-3</v>
      </c>
      <c r="K21" s="42">
        <v>1.6000000000000003E-3</v>
      </c>
      <c r="L21" s="42">
        <v>4.0580000000000008E-3</v>
      </c>
      <c r="M21" s="42">
        <v>5.6089999999999994E-3</v>
      </c>
      <c r="N21" s="42">
        <v>6.1960000000000001E-3</v>
      </c>
      <c r="O21" s="42">
        <v>6.0479999999999996E-3</v>
      </c>
      <c r="P21" s="42">
        <v>5.4979999999999994E-3</v>
      </c>
      <c r="Q21" s="42">
        <v>4.7829999999999999E-3</v>
      </c>
      <c r="R21" s="42">
        <v>3.4269999999999999E-3</v>
      </c>
      <c r="S21" s="42">
        <v>2.4000000000000002E-3</v>
      </c>
      <c r="T21" s="42">
        <v>1.6779999999999998E-3</v>
      </c>
    </row>
    <row r="22" spans="1:20" ht="15.75" thickBot="1" x14ac:dyDescent="0.3">
      <c r="A22" s="62">
        <v>7</v>
      </c>
      <c r="B22" s="64">
        <v>20</v>
      </c>
      <c r="C22" s="42">
        <v>-1.3560000000000011E-3</v>
      </c>
      <c r="D22" s="42">
        <v>-1.2030000000000009E-3</v>
      </c>
      <c r="E22" s="42">
        <v>-1.0469999999999998E-3</v>
      </c>
      <c r="F22" s="42">
        <v>-9.1799999999999955E-4</v>
      </c>
      <c r="G22" s="42">
        <v>-7.720000000000012E-4</v>
      </c>
      <c r="H22" s="42">
        <v>-7.3900000000000051E-4</v>
      </c>
      <c r="I22" s="42">
        <v>3.3500000000000023E-4</v>
      </c>
      <c r="J22" s="42">
        <v>5.5099999999999962E-4</v>
      </c>
      <c r="K22" s="42">
        <v>7.6200000000000031E-4</v>
      </c>
      <c r="L22" s="42">
        <v>2.3559999999999996E-3</v>
      </c>
      <c r="M22" s="42">
        <v>3.601E-3</v>
      </c>
      <c r="N22" s="42">
        <v>4.3299999999999996E-3</v>
      </c>
      <c r="O22" s="42">
        <v>4.5869999999999999E-3</v>
      </c>
      <c r="P22" s="42">
        <v>4.4520000000000002E-3</v>
      </c>
      <c r="Q22" s="42">
        <v>4.1180000000000001E-3</v>
      </c>
      <c r="R22" s="42">
        <v>3.2209999999999999E-3</v>
      </c>
      <c r="S22" s="42">
        <v>2.3970000000000003E-3</v>
      </c>
      <c r="T22" s="42">
        <v>1.7700000000000001E-3</v>
      </c>
    </row>
    <row r="23" spans="1:20" ht="15.75" thickBot="1" x14ac:dyDescent="0.3">
      <c r="A23" s="62">
        <v>8</v>
      </c>
      <c r="B23" s="64">
        <v>21</v>
      </c>
      <c r="C23" s="42">
        <v>-1.0679999999999995E-3</v>
      </c>
      <c r="D23" s="42">
        <v>-9.419999999999997E-4</v>
      </c>
      <c r="E23" s="42">
        <v>-8.7700000000000018E-4</v>
      </c>
      <c r="F23" s="42">
        <v>-7.8100000000000001E-4</v>
      </c>
      <c r="G23" s="42">
        <v>-6.8799999999999959E-4</v>
      </c>
      <c r="H23" s="42">
        <v>-5.6499999999999975E-4</v>
      </c>
      <c r="I23" s="42">
        <v>-1.7499999999999937E-4</v>
      </c>
      <c r="J23" s="42">
        <v>1.9699999999999926E-4</v>
      </c>
      <c r="K23" s="42">
        <v>4.5099999999999958E-4</v>
      </c>
      <c r="L23" s="42">
        <v>1.387999999999999E-3</v>
      </c>
      <c r="M23" s="42">
        <v>2.3149999999999998E-3</v>
      </c>
      <c r="N23" s="42">
        <v>3.0560000000000006E-3</v>
      </c>
      <c r="O23" s="42">
        <v>3.4509999999999996E-3</v>
      </c>
      <c r="P23" s="42">
        <v>3.5299999999999997E-3</v>
      </c>
      <c r="Q23" s="42">
        <v>3.4159999999999998E-3</v>
      </c>
      <c r="R23" s="42">
        <v>2.9019999999999996E-3</v>
      </c>
      <c r="S23" s="42">
        <v>2.3079999999999997E-3</v>
      </c>
      <c r="T23" s="42">
        <v>1.7589999999999999E-3</v>
      </c>
    </row>
    <row r="24" spans="1:20" ht="15.75" thickBot="1" x14ac:dyDescent="0.3">
      <c r="A24" s="62">
        <v>9</v>
      </c>
      <c r="B24" s="64">
        <v>22</v>
      </c>
      <c r="C24" s="42">
        <v>-6.3699999999999998E-4</v>
      </c>
      <c r="D24" s="42">
        <v>-2.8000000000000052E-4</v>
      </c>
      <c r="E24" s="42">
        <v>9.9999999999999612E-5</v>
      </c>
      <c r="F24" s="42">
        <v>4.7600000000000051E-4</v>
      </c>
      <c r="G24" s="42">
        <v>7.4200000000000004E-4</v>
      </c>
      <c r="H24" s="42">
        <v>1.0919999999999997E-3</v>
      </c>
      <c r="I24" s="42">
        <v>9.9700000000000006E-4</v>
      </c>
      <c r="J24" s="42">
        <v>9.2500000000000004E-4</v>
      </c>
      <c r="K24" s="42">
        <v>3.1500000000000061E-4</v>
      </c>
      <c r="L24" s="42">
        <v>8.5099999999999954E-4</v>
      </c>
      <c r="M24" s="42">
        <v>1.5209999999999998E-3</v>
      </c>
      <c r="N24" s="42">
        <v>2.1719999999999995E-3</v>
      </c>
      <c r="O24" s="42">
        <v>2.5730000000000002E-3</v>
      </c>
      <c r="P24" s="42">
        <v>2.7439999999999999E-3</v>
      </c>
      <c r="Q24" s="42">
        <v>2.7979999999999997E-3</v>
      </c>
      <c r="R24" s="42">
        <v>2.588E-3</v>
      </c>
      <c r="S24" s="42">
        <v>2.1360000000000003E-3</v>
      </c>
      <c r="T24" s="42">
        <v>1.7150000000000002E-3</v>
      </c>
    </row>
    <row r="25" spans="1:20" ht="15.75" thickBot="1" x14ac:dyDescent="0.3">
      <c r="A25" s="63">
        <v>10</v>
      </c>
      <c r="B25" s="65">
        <v>23</v>
      </c>
      <c r="C25" s="42">
        <v>-2.8899999999999998E-4</v>
      </c>
      <c r="D25" s="42">
        <v>-1.699999999999998E-4</v>
      </c>
      <c r="E25" s="42">
        <v>-9.9999999999999612E-5</v>
      </c>
      <c r="F25" s="42">
        <v>1.199999999999975E-5</v>
      </c>
      <c r="G25" s="42">
        <v>1.5400000000000049E-4</v>
      </c>
      <c r="H25" s="42">
        <v>1.8099999999999974E-4</v>
      </c>
      <c r="I25" s="42">
        <v>1.929999999999997E-4</v>
      </c>
      <c r="J25" s="42">
        <v>3.3000000000000011E-4</v>
      </c>
      <c r="K25" s="42">
        <v>2.6299999999999989E-4</v>
      </c>
      <c r="L25" s="42">
        <v>5.6500000000000018E-4</v>
      </c>
      <c r="M25" s="42">
        <v>9.7699999999999957E-4</v>
      </c>
      <c r="N25" s="42">
        <v>1.5410000000000003E-3</v>
      </c>
      <c r="O25" s="42">
        <v>2.0299999999999997E-3</v>
      </c>
      <c r="P25" s="42">
        <v>2.4870000000000001E-3</v>
      </c>
      <c r="Q25" s="42">
        <v>2.297E-3</v>
      </c>
      <c r="R25" s="42">
        <v>2.2759999999999998E-3</v>
      </c>
      <c r="S25" s="42">
        <v>1.804E-3</v>
      </c>
      <c r="T25" s="42">
        <v>1.4620000000000002E-3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5"/>
  <dimension ref="A1:T25"/>
  <sheetViews>
    <sheetView tabSelected="1" zoomScale="85" zoomScaleNormal="85" workbookViewId="0">
      <selection activeCell="C3" sqref="C3:T25"/>
    </sheetView>
  </sheetViews>
  <sheetFormatPr baseColWidth="10" defaultColWidth="11.5703125" defaultRowHeight="15" x14ac:dyDescent="0.25"/>
  <sheetData>
    <row r="1" spans="1:20" ht="20.25" thickBot="1" x14ac:dyDescent="0.3">
      <c r="A1" s="23" t="s">
        <v>56</v>
      </c>
      <c r="B1" s="36" t="s">
        <v>57</v>
      </c>
      <c r="C1" s="24">
        <v>0</v>
      </c>
      <c r="D1" s="25">
        <v>0.2</v>
      </c>
      <c r="E1" s="25">
        <v>0.4</v>
      </c>
      <c r="F1" s="25">
        <v>0.6</v>
      </c>
      <c r="G1" s="25">
        <v>0.8</v>
      </c>
      <c r="H1" s="25">
        <v>1</v>
      </c>
      <c r="I1" s="25">
        <v>1.2</v>
      </c>
      <c r="J1" s="25">
        <v>1.5</v>
      </c>
      <c r="K1" s="25">
        <v>2</v>
      </c>
      <c r="L1" s="60">
        <v>3</v>
      </c>
      <c r="M1" s="25">
        <v>4</v>
      </c>
      <c r="N1" s="25">
        <v>5</v>
      </c>
      <c r="O1" s="26">
        <v>6</v>
      </c>
      <c r="P1" s="26">
        <v>7</v>
      </c>
      <c r="Q1" s="26">
        <v>8</v>
      </c>
      <c r="R1" s="26">
        <v>10</v>
      </c>
      <c r="S1" s="26">
        <v>12</v>
      </c>
      <c r="T1" s="27">
        <v>14</v>
      </c>
    </row>
    <row r="2" spans="1:20" ht="20.25" thickBot="1" x14ac:dyDescent="0.3">
      <c r="A2" s="59"/>
      <c r="B2" s="38" t="s">
        <v>58</v>
      </c>
      <c r="C2" s="39">
        <v>1</v>
      </c>
      <c r="D2" s="40">
        <v>2</v>
      </c>
      <c r="E2" s="40">
        <v>3</v>
      </c>
      <c r="F2" s="40">
        <v>4</v>
      </c>
      <c r="G2" s="40">
        <v>5</v>
      </c>
      <c r="H2" s="40">
        <v>6</v>
      </c>
      <c r="I2" s="40">
        <v>7</v>
      </c>
      <c r="J2" s="40">
        <v>8</v>
      </c>
      <c r="K2" s="40">
        <v>9</v>
      </c>
      <c r="L2" s="40">
        <v>10</v>
      </c>
      <c r="M2" s="40">
        <v>11</v>
      </c>
      <c r="N2" s="40">
        <v>12</v>
      </c>
      <c r="O2" s="40">
        <v>13</v>
      </c>
      <c r="P2" s="40">
        <v>14</v>
      </c>
      <c r="Q2" s="40">
        <v>15</v>
      </c>
      <c r="R2" s="40">
        <v>16</v>
      </c>
      <c r="S2" s="40">
        <v>17</v>
      </c>
      <c r="T2" s="40">
        <v>18</v>
      </c>
    </row>
    <row r="3" spans="1:20" ht="15.75" thickBot="1" x14ac:dyDescent="0.3">
      <c r="A3" s="28">
        <v>0</v>
      </c>
      <c r="B3" s="41">
        <v>1</v>
      </c>
      <c r="C3" s="42">
        <v>0.85</v>
      </c>
      <c r="D3" s="42">
        <v>0.85</v>
      </c>
      <c r="E3" s="42">
        <v>0.85</v>
      </c>
      <c r="F3" s="42">
        <v>0.85</v>
      </c>
      <c r="G3" s="42">
        <v>0.85</v>
      </c>
      <c r="H3" s="42">
        <v>0.5</v>
      </c>
      <c r="I3" s="42">
        <v>0.10416600000000001</v>
      </c>
      <c r="J3" s="42">
        <v>6.6666000000000017E-2</v>
      </c>
      <c r="K3" s="42">
        <v>3.7500000000000006E-2</v>
      </c>
      <c r="L3" s="61">
        <v>1.6668000000000002E-2</v>
      </c>
      <c r="M3" s="42">
        <v>9.3750000000000014E-3</v>
      </c>
      <c r="N3" s="42">
        <v>6.000000000000001E-3</v>
      </c>
      <c r="O3" s="42">
        <v>4.1670000000000006E-3</v>
      </c>
      <c r="P3" s="42">
        <v>3.0600000000000007E-3</v>
      </c>
      <c r="Q3" s="42">
        <v>2.3430000000000005E-3</v>
      </c>
      <c r="R3" s="42">
        <v>1.5000000000000002E-3</v>
      </c>
      <c r="S3" s="42">
        <v>1.0410000000000003E-3</v>
      </c>
      <c r="T3" s="42">
        <v>7.6500000000000016E-4</v>
      </c>
    </row>
    <row r="4" spans="1:20" ht="15.75" thickBot="1" x14ac:dyDescent="0.3">
      <c r="A4" s="31">
        <v>0.1</v>
      </c>
      <c r="B4" s="41">
        <v>2</v>
      </c>
      <c r="C4" s="42">
        <v>0.71616500000000005</v>
      </c>
      <c r="D4" s="42">
        <v>0.71310420000000008</v>
      </c>
      <c r="E4" s="42">
        <v>0.70249699999999993</v>
      </c>
      <c r="F4" s="42">
        <v>0.67824100000000009</v>
      </c>
      <c r="G4" s="42">
        <v>0.61373299999999997</v>
      </c>
      <c r="H4" s="42">
        <v>0.34234899999999996</v>
      </c>
      <c r="I4" s="42">
        <v>0.11777000000000001</v>
      </c>
      <c r="J4" s="42">
        <v>6.2676000000000009E-2</v>
      </c>
      <c r="K4" s="42">
        <v>3.4500000000000003E-2</v>
      </c>
      <c r="L4" s="61">
        <v>1.5633000000000001E-2</v>
      </c>
      <c r="M4" s="42">
        <v>8.9230000000000021E-3</v>
      </c>
      <c r="N4" s="42">
        <v>5.7610000000000014E-3</v>
      </c>
      <c r="O4" s="42">
        <v>4.0400000000000002E-3</v>
      </c>
      <c r="P4" s="42">
        <v>2.8900000000000006E-3</v>
      </c>
      <c r="Q4" s="42">
        <v>2.2860000000000003E-3</v>
      </c>
      <c r="R4" s="42">
        <v>1.4850000000000004E-3</v>
      </c>
      <c r="S4" s="42">
        <v>1.0290000000000002E-3</v>
      </c>
      <c r="T4" s="42">
        <v>7.5900000000000013E-4</v>
      </c>
    </row>
    <row r="5" spans="1:20" ht="15.75" thickBot="1" x14ac:dyDescent="0.3">
      <c r="A5" s="31">
        <v>0.2</v>
      </c>
      <c r="B5" s="41">
        <v>3</v>
      </c>
      <c r="C5" s="42">
        <v>0.58900799999999998</v>
      </c>
      <c r="D5" s="42">
        <v>0.58337819999999996</v>
      </c>
      <c r="E5" s="42">
        <v>0.56496099999999994</v>
      </c>
      <c r="F5" s="42">
        <v>0.52490099999999995</v>
      </c>
      <c r="G5" s="42">
        <v>0.43718199999999996</v>
      </c>
      <c r="H5" s="42">
        <v>0.256969</v>
      </c>
      <c r="I5" s="42">
        <v>0.116435</v>
      </c>
      <c r="J5" s="42">
        <v>5.8216000000000004E-2</v>
      </c>
      <c r="K5" s="42">
        <v>3.1533000000000005E-2</v>
      </c>
      <c r="L5" s="61">
        <v>1.4603000000000003E-2</v>
      </c>
      <c r="M5" s="42">
        <v>8.4740000000000024E-3</v>
      </c>
      <c r="N5" s="42">
        <v>5.5280000000000008E-3</v>
      </c>
      <c r="O5" s="42">
        <v>3.8920000000000001E-3</v>
      </c>
      <c r="P5" s="42">
        <v>2.8930000000000002E-3</v>
      </c>
      <c r="Q5" s="42">
        <v>2.2260000000000001E-3</v>
      </c>
      <c r="R5" s="42">
        <v>1.5370000000000002E-3</v>
      </c>
      <c r="S5" s="42">
        <v>1.0200000000000001E-3</v>
      </c>
      <c r="T5" s="42">
        <v>7.5300000000000009E-4</v>
      </c>
    </row>
    <row r="6" spans="1:20" ht="15.75" thickBot="1" x14ac:dyDescent="0.3">
      <c r="A6" s="31">
        <v>0.3</v>
      </c>
      <c r="B6" s="41">
        <v>4</v>
      </c>
      <c r="C6" s="42">
        <v>0.47394399999999998</v>
      </c>
      <c r="D6" s="42">
        <v>0.46686000000000005</v>
      </c>
      <c r="E6" s="42">
        <v>0.43912899999999999</v>
      </c>
      <c r="F6" s="42">
        <v>0.39923199999999998</v>
      </c>
      <c r="G6" s="42">
        <v>0.316631</v>
      </c>
      <c r="H6" s="42">
        <v>0.19718399999999997</v>
      </c>
      <c r="I6" s="42">
        <v>0.10490100000000001</v>
      </c>
      <c r="J6" s="42">
        <v>5.3123999999999998E-2</v>
      </c>
      <c r="K6" s="42">
        <v>2.8610000000000003E-2</v>
      </c>
      <c r="L6" s="61">
        <v>1.0021000000000002E-2</v>
      </c>
      <c r="M6" s="42">
        <v>8.0280000000000004E-3</v>
      </c>
      <c r="N6" s="42">
        <v>5.3500000000000006E-3</v>
      </c>
      <c r="O6" s="42">
        <v>3.6760000000000004E-3</v>
      </c>
      <c r="P6" s="42">
        <v>2.7780000000000005E-3</v>
      </c>
      <c r="Q6" s="42">
        <v>2.1750000000000007E-3</v>
      </c>
      <c r="R6" s="42">
        <v>1.4570000000000002E-3</v>
      </c>
      <c r="S6" s="42">
        <v>1.0740000000000001E-3</v>
      </c>
      <c r="T6" s="42">
        <v>7.4700000000000016E-4</v>
      </c>
    </row>
    <row r="7" spans="1:20" ht="15.75" thickBot="1" x14ac:dyDescent="0.3">
      <c r="A7" s="31">
        <v>0.4</v>
      </c>
      <c r="B7" s="41">
        <v>5</v>
      </c>
      <c r="C7" s="42">
        <v>0.27994699999999995</v>
      </c>
      <c r="D7" s="42">
        <v>0.27340499999999995</v>
      </c>
      <c r="E7" s="42">
        <v>0.25239699999999998</v>
      </c>
      <c r="F7" s="42">
        <v>0.21348899999999996</v>
      </c>
      <c r="G7" s="42">
        <v>0.15274299999999999</v>
      </c>
      <c r="H7" s="42">
        <v>8.0375999999999975E-2</v>
      </c>
      <c r="I7" s="42">
        <v>2.8482999999999994E-2</v>
      </c>
      <c r="J7" s="42">
        <v>1.2810000000000044E-3</v>
      </c>
      <c r="K7" s="42">
        <v>-3.6240000000000022E-3</v>
      </c>
      <c r="L7" s="61">
        <v>-3.2799999999999999E-3</v>
      </c>
      <c r="M7" s="42">
        <v>-7.2000000000000015E-4</v>
      </c>
      <c r="N7" s="42">
        <v>-4.1000000000000021E-4</v>
      </c>
      <c r="O7" s="42">
        <v>-3.2000000000000008E-4</v>
      </c>
      <c r="P7" s="42">
        <v>-2.6499999999999999E-4</v>
      </c>
      <c r="Q7" s="42">
        <v>-1.2000000000000004E-4</v>
      </c>
      <c r="R7" s="42">
        <v>-6.0000000000000022E-5</v>
      </c>
      <c r="S7" s="42">
        <v>-1.6000000000000009E-5</v>
      </c>
      <c r="T7" s="42">
        <v>0</v>
      </c>
    </row>
    <row r="8" spans="1:20" ht="15.75" thickBot="1" x14ac:dyDescent="0.3">
      <c r="A8" s="31">
        <v>0.5</v>
      </c>
      <c r="B8" s="41">
        <v>6</v>
      </c>
      <c r="C8" s="42">
        <v>0.29098000000000002</v>
      </c>
      <c r="D8" s="42">
        <v>0.28387199999999996</v>
      </c>
      <c r="E8" s="42">
        <v>0.26329000000000002</v>
      </c>
      <c r="F8" s="42">
        <v>0.22685900000000001</v>
      </c>
      <c r="G8" s="42">
        <v>0.17561699999999997</v>
      </c>
      <c r="H8" s="42">
        <v>0.11970899999999997</v>
      </c>
      <c r="I8" s="42">
        <v>7.5456000000000023E-2</v>
      </c>
      <c r="J8" s="42">
        <v>4.1877000000000004E-2</v>
      </c>
      <c r="K8" s="42">
        <v>2.3057000000000005E-2</v>
      </c>
      <c r="L8" s="61">
        <v>1.1705000000000004E-2</v>
      </c>
      <c r="M8" s="42">
        <v>7.1300000000000009E-3</v>
      </c>
      <c r="N8" s="42">
        <v>4.8630000000000001E-3</v>
      </c>
      <c r="O8" s="42">
        <v>3.4820000000000007E-3</v>
      </c>
      <c r="P8" s="42">
        <v>2.6050000000000001E-3</v>
      </c>
      <c r="Q8" s="42">
        <v>2.0830000000000002E-3</v>
      </c>
      <c r="R8" s="42">
        <v>1.3500000000000003E-3</v>
      </c>
      <c r="S8" s="42">
        <v>9.5100000000000013E-4</v>
      </c>
      <c r="T8" s="42">
        <v>7.1100000000000004E-4</v>
      </c>
    </row>
    <row r="9" spans="1:20" ht="15.75" thickBot="1" x14ac:dyDescent="0.3">
      <c r="A9" s="31">
        <v>0.6</v>
      </c>
      <c r="B9" s="41">
        <v>7</v>
      </c>
      <c r="C9" s="42">
        <v>0.22352499999999997</v>
      </c>
      <c r="D9" s="42">
        <v>0.21790799999999999</v>
      </c>
      <c r="E9" s="42">
        <v>0.200049</v>
      </c>
      <c r="F9" s="42">
        <v>0.170986</v>
      </c>
      <c r="G9" s="42">
        <v>0.132744</v>
      </c>
      <c r="H9" s="42">
        <v>9.3306000000000014E-2</v>
      </c>
      <c r="I9" s="42">
        <v>6.2269000000000005E-2</v>
      </c>
      <c r="J9" s="42">
        <v>3.6226999999999995E-2</v>
      </c>
      <c r="K9" s="42">
        <v>2.0729999999999998E-2</v>
      </c>
      <c r="L9" s="61">
        <v>1.0543000000000002E-2</v>
      </c>
      <c r="M9" s="42">
        <v>6.7650000000000002E-3</v>
      </c>
      <c r="N9" s="42">
        <v>4.530000000000001E-3</v>
      </c>
      <c r="O9" s="42">
        <v>3.3690000000000005E-3</v>
      </c>
      <c r="P9" s="42">
        <v>2.5350000000000004E-3</v>
      </c>
      <c r="Q9" s="42">
        <v>2.0290000000000004E-3</v>
      </c>
      <c r="R9" s="42">
        <v>1.3200000000000002E-3</v>
      </c>
      <c r="S9" s="42">
        <v>9.360000000000002E-4</v>
      </c>
      <c r="T9" s="42">
        <v>6.9900000000000008E-4</v>
      </c>
    </row>
    <row r="10" spans="1:20" ht="15.75" thickBot="1" x14ac:dyDescent="0.3">
      <c r="A10" s="31">
        <v>0.7</v>
      </c>
      <c r="B10" s="41">
        <v>8</v>
      </c>
      <c r="C10" s="42">
        <v>0.17011899999999996</v>
      </c>
      <c r="D10" s="42">
        <v>0.165134</v>
      </c>
      <c r="E10" s="42">
        <v>0.151252</v>
      </c>
      <c r="F10" s="42">
        <v>0.12875099999999998</v>
      </c>
      <c r="G10" s="42">
        <v>0.10082000000000001</v>
      </c>
      <c r="H10" s="42">
        <v>6.8896999999999986E-2</v>
      </c>
      <c r="I10" s="42">
        <v>5.0761000000000001E-2</v>
      </c>
      <c r="J10" s="42">
        <v>3.0946000000000001E-2</v>
      </c>
      <c r="K10" s="42">
        <v>1.7976999999999996E-2</v>
      </c>
      <c r="L10" s="61">
        <v>9.5530000000000007E-3</v>
      </c>
      <c r="M10" s="42">
        <v>6.3850000000000009E-3</v>
      </c>
      <c r="N10" s="42">
        <v>4.4200000000000003E-3</v>
      </c>
      <c r="O10" s="42">
        <v>3.2160000000000001E-3</v>
      </c>
      <c r="P10" s="42">
        <v>2.4670000000000004E-3</v>
      </c>
      <c r="Q10" s="42">
        <v>1.9720000000000002E-3</v>
      </c>
      <c r="R10" s="42">
        <v>1.2900000000000001E-3</v>
      </c>
      <c r="S10" s="42">
        <v>9.1800000000000009E-4</v>
      </c>
      <c r="T10" s="42">
        <v>6.8700000000000011E-4</v>
      </c>
    </row>
    <row r="11" spans="1:20" ht="15.75" thickBot="1" x14ac:dyDescent="0.3">
      <c r="A11" s="31">
        <v>0.8</v>
      </c>
      <c r="B11" s="41">
        <v>9</v>
      </c>
      <c r="C11" s="42">
        <v>0.128552</v>
      </c>
      <c r="D11" s="42">
        <v>0.12420400000000001</v>
      </c>
      <c r="E11" s="42">
        <v>0.11377</v>
      </c>
      <c r="F11" s="42">
        <v>9.7210999999999992E-2</v>
      </c>
      <c r="G11" s="42">
        <v>7.6857999999999982E-2</v>
      </c>
      <c r="H11" s="42">
        <v>5.7168000000000004E-2</v>
      </c>
      <c r="I11" s="42">
        <v>4.1076000000000008E-2</v>
      </c>
      <c r="J11" s="42">
        <v>2.6178E-2</v>
      </c>
      <c r="K11" s="42">
        <v>1.5350000000000006E-2</v>
      </c>
      <c r="L11" s="61">
        <v>8.4350000000000015E-3</v>
      </c>
      <c r="M11" s="42">
        <v>5.935000000000001E-3</v>
      </c>
      <c r="N11" s="42">
        <v>4.1799999999999997E-3</v>
      </c>
      <c r="O11" s="42">
        <v>3.0760000000000002E-3</v>
      </c>
      <c r="P11" s="42">
        <v>2.3920000000000009E-3</v>
      </c>
      <c r="Q11" s="42">
        <v>1.9050000000000004E-3</v>
      </c>
      <c r="R11" s="42">
        <v>1.2600000000000001E-3</v>
      </c>
      <c r="S11" s="42">
        <v>9.0000000000000008E-4</v>
      </c>
      <c r="T11" s="42">
        <v>6.7500000000000004E-4</v>
      </c>
    </row>
    <row r="12" spans="1:20" ht="15.75" thickBot="1" x14ac:dyDescent="0.3">
      <c r="A12" s="31">
        <v>0.9</v>
      </c>
      <c r="B12" s="41">
        <v>10</v>
      </c>
      <c r="C12" s="42">
        <v>9.6573999999999993E-2</v>
      </c>
      <c r="D12" s="42">
        <v>9.2964999999999992E-2</v>
      </c>
      <c r="E12" s="42">
        <v>8.5356000000000015E-2</v>
      </c>
      <c r="F12" s="42">
        <v>7.3135999999999993E-2</v>
      </c>
      <c r="G12" s="42">
        <v>5.8698000000000021E-2</v>
      </c>
      <c r="H12" s="42">
        <v>4.4607999999999974E-2</v>
      </c>
      <c r="I12" s="42">
        <v>3.3012999999999987E-2</v>
      </c>
      <c r="J12" s="42">
        <v>2.1835999999999998E-2</v>
      </c>
      <c r="K12" s="42">
        <v>1.2954000000000004E-2</v>
      </c>
      <c r="L12" s="61">
        <v>7.7650000000000028E-3</v>
      </c>
      <c r="M12" s="42">
        <v>5.6450000000000016E-3</v>
      </c>
      <c r="N12" s="42">
        <v>3.8700000000000006E-3</v>
      </c>
      <c r="O12" s="42">
        <v>2.9310000000000004E-3</v>
      </c>
      <c r="P12" s="42">
        <v>2.2980000000000006E-3</v>
      </c>
      <c r="Q12" s="42">
        <v>1.8420000000000003E-3</v>
      </c>
      <c r="R12" s="42">
        <v>1.2300000000000002E-3</v>
      </c>
      <c r="S12" s="42">
        <v>8.8200000000000019E-4</v>
      </c>
      <c r="T12" s="42">
        <v>6.5600000000000012E-4</v>
      </c>
    </row>
    <row r="13" spans="1:20" ht="15.75" thickBot="1" x14ac:dyDescent="0.3">
      <c r="A13" s="31">
        <v>1</v>
      </c>
      <c r="B13" s="41">
        <v>11</v>
      </c>
      <c r="C13" s="42">
        <v>7.2177999999999992E-2</v>
      </c>
      <c r="D13" s="42">
        <v>6.9760000000000003E-2</v>
      </c>
      <c r="E13" s="42">
        <v>6.4005000000000006E-2</v>
      </c>
      <c r="F13" s="42">
        <v>5.5054999999999993E-2</v>
      </c>
      <c r="G13" s="42">
        <v>4.468999999999998E-2</v>
      </c>
      <c r="H13" s="42">
        <v>3.4779000000000011E-2</v>
      </c>
      <c r="I13" s="42">
        <v>2.6432999999999998E-2</v>
      </c>
      <c r="J13" s="42">
        <v>1.8007999999999996E-2</v>
      </c>
      <c r="K13" s="42">
        <v>1.1390999999999998E-2</v>
      </c>
      <c r="L13" s="61">
        <v>7.2920000000000016E-3</v>
      </c>
      <c r="M13" s="42">
        <v>5.1329999999999995E-3</v>
      </c>
      <c r="N13" s="42">
        <v>3.7370000000000003E-3</v>
      </c>
      <c r="O13" s="42">
        <v>2.8130000000000004E-3</v>
      </c>
      <c r="P13" s="42">
        <v>2.2030000000000001E-3</v>
      </c>
      <c r="Q13" s="42">
        <v>1.7680000000000005E-3</v>
      </c>
      <c r="R13" s="42">
        <v>1.2000000000000001E-3</v>
      </c>
      <c r="S13" s="42">
        <v>8.7400000000000021E-4</v>
      </c>
      <c r="T13" s="42">
        <v>6.5700000000000014E-4</v>
      </c>
    </row>
    <row r="14" spans="1:20" ht="15.75" thickBot="1" x14ac:dyDescent="0.3">
      <c r="A14" s="31">
        <v>1.2</v>
      </c>
      <c r="B14" s="41">
        <v>12</v>
      </c>
      <c r="C14" s="42">
        <v>3.9593000000000003E-2</v>
      </c>
      <c r="D14" s="42">
        <v>3.7690000000000001E-2</v>
      </c>
      <c r="E14" s="42">
        <v>3.5097000000000003E-2</v>
      </c>
      <c r="F14" s="42">
        <v>3.0723000000000007E-2</v>
      </c>
      <c r="G14" s="42">
        <v>2.5571999999999987E-2</v>
      </c>
      <c r="H14" s="42">
        <v>2.06E-2</v>
      </c>
      <c r="I14" s="42">
        <v>1.6390999999999996E-2</v>
      </c>
      <c r="J14" s="42">
        <v>1.1931999999999995E-2</v>
      </c>
      <c r="K14" s="42">
        <v>8.2540000000000009E-3</v>
      </c>
      <c r="L14" s="61">
        <v>5.8600000000000006E-3</v>
      </c>
      <c r="M14" s="42">
        <v>4.3710000000000008E-3</v>
      </c>
      <c r="N14" s="42">
        <v>3.3340000000000006E-3</v>
      </c>
      <c r="O14" s="42">
        <v>2.5820000000000001E-3</v>
      </c>
      <c r="P14" s="42">
        <v>2.0480000000000003E-3</v>
      </c>
      <c r="Q14" s="42">
        <v>1.6570000000000003E-3</v>
      </c>
      <c r="R14" s="42">
        <v>1.1400000000000002E-3</v>
      </c>
      <c r="S14" s="42">
        <v>8.3500000000000002E-4</v>
      </c>
      <c r="T14" s="42">
        <v>6.4300000000000013E-4</v>
      </c>
    </row>
    <row r="15" spans="1:20" ht="15.75" thickBot="1" x14ac:dyDescent="0.3">
      <c r="A15" s="31">
        <v>1.5</v>
      </c>
      <c r="B15" s="41">
        <v>13</v>
      </c>
      <c r="C15" s="42">
        <v>1.4748999999999981E-2</v>
      </c>
      <c r="D15" s="42">
        <v>1.3392000000000012E-2</v>
      </c>
      <c r="E15" s="42">
        <v>1.3245999999999983E-2</v>
      </c>
      <c r="F15" s="42">
        <v>1.1793000000000008E-2</v>
      </c>
      <c r="G15" s="42">
        <v>1.0033000000000004E-2</v>
      </c>
      <c r="H15" s="42">
        <v>8.4280000000000015E-3</v>
      </c>
      <c r="I15" s="42">
        <v>6.9950000000000012E-3</v>
      </c>
      <c r="J15" s="42">
        <v>5.6189999999999921E-3</v>
      </c>
      <c r="K15" s="42">
        <v>4.5310000000000003E-3</v>
      </c>
      <c r="L15" s="61">
        <v>4.1730000000000014E-3</v>
      </c>
      <c r="M15" s="42">
        <v>3.4149999999999996E-3</v>
      </c>
      <c r="N15" s="42">
        <v>2.7729999999999999E-3</v>
      </c>
      <c r="O15" s="42">
        <v>2.2219999999999996E-3</v>
      </c>
      <c r="P15" s="42">
        <v>1.8379999999999996E-3</v>
      </c>
      <c r="Q15" s="42">
        <v>1.4950000000000005E-3</v>
      </c>
      <c r="R15" s="42">
        <v>1.0560000000000003E-3</v>
      </c>
      <c r="S15" s="42">
        <v>7.8300000000000017E-4</v>
      </c>
      <c r="T15" s="42">
        <v>6.0300000000000002E-4</v>
      </c>
    </row>
    <row r="16" spans="1:20" ht="15.75" thickBot="1" x14ac:dyDescent="0.3">
      <c r="A16" s="31">
        <v>2</v>
      </c>
      <c r="B16" s="41">
        <v>14</v>
      </c>
      <c r="C16" s="42">
        <v>2.9599999999998725E-4</v>
      </c>
      <c r="D16" s="42">
        <v>-2.3140000000000036E-3</v>
      </c>
      <c r="E16" s="42">
        <v>-2.6199999999998967E-4</v>
      </c>
      <c r="F16" s="42">
        <v>-9.9000000000003599E-5</v>
      </c>
      <c r="G16" s="42">
        <v>-5.1300000000000477E-4</v>
      </c>
      <c r="H16" s="42">
        <v>3.799999999999637E-5</v>
      </c>
      <c r="I16" s="42">
        <v>-3.6999999999997105E-5</v>
      </c>
      <c r="J16" s="42">
        <v>2.6899999999999667E-4</v>
      </c>
      <c r="K16" s="42">
        <v>8.0400000000000436E-4</v>
      </c>
      <c r="L16" s="61">
        <v>1.7970000000000026E-3</v>
      </c>
      <c r="M16" s="42">
        <v>2.0679999999999995E-3</v>
      </c>
      <c r="N16" s="42">
        <v>1.9270000000000003E-3</v>
      </c>
      <c r="O16" s="42">
        <v>1.6419999999999998E-3</v>
      </c>
      <c r="P16" s="42">
        <v>1.4620000000000002E-3</v>
      </c>
      <c r="Q16" s="42">
        <v>1.2400000000000002E-3</v>
      </c>
      <c r="R16" s="42">
        <v>9.1100000000000003E-4</v>
      </c>
      <c r="S16" s="42">
        <v>7.0200000000000015E-4</v>
      </c>
      <c r="T16" s="42">
        <v>5.4900000000000012E-4</v>
      </c>
    </row>
    <row r="17" spans="1:20" ht="15.75" thickBot="1" x14ac:dyDescent="0.3">
      <c r="A17" s="31">
        <v>2.5</v>
      </c>
      <c r="B17" s="41">
        <v>15</v>
      </c>
      <c r="C17" s="42">
        <v>-3.2380000000000048E-3</v>
      </c>
      <c r="D17" s="42">
        <v>-5.6859999999999983E-3</v>
      </c>
      <c r="E17" s="42">
        <v>-3.7439999999999939E-3</v>
      </c>
      <c r="F17" s="42">
        <v>-3.488999999999999E-3</v>
      </c>
      <c r="G17" s="42">
        <v>-3.0790000000000105E-3</v>
      </c>
      <c r="H17" s="42">
        <v>-3.7989999999999986E-3</v>
      </c>
      <c r="I17" s="42">
        <v>-2.3550000000000012E-3</v>
      </c>
      <c r="J17" s="42">
        <v>-1.8409999999999919E-3</v>
      </c>
      <c r="K17" s="42">
        <v>-1.0139999999999984E-3</v>
      </c>
      <c r="L17" s="61">
        <v>3.8600000000000179E-4</v>
      </c>
      <c r="M17" s="42">
        <v>1.0579999999999999E-3</v>
      </c>
      <c r="N17" s="42">
        <v>1.242E-3</v>
      </c>
      <c r="O17" s="42">
        <v>1.2209999999999999E-3</v>
      </c>
      <c r="P17" s="42">
        <v>1.1180000000000005E-3</v>
      </c>
      <c r="Q17" s="42">
        <v>1.0060000000000002E-3</v>
      </c>
      <c r="R17" s="42">
        <v>7.890000000000002E-4</v>
      </c>
      <c r="S17" s="42">
        <v>6.2399999999999999E-4</v>
      </c>
      <c r="T17" s="42">
        <v>4.9100000000000001E-4</v>
      </c>
    </row>
    <row r="18" spans="1:20" ht="15.75" thickBot="1" x14ac:dyDescent="0.3">
      <c r="A18" s="31">
        <v>3</v>
      </c>
      <c r="B18" s="41">
        <v>16</v>
      </c>
      <c r="C18" s="42">
        <v>-3.8180000000000045E-3</v>
      </c>
      <c r="D18" s="42">
        <v>-5.0760000000000041E-3</v>
      </c>
      <c r="E18" s="42">
        <v>-5.0360000000000049E-3</v>
      </c>
      <c r="F18" s="42">
        <v>-3.805000000000002E-3</v>
      </c>
      <c r="G18" s="42">
        <v>-3.6289999999999977E-3</v>
      </c>
      <c r="H18" s="42">
        <v>-3.3740000000000003E-3</v>
      </c>
      <c r="I18" s="42">
        <v>-2.9529999999999956E-3</v>
      </c>
      <c r="J18" s="42">
        <v>-2.5390000000000031E-3</v>
      </c>
      <c r="K18" s="42">
        <v>-1.7589999999999975E-3</v>
      </c>
      <c r="L18" s="61">
        <v>-4.2500000000000003E-4</v>
      </c>
      <c r="M18" s="42">
        <v>3.6000000000000094E-4</v>
      </c>
      <c r="N18" s="42">
        <v>7.2600000000000008E-4</v>
      </c>
      <c r="O18" s="42">
        <v>8.5400000000000016E-4</v>
      </c>
      <c r="P18" s="42">
        <v>8.6300000000000005E-4</v>
      </c>
      <c r="Q18" s="42">
        <v>7.8899999999999999E-4</v>
      </c>
      <c r="R18" s="42">
        <v>6.5900000000000008E-4</v>
      </c>
      <c r="S18" s="42">
        <v>5.4200000000000006E-4</v>
      </c>
      <c r="T18" s="42">
        <v>4.4000000000000018E-4</v>
      </c>
    </row>
    <row r="19" spans="1:20" ht="15.75" thickBot="1" x14ac:dyDescent="0.3">
      <c r="A19" s="31">
        <v>4</v>
      </c>
      <c r="B19" s="41">
        <v>17</v>
      </c>
      <c r="C19" s="42">
        <v>-3.1589999999999977E-3</v>
      </c>
      <c r="D19" s="42">
        <v>-4.0920000000000002E-3</v>
      </c>
      <c r="E19" s="42">
        <v>-5.1260000000000012E-3</v>
      </c>
      <c r="F19" s="42">
        <v>-3.7880000000000014E-3</v>
      </c>
      <c r="G19" s="42">
        <v>-3.0779999999999983E-3</v>
      </c>
      <c r="H19" s="42">
        <v>-3.1130000000000012E-3</v>
      </c>
      <c r="I19" s="42">
        <v>-2.9380000000000031E-3</v>
      </c>
      <c r="J19" s="42">
        <v>-2.5820000000000027E-3</v>
      </c>
      <c r="K19" s="42">
        <v>-1.9060000000000001E-3</v>
      </c>
      <c r="L19" s="61">
        <v>-1.1240000000000009E-3</v>
      </c>
      <c r="M19" s="42">
        <v>-4.0700000000000024E-4</v>
      </c>
      <c r="N19" s="42">
        <v>3.199999999999991E-5</v>
      </c>
      <c r="O19" s="42">
        <v>2.580000000000002E-4</v>
      </c>
      <c r="P19" s="42">
        <v>4.010000000000001E-4</v>
      </c>
      <c r="Q19" s="42">
        <v>4.6700000000000018E-4</v>
      </c>
      <c r="R19" s="42">
        <v>4.5899999999999999E-4</v>
      </c>
      <c r="S19" s="42">
        <v>4.0400000000000006E-4</v>
      </c>
      <c r="T19" s="42">
        <v>3.6000000000000013E-4</v>
      </c>
    </row>
    <row r="20" spans="1:20" ht="15.75" thickBot="1" x14ac:dyDescent="0.3">
      <c r="A20" s="31">
        <v>5</v>
      </c>
      <c r="B20" s="41">
        <v>18</v>
      </c>
      <c r="C20" s="42">
        <v>-2.3529999999999996E-3</v>
      </c>
      <c r="D20" s="42">
        <v>-3.1529999999999996E-3</v>
      </c>
      <c r="E20" s="42">
        <v>-3.6799999999999988E-3</v>
      </c>
      <c r="F20" s="42">
        <v>-3.1989999999999992E-3</v>
      </c>
      <c r="G20" s="42">
        <v>-2.9880000000000006E-3</v>
      </c>
      <c r="H20" s="42">
        <v>-2.5279999999999981E-3</v>
      </c>
      <c r="I20" s="42">
        <v>-1.7779999999999996E-3</v>
      </c>
      <c r="J20" s="42">
        <v>-1.2519999999999992E-3</v>
      </c>
      <c r="K20" s="42">
        <v>-1.7200000000000006E-3</v>
      </c>
      <c r="L20" s="61">
        <v>-1.2350000000000009E-3</v>
      </c>
      <c r="M20" s="42">
        <v>-7.2800000000000078E-4</v>
      </c>
      <c r="N20" s="42">
        <v>-3.0699999999999955E-4</v>
      </c>
      <c r="O20" s="42">
        <v>-5.5999999999999843E-5</v>
      </c>
      <c r="P20" s="42">
        <v>1.1300000000000004E-4</v>
      </c>
      <c r="Q20" s="42">
        <v>1.879999999999998E-4</v>
      </c>
      <c r="R20" s="42">
        <v>2.7799999999999993E-4</v>
      </c>
      <c r="S20" s="42">
        <v>2.9E-4</v>
      </c>
      <c r="T20" s="42">
        <v>2.5900000000000012E-4</v>
      </c>
    </row>
    <row r="21" spans="1:20" ht="15.75" thickBot="1" x14ac:dyDescent="0.3">
      <c r="A21" s="31">
        <v>6</v>
      </c>
      <c r="B21" s="41">
        <v>19</v>
      </c>
      <c r="C21" s="42">
        <v>-1.7630000000000007E-3</v>
      </c>
      <c r="D21" s="42">
        <v>-3.7250000000000017E-3</v>
      </c>
      <c r="E21" s="42">
        <v>-5.3659999999999992E-3</v>
      </c>
      <c r="F21" s="42">
        <v>-4.1370000000000001E-3</v>
      </c>
      <c r="G21" s="42">
        <v>-3.3660000000000009E-3</v>
      </c>
      <c r="H21" s="42">
        <v>-2.4650000000000002E-3</v>
      </c>
      <c r="I21" s="42">
        <v>-1.8755000000000004E-3</v>
      </c>
      <c r="J21" s="42">
        <v>-1.4129999999999998E-3</v>
      </c>
      <c r="K21" s="42">
        <v>-1.4270000000000008E-3</v>
      </c>
      <c r="L21" s="61">
        <v>-1.1569999999999992E-3</v>
      </c>
      <c r="M21" s="42">
        <v>-7.6399999999999992E-4</v>
      </c>
      <c r="N21" s="42">
        <v>-4.8300000000000036E-4</v>
      </c>
      <c r="O21" s="42">
        <v>-2.2400000000000002E-4</v>
      </c>
      <c r="P21" s="42">
        <v>-5.9999999999999941E-5</v>
      </c>
      <c r="Q21" s="42">
        <v>9.9999999999998094E-6</v>
      </c>
      <c r="R21" s="42">
        <v>1.3899999999999991E-4</v>
      </c>
      <c r="S21" s="42">
        <v>2.0400000000000008E-4</v>
      </c>
      <c r="T21" s="42">
        <v>1.9000000000000006E-4</v>
      </c>
    </row>
    <row r="22" spans="1:20" ht="15.75" thickBot="1" x14ac:dyDescent="0.3">
      <c r="A22" s="31">
        <v>7</v>
      </c>
      <c r="B22" s="41">
        <v>20</v>
      </c>
      <c r="C22" s="42">
        <v>-1.3560000000000011E-3</v>
      </c>
      <c r="D22" s="42">
        <v>-1.7600000000000014E-3</v>
      </c>
      <c r="E22" s="42">
        <v>-2.6549999999999994E-3</v>
      </c>
      <c r="F22" s="42">
        <v>-2.0610000000000012E-3</v>
      </c>
      <c r="G22" s="42">
        <v>-1.4330000000000005E-3</v>
      </c>
      <c r="H22" s="42">
        <v>-1.3490000000000004E-3</v>
      </c>
      <c r="I22" s="42">
        <v>-1.1990000000000006E-3</v>
      </c>
      <c r="J22" s="42">
        <v>-1.2500000000000002E-3</v>
      </c>
      <c r="K22" s="42">
        <v>-1.3339999999999999E-3</v>
      </c>
      <c r="L22" s="61">
        <v>-1.0680000000000002E-3</v>
      </c>
      <c r="M22" s="42">
        <v>-7.8099999999999979E-4</v>
      </c>
      <c r="N22" s="42">
        <v>-4.7400000000000046E-4</v>
      </c>
      <c r="O22" s="42">
        <v>-3.4500000000000004E-4</v>
      </c>
      <c r="P22" s="42">
        <v>-1.9200000000000011E-4</v>
      </c>
      <c r="Q22" s="42">
        <v>-9.1000000000000044E-5</v>
      </c>
      <c r="R22" s="42">
        <v>6.9999999999999967E-5</v>
      </c>
      <c r="S22" s="42">
        <v>1.2600000000000003E-4</v>
      </c>
      <c r="T22" s="42">
        <v>1.3700000000000002E-4</v>
      </c>
    </row>
    <row r="23" spans="1:20" ht="15.75" thickBot="1" x14ac:dyDescent="0.3">
      <c r="A23" s="31">
        <v>8</v>
      </c>
      <c r="B23" s="41">
        <v>21</v>
      </c>
      <c r="C23" s="42">
        <v>-1.0679999999999995E-3</v>
      </c>
      <c r="D23" s="42">
        <v>-8.0699999999999999E-4</v>
      </c>
      <c r="E23" s="42">
        <v>-2.1090000000000011E-3</v>
      </c>
      <c r="F23" s="42">
        <v>-1.4499999999999999E-3</v>
      </c>
      <c r="G23" s="42">
        <v>-1.274E-3</v>
      </c>
      <c r="H23" s="42">
        <v>-1.1740000000000006E-3</v>
      </c>
      <c r="I23" s="42">
        <v>-1.1839999999999995E-3</v>
      </c>
      <c r="J23" s="42">
        <v>-1.1700000000000005E-3</v>
      </c>
      <c r="K23" s="42">
        <v>-1.287000000000001E-3</v>
      </c>
      <c r="L23" s="61">
        <v>-9.3300000000000045E-4</v>
      </c>
      <c r="M23" s="42">
        <v>-6.8700000000000022E-4</v>
      </c>
      <c r="N23" s="42">
        <v>-5.7499999999999977E-4</v>
      </c>
      <c r="O23" s="42">
        <v>-4.1500000000000022E-4</v>
      </c>
      <c r="P23" s="42">
        <v>-2.4600000000000023E-4</v>
      </c>
      <c r="Q23" s="42">
        <v>-1.3400000000000011E-4</v>
      </c>
      <c r="R23" s="42">
        <v>-4.1999999999999937E-5</v>
      </c>
      <c r="S23" s="42">
        <v>9.2999999999999984E-5</v>
      </c>
      <c r="T23" s="42">
        <v>7.9000000000000023E-5</v>
      </c>
    </row>
    <row r="24" spans="1:20" ht="15.75" thickBot="1" x14ac:dyDescent="0.3">
      <c r="A24" s="31">
        <v>9</v>
      </c>
      <c r="B24" s="41">
        <v>22</v>
      </c>
      <c r="C24" s="42">
        <v>-8.6800000000000017E-4</v>
      </c>
      <c r="D24" s="42">
        <v>-1.353E-3</v>
      </c>
      <c r="E24" s="42">
        <v>-3.0270000000000002E-3</v>
      </c>
      <c r="F24" s="42">
        <v>-2.677999999999999E-3</v>
      </c>
      <c r="G24" s="42">
        <v>-2.6859999999999996E-3</v>
      </c>
      <c r="H24" s="42">
        <v>-2.5789999999999997E-3</v>
      </c>
      <c r="I24" s="42">
        <v>-2.1280000000000001E-3</v>
      </c>
      <c r="J24" s="42">
        <v>-1.6889999999999995E-3</v>
      </c>
      <c r="K24" s="42">
        <v>-1.2229999999999993E-3</v>
      </c>
      <c r="L24" s="61">
        <v>-8.7100000000000003E-4</v>
      </c>
      <c r="M24" s="42">
        <v>-6.4600000000000042E-4</v>
      </c>
      <c r="N24" s="42">
        <v>-5.4900000000000033E-4</v>
      </c>
      <c r="O24" s="42">
        <v>-4.2199999999999963E-4</v>
      </c>
      <c r="P24" s="42">
        <v>-2.8700000000000015E-4</v>
      </c>
      <c r="Q24" s="42">
        <v>-2.2599999999999975E-4</v>
      </c>
      <c r="R24" s="42">
        <v>-9.2999999999999984E-5</v>
      </c>
      <c r="S24" s="42">
        <v>1.8000000000000004E-5</v>
      </c>
      <c r="T24" s="42">
        <v>3.0000000000000024E-5</v>
      </c>
    </row>
    <row r="25" spans="1:20" ht="15.75" thickBot="1" x14ac:dyDescent="0.3">
      <c r="A25" s="33">
        <v>10</v>
      </c>
      <c r="B25" s="41">
        <v>23</v>
      </c>
      <c r="C25" s="42">
        <v>-1.5629999999999997E-3</v>
      </c>
      <c r="D25" s="42">
        <v>-1.9550000000000001E-3</v>
      </c>
      <c r="E25" s="42">
        <v>-3.1849999999999999E-3</v>
      </c>
      <c r="F25" s="42">
        <v>-2.8230000000000004E-3</v>
      </c>
      <c r="G25" s="42">
        <v>-2.4009999999999995E-3</v>
      </c>
      <c r="H25" s="42">
        <v>-1.8529999999999998E-3</v>
      </c>
      <c r="I25" s="42">
        <v>-1.5990000000000002E-3</v>
      </c>
      <c r="J25" s="42">
        <v>-1.4510000000000005E-3</v>
      </c>
      <c r="K25" s="42">
        <v>-1.1450000000000006E-3</v>
      </c>
      <c r="L25" s="61">
        <v>-7.5899999999999948E-4</v>
      </c>
      <c r="M25" s="42">
        <v>-5.380000000000005E-4</v>
      </c>
      <c r="N25" s="42">
        <v>-5.669999999999998E-4</v>
      </c>
      <c r="O25" s="42">
        <v>-3.0800000000000033E-4</v>
      </c>
      <c r="P25" s="42">
        <v>-3.2600000000000012E-4</v>
      </c>
      <c r="Q25" s="42">
        <v>-1.9000000000000039E-4</v>
      </c>
      <c r="R25" s="42">
        <v>-2.1999999999999884E-5</v>
      </c>
      <c r="S25" s="42">
        <v>-7.5000000000000143E-5</v>
      </c>
      <c r="T25" s="42">
        <v>-6.6999999999999894E-5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Hojas de cálculo</vt:lpstr>
      </vt:variant>
      <vt:variant>
        <vt:i4>14</vt:i4>
      </vt:variant>
      <vt:variant>
        <vt:lpstr>Gráficos</vt:lpstr>
      </vt:variant>
      <vt:variant>
        <vt:i4>4</vt:i4>
      </vt:variant>
      <vt:variant>
        <vt:lpstr>Rangos con nombre</vt:lpstr>
      </vt:variant>
      <vt:variant>
        <vt:i4>6</vt:i4>
      </vt:variant>
    </vt:vector>
  </HeadingPairs>
  <TitlesOfParts>
    <vt:vector size="24" baseType="lpstr">
      <vt:lpstr>Tránsito</vt:lpstr>
      <vt:lpstr>Hoja2</vt:lpstr>
      <vt:lpstr>Espectros de Carga</vt:lpstr>
      <vt:lpstr>Análisis Individual</vt:lpstr>
      <vt:lpstr>Análisis Espectral</vt:lpstr>
      <vt:lpstr>NuevoFormatoPav</vt:lpstr>
      <vt:lpstr>Larguillo</vt:lpstr>
      <vt:lpstr>avanzado</vt:lpstr>
      <vt:lpstr>Análisis probabilista</vt:lpstr>
      <vt:lpstr>Hoja1</vt:lpstr>
      <vt:lpstr>calculos</vt:lpstr>
      <vt:lpstr>factor_e_vert</vt:lpstr>
      <vt:lpstr>factor_e_rad</vt:lpstr>
      <vt:lpstr>factor_e_tan</vt:lpstr>
      <vt:lpstr>Espectro Daño Deformacion</vt:lpstr>
      <vt:lpstr>Espectro Daño Fatiga</vt:lpstr>
      <vt:lpstr>Daño Acumulado Deformacion</vt:lpstr>
      <vt:lpstr>Daño Acumulado Fatiga</vt:lpstr>
      <vt:lpstr>'Análisis Espectral'!SENCILLO</vt:lpstr>
      <vt:lpstr>'Análisis Individual'!SENCILLO</vt:lpstr>
      <vt:lpstr>SENCILLO</vt:lpstr>
      <vt:lpstr>'Análisis Espectral'!TRIDEM</vt:lpstr>
      <vt:lpstr>'Análisis Individual'!TRIDEM</vt:lpstr>
      <vt:lpstr>TRIDEM</vt:lpstr>
    </vt:vector>
  </TitlesOfParts>
  <Company>EEDB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EEDB</dc:creator>
  <cp:lastModifiedBy>Aldo Jaccopo Del Fierro Flores</cp:lastModifiedBy>
  <cp:lastPrinted>2010-08-04T16:03:35Z</cp:lastPrinted>
  <dcterms:created xsi:type="dcterms:W3CDTF">2009-08-24T19:36:12Z</dcterms:created>
  <dcterms:modified xsi:type="dcterms:W3CDTF">2025-06-13T21:17:20Z</dcterms:modified>
</cp:coreProperties>
</file>
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7.xml" ContentType="application/vnd.ms-office.activeX+xml"/>
  <Override PartName="/xl/activeX/activeX8.xml" ContentType="application/vnd.ms-office.activeX+xml"/>
  <Override PartName="/xl/activeX/activeX9.xml" ContentType="application/vnd.ms-office.activeX+xml"/>
  <Override PartName="/xl/activeX/activeX10.xml" ContentType="application/vnd.ms-office.activeX+xml"/>
  <Override PartName="/xl/activeX/activeX11.xml" ContentType="application/vnd.ms-office.activeX+xml"/>
  <Override PartName="/xl/activeX/activeX12.xml" ContentType="application/vnd.ms-office.activeX+xml"/>
  <Override PartName="/xl/activeX/activeX13.xml" ContentType="application/vnd.ms-office.activeX+xml"/>
  <Override PartName="/xl/activeX/activeX14.xml" ContentType="application/vnd.ms-office.activeX+xml"/>
  <Override PartName="/xl/drawings/drawing2.xml" ContentType="application/vnd.openxmlformats-officedocument.drawing+xml"/>
  <Override PartName="/xl/activeX/activeX15.xml" ContentType="application/vnd.ms-office.activeX+xml"/>
  <Override PartName="/xl/activeX/activeX16.xml" ContentType="application/vnd.ms-office.activeX+xml"/>
  <Override PartName="/xl/activeX/activeX17.xml" ContentType="application/vnd.ms-office.activeX+xml"/>
  <Override PartName="/xl/activeX/activeX18.xml" ContentType="application/vnd.ms-office.activeX+xml"/>
  <Override PartName="/xl/activeX/activeX19.xml" ContentType="application/vnd.ms-office.activeX+xml"/>
  <Override PartName="/xl/activeX/activeX20.xml" ContentType="application/vnd.ms-office.activeX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21.xml" ContentType="application/vnd.ms-office.activeX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activeX/activeX22.xml" ContentType="application/vnd.ms-office.activeX+xml"/>
  <Override PartName="/xl/activeX/activeX23.xml" ContentType="application/vnd.ms-office.activeX+xml"/>
  <Override PartName="/xl/ctrlProps/ctrlProp1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activeX/activeX24.xml" ContentType="application/vnd.ms-office.activeX+xml"/>
  <Override PartName="/xl/ctrlProps/ctrlProp2.xml" ContentType="application/vnd.ms-excel.controlproperties+xml"/>
  <Override PartName="/xl/drawings/drawing7.xml" ContentType="application/vnd.openxmlformats-officedocument.drawing+xml"/>
  <Override PartName="/xl/ctrlProps/ctrlProp3.xml" ContentType="application/vnd.ms-excel.controlproperties+xml"/>
  <Override PartName="/xl/printerSettings/printerSettings1.bin" ContentType="application/vnd.openxmlformats-officedocument.spreadsheetml.printerSettings"/>
  <Override PartName="/xl/drawings/drawing8.xml" ContentType="application/vnd.openxmlformats-officedocument.drawing+xml"/>
  <Override PartName="/xl/charts/chart7.xml" ContentType="application/vnd.openxmlformats-officedocument.drawingml.chart+xml"/>
  <Override PartName="/xl/printerSettings/printerSettings2.bin" ContentType="application/vnd.openxmlformats-officedocument.spreadsheetml.printerSettings"/>
  <Override PartName="/xl/drawings/drawing9.xml" ContentType="application/vnd.openxmlformats-officedocument.drawing+xml"/>
  <Override PartName="/xl/charts/chart8.xml" ContentType="application/vnd.openxmlformats-officedocument.drawingml.chart+xml"/>
  <Override PartName="/xl/printerSettings/printerSettings3.bin" ContentType="application/vnd.openxmlformats-officedocument.spreadsheetml.printerSettings"/>
  <Override PartName="/xl/drawings/drawing10.xml" ContentType="application/vnd.openxmlformats-officedocument.drawing+xml"/>
  <Override PartName="/xl/charts/chart9.xml" ContentType="application/vnd.openxmlformats-officedocument.drawingml.chart+xml"/>
  <Override PartName="/xl/drawings/drawing11.xml" ContentType="application/vnd.openxmlformats-officedocument.drawingml.chartshapes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12.xml" ContentType="application/vnd.openxmlformats-officedocument.drawing+xml"/>
  <Override PartName="/xl/charts/chart15.xml" ContentType="application/vnd.openxmlformats-officedocument.drawingml.chart+xml"/>
  <Override PartName="/xl/drawings/drawing13.xml" ContentType="application/vnd.openxmlformats-officedocument.drawingml.chartshapes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730" codeName="{80610A8E-5010-04F8-B4C4-4C4527662162}"/>
  <workbookPr codeName="ThisWorkbook" showPivotChartFilter="1" defaultThemeVersion="124226"/>
  <mc:AlternateContent xmlns:mc="http://schemas.openxmlformats.org/markup-compatibility/2006">
    <mc:Choice Requires="x15">
      <x15ac:absPath xmlns:x15ac="http://schemas.microsoft.com/office/spreadsheetml/2010/11/ac" url="C:\Users\PCquality\Documents\NetBeansProjects\solomatandomeestarefeliz\excelaaaaa\trabajo\"/>
    </mc:Choice>
  </mc:AlternateContent>
  <xr:revisionPtr revIDLastSave="0" documentId="13_ncr:1_{A27ACF5D-5C63-4BED-A796-E25B6EEFBD8D}" xr6:coauthVersionLast="47" xr6:coauthVersionMax="47" xr10:uidLastSave="{00000000-0000-0000-0000-000000000000}"/>
  <bookViews>
    <workbookView xWindow="-120" yWindow="-120" windowWidth="29040" windowHeight="15840" tabRatio="903" firstSheet="4" activeTab="8" xr2:uid="{00000000-000D-0000-FFFF-FFFF00000000}"/>
  </bookViews>
  <sheets>
    <sheet name="Tránsito" sheetId="65" r:id="rId1"/>
    <sheet name="Espectros de Carga" sheetId="56" r:id="rId2"/>
    <sheet name="Análisis Individual" sheetId="63" r:id="rId3"/>
    <sheet name="Análisis Espectral" sheetId="64" r:id="rId4"/>
    <sheet name="NuevoFormatoPav" sheetId="52" r:id="rId5"/>
    <sheet name="avanzado" sheetId="60" r:id="rId6"/>
    <sheet name="Análisis probabilista" sheetId="66" r:id="rId7"/>
    <sheet name="Hoja1" sheetId="67" r:id="rId8"/>
    <sheet name="Larguillo" sheetId="61" r:id="rId9"/>
    <sheet name="calculos" sheetId="58" r:id="rId10"/>
    <sheet name="Espectro Daño Deformacion" sheetId="42" state="hidden" r:id="rId11"/>
    <sheet name="Espectro Daño Fatiga" sheetId="43" state="hidden" r:id="rId12"/>
    <sheet name="Daño Acumulado Deformacion" sheetId="51" state="hidden" r:id="rId13"/>
    <sheet name="Daño Acumulado Fatiga" sheetId="38" state="hidden" r:id="rId14"/>
    <sheet name="factor_e_vert" sheetId="47" r:id="rId15"/>
    <sheet name="factor_e_rad" sheetId="49" r:id="rId16"/>
    <sheet name="factor_e_tan" sheetId="50" r:id="rId17"/>
  </sheets>
  <functionGroups builtInGroupCount="19"/>
  <externalReferences>
    <externalReference r:id="rId18"/>
    <externalReference r:id="rId19"/>
    <externalReference r:id="rId20"/>
    <externalReference r:id="rId21"/>
  </externalReferences>
  <definedNames>
    <definedName name="ADSFAFD">'[1]ANALISIS PAVIMENTO'!$DS$61:$EJ$62</definedName>
    <definedName name="AS">'[2]ANALISIS PAVIMENTO'!$DS$61:$EJ$62</definedName>
    <definedName name="e" localSheetId="0">'[3]ANALISIS PAVIMENTO'!$DS$61:$EJ$62</definedName>
    <definedName name="e">'[1]ANALISIS PAVIMENTO'!$DS$61:$EJ$62</definedName>
    <definedName name="E.RADIAL.HOR.B" localSheetId="3">#REF!</definedName>
    <definedName name="E.RADIAL.HOR.B" localSheetId="2">#REF!</definedName>
    <definedName name="E.RADIAL.HOR.B" localSheetId="9">'[4]ANALISIS PAVIMENTO'!$DS$61:$EJ$62</definedName>
    <definedName name="E.RADIAL.HOR.B" localSheetId="0">#REF!</definedName>
    <definedName name="E.RADIAL.HOR.B">#REF!</definedName>
    <definedName name="E.RADIAL.VERT.B" localSheetId="3">#REF!</definedName>
    <definedName name="E.RADIAL.VERT.B" localSheetId="2">#REF!</definedName>
    <definedName name="E.RADIAL.VERT.B" localSheetId="9">'[4]ANALISIS PAVIMENTO'!$DQ$63:$DR$85</definedName>
    <definedName name="E.RADIAL.VERT.B" localSheetId="0">#REF!</definedName>
    <definedName name="E.RADIAL.VERT.B">#REF!</definedName>
    <definedName name="E.TAN.HOR.B" localSheetId="3">#REF!</definedName>
    <definedName name="E.TAN.HOR.B" localSheetId="2">#REF!</definedName>
    <definedName name="E.TAN.HOR.B" localSheetId="9">'[4]ANALISIS PAVIMENTO'!$EN$61:$FE$62</definedName>
    <definedName name="E.TAN.HOR.B" localSheetId="0">#REF!</definedName>
    <definedName name="E.TAN.HOR.B">#REF!</definedName>
    <definedName name="E.TAN.VERT.B" localSheetId="3">#REF!</definedName>
    <definedName name="E.TAN.VERT.B" localSheetId="2">#REF!</definedName>
    <definedName name="E.TAN.VERT.B" localSheetId="9">'[4]ANALISIS PAVIMENTO'!$EL$63:$EM$85</definedName>
    <definedName name="E.TAN.VERT.B" localSheetId="0">#REF!</definedName>
    <definedName name="E.TAN.VERT.B">#REF!</definedName>
    <definedName name="E.VERT.HOR.B" localSheetId="3">#REF!</definedName>
    <definedName name="E.VERT.HOR.B" localSheetId="2">#REF!</definedName>
    <definedName name="E.VERT.HOR.B" localSheetId="9">'[4]ANALISIS PAVIMENTO'!$CX$61:$DO$62</definedName>
    <definedName name="E.VERT.HOR.B" localSheetId="0">#REF!</definedName>
    <definedName name="E.VERT.HOR.B">#REF!</definedName>
    <definedName name="E.VERT.VERT.B" localSheetId="3">#REF!</definedName>
    <definedName name="E.VERT.VERT.B" localSheetId="2">#REF!</definedName>
    <definedName name="E.VERT.VERT.B" localSheetId="9">'[4]ANALISIS PAVIMENTO'!$CV$63:$CW$85</definedName>
    <definedName name="E.VERT.VERT.B" localSheetId="0">#REF!</definedName>
    <definedName name="E.VERT.VERT.B">#REF!</definedName>
    <definedName name="FACTOR.E.RADIAL.B" localSheetId="3">#REF!</definedName>
    <definedName name="FACTOR.E.RADIAL.B" localSheetId="2">#REF!</definedName>
    <definedName name="FACTOR.E.RADIAL.B" localSheetId="9">'[4]ANALISIS PAVIMENTO'!$DS$63:$EJ$85</definedName>
    <definedName name="FACTOR.E.RADIAL.B" localSheetId="0">#REF!</definedName>
    <definedName name="FACTOR.E.RADIAL.B">#REF!</definedName>
    <definedName name="FACTOR.E.TAN.B" localSheetId="3">#REF!</definedName>
    <definedName name="FACTOR.E.TAN.B" localSheetId="2">#REF!</definedName>
    <definedName name="FACTOR.E.TAN.B" localSheetId="9">'[4]ANALISIS PAVIMENTO'!$EN$63:$FE$85</definedName>
    <definedName name="FACTOR.E.TAN.B" localSheetId="0">#REF!</definedName>
    <definedName name="FACTOR.E.TAN.B">#REF!</definedName>
    <definedName name="FACTOR.E.VERT.B" localSheetId="3">#REF!</definedName>
    <definedName name="FACTOR.E.VERT.B" localSheetId="2">#REF!</definedName>
    <definedName name="FACTOR.E.VERT.B" localSheetId="9">'[4]ANALISIS PAVIMENTO'!$CX$63:$DO$85</definedName>
    <definedName name="FACTOR.E.VERT.B" localSheetId="0">#REF!</definedName>
    <definedName name="FACTOR.E.VERT.B">#REF!</definedName>
    <definedName name="SENCILLO" localSheetId="3">'Análisis Espectral'!$F$8</definedName>
    <definedName name="SENCILLO" localSheetId="2">'Análisis Individual'!$F$8</definedName>
    <definedName name="SENCILLO">NuevoFormatoPav!$F$8</definedName>
    <definedName name="TANDEM" localSheetId="3">#REF!</definedName>
    <definedName name="TANDEM" localSheetId="2">#REF!</definedName>
    <definedName name="TANDEM" localSheetId="0">#REF!</definedName>
    <definedName name="TANDEM">#REF!</definedName>
    <definedName name="TRIDEM" localSheetId="3">'Análisis Espectral'!$F$8</definedName>
    <definedName name="TRIDEM" localSheetId="2">'Análisis Individual'!$F$8</definedName>
    <definedName name="TRIDEM">NuevoFormatoPav!$F$8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4" i="66" l="1"/>
  <c r="E14" i="66"/>
  <c r="F14" i="66"/>
  <c r="D15" i="66"/>
  <c r="E15" i="66"/>
  <c r="F15" i="66"/>
  <c r="D16" i="66"/>
  <c r="E16" i="66"/>
  <c r="F16" i="66"/>
  <c r="D17" i="66"/>
  <c r="E17" i="66"/>
  <c r="F17" i="66"/>
  <c r="D18" i="66"/>
  <c r="E18" i="66"/>
  <c r="F18" i="66"/>
  <c r="E13" i="66"/>
  <c r="F13" i="66"/>
  <c r="D13" i="66"/>
  <c r="F7" i="66"/>
  <c r="CC38" i="61" l="1"/>
  <c r="CC39" i="61" s="1"/>
  <c r="CC40" i="61" s="1"/>
  <c r="CC41" i="61" s="1"/>
  <c r="CC42" i="61" s="1"/>
  <c r="CC43" i="61" s="1"/>
  <c r="CC44" i="61" s="1"/>
  <c r="CC45" i="61" s="1"/>
  <c r="CC46" i="61" s="1"/>
  <c r="CC47" i="61" s="1"/>
  <c r="CC48" i="61" s="1"/>
  <c r="CC49" i="61" s="1"/>
  <c r="CC50" i="61" s="1"/>
  <c r="CC51" i="61" s="1"/>
  <c r="CC52" i="61" s="1"/>
  <c r="CC53" i="61" s="1"/>
  <c r="CC54" i="61" s="1"/>
  <c r="CC55" i="61" s="1"/>
  <c r="CC56" i="61" s="1"/>
  <c r="CC57" i="61" s="1"/>
  <c r="CC58" i="61" s="1"/>
  <c r="CC59" i="61" s="1"/>
  <c r="CC60" i="61" s="1"/>
  <c r="CC61" i="61" s="1"/>
  <c r="CC62" i="61" s="1"/>
  <c r="CC63" i="61" s="1"/>
  <c r="CC64" i="61" s="1"/>
  <c r="CC65" i="61" s="1"/>
  <c r="CC66" i="61" s="1"/>
  <c r="CC67" i="61" s="1"/>
  <c r="BM8" i="61" l="1"/>
  <c r="BV6" i="61"/>
  <c r="BV8" i="61" s="1"/>
  <c r="BU6" i="61"/>
  <c r="BU8" i="61" s="1"/>
  <c r="BT6" i="61"/>
  <c r="BT8" i="61" s="1"/>
  <c r="BS6" i="61"/>
  <c r="BS8" i="61" s="1"/>
  <c r="BR6" i="61"/>
  <c r="BR8" i="61" s="1"/>
  <c r="BQ6" i="61"/>
  <c r="BQ8" i="61" s="1"/>
  <c r="BP6" i="61"/>
  <c r="BP8" i="61" s="1"/>
  <c r="BO6" i="61"/>
  <c r="BO8" i="61" s="1"/>
  <c r="BN6" i="61"/>
  <c r="BN8" i="61" s="1"/>
  <c r="BM4" i="61" l="1"/>
  <c r="V9" i="58"/>
  <c r="BV4" i="61"/>
  <c r="BU4" i="61"/>
  <c r="BT4" i="61"/>
  <c r="BS4" i="61"/>
  <c r="BR4" i="61"/>
  <c r="BQ4" i="61"/>
  <c r="BP4" i="61"/>
  <c r="BO4" i="61"/>
  <c r="BN4" i="61"/>
</calcChain>
</file>

<file path=xl/sharedStrings.xml><?xml version="1.0" encoding="utf-8"?>
<sst xmlns="http://schemas.openxmlformats.org/spreadsheetml/2006/main" count="455" uniqueCount="268">
  <si>
    <t>SIMPLE</t>
  </si>
  <si>
    <t>ESTRUCTURA DEL PAVIMENTO</t>
  </si>
  <si>
    <t>No. CAPA</t>
  </si>
  <si>
    <t>CONVENCIÓN</t>
  </si>
  <si>
    <t>A</t>
  </si>
  <si>
    <t>B</t>
  </si>
  <si>
    <t>C</t>
  </si>
  <si>
    <t>D</t>
  </si>
  <si>
    <t>E</t>
  </si>
  <si>
    <t>ν</t>
  </si>
  <si>
    <t>TANDEM</t>
  </si>
  <si>
    <t>TRIDEM</t>
  </si>
  <si>
    <t>LLANTA 2</t>
  </si>
  <si>
    <t>LLANTA 1</t>
  </si>
  <si>
    <t>LLANTA 3</t>
  </si>
  <si>
    <t>LLANTA 4</t>
  </si>
  <si>
    <t>LLANTA 5</t>
  </si>
  <si>
    <t>LLANTA 6</t>
  </si>
  <si>
    <t>ESPESOR (cm)</t>
  </si>
  <si>
    <t>ESPESOR PARCIAL EQUIVALENTE (cm)</t>
  </si>
  <si>
    <t>ESPESOR EQUIVALENTE DE CAPA i (cm)</t>
  </si>
  <si>
    <t>X  (cm) =</t>
  </si>
  <si>
    <t>Y  (cm) =</t>
  </si>
  <si>
    <t>S (cm) =</t>
  </si>
  <si>
    <t>D (cm) =</t>
  </si>
  <si>
    <t>Tipo de eje:</t>
  </si>
  <si>
    <t>Peso del eje (Ton) =</t>
  </si>
  <si>
    <t>CARPETA</t>
  </si>
  <si>
    <t>BASE</t>
  </si>
  <si>
    <t>SENCILLO</t>
  </si>
  <si>
    <t>CARGA PROMEDIO (Ton)</t>
  </si>
  <si>
    <t>DUAL</t>
  </si>
  <si>
    <t>C2</t>
  </si>
  <si>
    <t>C3</t>
  </si>
  <si>
    <t>T3-S2</t>
  </si>
  <si>
    <t>T3-S3</t>
  </si>
  <si>
    <t>T3-S2-R4</t>
  </si>
  <si>
    <t>CLASIFICACIÓN VEHICULAR (%)</t>
  </si>
  <si>
    <t>HORIZONTE DE PROYECTO</t>
  </si>
  <si>
    <t>Tasa crecimiento (%) =</t>
  </si>
  <si>
    <t>SENTIDO (FDS) =</t>
  </si>
  <si>
    <t>CARRIL (FDC) =</t>
  </si>
  <si>
    <t>MODELO DE DETERIORO</t>
  </si>
  <si>
    <t>TRRL, U.K.</t>
  </si>
  <si>
    <t>FATIGA:</t>
  </si>
  <si>
    <t>DEFORMACIÓN PERMANENTE:</t>
  </si>
  <si>
    <t>DUAL  (EJES/AÑO)</t>
  </si>
  <si>
    <t>TANDEM  (EJES/AÑO)</t>
  </si>
  <si>
    <t>TRIDEM  (EJES/AÑO)</t>
  </si>
  <si>
    <t>ESPECTRO DE DAÑO</t>
  </si>
  <si>
    <t>RESPUESTA EJE DUAL</t>
  </si>
  <si>
    <t>RESPUESTA EJE TANDEM</t>
  </si>
  <si>
    <t>RESPUESTA EJE TRIDEM</t>
  </si>
  <si>
    <t>W1</t>
  </si>
  <si>
    <t>W2</t>
  </si>
  <si>
    <t>W3</t>
  </si>
  <si>
    <t>r/a</t>
  </si>
  <si>
    <t>z/a</t>
  </si>
  <si>
    <t>H</t>
  </si>
  <si>
    <t>V</t>
  </si>
  <si>
    <t>T.N.</t>
  </si>
  <si>
    <t>ESPECTRO DE REPETICIONES ESPERADAS (n)</t>
  </si>
  <si>
    <t>ESPECTRO DE DAÑO TOTAL</t>
  </si>
  <si>
    <t>DEFORMACIÓN</t>
  </si>
  <si>
    <t>FATIGA</t>
  </si>
  <si>
    <t>PERSONALIZADO</t>
  </si>
  <si>
    <t>SIMPLE  (EJES/AÑO)</t>
  </si>
  <si>
    <t>RESPUESTA EJE SIMPLE</t>
  </si>
  <si>
    <t>NÚMERO DE REPETICIONES ADMISIBLES POR TIPO DE EJE</t>
  </si>
  <si>
    <t>FACTOR</t>
  </si>
  <si>
    <t>PARÁMETROS DE DISTRIBUCIÓN DE CARGA</t>
  </si>
  <si>
    <t>Factor E. Vertical</t>
  </si>
  <si>
    <t>Factor E. Radial</t>
  </si>
  <si>
    <t>Factor E Tangencial</t>
  </si>
  <si>
    <t>TODOS</t>
  </si>
  <si>
    <t>CONDICIONES DE CARGA (CC)</t>
  </si>
  <si>
    <t>Presión de inflado (psi)</t>
  </si>
  <si>
    <t>NIVEL DE CARGA</t>
  </si>
  <si>
    <t>Es</t>
  </si>
  <si>
    <t>LEGAL</t>
  </si>
  <si>
    <t>Espesor (cm)</t>
  </si>
  <si>
    <t>BAJA</t>
  </si>
  <si>
    <r>
      <t>DEFORMACIÓN POR TENSIÓN         ε</t>
    </r>
    <r>
      <rPr>
        <vertAlign val="subscript"/>
        <sz val="10"/>
        <rFont val="Calibri"/>
        <family val="2"/>
        <scheme val="minor"/>
      </rPr>
      <t>t</t>
    </r>
    <r>
      <rPr>
        <sz val="10"/>
        <rFont val="Calibri"/>
        <family val="2"/>
        <scheme val="minor"/>
      </rPr>
      <t xml:space="preserve"> </t>
    </r>
  </si>
  <si>
    <r>
      <t>DEFORMACIÓN VERTICAL     ε</t>
    </r>
    <r>
      <rPr>
        <vertAlign val="subscript"/>
        <sz val="10"/>
        <rFont val="Calibri"/>
        <family val="2"/>
        <scheme val="minor"/>
      </rPr>
      <t>z</t>
    </r>
    <r>
      <rPr>
        <sz val="10"/>
        <rFont val="Calibri"/>
        <family val="2"/>
        <scheme val="minor"/>
      </rPr>
      <t xml:space="preserve"> </t>
    </r>
  </si>
  <si>
    <r>
      <t>ESFUERZO CORTANTE xz</t>
    </r>
    <r>
      <rPr>
        <vertAlign val="subscript"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(Kpa)</t>
    </r>
  </si>
  <si>
    <r>
      <t>ESFUERZO CORTANTE yz</t>
    </r>
    <r>
      <rPr>
        <vertAlign val="subscript"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(Kpa)</t>
    </r>
  </si>
  <si>
    <r>
      <t>ESFUERZO CORTANTE rz</t>
    </r>
    <r>
      <rPr>
        <vertAlign val="subscript"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(Kpa)</t>
    </r>
  </si>
  <si>
    <r>
      <t>ESFUERZO CORTANTE xy</t>
    </r>
    <r>
      <rPr>
        <vertAlign val="subscript"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(Kpa)</t>
    </r>
  </si>
  <si>
    <r>
      <t>ESFUERZO NORMAL y</t>
    </r>
    <r>
      <rPr>
        <vertAlign val="subscript"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(Kpa)</t>
    </r>
  </si>
  <si>
    <r>
      <t>ESFUERZO NORMAL x</t>
    </r>
    <r>
      <rPr>
        <vertAlign val="subscript"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(Kpa)</t>
    </r>
  </si>
  <si>
    <r>
      <t>DEFLEXIÓN TOTAL d</t>
    </r>
    <r>
      <rPr>
        <vertAlign val="subscript"/>
        <sz val="10"/>
        <rFont val="Calibri"/>
        <family val="2"/>
        <scheme val="minor"/>
      </rPr>
      <t>z</t>
    </r>
    <r>
      <rPr>
        <sz val="10"/>
        <rFont val="Calibri"/>
        <family val="2"/>
        <scheme val="minor"/>
      </rPr>
      <t xml:space="preserve"> (mm)</t>
    </r>
  </si>
  <si>
    <r>
      <t>Iésima DEFLEXIÓN d</t>
    </r>
    <r>
      <rPr>
        <vertAlign val="subscript"/>
        <sz val="10"/>
        <rFont val="Calibri"/>
        <family val="2"/>
        <scheme val="minor"/>
      </rPr>
      <t>zi</t>
    </r>
    <r>
      <rPr>
        <sz val="10"/>
        <rFont val="Calibri"/>
        <family val="2"/>
        <scheme val="minor"/>
      </rPr>
      <t xml:space="preserve"> (mm)</t>
    </r>
  </si>
  <si>
    <r>
      <t>DEFORMACIÓN TANGENCIAL         ε</t>
    </r>
    <r>
      <rPr>
        <vertAlign val="subscript"/>
        <sz val="10"/>
        <rFont val="Calibri"/>
        <family val="2"/>
        <scheme val="minor"/>
      </rPr>
      <t>θ</t>
    </r>
  </si>
  <si>
    <r>
      <t>DEFORMACIÓN RADIAL         ε</t>
    </r>
    <r>
      <rPr>
        <vertAlign val="subscript"/>
        <sz val="10"/>
        <rFont val="Calibri"/>
        <family val="2"/>
        <scheme val="minor"/>
      </rPr>
      <t>r</t>
    </r>
    <r>
      <rPr>
        <sz val="10"/>
        <rFont val="Calibri"/>
        <family val="2"/>
        <scheme val="minor"/>
      </rPr>
      <t xml:space="preserve"> </t>
    </r>
  </si>
  <si>
    <t xml:space="preserve">Numero de capas:  </t>
  </si>
  <si>
    <t>RCC</t>
  </si>
  <si>
    <t>punto analizado</t>
  </si>
  <si>
    <t xml:space="preserve">Ángulos hztales entre </t>
  </si>
  <si>
    <t>Distancia hztal</t>
  </si>
  <si>
    <t>"r" entre punto y</t>
  </si>
  <si>
    <t>llantas</t>
  </si>
  <si>
    <t>y llantas</t>
  </si>
  <si>
    <t>Distancia radial</t>
  </si>
  <si>
    <t xml:space="preserve">"R" entre punto y </t>
  </si>
  <si>
    <t xml:space="preserve">Distancia radial </t>
  </si>
  <si>
    <t>"R" entre punto y</t>
  </si>
  <si>
    <t>llantas (carpeta)</t>
  </si>
  <si>
    <t>llantas (subrasante)</t>
  </si>
  <si>
    <t>F_E_Vertical_ra_11</t>
  </si>
  <si>
    <t>F_E_Vertical_ra_12</t>
  </si>
  <si>
    <t>F_E_Vertical_ra_13</t>
  </si>
  <si>
    <t>F_E_Vertical_ra_14</t>
  </si>
  <si>
    <t>Peso Neum</t>
  </si>
  <si>
    <t>Módulo Elástico</t>
  </si>
  <si>
    <t>LLANTA</t>
  </si>
  <si>
    <t>INTERFAZ</t>
  </si>
  <si>
    <r>
      <t xml:space="preserve"> σ</t>
    </r>
    <r>
      <rPr>
        <b/>
        <vertAlign val="subscript"/>
        <sz val="10"/>
        <color theme="1"/>
        <rFont val="Calibri"/>
        <family val="2"/>
        <scheme val="minor"/>
      </rPr>
      <t>r</t>
    </r>
    <r>
      <rPr>
        <b/>
        <sz val="10"/>
        <color theme="1"/>
        <rFont val="Calibri"/>
        <family val="2"/>
        <scheme val="minor"/>
      </rPr>
      <t xml:space="preserve"> (Kpa) NEUMÁTICO</t>
    </r>
  </si>
  <si>
    <r>
      <t xml:space="preserve"> σ</t>
    </r>
    <r>
      <rPr>
        <b/>
        <vertAlign val="subscript"/>
        <sz val="10"/>
        <color theme="1"/>
        <rFont val="Calibri"/>
        <family val="2"/>
      </rPr>
      <t>θ</t>
    </r>
    <r>
      <rPr>
        <b/>
        <sz val="10"/>
        <color theme="1"/>
        <rFont val="Calibri"/>
        <family val="2"/>
        <scheme val="minor"/>
      </rPr>
      <t xml:space="preserve"> (Kpa) NEUMÁTICO</t>
    </r>
  </si>
  <si>
    <t>Relación de Poisson, general:</t>
  </si>
  <si>
    <t>SENCILLO DUAL</t>
  </si>
  <si>
    <r>
      <t>ESFUERZO VERTICAL σ</t>
    </r>
    <r>
      <rPr>
        <vertAlign val="subscript"/>
        <sz val="10"/>
        <rFont val="Calibri"/>
        <family val="2"/>
        <scheme val="minor"/>
      </rPr>
      <t xml:space="preserve">z  </t>
    </r>
    <r>
      <rPr>
        <sz val="10"/>
        <rFont val="Calibri"/>
        <family val="2"/>
        <scheme val="minor"/>
      </rPr>
      <t>(Kpa)</t>
    </r>
  </si>
  <si>
    <r>
      <t>ESFUERZO RADIAL     σ</t>
    </r>
    <r>
      <rPr>
        <vertAlign val="subscript"/>
        <sz val="10"/>
        <rFont val="Calibri"/>
        <family val="2"/>
        <scheme val="minor"/>
      </rPr>
      <t xml:space="preserve">r  </t>
    </r>
    <r>
      <rPr>
        <sz val="10"/>
        <rFont val="Calibri"/>
        <family val="2"/>
        <scheme val="minor"/>
      </rPr>
      <t>(Kpa)</t>
    </r>
  </si>
  <si>
    <r>
      <t>ESFUERZO TANGENCIAL σ</t>
    </r>
    <r>
      <rPr>
        <vertAlign val="subscript"/>
        <sz val="11"/>
        <rFont val="Calibri"/>
        <family val="2"/>
        <scheme val="minor"/>
      </rPr>
      <t xml:space="preserve">θ </t>
    </r>
    <r>
      <rPr>
        <vertAlign val="subscript"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(Kpa)</t>
    </r>
  </si>
  <si>
    <t xml:space="preserve"> σz              CAPA 1   (Kpa)</t>
  </si>
  <si>
    <t xml:space="preserve"> σz TERRACERÍA  (Kpa)</t>
  </si>
  <si>
    <t>εz         TERRACERÍA</t>
  </si>
  <si>
    <t>εt         CAPA 1</t>
  </si>
  <si>
    <t>DEFLEXIÓN VERTICAL dz (mm)</t>
  </si>
  <si>
    <t>M1</t>
  </si>
  <si>
    <t>M2</t>
  </si>
  <si>
    <t>M3</t>
  </si>
  <si>
    <t>S1</t>
  </si>
  <si>
    <t>S2</t>
  </si>
  <si>
    <t>S3</t>
  </si>
  <si>
    <t>SOBRE-CARGA</t>
  </si>
  <si>
    <t>ALTA SOBRE-CARGA</t>
  </si>
  <si>
    <r>
      <t xml:space="preserve"> </t>
    </r>
    <r>
      <rPr>
        <sz val="12"/>
        <color theme="0"/>
        <rFont val="Calibri"/>
        <family val="2"/>
        <scheme val="minor"/>
      </rPr>
      <t>σ</t>
    </r>
    <r>
      <rPr>
        <vertAlign val="subscript"/>
        <sz val="12"/>
        <color theme="0"/>
        <rFont val="Calibri"/>
        <family val="2"/>
        <scheme val="minor"/>
      </rPr>
      <t>z</t>
    </r>
    <r>
      <rPr>
        <sz val="12"/>
        <color theme="0"/>
        <rFont val="Calibri"/>
        <family val="2"/>
        <scheme val="minor"/>
      </rPr>
      <t xml:space="preserve"> capa 1   (Kpa)</t>
    </r>
  </si>
  <si>
    <t>εt   CAPA 1</t>
  </si>
  <si>
    <t>Volumen de tránsito para el horizonte de proyecto</t>
  </si>
  <si>
    <t>Porcentaje representativo %</t>
  </si>
  <si>
    <t>Num de repeticiones promedio (Ejes/Año)</t>
  </si>
  <si>
    <t>Vida (años) =</t>
  </si>
  <si>
    <t>Suma</t>
  </si>
  <si>
    <t>B3</t>
  </si>
  <si>
    <t xml:space="preserve"> Deformación (n/Nd)</t>
  </si>
  <si>
    <t xml:space="preserve"> Fatiga (n/Nf)</t>
  </si>
  <si>
    <t xml:space="preserve"> Deformación (Nd)</t>
  </si>
  <si>
    <t xml:space="preserve"> Fatiga (Nf)</t>
  </si>
  <si>
    <t>DEFORMACIÓN TODOS</t>
  </si>
  <si>
    <t>FATIGA TODOS</t>
  </si>
  <si>
    <t>SUBBASE</t>
  </si>
  <si>
    <t>NumCapa</t>
  </si>
  <si>
    <t>No. Capa</t>
  </si>
  <si>
    <t>Nombre Capa</t>
  </si>
  <si>
    <t>ESPECTRO DE DAÑO ACUMULADO</t>
  </si>
  <si>
    <t>vida por fatiga (años)</t>
  </si>
  <si>
    <t>vida por deformación (años)</t>
  </si>
  <si>
    <t>MODELO DETERIORO FATIGA</t>
  </si>
  <si>
    <t>MOD. DETERIORO DEF. PERMANENTE</t>
  </si>
  <si>
    <t>ASPHALT INSTITUTE</t>
  </si>
  <si>
    <t>SHELL</t>
  </si>
  <si>
    <t>SHELL 50%</t>
  </si>
  <si>
    <t>ILLINOIS DOT, USA</t>
  </si>
  <si>
    <t>SHELL 85%</t>
  </si>
  <si>
    <t>SHELL 95%</t>
  </si>
  <si>
    <t>BRRC, BÉLGICA</t>
  </si>
  <si>
    <t>presión inflado (psi)</t>
  </si>
  <si>
    <t>Dato</t>
  </si>
  <si>
    <t>FACTOR DE DISTRIBUCIÓN POR:</t>
  </si>
  <si>
    <t>Módulo (KPa)</t>
  </si>
  <si>
    <t>Deflexión (mm)</t>
  </si>
  <si>
    <t>Dimensiones</t>
  </si>
  <si>
    <t>Punto de análisis</t>
  </si>
  <si>
    <t>↓</t>
  </si>
  <si>
    <t>↔</t>
  </si>
  <si>
    <t>Carpeta</t>
  </si>
  <si>
    <t>Base</t>
  </si>
  <si>
    <t>Sub-base</t>
  </si>
  <si>
    <t xml:space="preserve">Terreno Natural </t>
  </si>
  <si>
    <t>Δv</t>
  </si>
  <si>
    <t>Módulo de Poisson Global</t>
  </si>
  <si>
    <t>B2</t>
  </si>
  <si>
    <t>VIDA ÚTIL</t>
  </si>
  <si>
    <t>Módulo (MPa)</t>
  </si>
  <si>
    <t>Sactivo</t>
  </si>
  <si>
    <t>Tactivo</t>
  </si>
  <si>
    <t>Tractivo</t>
  </si>
  <si>
    <t>SDactivo</t>
  </si>
  <si>
    <t>Legal activo</t>
  </si>
  <si>
    <t>TDPA</t>
  </si>
  <si>
    <t>FDS</t>
  </si>
  <si>
    <t>FDC</t>
  </si>
  <si>
    <t>TASA</t>
  </si>
  <si>
    <t>AÑOS</t>
  </si>
  <si>
    <t>T3S2</t>
  </si>
  <si>
    <t>T3S3</t>
  </si>
  <si>
    <t>T3S2R4</t>
  </si>
  <si>
    <t>TDPA (veh/dia)</t>
  </si>
  <si>
    <t>0.5</t>
  </si>
  <si>
    <t>Otros</t>
  </si>
  <si>
    <t xml:space="preserve">Def. tensión  εt </t>
  </si>
  <si>
    <t xml:space="preserve">Def. compresión  εc </t>
  </si>
  <si>
    <t>base</t>
  </si>
  <si>
    <r>
      <t xml:space="preserve">Def. tensión  </t>
    </r>
    <r>
      <rPr>
        <sz val="13"/>
        <color theme="0"/>
        <rFont val="Calibri"/>
        <family val="2"/>
        <scheme val="minor"/>
      </rPr>
      <t>ε</t>
    </r>
    <r>
      <rPr>
        <vertAlign val="subscript"/>
        <sz val="11"/>
        <color theme="0"/>
        <rFont val="Calibri"/>
        <family val="2"/>
        <scheme val="minor"/>
      </rPr>
      <t>t</t>
    </r>
    <r>
      <rPr>
        <sz val="11"/>
        <color theme="0"/>
        <rFont val="Calibri"/>
        <family val="2"/>
        <scheme val="minor"/>
      </rPr>
      <t xml:space="preserve"> </t>
    </r>
  </si>
  <si>
    <r>
      <t xml:space="preserve">Def. compresión  </t>
    </r>
    <r>
      <rPr>
        <sz val="13"/>
        <color theme="0"/>
        <rFont val="Calibri"/>
        <family val="2"/>
        <scheme val="minor"/>
      </rPr>
      <t>ε</t>
    </r>
    <r>
      <rPr>
        <vertAlign val="subscript"/>
        <sz val="11"/>
        <color theme="0"/>
        <rFont val="Calibri"/>
        <family val="2"/>
        <scheme val="minor"/>
      </rPr>
      <t>c</t>
    </r>
    <r>
      <rPr>
        <sz val="11"/>
        <color theme="0"/>
        <rFont val="Calibri"/>
        <family val="2"/>
        <scheme val="minor"/>
      </rPr>
      <t xml:space="preserve"> </t>
    </r>
  </si>
  <si>
    <r>
      <t>σ</t>
    </r>
    <r>
      <rPr>
        <vertAlign val="subscript"/>
        <sz val="11"/>
        <color theme="0"/>
        <rFont val="Calibri"/>
        <family val="2"/>
      </rPr>
      <t xml:space="preserve">t </t>
    </r>
    <r>
      <rPr>
        <sz val="11"/>
        <color theme="0"/>
        <rFont val="Calibri"/>
        <family val="2"/>
      </rPr>
      <t>(kpa)</t>
    </r>
  </si>
  <si>
    <r>
      <t>σ</t>
    </r>
    <r>
      <rPr>
        <vertAlign val="subscript"/>
        <sz val="11"/>
        <color theme="0"/>
        <rFont val="Calibri"/>
        <family val="2"/>
      </rPr>
      <t xml:space="preserve">z </t>
    </r>
    <r>
      <rPr>
        <sz val="11"/>
        <color theme="0"/>
        <rFont val="Calibri"/>
        <family val="2"/>
      </rPr>
      <t>(kpa)</t>
    </r>
  </si>
  <si>
    <t>σt (kpa)</t>
  </si>
  <si>
    <t>σz (kpa)</t>
  </si>
  <si>
    <t xml:space="preserve"> </t>
  </si>
  <si>
    <t>Espectral</t>
  </si>
  <si>
    <t>Subbase</t>
  </si>
  <si>
    <t>0.18</t>
  </si>
  <si>
    <t>0.21</t>
  </si>
  <si>
    <t>0.29</t>
  </si>
  <si>
    <t>0.31</t>
  </si>
  <si>
    <t>3.0990</t>
  </si>
  <si>
    <t>0.0265</t>
  </si>
  <si>
    <t>0.36</t>
  </si>
  <si>
    <t>0.02</t>
  </si>
  <si>
    <t>3.412</t>
  </si>
  <si>
    <t>3.5382</t>
  </si>
  <si>
    <t>3.4904</t>
  </si>
  <si>
    <t>0.0680</t>
  </si>
  <si>
    <t>0.0007</t>
  </si>
  <si>
    <t>0.0165</t>
  </si>
  <si>
    <t>0.62</t>
  </si>
  <si>
    <t>0.50</t>
  </si>
  <si>
    <t>0.32</t>
  </si>
  <si>
    <t>1.7851</t>
  </si>
  <si>
    <t>1.7739</t>
  </si>
  <si>
    <t>1.6700</t>
  </si>
  <si>
    <t>0.0469</t>
  </si>
  <si>
    <t>0.0000</t>
  </si>
  <si>
    <t>0.1668</t>
  </si>
  <si>
    <t>2.000</t>
  </si>
  <si>
    <t>2.2942</t>
  </si>
  <si>
    <t>2.4042</t>
  </si>
  <si>
    <t>0.000</t>
  </si>
  <si>
    <t>0.1220</t>
  </si>
  <si>
    <t>0.0321</t>
  </si>
  <si>
    <t>0.12</t>
  </si>
  <si>
    <t>0.57</t>
  </si>
  <si>
    <t>4.7158</t>
  </si>
  <si>
    <t>2.9961</t>
  </si>
  <si>
    <t>1.6072</t>
  </si>
  <si>
    <t>0.0817</t>
  </si>
  <si>
    <t>carpeta</t>
  </si>
  <si>
    <t>E1</t>
  </si>
  <si>
    <t>E2</t>
  </si>
  <si>
    <t>E3</t>
  </si>
  <si>
    <t>E4</t>
  </si>
  <si>
    <t>E5</t>
  </si>
  <si>
    <t>E6</t>
  </si>
  <si>
    <t>Vf</t>
  </si>
  <si>
    <t>Vd</t>
  </si>
  <si>
    <t>Vf^2</t>
  </si>
  <si>
    <t>V^2</t>
  </si>
  <si>
    <t>Coef. de variación,%</t>
  </si>
  <si>
    <t>Confiabilidad</t>
  </si>
  <si>
    <t>CONFIABILIDAD</t>
  </si>
  <si>
    <t>Tridem</t>
  </si>
  <si>
    <t xml:space="preserve">20		</t>
  </si>
  <si>
    <t xml:space="preserve">500			</t>
  </si>
  <si>
    <t xml:space="preserve">0,5			</t>
  </si>
  <si>
    <t>0,000000000166</t>
  </si>
  <si>
    <t>4,32</t>
  </si>
  <si>
    <t xml:space="preserve"> &gt; 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</si>
</sst>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(* #,##0.00_);_(* \(#,##0.00\);_(* &quot;-&quot;??_);_(@_)"/>
    <numFmt numFmtId="165" formatCode="0.0000"/>
    <numFmt numFmtId="166" formatCode="0.00000"/>
    <numFmt numFmtId="167" formatCode="0.000"/>
    <numFmt numFmtId="168" formatCode="0.0"/>
    <numFmt numFmtId="169" formatCode="0.000E+00"/>
    <numFmt numFmtId="170" formatCode="_-* #,##0_-;\-* #,##0_-;_-* &quot;-&quot;??_-;_-@_-"/>
    <numFmt numFmtId="171" formatCode="000\ E+00"/>
  </numFmts>
  <fonts count="78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1"/>
      <name val="Simplified Arabic Fixed"/>
      <family val="3"/>
      <charset val="178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0.5"/>
      <color theme="1"/>
      <name val="Arial Narrow"/>
      <family val="2"/>
    </font>
    <font>
      <sz val="10"/>
      <color theme="1"/>
      <name val="Simplified Arabic Fixed"/>
      <family val="3"/>
      <charset val="178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FF0000"/>
      <name val="Simplified Arabic Fixed"/>
      <family val="3"/>
      <charset val="178"/>
    </font>
    <font>
      <sz val="11"/>
      <color theme="3"/>
      <name val="Simplified Arabic Fixed"/>
      <family val="3"/>
      <charset val="178"/>
    </font>
    <font>
      <sz val="11"/>
      <color theme="3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name val="Calibri"/>
      <family val="2"/>
      <scheme val="minor"/>
    </font>
    <font>
      <sz val="11"/>
      <name val="Simplified Arabic Fixed"/>
      <family val="3"/>
      <charset val="178"/>
    </font>
    <font>
      <sz val="10"/>
      <name val="Arial"/>
      <family val="2"/>
    </font>
    <font>
      <sz val="10"/>
      <color indexed="12"/>
      <name val="Arial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3"/>
      <name val="Simplified Arabic Fixed"/>
      <family val="3"/>
      <charset val="178"/>
    </font>
    <font>
      <b/>
      <sz val="11"/>
      <color theme="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name val="Calibri"/>
      <family val="2"/>
      <scheme val="minor"/>
    </font>
    <font>
      <b/>
      <sz val="15"/>
      <color rgb="FFFF0000"/>
      <name val="Calibri"/>
      <family val="2"/>
      <scheme val="minor"/>
    </font>
    <font>
      <b/>
      <sz val="15"/>
      <color rgb="FF00B050"/>
      <name val="Calibri"/>
      <family val="2"/>
      <scheme val="minor"/>
    </font>
    <font>
      <b/>
      <sz val="15"/>
      <color rgb="FF0070C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vertAlign val="subscript"/>
      <sz val="10"/>
      <name val="Calibri"/>
      <family val="2"/>
      <scheme val="minor"/>
    </font>
    <font>
      <sz val="8"/>
      <color theme="5" tint="-0.249977111117893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vertAlign val="subscript"/>
      <sz val="10"/>
      <color theme="1"/>
      <name val="Calibri"/>
      <family val="2"/>
      <scheme val="minor"/>
    </font>
    <font>
      <b/>
      <vertAlign val="subscript"/>
      <sz val="10"/>
      <color theme="1"/>
      <name val="Calibri"/>
      <family val="2"/>
    </font>
    <font>
      <vertAlign val="subscript"/>
      <sz val="11"/>
      <name val="Calibri"/>
      <family val="2"/>
      <scheme val="minor"/>
    </font>
    <font>
      <sz val="12"/>
      <color theme="0"/>
      <name val="Calibri"/>
      <family val="2"/>
      <scheme val="minor"/>
    </font>
    <font>
      <vertAlign val="subscript"/>
      <sz val="12"/>
      <color theme="0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0"/>
      <color theme="1"/>
      <name val="Arial Narrow"/>
      <family val="2"/>
    </font>
    <font>
      <sz val="11"/>
      <color theme="9" tint="-0.249977111117893"/>
      <name val="Calibri"/>
      <family val="2"/>
      <scheme val="minor"/>
    </font>
    <font>
      <b/>
      <sz val="10"/>
      <color theme="0"/>
      <name val="Arial Narrow"/>
      <family val="2"/>
    </font>
    <font>
      <sz val="15"/>
      <color theme="0"/>
      <name val="Calibri"/>
      <family val="2"/>
      <scheme val="minor"/>
    </font>
    <font>
      <sz val="10"/>
      <color rgb="FFFF0000"/>
      <name val="Simplified Arabic Fixed"/>
      <family val="3"/>
      <charset val="178"/>
    </font>
    <font>
      <b/>
      <sz val="10"/>
      <name val="Arial Narrow"/>
      <family val="2"/>
    </font>
    <font>
      <b/>
      <sz val="12"/>
      <color theme="0" tint="-0.249977111117893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2"/>
      <color theme="0" tint="-0.34998626667073579"/>
      <name val="Calibri"/>
      <family val="2"/>
      <scheme val="minor"/>
    </font>
    <font>
      <b/>
      <sz val="10.5"/>
      <color theme="0" tint="-0.34998626667073579"/>
      <name val="Arial Narrow"/>
      <family val="2"/>
    </font>
    <font>
      <sz val="11"/>
      <color theme="0" tint="-0.34998626667073579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b/>
      <sz val="12"/>
      <color theme="9" tint="-0.249977111117893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</font>
    <font>
      <sz val="13"/>
      <color theme="0"/>
      <name val="Calibri"/>
      <family val="2"/>
      <scheme val="minor"/>
    </font>
    <font>
      <vertAlign val="subscript"/>
      <sz val="11"/>
      <color theme="0"/>
      <name val="Calibri"/>
      <family val="2"/>
      <scheme val="minor"/>
    </font>
    <font>
      <sz val="11"/>
      <color theme="0"/>
      <name val="Calibri"/>
      <family val="2"/>
    </font>
    <font>
      <vertAlign val="subscript"/>
      <sz val="11"/>
      <color theme="0"/>
      <name val="Calibri"/>
      <family val="2"/>
    </font>
    <font>
      <sz val="10"/>
      <color theme="0"/>
      <name val="Arial"/>
      <family val="2"/>
    </font>
    <font>
      <b/>
      <sz val="14"/>
      <color theme="0"/>
      <name val="Calibri"/>
      <family val="2"/>
      <scheme val="minor"/>
    </font>
    <font>
      <b/>
      <sz val="11"/>
      <color theme="0"/>
      <name val="Arial Narrow"/>
      <family val="2"/>
    </font>
    <font>
      <sz val="11"/>
      <color theme="0"/>
      <name val="Tahoma"/>
      <family val="2"/>
    </font>
    <font>
      <b/>
      <sz val="10.5"/>
      <color theme="0"/>
      <name val="Arial Narrow"/>
      <family val="2"/>
    </font>
    <font>
      <b/>
      <sz val="10.5"/>
      <color theme="0"/>
      <name val="Tahoma"/>
      <family val="2"/>
    </font>
    <font>
      <sz val="11"/>
      <color theme="0"/>
      <name val="Simplified Arabic Fixed"/>
      <family val="3"/>
      <charset val="178"/>
    </font>
    <font>
      <sz val="11"/>
      <color theme="2" tint="-0.499984740745262"/>
      <name val="Calibri"/>
      <family val="2"/>
      <scheme val="minor"/>
    </font>
    <font>
      <sz val="11"/>
      <color theme="2" tint="-0.749992370372631"/>
      <name val="Calibri"/>
      <family val="2"/>
      <scheme val="minor"/>
    </font>
    <font>
      <b/>
      <sz val="14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4" tint="0.79998168889431442"/>
      <name val="Calibri"/>
      <family val="2"/>
      <scheme val="minor"/>
    </font>
  </fonts>
  <fills count="26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F6FABE"/>
        <bgColor indexed="64"/>
      </patternFill>
    </fill>
    <fill>
      <patternFill patternType="solid">
        <fgColor rgb="FF7EC234"/>
        <bgColor indexed="64"/>
      </patternFill>
    </fill>
    <fill>
      <patternFill patternType="solid">
        <fgColor rgb="FFF5E14D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7F3BF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888888"/>
        <bgColor indexed="64"/>
      </patternFill>
    </fill>
    <fill>
      <patternFill patternType="solid">
        <fgColor rgb="FFC5AB63"/>
        <bgColor indexed="64"/>
      </patternFill>
    </fill>
    <fill>
      <patternFill patternType="solid">
        <fgColor rgb="FF8C6B28"/>
        <bgColor indexed="64"/>
      </patternFill>
    </fill>
  </fills>
  <borders count="5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888888"/>
      </left>
      <right style="thin">
        <color rgb="FF888888"/>
      </right>
      <top style="thin">
        <color rgb="FF888888"/>
      </top>
      <bottom style="thin">
        <color rgb="FF888888"/>
      </bottom>
      <diagonal/>
    </border>
    <border>
      <left style="thin">
        <color rgb="FF888888"/>
      </left>
      <right style="thin">
        <color rgb="FF888888"/>
      </right>
      <top/>
      <bottom style="thin">
        <color rgb="FF888888"/>
      </bottom>
      <diagonal/>
    </border>
    <border>
      <left/>
      <right style="thin">
        <color rgb="FF888888"/>
      </right>
      <top style="thin">
        <color rgb="FF888888"/>
      </top>
      <bottom style="thin">
        <color rgb="FF888888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3">
    <xf numFmtId="0" fontId="0" fillId="0" borderId="0"/>
    <xf numFmtId="0" fontId="15" fillId="0" borderId="0"/>
    <xf numFmtId="9" fontId="76" fillId="0" borderId="0" applyFont="0" applyFill="0" applyBorder="0" applyAlignment="0" applyProtection="0"/>
  </cellStyleXfs>
  <cellXfs count="366">
    <xf numFmtId="0" fontId="0" fillId="0" borderId="0" xfId="0"/>
    <xf numFmtId="0" fontId="0" fillId="0" borderId="1" xfId="0" applyBorder="1" applyAlignment="1">
      <alignment horizontal="center" vertical="center"/>
    </xf>
    <xf numFmtId="0" fontId="0" fillId="0" borderId="1" xfId="0" applyBorder="1"/>
    <xf numFmtId="167" fontId="2" fillId="0" borderId="0" xfId="0" applyNumberFormat="1" applyFont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2" fontId="10" fillId="0" borderId="1" xfId="0" applyNumberFormat="1" applyFont="1" applyBorder="1" applyAlignment="1">
      <alignment horizontal="center" vertical="center"/>
    </xf>
    <xf numFmtId="167" fontId="10" fillId="0" borderId="1" xfId="0" applyNumberFormat="1" applyFont="1" applyBorder="1" applyAlignment="1">
      <alignment horizontal="center" vertical="center"/>
    </xf>
    <xf numFmtId="166" fontId="10" fillId="0" borderId="1" xfId="0" applyNumberFormat="1" applyFont="1" applyBorder="1" applyAlignment="1">
      <alignment horizontal="center" vertical="center"/>
    </xf>
    <xf numFmtId="167" fontId="10" fillId="0" borderId="4" xfId="0" applyNumberFormat="1" applyFont="1" applyBorder="1" applyAlignment="1">
      <alignment horizontal="center" vertical="center"/>
    </xf>
    <xf numFmtId="167" fontId="9" fillId="0" borderId="4" xfId="0" applyNumberFormat="1" applyFont="1" applyBorder="1" applyAlignment="1">
      <alignment horizontal="center" vertical="center"/>
    </xf>
    <xf numFmtId="167" fontId="0" fillId="0" borderId="1" xfId="0" applyNumberFormat="1" applyBorder="1" applyAlignment="1">
      <alignment horizontal="center"/>
    </xf>
    <xf numFmtId="0" fontId="3" fillId="0" borderId="0" xfId="0" applyFont="1"/>
    <xf numFmtId="169" fontId="10" fillId="0" borderId="1" xfId="0" applyNumberFormat="1" applyFont="1" applyBorder="1" applyAlignment="1">
      <alignment horizontal="center" vertical="center"/>
    </xf>
    <xf numFmtId="0" fontId="0" fillId="0" borderId="8" xfId="0" applyBorder="1"/>
    <xf numFmtId="0" fontId="6" fillId="0" borderId="1" xfId="0" applyFont="1" applyBorder="1" applyAlignment="1">
      <alignment horizontal="center"/>
    </xf>
    <xf numFmtId="0" fontId="19" fillId="0" borderId="1" xfId="0" applyFont="1" applyBorder="1" applyAlignment="1">
      <alignment horizontal="center" vertical="center"/>
    </xf>
    <xf numFmtId="0" fontId="17" fillId="6" borderId="6" xfId="0" applyFont="1" applyFill="1" applyBorder="1" applyAlignment="1">
      <alignment horizontal="center" vertical="center" wrapText="1"/>
    </xf>
    <xf numFmtId="0" fontId="17" fillId="6" borderId="3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165" fontId="0" fillId="0" borderId="0" xfId="0" applyNumberFormat="1"/>
    <xf numFmtId="2" fontId="0" fillId="0" borderId="0" xfId="0" applyNumberFormat="1"/>
    <xf numFmtId="167" fontId="0" fillId="0" borderId="1" xfId="0" applyNumberFormat="1" applyBorder="1" applyAlignment="1">
      <alignment horizontal="center" vertical="center"/>
    </xf>
    <xf numFmtId="0" fontId="0" fillId="0" borderId="0" xfId="0" applyAlignment="1">
      <alignment horizontal="center"/>
    </xf>
    <xf numFmtId="0" fontId="23" fillId="0" borderId="17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0" fontId="1" fillId="3" borderId="11" xfId="0" applyFont="1" applyFill="1" applyBorder="1" applyAlignment="1">
      <alignment horizontal="center" vertical="center"/>
    </xf>
    <xf numFmtId="0" fontId="1" fillId="3" borderId="12" xfId="0" applyFont="1" applyFill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1" fillId="0" borderId="21" xfId="0" applyFont="1" applyBorder="1" applyAlignment="1">
      <alignment horizontal="center" vertical="center"/>
    </xf>
    <xf numFmtId="0" fontId="0" fillId="2" borderId="22" xfId="0" applyFill="1" applyBorder="1" applyAlignment="1">
      <alignment horizontal="center" vertical="center"/>
    </xf>
    <xf numFmtId="0" fontId="0" fillId="2" borderId="23" xfId="0" applyFill="1" applyBorder="1" applyAlignment="1">
      <alignment horizontal="center" vertical="center"/>
    </xf>
    <xf numFmtId="0" fontId="24" fillId="0" borderId="24" xfId="0" applyFont="1" applyBorder="1" applyAlignment="1">
      <alignment horizontal="center" vertical="center"/>
    </xf>
    <xf numFmtId="0" fontId="23" fillId="0" borderId="25" xfId="0" applyFont="1" applyBorder="1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0" fontId="26" fillId="0" borderId="26" xfId="0" applyFont="1" applyBorder="1" applyAlignment="1">
      <alignment horizontal="center" vertical="center"/>
    </xf>
    <xf numFmtId="0" fontId="26" fillId="0" borderId="27" xfId="0" applyFont="1" applyBorder="1" applyAlignment="1">
      <alignment horizontal="center" vertical="center"/>
    </xf>
    <xf numFmtId="0" fontId="21" fillId="0" borderId="28" xfId="0" applyFont="1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66" fontId="0" fillId="0" borderId="3" xfId="0" applyNumberFormat="1" applyBorder="1" applyAlignment="1">
      <alignment horizontal="center" vertical="center"/>
    </xf>
    <xf numFmtId="0" fontId="0" fillId="9" borderId="3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8" borderId="3" xfId="0" applyFill="1" applyBorder="1" applyAlignment="1">
      <alignment horizontal="center" vertical="center"/>
    </xf>
    <xf numFmtId="165" fontId="0" fillId="0" borderId="3" xfId="0" applyNumberFormat="1" applyBorder="1" applyAlignment="1">
      <alignment horizontal="center" vertical="center"/>
    </xf>
    <xf numFmtId="166" fontId="0" fillId="5" borderId="3" xfId="0" applyNumberFormat="1" applyFill="1" applyBorder="1" applyAlignment="1">
      <alignment horizontal="center" vertical="center"/>
    </xf>
    <xf numFmtId="0" fontId="0" fillId="9" borderId="19" xfId="0" applyFill="1" applyBorder="1" applyAlignment="1">
      <alignment horizontal="center" vertical="center"/>
    </xf>
    <xf numFmtId="0" fontId="0" fillId="2" borderId="19" xfId="0" applyFill="1" applyBorder="1" applyAlignment="1">
      <alignment horizontal="center" vertical="center"/>
    </xf>
    <xf numFmtId="0" fontId="0" fillId="8" borderId="19" xfId="0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23" fillId="0" borderId="33" xfId="0" applyFont="1" applyBorder="1" applyAlignment="1">
      <alignment horizontal="center" vertical="center"/>
    </xf>
    <xf numFmtId="0" fontId="1" fillId="10" borderId="11" xfId="0" applyFont="1" applyFill="1" applyBorder="1" applyAlignment="1">
      <alignment horizontal="center" vertical="center"/>
    </xf>
    <xf numFmtId="0" fontId="0" fillId="10" borderId="29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0" borderId="34" xfId="0" applyFont="1" applyBorder="1" applyAlignment="1">
      <alignment horizontal="center" vertical="center"/>
    </xf>
    <xf numFmtId="0" fontId="1" fillId="0" borderId="35" xfId="0" applyFont="1" applyBorder="1" applyAlignment="1">
      <alignment horizontal="center" vertical="center"/>
    </xf>
    <xf numFmtId="0" fontId="21" fillId="0" borderId="20" xfId="0" applyFont="1" applyBorder="1" applyAlignment="1">
      <alignment horizontal="center" vertical="center"/>
    </xf>
    <xf numFmtId="0" fontId="21" fillId="0" borderId="21" xfId="0" applyFont="1" applyBorder="1" applyAlignment="1">
      <alignment horizontal="center" vertical="center"/>
    </xf>
    <xf numFmtId="0" fontId="1" fillId="0" borderId="36" xfId="0" applyFont="1" applyBorder="1" applyAlignment="1">
      <alignment horizontal="center" vertical="center"/>
    </xf>
    <xf numFmtId="0" fontId="21" fillId="0" borderId="37" xfId="0" applyFont="1" applyBorder="1" applyAlignment="1">
      <alignment horizontal="center" vertical="center"/>
    </xf>
    <xf numFmtId="0" fontId="21" fillId="0" borderId="38" xfId="0" applyFont="1" applyBorder="1" applyAlignment="1">
      <alignment horizontal="center" vertical="center"/>
    </xf>
    <xf numFmtId="0" fontId="21" fillId="0" borderId="39" xfId="0" applyFont="1" applyBorder="1" applyAlignment="1">
      <alignment horizontal="center" vertical="center"/>
    </xf>
    <xf numFmtId="0" fontId="1" fillId="0" borderId="28" xfId="0" applyFont="1" applyBorder="1" applyAlignment="1">
      <alignment horizontal="center" vertical="center"/>
    </xf>
    <xf numFmtId="0" fontId="21" fillId="0" borderId="18" xfId="0" applyFont="1" applyBorder="1" applyAlignment="1">
      <alignment horizontal="center" vertical="center"/>
    </xf>
    <xf numFmtId="0" fontId="1" fillId="0" borderId="39" xfId="0" applyFon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/>
    </xf>
    <xf numFmtId="0" fontId="0" fillId="0" borderId="13" xfId="0" applyBorder="1" applyAlignment="1">
      <alignment horizontal="center" vertical="center"/>
    </xf>
    <xf numFmtId="0" fontId="0" fillId="0" borderId="0" xfId="0" applyAlignment="1">
      <alignment horizontal="left"/>
    </xf>
    <xf numFmtId="0" fontId="0" fillId="0" borderId="40" xfId="0" applyBorder="1" applyAlignment="1">
      <alignment horizontal="center" vertical="center"/>
    </xf>
    <xf numFmtId="0" fontId="21" fillId="0" borderId="36" xfId="0" applyFont="1" applyBorder="1" applyAlignment="1">
      <alignment horizontal="center" vertical="center"/>
    </xf>
    <xf numFmtId="0" fontId="24" fillId="0" borderId="26" xfId="0" applyFont="1" applyBorder="1" applyAlignment="1">
      <alignment horizontal="center" vertical="center"/>
    </xf>
    <xf numFmtId="0" fontId="23" fillId="0" borderId="1" xfId="0" applyFont="1" applyBorder="1" applyAlignment="1">
      <alignment horizontal="center" vertical="center"/>
    </xf>
    <xf numFmtId="0" fontId="25" fillId="0" borderId="14" xfId="0" applyFont="1" applyBorder="1" applyAlignment="1">
      <alignment horizontal="center" vertical="center"/>
    </xf>
    <xf numFmtId="0" fontId="26" fillId="0" borderId="10" xfId="0" applyFont="1" applyBorder="1" applyAlignment="1">
      <alignment horizontal="center" vertical="center"/>
    </xf>
    <xf numFmtId="0" fontId="26" fillId="0" borderId="11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0" fillId="0" borderId="16" xfId="0" applyBorder="1"/>
    <xf numFmtId="168" fontId="16" fillId="0" borderId="0" xfId="1" applyNumberFormat="1" applyFont="1" applyAlignment="1">
      <alignment horizontal="center" vertical="center"/>
    </xf>
    <xf numFmtId="0" fontId="18" fillId="0" borderId="0" xfId="0" applyFont="1" applyAlignment="1">
      <alignment horizontal="center"/>
    </xf>
    <xf numFmtId="0" fontId="0" fillId="4" borderId="0" xfId="0" applyFill="1"/>
    <xf numFmtId="0" fontId="0" fillId="4" borderId="0" xfId="0" applyFill="1" applyAlignment="1">
      <alignment horizontal="center"/>
    </xf>
    <xf numFmtId="0" fontId="12" fillId="0" borderId="0" xfId="0" applyFont="1"/>
    <xf numFmtId="0" fontId="12" fillId="4" borderId="0" xfId="0" applyFont="1" applyFill="1"/>
    <xf numFmtId="0" fontId="18" fillId="0" borderId="0" xfId="0" applyFont="1" applyAlignment="1">
      <alignment vertical="center"/>
    </xf>
    <xf numFmtId="0" fontId="28" fillId="0" borderId="0" xfId="0" applyFont="1" applyAlignment="1">
      <alignment vertical="center"/>
    </xf>
    <xf numFmtId="0" fontId="31" fillId="0" borderId="0" xfId="0" applyFont="1"/>
    <xf numFmtId="0" fontId="34" fillId="0" borderId="0" xfId="0" applyFont="1" applyAlignment="1">
      <alignment horizontal="center"/>
    </xf>
    <xf numFmtId="0" fontId="0" fillId="13" borderId="1" xfId="0" applyFill="1" applyBorder="1" applyAlignment="1">
      <alignment horizontal="center"/>
    </xf>
    <xf numFmtId="0" fontId="14" fillId="0" borderId="0" xfId="0" applyFont="1" applyAlignment="1">
      <alignment horizontal="center" vertical="center"/>
    </xf>
    <xf numFmtId="165" fontId="0" fillId="0" borderId="1" xfId="0" applyNumberFormat="1" applyBorder="1"/>
    <xf numFmtId="0" fontId="0" fillId="0" borderId="7" xfId="0" applyBorder="1"/>
    <xf numFmtId="0" fontId="0" fillId="0" borderId="13" xfId="0" applyBorder="1"/>
    <xf numFmtId="0" fontId="31" fillId="0" borderId="0" xfId="0" applyFont="1" applyAlignment="1">
      <alignment vertical="center"/>
    </xf>
    <xf numFmtId="0" fontId="20" fillId="13" borderId="1" xfId="0" applyFont="1" applyFill="1" applyBorder="1" applyAlignment="1">
      <alignment horizontal="center"/>
    </xf>
    <xf numFmtId="0" fontId="36" fillId="2" borderId="4" xfId="0" applyFont="1" applyFill="1" applyBorder="1" applyAlignment="1">
      <alignment horizontal="center" vertical="center"/>
    </xf>
    <xf numFmtId="0" fontId="36" fillId="2" borderId="2" xfId="0" applyFont="1" applyFill="1" applyBorder="1" applyAlignment="1">
      <alignment horizontal="center" vertical="center"/>
    </xf>
    <xf numFmtId="0" fontId="0" fillId="0" borderId="14" xfId="0" applyBorder="1"/>
    <xf numFmtId="167" fontId="0" fillId="0" borderId="1" xfId="0" applyNumberFormat="1" applyBorder="1"/>
    <xf numFmtId="0" fontId="35" fillId="14" borderId="41" xfId="0" applyFont="1" applyFill="1" applyBorder="1" applyAlignment="1">
      <alignment horizontal="center"/>
    </xf>
    <xf numFmtId="0" fontId="35" fillId="14" borderId="9" xfId="0" applyFont="1" applyFill="1" applyBorder="1" applyAlignment="1">
      <alignment horizontal="center"/>
    </xf>
    <xf numFmtId="0" fontId="35" fillId="14" borderId="3" xfId="0" applyFont="1" applyFill="1" applyBorder="1" applyAlignment="1">
      <alignment horizontal="center"/>
    </xf>
    <xf numFmtId="0" fontId="31" fillId="14" borderId="1" xfId="0" applyFont="1" applyFill="1" applyBorder="1" applyAlignment="1">
      <alignment horizontal="center" vertical="center" wrapText="1"/>
    </xf>
    <xf numFmtId="0" fontId="31" fillId="14" borderId="1" xfId="0" applyFont="1" applyFill="1" applyBorder="1" applyAlignment="1">
      <alignment horizontal="left" vertical="center" wrapText="1"/>
    </xf>
    <xf numFmtId="0" fontId="32" fillId="14" borderId="1" xfId="0" applyFont="1" applyFill="1" applyBorder="1" applyAlignment="1">
      <alignment horizontal="center" vertical="center" wrapText="1"/>
    </xf>
    <xf numFmtId="0" fontId="32" fillId="14" borderId="1" xfId="0" applyFont="1" applyFill="1" applyBorder="1" applyAlignment="1">
      <alignment horizontal="center" vertical="center"/>
    </xf>
    <xf numFmtId="0" fontId="4" fillId="0" borderId="0" xfId="0" quotePrefix="1" applyFont="1"/>
    <xf numFmtId="167" fontId="0" fillId="0" borderId="0" xfId="0" applyNumberFormat="1" applyAlignment="1">
      <alignment horizontal="center"/>
    </xf>
    <xf numFmtId="169" fontId="3" fillId="0" borderId="1" xfId="0" applyNumberFormat="1" applyFont="1" applyBorder="1" applyAlignment="1">
      <alignment horizontal="center" vertical="center"/>
    </xf>
    <xf numFmtId="0" fontId="3" fillId="12" borderId="1" xfId="0" applyFont="1" applyFill="1" applyBorder="1" applyAlignment="1">
      <alignment horizontal="center" vertical="center" wrapText="1"/>
    </xf>
    <xf numFmtId="0" fontId="22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166" fontId="0" fillId="0" borderId="1" xfId="0" applyNumberFormat="1" applyBorder="1"/>
    <xf numFmtId="0" fontId="12" fillId="6" borderId="1" xfId="0" applyFont="1" applyFill="1" applyBorder="1" applyAlignment="1">
      <alignment horizontal="center" vertical="center" wrapText="1"/>
    </xf>
    <xf numFmtId="11" fontId="0" fillId="0" borderId="0" xfId="0" applyNumberFormat="1"/>
    <xf numFmtId="0" fontId="12" fillId="11" borderId="1" xfId="0" applyFont="1" applyFill="1" applyBorder="1" applyAlignment="1">
      <alignment horizontal="center" vertical="center" wrapText="1"/>
    </xf>
    <xf numFmtId="0" fontId="12" fillId="7" borderId="1" xfId="0" applyFont="1" applyFill="1" applyBorder="1" applyAlignment="1">
      <alignment horizontal="center" vertical="center" wrapText="1"/>
    </xf>
    <xf numFmtId="0" fontId="17" fillId="6" borderId="1" xfId="0" applyFont="1" applyFill="1" applyBorder="1" applyAlignment="1">
      <alignment horizontal="center" vertical="center" wrapText="1"/>
    </xf>
    <xf numFmtId="168" fontId="0" fillId="0" borderId="0" xfId="0" applyNumberFormat="1"/>
    <xf numFmtId="0" fontId="29" fillId="0" borderId="0" xfId="0" applyFont="1" applyAlignment="1">
      <alignment horizontal="center"/>
    </xf>
    <xf numFmtId="0" fontId="12" fillId="6" borderId="6" xfId="0" applyFont="1" applyFill="1" applyBorder="1" applyAlignment="1">
      <alignment horizontal="center" vertical="center" wrapText="1"/>
    </xf>
    <xf numFmtId="0" fontId="17" fillId="0" borderId="7" xfId="0" applyFont="1" applyBorder="1" applyAlignment="1">
      <alignment horizontal="center" vertical="center" wrapText="1"/>
    </xf>
    <xf numFmtId="165" fontId="0" fillId="0" borderId="0" xfId="0" applyNumberFormat="1" applyAlignment="1">
      <alignment horizontal="left"/>
    </xf>
    <xf numFmtId="0" fontId="8" fillId="0" borderId="0" xfId="0" applyFont="1" applyAlignment="1">
      <alignment horizontal="center" vertical="center"/>
    </xf>
    <xf numFmtId="0" fontId="17" fillId="11" borderId="1" xfId="0" applyFont="1" applyFill="1" applyBorder="1" applyAlignment="1">
      <alignment horizontal="center" vertical="center" wrapText="1"/>
    </xf>
    <xf numFmtId="169" fontId="0" fillId="0" borderId="0" xfId="0" applyNumberFormat="1"/>
    <xf numFmtId="0" fontId="35" fillId="14" borderId="1" xfId="0" applyFont="1" applyFill="1" applyBorder="1" applyAlignment="1">
      <alignment horizontal="center"/>
    </xf>
    <xf numFmtId="0" fontId="30" fillId="12" borderId="4" xfId="0" applyFont="1" applyFill="1" applyBorder="1" applyAlignment="1">
      <alignment horizontal="center" vertical="center"/>
    </xf>
    <xf numFmtId="1" fontId="0" fillId="13" borderId="1" xfId="0" applyNumberFormat="1" applyFill="1" applyBorder="1"/>
    <xf numFmtId="2" fontId="6" fillId="0" borderId="1" xfId="0" applyNumberFormat="1" applyFont="1" applyBorder="1" applyAlignment="1">
      <alignment horizont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11" fillId="0" borderId="1" xfId="0" applyFont="1" applyBorder="1" applyAlignment="1">
      <alignment horizontal="center" vertical="center"/>
    </xf>
    <xf numFmtId="0" fontId="30" fillId="0" borderId="0" xfId="0" applyFont="1" applyAlignment="1">
      <alignment vertical="center"/>
    </xf>
    <xf numFmtId="0" fontId="30" fillId="0" borderId="0" xfId="0" applyFont="1" applyAlignment="1">
      <alignment horizontal="center" vertical="center"/>
    </xf>
    <xf numFmtId="11" fontId="0" fillId="0" borderId="0" xfId="0" applyNumberFormat="1" applyAlignment="1">
      <alignment horizontal="center"/>
    </xf>
    <xf numFmtId="0" fontId="47" fillId="0" borderId="0" xfId="0" applyFont="1" applyAlignment="1">
      <alignment horizontal="center" vertical="center" wrapText="1"/>
    </xf>
    <xf numFmtId="2" fontId="12" fillId="0" borderId="0" xfId="0" applyNumberFormat="1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11" fontId="0" fillId="0" borderId="0" xfId="0" applyNumberFormat="1" applyAlignment="1">
      <alignment horizontal="center" vertical="center"/>
    </xf>
    <xf numFmtId="0" fontId="20" fillId="0" borderId="0" xfId="0" applyFont="1" applyAlignment="1">
      <alignment vertical="center"/>
    </xf>
    <xf numFmtId="0" fontId="0" fillId="0" borderId="0" xfId="0" applyAlignment="1">
      <alignment vertical="center"/>
    </xf>
    <xf numFmtId="2" fontId="0" fillId="13" borderId="1" xfId="0" applyNumberFormat="1" applyFill="1" applyBorder="1"/>
    <xf numFmtId="0" fontId="50" fillId="0" borderId="0" xfId="0" applyFont="1" applyAlignment="1">
      <alignment vertical="center"/>
    </xf>
    <xf numFmtId="0" fontId="51" fillId="0" borderId="0" xfId="0" applyFont="1"/>
    <xf numFmtId="0" fontId="52" fillId="0" borderId="0" xfId="0" applyFont="1" applyAlignment="1">
      <alignment vertical="center"/>
    </xf>
    <xf numFmtId="0" fontId="51" fillId="0" borderId="0" xfId="0" applyFont="1" applyAlignment="1">
      <alignment vertical="center"/>
    </xf>
    <xf numFmtId="0" fontId="53" fillId="0" borderId="0" xfId="0" applyFont="1" applyAlignment="1">
      <alignment vertical="center"/>
    </xf>
    <xf numFmtId="0" fontId="54" fillId="0" borderId="0" xfId="0" applyFont="1" applyAlignment="1">
      <alignment horizontal="right" vertical="center"/>
    </xf>
    <xf numFmtId="0" fontId="55" fillId="0" borderId="0" xfId="0" applyFont="1" applyAlignment="1">
      <alignment horizontal="center" vertical="center"/>
    </xf>
    <xf numFmtId="0" fontId="55" fillId="0" borderId="0" xfId="0" applyFont="1"/>
    <xf numFmtId="0" fontId="1" fillId="0" borderId="0" xfId="0" applyFont="1"/>
    <xf numFmtId="0" fontId="55" fillId="0" borderId="41" xfId="0" applyFont="1" applyBorder="1"/>
    <xf numFmtId="0" fontId="55" fillId="0" borderId="3" xfId="0" applyFont="1" applyBorder="1"/>
    <xf numFmtId="2" fontId="10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center"/>
    </xf>
    <xf numFmtId="170" fontId="45" fillId="0" borderId="0" xfId="1" applyNumberFormat="1" applyFont="1" applyAlignment="1">
      <alignment vertical="center"/>
    </xf>
    <xf numFmtId="168" fontId="45" fillId="0" borderId="0" xfId="1" applyNumberFormat="1" applyFont="1" applyAlignment="1">
      <alignment vertical="center"/>
    </xf>
    <xf numFmtId="0" fontId="8" fillId="0" borderId="0" xfId="0" applyFont="1" applyAlignment="1">
      <alignment vertical="center" wrapText="1"/>
    </xf>
    <xf numFmtId="0" fontId="8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164" fontId="3" fillId="0" borderId="42" xfId="1" applyNumberFormat="1" applyFont="1" applyBorder="1" applyAlignment="1">
      <alignment horizontal="center" vertical="center"/>
    </xf>
    <xf numFmtId="164" fontId="3" fillId="0" borderId="43" xfId="1" applyNumberFormat="1" applyFont="1" applyBorder="1" applyAlignment="1">
      <alignment horizontal="center" vertical="center"/>
    </xf>
    <xf numFmtId="0" fontId="0" fillId="0" borderId="46" xfId="0" applyBorder="1"/>
    <xf numFmtId="0" fontId="0" fillId="0" borderId="45" xfId="0" applyBorder="1"/>
    <xf numFmtId="168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0" fontId="5" fillId="0" borderId="0" xfId="0" applyFont="1" applyAlignment="1">
      <alignment vertical="center"/>
    </xf>
    <xf numFmtId="167" fontId="4" fillId="0" borderId="0" xfId="0" applyNumberFormat="1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0" fillId="0" borderId="41" xfId="0" applyBorder="1"/>
    <xf numFmtId="0" fontId="0" fillId="0" borderId="9" xfId="0" applyBorder="1"/>
    <xf numFmtId="0" fontId="0" fillId="0" borderId="3" xfId="0" applyBorder="1"/>
    <xf numFmtId="0" fontId="27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0" fontId="58" fillId="0" borderId="0" xfId="0" applyFont="1"/>
    <xf numFmtId="1" fontId="0" fillId="0" borderId="0" xfId="0" applyNumberFormat="1"/>
    <xf numFmtId="0" fontId="4" fillId="0" borderId="0" xfId="0" applyFont="1"/>
    <xf numFmtId="0" fontId="36" fillId="14" borderId="1" xfId="0" applyFont="1" applyFill="1" applyBorder="1" applyAlignment="1">
      <alignment horizontal="center"/>
    </xf>
    <xf numFmtId="171" fontId="0" fillId="0" borderId="0" xfId="0" applyNumberFormat="1" applyAlignment="1">
      <alignment readingOrder="1"/>
    </xf>
    <xf numFmtId="171" fontId="0" fillId="0" borderId="1" xfId="0" applyNumberFormat="1" applyBorder="1" applyAlignment="1">
      <alignment readingOrder="1"/>
    </xf>
    <xf numFmtId="0" fontId="60" fillId="0" borderId="0" xfId="0" applyFont="1"/>
    <xf numFmtId="0" fontId="12" fillId="0" borderId="0" xfId="0" applyFont="1" applyAlignment="1">
      <alignment horizontal="left" vertical="center"/>
    </xf>
    <xf numFmtId="0" fontId="63" fillId="0" borderId="0" xfId="0" applyFont="1"/>
    <xf numFmtId="168" fontId="0" fillId="0" borderId="1" xfId="0" applyNumberFormat="1" applyBorder="1" applyAlignment="1">
      <alignment horizontal="center"/>
    </xf>
    <xf numFmtId="0" fontId="12" fillId="16" borderId="0" xfId="0" applyFont="1" applyFill="1"/>
    <xf numFmtId="0" fontId="12" fillId="16" borderId="0" xfId="0" applyFont="1" applyFill="1" applyAlignment="1">
      <alignment horizontal="center" vertical="center" wrapText="1"/>
    </xf>
    <xf numFmtId="0" fontId="17" fillId="16" borderId="0" xfId="0" applyFont="1" applyFill="1" applyAlignment="1">
      <alignment horizontal="center"/>
    </xf>
    <xf numFmtId="0" fontId="60" fillId="16" borderId="0" xfId="0" applyFont="1" applyFill="1" applyAlignment="1">
      <alignment horizontal="center"/>
    </xf>
    <xf numFmtId="167" fontId="65" fillId="16" borderId="0" xfId="1" applyNumberFormat="1" applyFont="1" applyFill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 wrapText="1"/>
    </xf>
    <xf numFmtId="11" fontId="12" fillId="0" borderId="0" xfId="0" applyNumberFormat="1" applyFont="1" applyAlignment="1">
      <alignment horizontal="center"/>
    </xf>
    <xf numFmtId="2" fontId="12" fillId="0" borderId="0" xfId="0" applyNumberFormat="1" applyFont="1" applyAlignment="1">
      <alignment horizontal="center"/>
    </xf>
    <xf numFmtId="0" fontId="68" fillId="0" borderId="0" xfId="0" applyFont="1"/>
    <xf numFmtId="0" fontId="69" fillId="0" borderId="0" xfId="0" applyFont="1" applyAlignment="1">
      <alignment vertical="center"/>
    </xf>
    <xf numFmtId="1" fontId="12" fillId="0" borderId="0" xfId="0" applyNumberFormat="1" applyFont="1" applyAlignment="1">
      <alignment horizontal="center"/>
    </xf>
    <xf numFmtId="0" fontId="66" fillId="0" borderId="0" xfId="0" applyFont="1" applyAlignment="1">
      <alignment vertical="center"/>
    </xf>
    <xf numFmtId="0" fontId="71" fillId="0" borderId="0" xfId="0" applyFont="1" applyAlignment="1">
      <alignment horizontal="center" vertical="center"/>
    </xf>
    <xf numFmtId="0" fontId="17" fillId="0" borderId="0" xfId="0" applyFont="1"/>
    <xf numFmtId="168" fontId="11" fillId="0" borderId="0" xfId="0" applyNumberFormat="1" applyFont="1" applyAlignment="1">
      <alignment horizontal="right" vertical="center"/>
    </xf>
    <xf numFmtId="168" fontId="0" fillId="0" borderId="1" xfId="0" applyNumberFormat="1" applyBorder="1"/>
    <xf numFmtId="168" fontId="0" fillId="0" borderId="14" xfId="0" applyNumberFormat="1" applyBorder="1"/>
    <xf numFmtId="168" fontId="0" fillId="0" borderId="47" xfId="0" applyNumberFormat="1" applyBorder="1"/>
    <xf numFmtId="168" fontId="0" fillId="0" borderId="15" xfId="0" applyNumberFormat="1" applyBorder="1"/>
    <xf numFmtId="0" fontId="73" fillId="18" borderId="8" xfId="0" applyFont="1" applyFill="1" applyBorder="1" applyAlignment="1">
      <alignment horizontal="center"/>
    </xf>
    <xf numFmtId="0" fontId="73" fillId="18" borderId="0" xfId="0" applyFont="1" applyFill="1" applyAlignment="1">
      <alignment horizontal="center"/>
    </xf>
    <xf numFmtId="0" fontId="73" fillId="18" borderId="16" xfId="0" applyFont="1" applyFill="1" applyBorder="1" applyAlignment="1">
      <alignment horizontal="center"/>
    </xf>
    <xf numFmtId="2" fontId="0" fillId="0" borderId="8" xfId="0" applyNumberFormat="1" applyBorder="1"/>
    <xf numFmtId="2" fontId="0" fillId="0" borderId="16" xfId="0" applyNumberFormat="1" applyBorder="1"/>
    <xf numFmtId="0" fontId="0" fillId="0" borderId="8" xfId="0" applyBorder="1" applyAlignment="1">
      <alignment horizontal="right"/>
    </xf>
    <xf numFmtId="0" fontId="73" fillId="18" borderId="6" xfId="0" applyFont="1" applyFill="1" applyBorder="1" applyAlignment="1">
      <alignment horizontal="center"/>
    </xf>
    <xf numFmtId="0" fontId="0" fillId="22" borderId="0" xfId="0" applyFill="1"/>
    <xf numFmtId="0" fontId="28" fillId="22" borderId="0" xfId="0" applyFont="1" applyFill="1" applyAlignment="1">
      <alignment vertical="center"/>
    </xf>
    <xf numFmtId="0" fontId="27" fillId="22" borderId="0" xfId="0" applyFont="1" applyFill="1" applyAlignment="1">
      <alignment vertical="center"/>
    </xf>
    <xf numFmtId="0" fontId="42" fillId="22" borderId="0" xfId="0" applyFont="1" applyFill="1" applyAlignment="1">
      <alignment horizontal="center" vertical="center"/>
    </xf>
    <xf numFmtId="0" fontId="30" fillId="22" borderId="0" xfId="0" applyFont="1" applyFill="1" applyAlignment="1">
      <alignment horizontal="center" vertical="center" wrapText="1"/>
    </xf>
    <xf numFmtId="0" fontId="74" fillId="22" borderId="0" xfId="0" applyFont="1" applyFill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0" fontId="46" fillId="0" borderId="7" xfId="0" applyFont="1" applyBorder="1" applyAlignment="1">
      <alignment vertical="center"/>
    </xf>
    <xf numFmtId="0" fontId="3" fillId="22" borderId="1" xfId="0" applyFont="1" applyFill="1" applyBorder="1" applyAlignment="1">
      <alignment horizontal="center" vertical="center" wrapText="1"/>
    </xf>
    <xf numFmtId="0" fontId="3" fillId="0" borderId="1" xfId="0" applyFont="1" applyBorder="1" applyAlignment="1" applyProtection="1">
      <alignment horizontal="center" vertical="center"/>
      <protection locked="0"/>
    </xf>
    <xf numFmtId="0" fontId="30" fillId="0" borderId="0" xfId="0" applyFont="1" applyAlignment="1">
      <alignment vertical="center" wrapText="1"/>
    </xf>
    <xf numFmtId="0" fontId="3" fillId="0" borderId="0" xfId="0" applyFont="1" applyAlignment="1">
      <alignment horizontal="center" vertical="center"/>
    </xf>
    <xf numFmtId="0" fontId="72" fillId="0" borderId="0" xfId="0" applyFont="1" applyAlignment="1">
      <alignment horizontal="center"/>
    </xf>
    <xf numFmtId="168" fontId="30" fillId="0" borderId="0" xfId="0" applyNumberFormat="1" applyFont="1" applyAlignment="1">
      <alignment horizontal="center"/>
    </xf>
    <xf numFmtId="0" fontId="3" fillId="20" borderId="1" xfId="0" applyFont="1" applyFill="1" applyBorder="1" applyAlignment="1">
      <alignment horizontal="center" vertical="center"/>
    </xf>
    <xf numFmtId="0" fontId="74" fillId="0" borderId="0" xfId="0" applyFont="1" applyAlignment="1">
      <alignment vertical="center"/>
    </xf>
    <xf numFmtId="0" fontId="0" fillId="0" borderId="47" xfId="0" applyBorder="1" applyAlignment="1">
      <alignment vertical="center"/>
    </xf>
    <xf numFmtId="0" fontId="3" fillId="0" borderId="0" xfId="0" applyFont="1" applyAlignment="1">
      <alignment horizontal="center"/>
    </xf>
    <xf numFmtId="0" fontId="3" fillId="19" borderId="1" xfId="0" applyFont="1" applyFill="1" applyBorder="1" applyAlignment="1">
      <alignment horizontal="center" vertical="center" wrapText="1"/>
    </xf>
    <xf numFmtId="0" fontId="22" fillId="20" borderId="1" xfId="0" applyFont="1" applyFill="1" applyBorder="1" applyAlignment="1">
      <alignment horizontal="center" vertical="center"/>
    </xf>
    <xf numFmtId="168" fontId="3" fillId="0" borderId="0" xfId="0" applyNumberFormat="1" applyFont="1"/>
    <xf numFmtId="0" fontId="72" fillId="0" borderId="0" xfId="0" applyFont="1"/>
    <xf numFmtId="0" fontId="12" fillId="4" borderId="0" xfId="0" applyFont="1" applyFill="1" applyProtection="1">
      <protection locked="0"/>
    </xf>
    <xf numFmtId="0" fontId="0" fillId="4" borderId="0" xfId="0" applyFill="1" applyProtection="1">
      <protection locked="0"/>
    </xf>
    <xf numFmtId="0" fontId="0" fillId="0" borderId="0" xfId="0" applyProtection="1">
      <protection locked="0"/>
    </xf>
    <xf numFmtId="0" fontId="75" fillId="4" borderId="0" xfId="0" applyFont="1" applyFill="1" applyProtection="1">
      <protection locked="0"/>
    </xf>
    <xf numFmtId="0" fontId="0" fillId="4" borderId="0" xfId="0" applyFill="1" applyAlignment="1" applyProtection="1">
      <alignment horizontal="center"/>
      <protection locked="0"/>
    </xf>
    <xf numFmtId="0" fontId="77" fillId="4" borderId="0" xfId="0" applyFont="1" applyFill="1" applyAlignment="1" applyProtection="1">
      <alignment horizontal="right" vertical="center"/>
      <protection locked="0"/>
    </xf>
    <xf numFmtId="9" fontId="77" fillId="4" borderId="0" xfId="2" applyFont="1" applyFill="1" applyBorder="1" applyAlignment="1" applyProtection="1">
      <alignment horizontal="center" vertical="center"/>
      <protection locked="0"/>
    </xf>
    <xf numFmtId="0" fontId="75" fillId="21" borderId="48" xfId="0" applyFont="1" applyFill="1" applyBorder="1" applyProtection="1">
      <protection locked="0"/>
    </xf>
    <xf numFmtId="0" fontId="75" fillId="21" borderId="49" xfId="0" applyFont="1" applyFill="1" applyBorder="1" applyProtection="1">
      <protection locked="0"/>
    </xf>
    <xf numFmtId="0" fontId="0" fillId="21" borderId="49" xfId="0" applyFill="1" applyBorder="1" applyProtection="1">
      <protection locked="0"/>
    </xf>
    <xf numFmtId="0" fontId="0" fillId="21" borderId="49" xfId="0" applyFill="1" applyBorder="1" applyAlignment="1" applyProtection="1">
      <alignment horizontal="center"/>
      <protection locked="0"/>
    </xf>
    <xf numFmtId="0" fontId="0" fillId="21" borderId="50" xfId="0" applyFill="1" applyBorder="1" applyProtection="1">
      <protection locked="0"/>
    </xf>
    <xf numFmtId="0" fontId="4" fillId="4" borderId="0" xfId="0" applyFont="1" applyFill="1" applyProtection="1">
      <protection locked="0"/>
    </xf>
    <xf numFmtId="0" fontId="72" fillId="0" borderId="0" xfId="0" applyFont="1" applyAlignment="1" applyProtection="1">
      <alignment horizontal="center"/>
      <protection locked="0"/>
    </xf>
    <xf numFmtId="168" fontId="0" fillId="0" borderId="0" xfId="0" applyNumberFormat="1" applyProtection="1">
      <protection locked="0"/>
    </xf>
    <xf numFmtId="2" fontId="0" fillId="0" borderId="0" xfId="0" applyNumberFormat="1" applyProtection="1">
      <protection locked="0"/>
    </xf>
    <xf numFmtId="168" fontId="11" fillId="0" borderId="0" xfId="0" applyNumberFormat="1" applyFont="1" applyAlignment="1" applyProtection="1">
      <alignment horizontal="right" vertical="center"/>
      <protection locked="0"/>
    </xf>
    <xf numFmtId="168" fontId="7" fillId="13" borderId="1" xfId="0" applyNumberFormat="1" applyFont="1" applyFill="1" applyBorder="1" applyAlignment="1" applyProtection="1">
      <alignment horizontal="center"/>
      <protection locked="0"/>
    </xf>
    <xf numFmtId="0" fontId="72" fillId="0" borderId="0" xfId="0" applyFont="1" applyProtection="1">
      <protection locked="0"/>
    </xf>
    <xf numFmtId="0" fontId="73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 applyProtection="1">
      <alignment horizontal="left"/>
      <protection locked="0"/>
    </xf>
    <xf numFmtId="2" fontId="9" fillId="0" borderId="0" xfId="0" applyNumberFormat="1" applyFont="1" applyAlignment="1" applyProtection="1">
      <alignment horizontal="center" vertical="center"/>
      <protection locked="0"/>
    </xf>
    <xf numFmtId="0" fontId="48" fillId="0" borderId="0" xfId="0" applyFont="1" applyAlignment="1" applyProtection="1">
      <alignment horizontal="center"/>
      <protection locked="0"/>
    </xf>
    <xf numFmtId="0" fontId="3" fillId="0" borderId="0" xfId="0" applyFont="1" applyProtection="1">
      <protection locked="0"/>
    </xf>
    <xf numFmtId="0" fontId="28" fillId="0" borderId="0" xfId="0" applyFont="1" applyAlignment="1" applyProtection="1">
      <alignment vertical="center"/>
      <protection locked="0"/>
    </xf>
    <xf numFmtId="0" fontId="12" fillId="16" borderId="0" xfId="0" applyFont="1" applyFill="1" applyProtection="1">
      <protection locked="0"/>
    </xf>
    <xf numFmtId="0" fontId="14" fillId="0" borderId="0" xfId="0" applyFont="1" applyAlignment="1" applyProtection="1">
      <alignment horizontal="center" vertical="center"/>
      <protection locked="0"/>
    </xf>
    <xf numFmtId="0" fontId="12" fillId="0" borderId="0" xfId="0" applyFont="1" applyProtection="1">
      <protection locked="0"/>
    </xf>
    <xf numFmtId="0" fontId="12" fillId="0" borderId="2" xfId="0" applyFont="1" applyBorder="1"/>
    <xf numFmtId="0" fontId="12" fillId="0" borderId="2" xfId="0" applyFont="1" applyBorder="1" applyAlignment="1">
      <alignment horizontal="center"/>
    </xf>
    <xf numFmtId="0" fontId="12" fillId="0" borderId="2" xfId="0" applyFont="1" applyBorder="1" applyAlignment="1">
      <alignment horizontal="left"/>
    </xf>
    <xf numFmtId="2" fontId="12" fillId="0" borderId="2" xfId="0" applyNumberFormat="1" applyFont="1" applyBorder="1" applyAlignment="1">
      <alignment horizontal="left"/>
    </xf>
    <xf numFmtId="0" fontId="68" fillId="0" borderId="0" xfId="0" applyFont="1" applyAlignment="1">
      <alignment horizontal="left" vertical="center"/>
    </xf>
    <xf numFmtId="0" fontId="12" fillId="0" borderId="0" xfId="0" applyFont="1" applyAlignment="1">
      <alignment vertical="center"/>
    </xf>
    <xf numFmtId="11" fontId="12" fillId="0" borderId="0" xfId="0" applyNumberFormat="1" applyFont="1"/>
    <xf numFmtId="0" fontId="68" fillId="0" borderId="0" xfId="0" applyFont="1" applyAlignment="1">
      <alignment horizontal="left"/>
    </xf>
    <xf numFmtId="0" fontId="70" fillId="0" borderId="0" xfId="0" applyFont="1" applyAlignment="1">
      <alignment vertical="center"/>
    </xf>
    <xf numFmtId="0" fontId="17" fillId="0" borderId="39" xfId="0" applyFont="1" applyBorder="1" applyAlignment="1">
      <alignment horizontal="center"/>
    </xf>
    <xf numFmtId="0" fontId="12" fillId="0" borderId="39" xfId="0" applyFont="1" applyBorder="1"/>
    <xf numFmtId="0" fontId="12" fillId="23" borderId="0" xfId="0" applyFont="1" applyFill="1"/>
    <xf numFmtId="0" fontId="17" fillId="23" borderId="0" xfId="0" applyFont="1" applyFill="1" applyAlignment="1">
      <alignment horizontal="center"/>
    </xf>
    <xf numFmtId="0" fontId="60" fillId="23" borderId="0" xfId="0" applyFont="1" applyFill="1" applyAlignment="1">
      <alignment horizontal="center"/>
    </xf>
    <xf numFmtId="0" fontId="12" fillId="24" borderId="0" xfId="0" applyFont="1" applyFill="1"/>
    <xf numFmtId="0" fontId="17" fillId="24" borderId="0" xfId="0" applyFont="1" applyFill="1" applyAlignment="1">
      <alignment horizontal="center"/>
    </xf>
    <xf numFmtId="0" fontId="60" fillId="24" borderId="0" xfId="0" applyFont="1" applyFill="1" applyAlignment="1">
      <alignment horizontal="center"/>
    </xf>
    <xf numFmtId="0" fontId="12" fillId="25" borderId="0" xfId="0" applyFont="1" applyFill="1"/>
    <xf numFmtId="0" fontId="17" fillId="25" borderId="0" xfId="0" applyFont="1" applyFill="1" applyAlignment="1">
      <alignment horizontal="center"/>
    </xf>
    <xf numFmtId="0" fontId="60" fillId="25" borderId="0" xfId="0" applyFont="1" applyFill="1" applyAlignment="1">
      <alignment horizontal="center"/>
    </xf>
    <xf numFmtId="0" fontId="12" fillId="0" borderId="39" xfId="0" applyFont="1" applyBorder="1" applyAlignment="1">
      <alignment vertical="center"/>
    </xf>
    <xf numFmtId="0" fontId="12" fillId="23" borderId="39" xfId="0" applyFont="1" applyFill="1" applyBorder="1"/>
    <xf numFmtId="0" fontId="12" fillId="24" borderId="39" xfId="0" applyFont="1" applyFill="1" applyBorder="1"/>
    <xf numFmtId="0" fontId="42" fillId="22" borderId="0" xfId="0" applyFont="1" applyFill="1" applyAlignment="1">
      <alignment horizontal="center" vertical="center"/>
    </xf>
    <xf numFmtId="168" fontId="15" fillId="0" borderId="0" xfId="1" applyNumberFormat="1" applyAlignment="1">
      <alignment horizontal="center" vertical="center"/>
    </xf>
    <xf numFmtId="168" fontId="57" fillId="17" borderId="0" xfId="1" applyNumberFormat="1" applyFont="1" applyFill="1" applyAlignment="1">
      <alignment horizontal="center" vertical="center"/>
    </xf>
    <xf numFmtId="0" fontId="8" fillId="22" borderId="44" xfId="0" applyFont="1" applyFill="1" applyBorder="1" applyAlignment="1">
      <alignment horizontal="center" vertical="center" wrapText="1"/>
    </xf>
    <xf numFmtId="0" fontId="8" fillId="22" borderId="42" xfId="0" applyFont="1" applyFill="1" applyBorder="1" applyAlignment="1">
      <alignment horizontal="center" vertical="center" wrapText="1"/>
    </xf>
    <xf numFmtId="168" fontId="56" fillId="17" borderId="42" xfId="1" applyNumberFormat="1" applyFont="1" applyFill="1" applyBorder="1" applyAlignment="1">
      <alignment horizontal="center" vertical="center"/>
    </xf>
    <xf numFmtId="3" fontId="56" fillId="17" borderId="42" xfId="1" applyNumberFormat="1" applyFont="1" applyFill="1" applyBorder="1" applyAlignment="1">
      <alignment horizontal="center" vertical="center"/>
    </xf>
    <xf numFmtId="0" fontId="7" fillId="22" borderId="0" xfId="0" applyFont="1" applyFill="1" applyAlignment="1">
      <alignment horizontal="center" vertical="center"/>
    </xf>
    <xf numFmtId="0" fontId="28" fillId="22" borderId="0" xfId="0" applyFont="1" applyFill="1" applyAlignment="1">
      <alignment horizontal="center" vertical="center"/>
    </xf>
    <xf numFmtId="0" fontId="12" fillId="16" borderId="0" xfId="0" applyFont="1" applyFill="1" applyAlignment="1">
      <alignment horizontal="center" vertical="center" textRotation="90" wrapText="1"/>
    </xf>
    <xf numFmtId="0" fontId="12" fillId="16" borderId="0" xfId="0" applyFont="1" applyFill="1" applyAlignment="1">
      <alignment horizontal="center" vertical="center"/>
    </xf>
    <xf numFmtId="0" fontId="12" fillId="16" borderId="0" xfId="0" applyFont="1" applyFill="1"/>
    <xf numFmtId="171" fontId="12" fillId="0" borderId="0" xfId="0" applyNumberFormat="1" applyFont="1" applyAlignment="1">
      <alignment horizontal="center" readingOrder="1"/>
    </xf>
    <xf numFmtId="0" fontId="12" fillId="0" borderId="0" xfId="0" applyFont="1" applyAlignment="1">
      <alignment horizontal="center"/>
    </xf>
    <xf numFmtId="167" fontId="12" fillId="0" borderId="0" xfId="0" applyNumberFormat="1" applyFont="1" applyAlignment="1">
      <alignment horizontal="center"/>
    </xf>
    <xf numFmtId="0" fontId="12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168" fontId="17" fillId="0" borderId="0" xfId="0" applyNumberFormat="1" applyFont="1" applyAlignment="1">
      <alignment horizontal="center"/>
    </xf>
    <xf numFmtId="0" fontId="67" fillId="0" borderId="0" xfId="0" applyFont="1" applyAlignment="1">
      <alignment horizontal="center" vertical="center"/>
    </xf>
    <xf numFmtId="0" fontId="66" fillId="0" borderId="0" xfId="0" applyFont="1" applyAlignment="1">
      <alignment horizontal="center" vertical="center"/>
    </xf>
    <xf numFmtId="0" fontId="46" fillId="0" borderId="0" xfId="0" applyFont="1" applyAlignment="1">
      <alignment horizontal="right" vertical="center"/>
    </xf>
    <xf numFmtId="0" fontId="20" fillId="0" borderId="0" xfId="0" applyFont="1" applyAlignment="1" applyProtection="1">
      <alignment horizontal="center"/>
      <protection locked="0"/>
    </xf>
    <xf numFmtId="0" fontId="30" fillId="22" borderId="4" xfId="0" applyFont="1" applyFill="1" applyBorder="1" applyAlignment="1">
      <alignment horizontal="center" vertical="center"/>
    </xf>
    <xf numFmtId="0" fontId="30" fillId="22" borderId="5" xfId="0" applyFont="1" applyFill="1" applyBorder="1" applyAlignment="1">
      <alignment horizontal="center" vertical="center"/>
    </xf>
    <xf numFmtId="0" fontId="30" fillId="22" borderId="2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20" fillId="0" borderId="1" xfId="0" applyFont="1" applyBorder="1" applyAlignment="1">
      <alignment horizontal="center" vertical="center"/>
    </xf>
    <xf numFmtId="0" fontId="28" fillId="22" borderId="4" xfId="0" applyFont="1" applyFill="1" applyBorder="1" applyAlignment="1">
      <alignment horizontal="center" vertical="center"/>
    </xf>
    <xf numFmtId="0" fontId="28" fillId="22" borderId="5" xfId="0" applyFont="1" applyFill="1" applyBorder="1" applyAlignment="1">
      <alignment horizontal="center" vertical="center"/>
    </xf>
    <xf numFmtId="0" fontId="28" fillId="22" borderId="2" xfId="0" applyFont="1" applyFill="1" applyBorder="1" applyAlignment="1">
      <alignment horizontal="center" vertical="center"/>
    </xf>
    <xf numFmtId="0" fontId="30" fillId="22" borderId="1" xfId="0" applyFont="1" applyFill="1" applyBorder="1" applyAlignment="1">
      <alignment horizontal="center" vertical="center" wrapText="1"/>
    </xf>
    <xf numFmtId="0" fontId="28" fillId="12" borderId="4" xfId="0" applyFont="1" applyFill="1" applyBorder="1" applyAlignment="1">
      <alignment horizontal="center" vertical="center"/>
    </xf>
    <xf numFmtId="0" fontId="28" fillId="12" borderId="5" xfId="0" applyFont="1" applyFill="1" applyBorder="1" applyAlignment="1">
      <alignment horizontal="center" vertical="center"/>
    </xf>
    <xf numFmtId="0" fontId="28" fillId="12" borderId="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 wrapText="1"/>
    </xf>
    <xf numFmtId="0" fontId="44" fillId="0" borderId="1" xfId="0" applyFont="1" applyBorder="1" applyAlignment="1">
      <alignment horizontal="right" vertical="center"/>
    </xf>
    <xf numFmtId="0" fontId="49" fillId="0" borderId="1" xfId="0" applyFont="1" applyBorder="1" applyAlignment="1">
      <alignment horizontal="right" vertical="center"/>
    </xf>
    <xf numFmtId="0" fontId="20" fillId="15" borderId="1" xfId="0" applyFont="1" applyFill="1" applyBorder="1" applyAlignment="1">
      <alignment horizontal="center"/>
    </xf>
    <xf numFmtId="0" fontId="30" fillId="19" borderId="1" xfId="0" applyFont="1" applyFill="1" applyBorder="1" applyAlignment="1">
      <alignment horizontal="center" vertical="center"/>
    </xf>
    <xf numFmtId="0" fontId="30" fillId="19" borderId="1" xfId="0" applyFont="1" applyFill="1" applyBorder="1" applyAlignment="1">
      <alignment horizontal="center" vertical="center" wrapText="1"/>
    </xf>
    <xf numFmtId="0" fontId="28" fillId="19" borderId="4" xfId="0" applyFont="1" applyFill="1" applyBorder="1" applyAlignment="1">
      <alignment horizontal="center" vertical="center"/>
    </xf>
    <xf numFmtId="0" fontId="28" fillId="19" borderId="5" xfId="0" applyFont="1" applyFill="1" applyBorder="1" applyAlignment="1">
      <alignment horizontal="center" vertical="center"/>
    </xf>
    <xf numFmtId="0" fontId="28" fillId="19" borderId="2" xfId="0" applyFont="1" applyFill="1" applyBorder="1" applyAlignment="1">
      <alignment horizontal="center" vertical="center"/>
    </xf>
    <xf numFmtId="0" fontId="22" fillId="19" borderId="41" xfId="0" applyFont="1" applyFill="1" applyBorder="1" applyAlignment="1">
      <alignment horizontal="center" vertical="center" wrapText="1"/>
    </xf>
    <xf numFmtId="0" fontId="22" fillId="19" borderId="3" xfId="0" applyFont="1" applyFill="1" applyBorder="1" applyAlignment="1">
      <alignment horizontal="center" vertical="center" wrapText="1"/>
    </xf>
    <xf numFmtId="0" fontId="17" fillId="6" borderId="4" xfId="0" applyFont="1" applyFill="1" applyBorder="1" applyAlignment="1">
      <alignment horizontal="center" vertical="center"/>
    </xf>
    <xf numFmtId="0" fontId="17" fillId="6" borderId="5" xfId="0" applyFont="1" applyFill="1" applyBorder="1" applyAlignment="1">
      <alignment horizontal="center" vertical="center"/>
    </xf>
    <xf numFmtId="0" fontId="12" fillId="6" borderId="4" xfId="0" applyFont="1" applyFill="1" applyBorder="1" applyAlignment="1">
      <alignment horizontal="center" vertical="center" wrapText="1"/>
    </xf>
    <xf numFmtId="0" fontId="12" fillId="6" borderId="5" xfId="0" applyFont="1" applyFill="1" applyBorder="1" applyAlignment="1">
      <alignment horizontal="center" vertical="center" wrapText="1"/>
    </xf>
    <xf numFmtId="0" fontId="12" fillId="6" borderId="2" xfId="0" applyFont="1" applyFill="1" applyBorder="1" applyAlignment="1">
      <alignment horizontal="center" vertical="center" wrapText="1"/>
    </xf>
    <xf numFmtId="0" fontId="12" fillId="11" borderId="4" xfId="0" applyFont="1" applyFill="1" applyBorder="1" applyAlignment="1">
      <alignment horizontal="center" vertical="center" wrapText="1"/>
    </xf>
    <xf numFmtId="0" fontId="12" fillId="11" borderId="5" xfId="0" applyFont="1" applyFill="1" applyBorder="1" applyAlignment="1">
      <alignment horizontal="center" vertical="center" wrapText="1"/>
    </xf>
    <xf numFmtId="0" fontId="17" fillId="7" borderId="4" xfId="0" applyFont="1" applyFill="1" applyBorder="1" applyAlignment="1">
      <alignment horizontal="center" vertical="center"/>
    </xf>
    <xf numFmtId="0" fontId="17" fillId="7" borderId="2" xfId="0" applyFont="1" applyFill="1" applyBorder="1" applyAlignment="1">
      <alignment horizontal="center" vertical="center"/>
    </xf>
    <xf numFmtId="0" fontId="17" fillId="6" borderId="2" xfId="0" applyFont="1" applyFill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0" fillId="0" borderId="0" xfId="0"/>
    <xf numFmtId="0" fontId="17" fillId="6" borderId="14" xfId="0" applyFont="1" applyFill="1" applyBorder="1" applyAlignment="1">
      <alignment horizontal="center" vertical="center" wrapText="1"/>
    </xf>
    <xf numFmtId="0" fontId="0" fillId="0" borderId="15" xfId="0" applyBorder="1"/>
    <xf numFmtId="0" fontId="0" fillId="0" borderId="6" xfId="0" applyBorder="1"/>
    <xf numFmtId="0" fontId="0" fillId="0" borderId="13" xfId="0" applyBorder="1"/>
    <xf numFmtId="0" fontId="17" fillId="7" borderId="5" xfId="0" applyFont="1" applyFill="1" applyBorder="1" applyAlignment="1">
      <alignment horizontal="center" vertical="center"/>
    </xf>
    <xf numFmtId="0" fontId="17" fillId="11" borderId="4" xfId="0" applyFont="1" applyFill="1" applyBorder="1" applyAlignment="1">
      <alignment horizontal="center" vertical="center"/>
    </xf>
    <xf numFmtId="0" fontId="17" fillId="11" borderId="5" xfId="0" applyFont="1" applyFill="1" applyBorder="1" applyAlignment="1">
      <alignment horizontal="center" vertical="center"/>
    </xf>
    <xf numFmtId="0" fontId="17" fillId="11" borderId="2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36" fillId="2" borderId="4" xfId="0" applyFont="1" applyFill="1" applyBorder="1" applyAlignment="1">
      <alignment horizontal="center" vertical="center"/>
    </xf>
    <xf numFmtId="0" fontId="36" fillId="2" borderId="2" xfId="0" applyFont="1" applyFill="1" applyBorder="1" applyAlignment="1">
      <alignment horizontal="center" vertical="center"/>
    </xf>
  </cellXfs>
  <cellStyles count="3">
    <cellStyle name="Normal" xfId="0" builtinId="0"/>
    <cellStyle name="Normal_Copia de E123_COYAME.2001" xfId="1" xr:uid="{00000000-0005-0000-0000-000001000000}"/>
    <cellStyle name="Porcentaje" xfId="2" builtinId="5"/>
  </cellStyles>
  <dxfs count="0"/>
  <tableStyles count="0" defaultTableStyle="TableStyleMedium9" defaultPivotStyle="PivotStyleLight16"/>
  <colors>
    <mruColors>
      <color rgb="FFF2F2F2"/>
      <color rgb="FFECECEC"/>
      <color rgb="FFD06422"/>
      <color rgb="FF1CCA52"/>
      <color rgb="FF888888"/>
      <color rgb="FFC1B663"/>
      <color rgb="FF756337"/>
      <color rgb="FFA5501B"/>
      <color rgb="FF8C6B28"/>
      <color rgb="FFC5AB6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hartsheet" Target="chartsheets/sheet3.xml"/><Relationship Id="rId18" Type="http://schemas.openxmlformats.org/officeDocument/2006/relationships/externalLink" Target="externalLinks/externalLink1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4.xml"/><Relationship Id="rId7" Type="http://schemas.openxmlformats.org/officeDocument/2006/relationships/worksheet" Target="worksheets/sheet7.xml"/><Relationship Id="rId12" Type="http://schemas.openxmlformats.org/officeDocument/2006/relationships/chartsheet" Target="chartsheets/sheet2.xml"/><Relationship Id="rId17" Type="http://schemas.openxmlformats.org/officeDocument/2006/relationships/worksheet" Target="worksheets/sheet13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2.xml"/><Relationship Id="rId20" Type="http://schemas.openxmlformats.org/officeDocument/2006/relationships/externalLink" Target="externalLinks/externalLink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hartsheet" Target="chartsheets/sheet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1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hartsheet" Target="chartsheets/sheet4.xml"/><Relationship Id="rId22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1.png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2.png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3.png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4.png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800387662581846"/>
          <c:y val="8.9837230173530527E-2"/>
          <c:w val="0.80847868374558562"/>
          <c:h val="0.79665802537756381"/>
        </c:manualLayout>
      </c:layout>
      <c:scatterChart>
        <c:scatterStyle val="smoothMarker"/>
        <c:varyColors val="0"/>
        <c:ser>
          <c:idx val="2"/>
          <c:order val="0"/>
          <c:tx>
            <c:v>Tridem</c:v>
          </c:tx>
          <c:spPr>
            <a:ln>
              <a:solidFill>
                <a:srgbClr val="CE5918"/>
              </a:solidFill>
              <a:prstDash val="solid"/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Larguillo!$F$4:$F$103</c:f>
              <c:numCache>
                <c:formatCode>0.00</c:formatCode>
                <c:ptCount val="100"/>
                <c:pt idx="0">
                  <c:v>3.1753350949166831E-19</c:v>
                </c:pt>
                <c:pt idx="1">
                  <c:v>4.6516849591301319E-10</c:v>
                </c:pt>
                <c:pt idx="2">
                  <c:v>5.0397948011464576E-6</c:v>
                </c:pt>
                <c:pt idx="3">
                  <c:v>9.3579365247105253E-4</c:v>
                </c:pt>
                <c:pt idx="4">
                  <c:v>2.462851738949844E-2</c:v>
                </c:pt>
                <c:pt idx="5">
                  <c:v>0.21462148420327809</c:v>
                </c:pt>
                <c:pt idx="6">
                  <c:v>0.93784915714764172</c:v>
                </c:pt>
                <c:pt idx="7">
                  <c:v>2.5852286884627191</c:v>
                </c:pt>
                <c:pt idx="8">
                  <c:v>5.1612874234912116</c:v>
                </c:pt>
                <c:pt idx="9">
                  <c:v>8.1530141067954318</c:v>
                </c:pt>
                <c:pt idx="10">
                  <c:v>10.813536964682509</c:v>
                </c:pt>
                <c:pt idx="11">
                  <c:v>12.551316727867659</c:v>
                </c:pt>
                <c:pt idx="12">
                  <c:v>13.135149264546408</c:v>
                </c:pt>
                <c:pt idx="13">
                  <c:v>12.673014304797942</c:v>
                </c:pt>
                <c:pt idx="14">
                  <c:v>11.475317970407644</c:v>
                </c:pt>
                <c:pt idx="15">
                  <c:v>9.915675219229442</c:v>
                </c:pt>
                <c:pt idx="16">
                  <c:v>8.3397785672248848</c:v>
                </c:pt>
                <c:pt idx="17">
                  <c:v>7.0193662523897649</c:v>
                </c:pt>
                <c:pt idx="18">
                  <c:v>6.1298012073299368</c:v>
                </c:pt>
                <c:pt idx="19">
                  <c:v>5.7381890974029472</c:v>
                </c:pt>
                <c:pt idx="20">
                  <c:v>5.8035421179720457</c:v>
                </c:pt>
                <c:pt idx="21">
                  <c:v>6.1956102208059454</c:v>
                </c:pt>
                <c:pt idx="22">
                  <c:v>6.7326123030640259</c:v>
                </c:pt>
                <c:pt idx="23">
                  <c:v>7.2282245960984275</c:v>
                </c:pt>
                <c:pt idx="24">
                  <c:v>7.5333978820482956</c:v>
                </c:pt>
                <c:pt idx="25">
                  <c:v>7.5615594205091954</c:v>
                </c:pt>
                <c:pt idx="26">
                  <c:v>7.293427684636268</c:v>
                </c:pt>
                <c:pt idx="27">
                  <c:v>6.7651322128130857</c:v>
                </c:pt>
                <c:pt idx="28">
                  <c:v>6.0473725192963688</c:v>
                </c:pt>
                <c:pt idx="29">
                  <c:v>5.2234866364913293</c:v>
                </c:pt>
                <c:pt idx="30">
                  <c:v>4.3719004119118967</c:v>
                </c:pt>
                <c:pt idx="31">
                  <c:v>3.5553064107499073</c:v>
                </c:pt>
                <c:pt idx="32">
                  <c:v>2.8163799556415423</c:v>
                </c:pt>
                <c:pt idx="33">
                  <c:v>2.1784022795305926</c:v>
                </c:pt>
                <c:pt idx="34">
                  <c:v>1.6487503246071948</c:v>
                </c:pt>
                <c:pt idx="35">
                  <c:v>1.2234729111923055</c:v>
                </c:pt>
                <c:pt idx="36">
                  <c:v>0.89172360756128721</c:v>
                </c:pt>
                <c:pt idx="37">
                  <c:v>0.63938761704403624</c:v>
                </c:pt>
                <c:pt idx="38">
                  <c:v>0.4516816676821811</c:v>
                </c:pt>
                <c:pt idx="39">
                  <c:v>0.31478378996360085</c:v>
                </c:pt>
                <c:pt idx="40">
                  <c:v>0.21668478684391812</c:v>
                </c:pt>
                <c:pt idx="41">
                  <c:v>0.14748837148376864</c:v>
                </c:pt>
                <c:pt idx="42">
                  <c:v>9.9365384466838819E-2</c:v>
                </c:pt>
                <c:pt idx="43">
                  <c:v>6.6321917606760941E-2</c:v>
                </c:pt>
                <c:pt idx="44">
                  <c:v>4.3892084438761303E-2</c:v>
                </c:pt>
                <c:pt idx="45">
                  <c:v>2.8824016849710386E-2</c:v>
                </c:pt>
                <c:pt idx="46">
                  <c:v>1.8796048362822493E-2</c:v>
                </c:pt>
                <c:pt idx="47">
                  <c:v>1.2178740465265955E-2</c:v>
                </c:pt>
                <c:pt idx="48">
                  <c:v>7.8454880423093325E-3</c:v>
                </c:pt>
                <c:pt idx="49">
                  <c:v>5.0275639666005631E-3</c:v>
                </c:pt>
                <c:pt idx="50">
                  <c:v>3.2065348562229918E-3</c:v>
                </c:pt>
                <c:pt idx="51">
                  <c:v>2.0363856355909028E-3</c:v>
                </c:pt>
                <c:pt idx="52">
                  <c:v>1.2883114029161587E-3</c:v>
                </c:pt>
                <c:pt idx="53">
                  <c:v>8.1226409526693284E-4</c:v>
                </c:pt>
                <c:pt idx="54">
                  <c:v>5.1057244020002177E-4</c:v>
                </c:pt>
                <c:pt idx="55">
                  <c:v>3.2008116931838847E-4</c:v>
                </c:pt>
                <c:pt idx="56">
                  <c:v>2.0019661275849578E-4</c:v>
                </c:pt>
                <c:pt idx="57">
                  <c:v>1.2496605482305401E-4</c:v>
                </c:pt>
                <c:pt idx="58">
                  <c:v>7.7876447717339356E-5</c:v>
                </c:pt>
                <c:pt idx="59">
                  <c:v>4.8465813876066243E-5</c:v>
                </c:pt>
                <c:pt idx="60">
                  <c:v>3.013108628933719E-5</c:v>
                </c:pt>
                <c:pt idx="61">
                  <c:v>1.8718805628029744E-5</c:v>
                </c:pt>
                <c:pt idx="62">
                  <c:v>1.1624141011724669E-5</c:v>
                </c:pt>
                <c:pt idx="63">
                  <c:v>7.2177384504084502E-6</c:v>
                </c:pt>
                <c:pt idx="64">
                  <c:v>4.4827203879372553E-6</c:v>
                </c:pt>
                <c:pt idx="65">
                  <c:v>2.785681443780324E-6</c:v>
                </c:pt>
                <c:pt idx="66">
                  <c:v>1.7327175026458826E-6</c:v>
                </c:pt>
                <c:pt idx="67">
                  <c:v>1.079189639070676E-6</c:v>
                </c:pt>
                <c:pt idx="68">
                  <c:v>6.7331813233129893E-7</c:v>
                </c:pt>
                <c:pt idx="69">
                  <c:v>4.2100512360518421E-7</c:v>
                </c:pt>
                <c:pt idx="70">
                  <c:v>2.6394001634828981E-7</c:v>
                </c:pt>
                <c:pt idx="71">
                  <c:v>1.6599499053993931E-7</c:v>
                </c:pt>
                <c:pt idx="72">
                  <c:v>1.0478336363113587E-7</c:v>
                </c:pt>
                <c:pt idx="73">
                  <c:v>6.6427271169317155E-8</c:v>
                </c:pt>
                <c:pt idx="74">
                  <c:v>4.2317225015618755E-8</c:v>
                </c:pt>
                <c:pt idx="75">
                  <c:v>2.7106375020981147E-8</c:v>
                </c:pt>
                <c:pt idx="76">
                  <c:v>1.7469367587028002E-8</c:v>
                </c:pt>
                <c:pt idx="77">
                  <c:v>1.1334342671307782E-8</c:v>
                </c:pt>
                <c:pt idx="78">
                  <c:v>7.4075775906381694E-9</c:v>
                </c:pt>
                <c:pt idx="79">
                  <c:v>4.8791032881543386E-9</c:v>
                </c:pt>
                <c:pt idx="80">
                  <c:v>3.2402408268469126E-9</c:v>
                </c:pt>
                <c:pt idx="81">
                  <c:v>2.1703765141320448E-9</c:v>
                </c:pt>
                <c:pt idx="82">
                  <c:v>1.4665970471854962E-9</c:v>
                </c:pt>
                <c:pt idx="83">
                  <c:v>9.998796236442197E-10</c:v>
                </c:pt>
                <c:pt idx="84">
                  <c:v>6.877545985985403E-10</c:v>
                </c:pt>
                <c:pt idx="85">
                  <c:v>4.7720196049605216E-10</c:v>
                </c:pt>
                <c:pt idx="86">
                  <c:v>3.3391761895265665E-10</c:v>
                </c:pt>
                <c:pt idx="87">
                  <c:v>2.3555332774190893E-10</c:v>
                </c:pt>
                <c:pt idx="88">
                  <c:v>1.6744199530912865E-10</c:v>
                </c:pt>
                <c:pt idx="89">
                  <c:v>1.1988229402042999E-10</c:v>
                </c:pt>
                <c:pt idx="90">
                  <c:v>8.6404994796662463E-11</c:v>
                </c:pt>
                <c:pt idx="91">
                  <c:v>6.2659861794784973E-11</c:v>
                </c:pt>
                <c:pt idx="92">
                  <c:v>4.5696575735509725E-11</c:v>
                </c:pt>
                <c:pt idx="93">
                  <c:v>3.3497103815163748E-11</c:v>
                </c:pt>
                <c:pt idx="94">
                  <c:v>2.4669417798260915E-11</c:v>
                </c:pt>
                <c:pt idx="95">
                  <c:v>1.8245373482414909E-11</c:v>
                </c:pt>
                <c:pt idx="96">
                  <c:v>1.3546274579441301E-11</c:v>
                </c:pt>
                <c:pt idx="97">
                  <c:v>1.0092726959071102E-11</c:v>
                </c:pt>
                <c:pt idx="98">
                  <c:v>7.543690290487523E-12</c:v>
                </c:pt>
                <c:pt idx="99">
                  <c:v>5.6549268638067578E-12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C783-47DB-A4F8-028BA47EB4E8}"/>
            </c:ext>
          </c:extLst>
        </c:ser>
        <c:ser>
          <c:idx val="1"/>
          <c:order val="1"/>
          <c:tx>
            <c:v>Tandem</c:v>
          </c:tx>
          <c:spPr>
            <a:ln>
              <a:solidFill>
                <a:srgbClr val="D2AD46"/>
              </a:solidFill>
              <a:prstDash val="solid"/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Larguillo!$E$4:$E$103</c:f>
              <c:numCache>
                <c:formatCode>0.00</c:formatCode>
                <c:ptCount val="100"/>
                <c:pt idx="0">
                  <c:v>3.6237480807441398E-44</c:v>
                </c:pt>
                <c:pt idx="1">
                  <c:v>2.6485240668866928E-25</c:v>
                </c:pt>
                <c:pt idx="2">
                  <c:v>1.0950807514640619E-16</c:v>
                </c:pt>
                <c:pt idx="3">
                  <c:v>1.1759734859855953E-11</c:v>
                </c:pt>
                <c:pt idx="4">
                  <c:v>2.2589422048739467E-8</c:v>
                </c:pt>
                <c:pt idx="5">
                  <c:v>4.3192740320749625E-6</c:v>
                </c:pt>
                <c:pt idx="6">
                  <c:v>1.9178942093744388E-4</c:v>
                </c:pt>
                <c:pt idx="7">
                  <c:v>3.1722395453638373E-3</c:v>
                </c:pt>
                <c:pt idx="8">
                  <c:v>2.6150125731252305E-2</c:v>
                </c:pt>
                <c:pt idx="9">
                  <c:v>0.13916471050075616</c:v>
                </c:pt>
                <c:pt idx="10">
                  <c:v>0.70104083165052467</c:v>
                </c:pt>
                <c:pt idx="11">
                  <c:v>3.3165624014858528</c:v>
                </c:pt>
                <c:pt idx="12">
                  <c:v>10.091504899312715</c:v>
                </c:pt>
                <c:pt idx="13">
                  <c:v>17.949351244108627</c:v>
                </c:pt>
                <c:pt idx="14">
                  <c:v>20.114248592711633</c:v>
                </c:pt>
                <c:pt idx="15">
                  <c:v>16.109804337707189</c:v>
                </c:pt>
                <c:pt idx="16">
                  <c:v>10.888808907374575</c:v>
                </c:pt>
                <c:pt idx="17">
                  <c:v>7.4420856341065003</c:v>
                </c:pt>
                <c:pt idx="18">
                  <c:v>5.6161160671101404</c:v>
                </c:pt>
                <c:pt idx="19">
                  <c:v>4.5017709266379509</c:v>
                </c:pt>
                <c:pt idx="20">
                  <c:v>3.6294453077649758</c:v>
                </c:pt>
                <c:pt idx="21">
                  <c:v>2.952743704558987</c:v>
                </c:pt>
                <c:pt idx="22">
                  <c:v>2.6464421890542544</c:v>
                </c:pt>
                <c:pt idx="23">
                  <c:v>2.9867785661526822</c:v>
                </c:pt>
                <c:pt idx="24">
                  <c:v>4.2048553116447582</c:v>
                </c:pt>
                <c:pt idx="25">
                  <c:v>6.2737774520790017</c:v>
                </c:pt>
                <c:pt idx="26">
                  <c:v>8.7691853760975125</c:v>
                </c:pt>
                <c:pt idx="27">
                  <c:v>10.969943483875491</c:v>
                </c:pt>
                <c:pt idx="28">
                  <c:v>12.181108218103253</c:v>
                </c:pt>
                <c:pt idx="29">
                  <c:v>12.061529535115145</c:v>
                </c:pt>
                <c:pt idx="30">
                  <c:v>10.738564313742675</c:v>
                </c:pt>
                <c:pt idx="31">
                  <c:v>8.6732886194945049</c:v>
                </c:pt>
                <c:pt idx="32">
                  <c:v>6.4094457194503542</c:v>
                </c:pt>
                <c:pt idx="33">
                  <c:v>4.3679208045867854</c:v>
                </c:pt>
                <c:pt idx="34">
                  <c:v>2.764756226648895</c:v>
                </c:pt>
                <c:pt idx="35">
                  <c:v>1.6360023538969699</c:v>
                </c:pt>
                <c:pt idx="36">
                  <c:v>0.91034851380487358</c:v>
                </c:pt>
                <c:pt idx="37">
                  <c:v>0.47890066132979647</c:v>
                </c:pt>
                <c:pt idx="38">
                  <c:v>0.23933832389245452</c:v>
                </c:pt>
                <c:pt idx="39">
                  <c:v>0.11414438716552958</c:v>
                </c:pt>
                <c:pt idx="40">
                  <c:v>5.2166002948883926E-2</c:v>
                </c:pt>
                <c:pt idx="41">
                  <c:v>2.29372163697137E-2</c:v>
                </c:pt>
                <c:pt idx="42">
                  <c:v>9.7413477329632518E-3</c:v>
                </c:pt>
                <c:pt idx="43">
                  <c:v>4.0122918102917593E-3</c:v>
                </c:pt>
                <c:pt idx="44">
                  <c:v>1.6100248360196544E-3</c:v>
                </c:pt>
                <c:pt idx="45">
                  <c:v>6.3288288463051281E-4</c:v>
                </c:pt>
                <c:pt idx="46">
                  <c:v>2.4545781459225458E-4</c:v>
                </c:pt>
                <c:pt idx="47">
                  <c:v>9.485440416665839E-5</c:v>
                </c:pt>
                <c:pt idx="48">
                  <c:v>3.7018608790161658E-5</c:v>
                </c:pt>
                <c:pt idx="49">
                  <c:v>1.484674393575485E-5</c:v>
                </c:pt>
                <c:pt idx="50">
                  <c:v>6.2396122782658661E-6</c:v>
                </c:pt>
                <c:pt idx="51">
                  <c:v>2.7937122528741105E-6</c:v>
                </c:pt>
                <c:pt idx="52">
                  <c:v>1.3423155656182128E-6</c:v>
                </c:pt>
                <c:pt idx="53">
                  <c:v>6.8884395522960762E-7</c:v>
                </c:pt>
                <c:pt idx="54">
                  <c:v>3.7259283521759841E-7</c:v>
                </c:pt>
                <c:pt idx="55">
                  <c:v>2.0917863728828378E-7</c:v>
                </c:pt>
                <c:pt idx="56">
                  <c:v>1.203173526637903E-7</c:v>
                </c:pt>
                <c:pt idx="57">
                  <c:v>7.0256541483690827E-8</c:v>
                </c:pt>
                <c:pt idx="58">
                  <c:v>4.1407451206506655E-8</c:v>
                </c:pt>
                <c:pt idx="59">
                  <c:v>2.4548481825732431E-8</c:v>
                </c:pt>
                <c:pt idx="60">
                  <c:v>1.4611584844927895E-8</c:v>
                </c:pt>
                <c:pt idx="61">
                  <c:v>8.7226983051200027E-9</c:v>
                </c:pt>
                <c:pt idx="62">
                  <c:v>5.2198035296554267E-9</c:v>
                </c:pt>
                <c:pt idx="63">
                  <c:v>3.1303500351245439E-9</c:v>
                </c:pt>
                <c:pt idx="64">
                  <c:v>1.8811113971799365E-9</c:v>
                </c:pt>
                <c:pt idx="65">
                  <c:v>1.1326563810323409E-9</c:v>
                </c:pt>
                <c:pt idx="66">
                  <c:v>6.833431019463353E-10</c:v>
                </c:pt>
                <c:pt idx="67">
                  <c:v>4.1308432840657209E-10</c:v>
                </c:pt>
                <c:pt idx="68">
                  <c:v>2.5020917791899651E-10</c:v>
                </c:pt>
                <c:pt idx="69">
                  <c:v>1.5185832948507946E-10</c:v>
                </c:pt>
                <c:pt idx="70">
                  <c:v>9.2352994323082484E-11</c:v>
                </c:pt>
                <c:pt idx="71">
                  <c:v>5.6278929493255826E-11</c:v>
                </c:pt>
                <c:pt idx="72">
                  <c:v>3.4365910839886583E-11</c:v>
                </c:pt>
                <c:pt idx="73">
                  <c:v>2.1028142841791286E-11</c:v>
                </c:pt>
                <c:pt idx="74">
                  <c:v>1.2893416393903717E-11</c:v>
                </c:pt>
                <c:pt idx="75">
                  <c:v>7.9219360440261257E-12</c:v>
                </c:pt>
                <c:pt idx="76">
                  <c:v>4.8774446162316554E-12</c:v>
                </c:pt>
                <c:pt idx="77">
                  <c:v>3.0092053307371805E-12</c:v>
                </c:pt>
                <c:pt idx="78">
                  <c:v>1.8604152762457768E-12</c:v>
                </c:pt>
                <c:pt idx="79">
                  <c:v>1.15256685991703E-12</c:v>
                </c:pt>
                <c:pt idx="80">
                  <c:v>7.1551631968387576E-13</c:v>
                </c:pt>
                <c:pt idx="81">
                  <c:v>4.451113692996448E-13</c:v>
                </c:pt>
                <c:pt idx="82">
                  <c:v>2.7746720557102212E-13</c:v>
                </c:pt>
                <c:pt idx="83">
                  <c:v>1.7331899415055902E-13</c:v>
                </c:pt>
                <c:pt idx="84">
                  <c:v>1.0848495573696115E-13</c:v>
                </c:pt>
                <c:pt idx="85">
                  <c:v>6.8042258985146983E-14</c:v>
                </c:pt>
                <c:pt idx="86">
                  <c:v>4.276322721096538E-14</c:v>
                </c:pt>
                <c:pt idx="87">
                  <c:v>2.6930299075338244E-14</c:v>
                </c:pt>
                <c:pt idx="88">
                  <c:v>1.6993662837116725E-14</c:v>
                </c:pt>
                <c:pt idx="89">
                  <c:v>1.0744936913146753E-14</c:v>
                </c:pt>
                <c:pt idx="90">
                  <c:v>6.8074980127197871E-15</c:v>
                </c:pt>
                <c:pt idx="91">
                  <c:v>4.3214898826651413E-15</c:v>
                </c:pt>
                <c:pt idx="92">
                  <c:v>2.748762253085783E-15</c:v>
                </c:pt>
                <c:pt idx="93">
                  <c:v>1.7518373552265539E-15</c:v>
                </c:pt>
                <c:pt idx="94">
                  <c:v>1.1186607644499714E-15</c:v>
                </c:pt>
                <c:pt idx="95">
                  <c:v>7.157247254241042E-16</c:v>
                </c:pt>
                <c:pt idx="96">
                  <c:v>4.5880853966301048E-16</c:v>
                </c:pt>
                <c:pt idx="97">
                  <c:v>2.9467927636290825E-16</c:v>
                </c:pt>
                <c:pt idx="98">
                  <c:v>1.896247479902647E-16</c:v>
                </c:pt>
                <c:pt idx="99">
                  <c:v>1.2225380267803984E-16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C783-47DB-A4F8-028BA47EB4E8}"/>
            </c:ext>
          </c:extLst>
        </c:ser>
        <c:ser>
          <c:idx val="0"/>
          <c:order val="2"/>
          <c:tx>
            <c:v>Sencillo Dual</c:v>
          </c:tx>
          <c:spPr>
            <a:ln>
              <a:solidFill>
                <a:srgbClr val="F3E319"/>
              </a:solidFill>
              <a:prstDash val="solid"/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Larguillo!$D$4:$D$103</c:f>
              <c:numCache>
                <c:formatCode>0.00</c:formatCode>
                <c:ptCount val="100"/>
                <c:pt idx="0">
                  <c:v>1.0230462885613235E-2</c:v>
                </c:pt>
                <c:pt idx="1">
                  <c:v>0.86532236371898352</c:v>
                </c:pt>
                <c:pt idx="2">
                  <c:v>4.7605152483056923</c:v>
                </c:pt>
                <c:pt idx="3">
                  <c:v>10.710955146851209</c:v>
                </c:pt>
                <c:pt idx="4">
                  <c:v>15.995120928826331</c:v>
                </c:pt>
                <c:pt idx="5">
                  <c:v>19.145891541151848</c:v>
                </c:pt>
                <c:pt idx="6">
                  <c:v>20.093085940899698</c:v>
                </c:pt>
                <c:pt idx="7">
                  <c:v>19.401982224594843</c:v>
                </c:pt>
                <c:pt idx="8">
                  <c:v>17.730767805417603</c:v>
                </c:pt>
                <c:pt idx="9">
                  <c:v>15.606798399314259</c:v>
                </c:pt>
                <c:pt idx="10">
                  <c:v>13.383614336839198</c:v>
                </c:pt>
                <c:pt idx="11">
                  <c:v>11.268467517219708</c:v>
                </c:pt>
                <c:pt idx="12">
                  <c:v>9.3653787083903257</c:v>
                </c:pt>
                <c:pt idx="13">
                  <c:v>7.7129406692098588</c:v>
                </c:pt>
                <c:pt idx="14">
                  <c:v>6.3118702042644177</c:v>
                </c:pt>
                <c:pt idx="15">
                  <c:v>5.1431789233970866</c:v>
                </c:pt>
                <c:pt idx="16">
                  <c:v>4.179335828286149</c:v>
                </c:pt>
                <c:pt idx="17">
                  <c:v>3.3906906315406062</c:v>
                </c:pt>
                <c:pt idx="18">
                  <c:v>2.7488893852824234</c:v>
                </c:pt>
                <c:pt idx="19">
                  <c:v>2.2284748747851846</c:v>
                </c:pt>
                <c:pt idx="20">
                  <c:v>1.8074444170183728</c:v>
                </c:pt>
                <c:pt idx="21">
                  <c:v>1.4672443402791193</c:v>
                </c:pt>
                <c:pt idx="22">
                  <c:v>1.1924875224863591</c:v>
                </c:pt>
                <c:pt idx="23">
                  <c:v>0.97055857021151148</c:v>
                </c:pt>
                <c:pt idx="24">
                  <c:v>0.79119671059977792</c:v>
                </c:pt>
                <c:pt idx="25">
                  <c:v>0.64610218776533646</c:v>
                </c:pt>
                <c:pt idx="26">
                  <c:v>0.52858645474948052</c:v>
                </c:pt>
                <c:pt idx="27">
                  <c:v>0.4332723437499667</c:v>
                </c:pt>
                <c:pt idx="28">
                  <c:v>0.35584304165053393</c:v>
                </c:pt>
                <c:pt idx="29">
                  <c:v>0.29283524223680374</c:v>
                </c:pt>
                <c:pt idx="30">
                  <c:v>0.24147056915994058</c:v>
                </c:pt>
                <c:pt idx="31">
                  <c:v>0.1995192449710754</c:v>
                </c:pt>
                <c:pt idx="32">
                  <c:v>0.16519043047129084</c:v>
                </c:pt>
                <c:pt idx="33">
                  <c:v>0.13704434234827553</c:v>
                </c:pt>
                <c:pt idx="34">
                  <c:v>0.11392199564721488</c:v>
                </c:pt>
                <c:pt idx="35">
                  <c:v>9.4889120018841158E-2</c:v>
                </c:pt>
                <c:pt idx="36">
                  <c:v>7.9191424341782057E-2</c:v>
                </c:pt>
                <c:pt idx="37">
                  <c:v>6.6218920333807482E-2</c:v>
                </c:pt>
                <c:pt idx="38">
                  <c:v>5.5477463603646457E-2</c:v>
                </c:pt>
                <c:pt idx="39">
                  <c:v>4.6566038451719777E-2</c:v>
                </c:pt>
                <c:pt idx="40">
                  <c:v>3.915861132811882E-2</c:v>
                </c:pt>
                <c:pt idx="41">
                  <c:v>3.298961821233562E-2</c:v>
                </c:pt>
                <c:pt idx="42">
                  <c:v>2.7842343500715381E-2</c:v>
                </c:pt>
                <c:pt idx="43">
                  <c:v>2.3539601226641567E-2</c:v>
                </c:pt>
                <c:pt idx="44">
                  <c:v>1.9936251182123308E-2</c:v>
                </c:pt>
                <c:pt idx="45">
                  <c:v>1.6913179045076089E-2</c:v>
                </c:pt>
                <c:pt idx="46">
                  <c:v>1.4372446074699253E-2</c:v>
                </c:pt>
                <c:pt idx="47">
                  <c:v>1.2233374459176372E-2</c:v>
                </c:pt>
                <c:pt idx="48">
                  <c:v>1.0429382302211828E-2</c:v>
                </c:pt>
                <c:pt idx="49">
                  <c:v>8.9054201592180977E-3</c:v>
                </c:pt>
                <c:pt idx="50">
                  <c:v>7.6158910757205649E-3</c:v>
                </c:pt>
                <c:pt idx="51">
                  <c:v>6.5229598973204515E-3</c:v>
                </c:pt>
                <c:pt idx="52">
                  <c:v>5.5951765210824683E-3</c:v>
                </c:pt>
                <c:pt idx="53">
                  <c:v>4.806352774608111E-3</c:v>
                </c:pt>
                <c:pt idx="54">
                  <c:v>4.1346445547695947E-3</c:v>
                </c:pt>
                <c:pt idx="55">
                  <c:v>3.5618003741336841E-3</c:v>
                </c:pt>
                <c:pt idx="56">
                  <c:v>3.0725450547288151E-3</c:v>
                </c:pt>
                <c:pt idx="57">
                  <c:v>2.6540733743980866E-3</c:v>
                </c:pt>
                <c:pt idx="58">
                  <c:v>2.2956333249080506E-3</c:v>
                </c:pt>
                <c:pt idx="59">
                  <c:v>1.9881825315446909E-3</c:v>
                </c:pt>
                <c:pt idx="60">
                  <c:v>1.7241045074323166E-3</c:v>
                </c:pt>
                <c:pt idx="61">
                  <c:v>1.4969739276518216E-3</c:v>
                </c:pt>
                <c:pt idx="62">
                  <c:v>1.3013621315702991E-3</c:v>
                </c:pt>
                <c:pt idx="63">
                  <c:v>1.1326756943699835E-3</c:v>
                </c:pt>
                <c:pt idx="64">
                  <c:v>9.8702222826611537E-4</c:v>
                </c:pt>
                <c:pt idx="65">
                  <c:v>8.6109864216420313E-4</c:v>
                </c:pt>
                <c:pt idx="66">
                  <c:v>7.5209795481859644E-4</c:v>
                </c:pt>
                <c:pt idx="67">
                  <c:v>6.5763146026944278E-4</c:v>
                </c:pt>
                <c:pt idx="68">
                  <c:v>5.7566361692322021E-4</c:v>
                </c:pt>
                <c:pt idx="69">
                  <c:v>5.044574983070106E-4</c:v>
                </c:pt>
                <c:pt idx="70">
                  <c:v>4.4252902448750143E-4</c:v>
                </c:pt>
                <c:pt idx="71">
                  <c:v>3.8860850464794944E-4</c:v>
                </c:pt>
                <c:pt idx="72">
                  <c:v>3.4160827643457876E-4</c:v>
                </c:pt>
                <c:pt idx="73">
                  <c:v>3.0059543695739921E-4</c:v>
                </c:pt>
                <c:pt idx="74">
                  <c:v>2.6476883226831614E-4</c:v>
                </c:pt>
                <c:pt idx="75">
                  <c:v>2.3343961362322564E-4</c:v>
                </c:pt>
                <c:pt idx="76">
                  <c:v>2.060147854380862E-4</c:v>
                </c:pt>
                <c:pt idx="77">
                  <c:v>1.8198326609371616E-4</c:v>
                </c:pt>
                <c:pt idx="78">
                  <c:v>1.6090406230425701E-4</c:v>
                </c:pt>
                <c:pt idx="79">
                  <c:v>1.4239622363018461E-4</c:v>
                </c:pt>
                <c:pt idx="80">
                  <c:v>1.2613029832539028E-4</c:v>
                </c:pt>
                <c:pt idx="81">
                  <c:v>1.1182105704895388E-4</c:v>
                </c:pt>
                <c:pt idx="82">
                  <c:v>9.9221288672271258E-5</c:v>
                </c:pt>
                <c:pt idx="83">
                  <c:v>8.811650380312462E-5</c:v>
                </c:pt>
                <c:pt idx="84">
                  <c:v>7.8320407822323623E-5</c:v>
                </c:pt>
                <c:pt idx="85">
                  <c:v>6.9671027082570227E-5</c:v>
                </c:pt>
                <c:pt idx="86">
                  <c:v>6.2027390191027161E-5</c:v>
                </c:pt>
                <c:pt idx="87">
                  <c:v>5.5266681594179042E-5</c:v>
                </c:pt>
                <c:pt idx="88">
                  <c:v>4.928179750718495E-5</c:v>
                </c:pt>
                <c:pt idx="89">
                  <c:v>4.3979244993913462E-5</c:v>
                </c:pt>
                <c:pt idx="90">
                  <c:v>3.9277334050607349E-5</c:v>
                </c:pt>
                <c:pt idx="91">
                  <c:v>3.5104620159207483E-5</c:v>
                </c:pt>
                <c:pt idx="92">
                  <c:v>3.1398561190929942E-5</c:v>
                </c:pt>
                <c:pt idx="93">
                  <c:v>2.8104357952088862E-5</c:v>
                </c:pt>
                <c:pt idx="94">
                  <c:v>2.5173952234765639E-5</c:v>
                </c:pt>
                <c:pt idx="95">
                  <c:v>2.2565160100012398E-5</c:v>
                </c:pt>
                <c:pt idx="96">
                  <c:v>2.024092139358866E-5</c:v>
                </c:pt>
                <c:pt idx="97">
                  <c:v>1.8168649267891271E-5</c:v>
                </c:pt>
                <c:pt idx="98">
                  <c:v>1.6319665837437104E-5</c:v>
                </c:pt>
                <c:pt idx="99">
                  <c:v>1.4668712094823936E-5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C783-47DB-A4F8-028BA47EB4E8}"/>
            </c:ext>
          </c:extLst>
        </c:ser>
        <c:ser>
          <c:idx val="3"/>
          <c:order val="3"/>
          <c:tx>
            <c:v>Sencillo</c:v>
          </c:tx>
          <c:spPr>
            <a:ln>
              <a:solidFill>
                <a:srgbClr val="1CCA52"/>
              </a:solidFill>
              <a:prstDash val="solid"/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Larguillo!$C$4:$C$103</c:f>
              <c:numCache>
                <c:formatCode>0.00</c:formatCode>
                <c:ptCount val="100"/>
                <c:pt idx="0">
                  <c:v>1.0110045112736447E-4</c:v>
                </c:pt>
                <c:pt idx="1">
                  <c:v>0.31934053328052636</c:v>
                </c:pt>
                <c:pt idx="2">
                  <c:v>5.7771608833961974</c:v>
                </c:pt>
                <c:pt idx="3">
                  <c:v>19.972095289182327</c:v>
                </c:pt>
                <c:pt idx="4">
                  <c:v>32.826251977169122</c:v>
                </c:pt>
                <c:pt idx="5">
                  <c:v>36.433346807019589</c:v>
                </c:pt>
                <c:pt idx="6">
                  <c:v>32.198756240991251</c:v>
                </c:pt>
                <c:pt idx="7">
                  <c:v>24.732148373171594</c:v>
                </c:pt>
                <c:pt idx="8">
                  <c:v>17.367074133946065</c:v>
                </c:pt>
                <c:pt idx="9">
                  <c:v>11.500303185486164</c:v>
                </c:pt>
                <c:pt idx="10">
                  <c:v>7.3259697526529637</c:v>
                </c:pt>
                <c:pt idx="11">
                  <c:v>4.5493809445334197</c:v>
                </c:pt>
                <c:pt idx="12">
                  <c:v>2.7791264220493628</c:v>
                </c:pt>
                <c:pt idx="13">
                  <c:v>1.6806773415264196</c:v>
                </c:pt>
                <c:pt idx="14">
                  <c:v>1.0107306444274524</c:v>
                </c:pt>
                <c:pt idx="15">
                  <c:v>0.60641325785716615</c:v>
                </c:pt>
                <c:pt idx="16">
                  <c:v>0.3638364884260587</c:v>
                </c:pt>
                <c:pt idx="17">
                  <c:v>0.21867287610841205</c:v>
                </c:pt>
                <c:pt idx="18">
                  <c:v>0.13182007004262689</c:v>
                </c:pt>
                <c:pt idx="19">
                  <c:v>7.9774834435544395E-2</c:v>
                </c:pt>
                <c:pt idx="20">
                  <c:v>4.8499637236258782E-2</c:v>
                </c:pt>
                <c:pt idx="21">
                  <c:v>2.9635187369113847E-2</c:v>
                </c:pt>
                <c:pt idx="22">
                  <c:v>1.8206222364111842E-2</c:v>
                </c:pt>
                <c:pt idx="23">
                  <c:v>1.1247970563587192E-2</c:v>
                </c:pt>
                <c:pt idx="24">
                  <c:v>6.9893017855030349E-3</c:v>
                </c:pt>
                <c:pt idx="25">
                  <c:v>4.3685187415609264E-3</c:v>
                </c:pt>
                <c:pt idx="26">
                  <c:v>2.746563737673938E-3</c:v>
                </c:pt>
                <c:pt idx="27">
                  <c:v>1.7369936243790973E-3</c:v>
                </c:pt>
                <c:pt idx="28">
                  <c:v>1.1049569374177457E-3</c:v>
                </c:pt>
                <c:pt idx="29">
                  <c:v>7.0697991766523974E-4</c:v>
                </c:pt>
                <c:pt idx="30">
                  <c:v>4.5493799292717623E-4</c:v>
                </c:pt>
                <c:pt idx="31">
                  <c:v>2.9440430919613192E-4</c:v>
                </c:pt>
                <c:pt idx="32">
                  <c:v>1.9157657203389543E-4</c:v>
                </c:pt>
                <c:pt idx="33">
                  <c:v>1.2534399286555335E-4</c:v>
                </c:pt>
                <c:pt idx="34">
                  <c:v>8.2448393330531008E-5</c:v>
                </c:pt>
                <c:pt idx="35">
                  <c:v>5.4516982097750608E-5</c:v>
                </c:pt>
                <c:pt idx="36">
                  <c:v>3.6233062091893961E-5</c:v>
                </c:pt>
                <c:pt idx="37">
                  <c:v>2.4202169709192039E-5</c:v>
                </c:pt>
                <c:pt idx="38">
                  <c:v>1.6245462275469062E-5</c:v>
                </c:pt>
                <c:pt idx="39">
                  <c:v>1.0956987436690861E-5</c:v>
                </c:pt>
                <c:pt idx="40">
                  <c:v>7.4248027457524445E-6</c:v>
                </c:pt>
                <c:pt idx="41">
                  <c:v>5.054374204406671E-6</c:v>
                </c:pt>
                <c:pt idx="42">
                  <c:v>3.4561568789551759E-6</c:v>
                </c:pt>
                <c:pt idx="43">
                  <c:v>2.3736619286178769E-6</c:v>
                </c:pt>
                <c:pt idx="44">
                  <c:v>1.6371949461751938E-6</c:v>
                </c:pt>
                <c:pt idx="45">
                  <c:v>1.1339549835821426E-6</c:v>
                </c:pt>
                <c:pt idx="46">
                  <c:v>7.8861301898841043E-7</c:v>
                </c:pt>
                <c:pt idx="47">
                  <c:v>5.506360847713136E-7</c:v>
                </c:pt>
                <c:pt idx="48">
                  <c:v>3.8597480108420847E-7</c:v>
                </c:pt>
                <c:pt idx="49">
                  <c:v>2.7158690278083494E-7</c:v>
                </c:pt>
                <c:pt idx="50">
                  <c:v>1.9181270508546093E-7</c:v>
                </c:pt>
                <c:pt idx="51">
                  <c:v>1.3596550303513534E-7</c:v>
                </c:pt>
                <c:pt idx="52">
                  <c:v>9.6722626698470732E-8</c:v>
                </c:pt>
                <c:pt idx="53">
                  <c:v>6.9046488078788535E-8</c:v>
                </c:pt>
                <c:pt idx="54">
                  <c:v>4.9457986872646788E-8</c:v>
                </c:pt>
                <c:pt idx="55">
                  <c:v>3.5545181342800917E-8</c:v>
                </c:pt>
                <c:pt idx="56">
                  <c:v>2.5629702090279795E-8</c:v>
                </c:pt>
                <c:pt idx="57">
                  <c:v>1.8539366262839398E-8</c:v>
                </c:pt>
                <c:pt idx="58">
                  <c:v>1.3452579758900682E-8</c:v>
                </c:pt>
                <c:pt idx="59">
                  <c:v>9.7914577032337287E-9</c:v>
                </c:pt>
                <c:pt idx="60">
                  <c:v>7.1481353304894041E-9</c:v>
                </c:pt>
                <c:pt idx="61">
                  <c:v>5.2337765146231104E-9</c:v>
                </c:pt>
                <c:pt idx="62">
                  <c:v>3.8431621783706916E-9</c:v>
                </c:pt>
                <c:pt idx="63">
                  <c:v>2.8300119404171767E-9</c:v>
                </c:pt>
                <c:pt idx="64">
                  <c:v>2.0897265455890161E-9</c:v>
                </c:pt>
                <c:pt idx="65">
                  <c:v>1.5472789146013586E-9</c:v>
                </c:pt>
                <c:pt idx="66">
                  <c:v>1.1486896593573764E-9</c:v>
                </c:pt>
                <c:pt idx="67">
                  <c:v>8.5500652567720466E-10</c:v>
                </c:pt>
                <c:pt idx="68">
                  <c:v>6.3803874530386862E-10</c:v>
                </c:pt>
                <c:pt idx="69">
                  <c:v>4.7732533288633531E-10</c:v>
                </c:pt>
                <c:pt idx="70">
                  <c:v>3.5797378196975236E-10</c:v>
                </c:pt>
                <c:pt idx="71">
                  <c:v>2.6911464140587664E-10</c:v>
                </c:pt>
                <c:pt idx="72">
                  <c:v>2.0279321554633339E-10</c:v>
                </c:pt>
                <c:pt idx="73">
                  <c:v>1.5317244879478787E-10</c:v>
                </c:pt>
                <c:pt idx="74">
                  <c:v>1.1595799389022605E-10</c:v>
                </c:pt>
                <c:pt idx="75">
                  <c:v>8.7982378082512228E-11</c:v>
                </c:pt>
                <c:pt idx="76">
                  <c:v>6.6903418035850607E-11</c:v>
                </c:pt>
                <c:pt idx="77">
                  <c:v>5.0984906491278563E-11</c:v>
                </c:pt>
                <c:pt idx="78">
                  <c:v>3.893670637883868E-11</c:v>
                </c:pt>
                <c:pt idx="79">
                  <c:v>2.9797858011377825E-11</c:v>
                </c:pt>
                <c:pt idx="80">
                  <c:v>2.2850911754793562E-11</c:v>
                </c:pt>
                <c:pt idx="81">
                  <c:v>1.7558987918586076E-11</c:v>
                </c:pt>
                <c:pt idx="82">
                  <c:v>1.3519420775686371E-11</c:v>
                </c:pt>
                <c:pt idx="83">
                  <c:v>1.0429534487160752E-11</c:v>
                </c:pt>
                <c:pt idx="84">
                  <c:v>8.0613158843452606E-12</c:v>
                </c:pt>
                <c:pt idx="85">
                  <c:v>6.2426275466839757E-12</c:v>
                </c:pt>
                <c:pt idx="86">
                  <c:v>4.8432402855673834E-12</c:v>
                </c:pt>
                <c:pt idx="87">
                  <c:v>3.7644252815713704E-12</c:v>
                </c:pt>
                <c:pt idx="88">
                  <c:v>2.9311814794537881E-12</c:v>
                </c:pt>
                <c:pt idx="89">
                  <c:v>2.2864183272947833E-12</c:v>
                </c:pt>
                <c:pt idx="90">
                  <c:v>1.7865926078701759E-12</c:v>
                </c:pt>
                <c:pt idx="91">
                  <c:v>1.398428981486493E-12</c:v>
                </c:pt>
                <c:pt idx="92">
                  <c:v>1.0964499471370086E-12</c:v>
                </c:pt>
                <c:pt idx="93">
                  <c:v>8.6111163969626034E-13</c:v>
                </c:pt>
                <c:pt idx="94">
                  <c:v>6.7739403441086221E-13</c:v>
                </c:pt>
                <c:pt idx="95">
                  <c:v>5.3373268178504371E-13</c:v>
                </c:pt>
                <c:pt idx="96">
                  <c:v>4.2120765574335262E-13</c:v>
                </c:pt>
                <c:pt idx="97">
                  <c:v>3.3292660100570509E-13</c:v>
                </c:pt>
                <c:pt idx="98">
                  <c:v>2.6355454031103348E-13</c:v>
                </c:pt>
                <c:pt idx="99">
                  <c:v>2.0895486271267467E-13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C783-47DB-A4F8-028BA47EB4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162048"/>
        <c:axId val="162583680"/>
      </c:scatterChart>
      <c:valAx>
        <c:axId val="172162048"/>
        <c:scaling>
          <c:orientation val="minMax"/>
          <c:max val="40"/>
          <c:min val="0"/>
        </c:scaling>
        <c:delete val="0"/>
        <c:axPos val="b"/>
        <c:majorGridlines>
          <c:spPr>
            <a:ln>
              <a:solidFill>
                <a:schemeClr val="bg1">
                  <a:lumMod val="50000"/>
                  <a:alpha val="50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 sz="1400"/>
                </a:pPr>
                <a:r>
                  <a:rPr lang="es-MX" sz="1400"/>
                  <a:t>Carga (Ton)</a:t>
                </a:r>
              </a:p>
            </c:rich>
          </c:tx>
          <c:layout>
            <c:manualLayout>
              <c:xMode val="edge"/>
              <c:yMode val="edge"/>
              <c:x val="0.44978727436592131"/>
              <c:y val="0.9360339179547027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s-ES"/>
          </a:p>
        </c:txPr>
        <c:crossAx val="162583680"/>
        <c:crossesAt val="0"/>
        <c:crossBetween val="midCat"/>
        <c:majorUnit val="5"/>
      </c:valAx>
      <c:valAx>
        <c:axId val="162583680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rgbClr val="C00000">
                  <a:alpha val="50000"/>
                </a:srgb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es-MX" sz="1400"/>
                  <a:t>Porcentaje ,</a:t>
                </a:r>
                <a:r>
                  <a:rPr lang="es-MX" sz="1400" baseline="0"/>
                  <a:t> %</a:t>
                </a:r>
                <a:endParaRPr lang="es-MX" sz="1400"/>
              </a:p>
            </c:rich>
          </c:tx>
          <c:layout>
            <c:manualLayout>
              <c:xMode val="edge"/>
              <c:yMode val="edge"/>
              <c:x val="4.3921566457480075E-3"/>
              <c:y val="0.37827475043315878"/>
            </c:manualLayout>
          </c:layout>
          <c:overlay val="0"/>
        </c:title>
        <c:numFmt formatCode="0&quot;%&quot;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s-ES"/>
          </a:p>
        </c:txPr>
        <c:crossAx val="172162048"/>
        <c:crosses val="autoZero"/>
        <c:crossBetween val="midCat"/>
      </c:valAx>
      <c:spPr>
        <a:noFill/>
      </c:spPr>
    </c:plotArea>
    <c:legend>
      <c:legendPos val="b"/>
      <c:layout>
        <c:manualLayout>
          <c:xMode val="edge"/>
          <c:yMode val="edge"/>
          <c:x val="0.70167518723460065"/>
          <c:y val="6.2700871646777734E-2"/>
          <c:w val="0.23449632535285048"/>
          <c:h val="0.35903034841482556"/>
        </c:manualLayout>
      </c:layout>
      <c:overlay val="0"/>
      <c:spPr>
        <a:solidFill>
          <a:schemeClr val="bg1"/>
        </a:solidFill>
        <a:effectLst>
          <a:outerShdw blurRad="50800" dist="38100" algn="l" rotWithShape="0">
            <a:prstClr val="black">
              <a:alpha val="40000"/>
            </a:prstClr>
          </a:outerShdw>
        </a:effectLst>
      </c:spPr>
      <c:txPr>
        <a:bodyPr/>
        <a:lstStyle/>
        <a:p>
          <a:pPr>
            <a:defRPr sz="1300"/>
          </a:pPr>
          <a:endParaRPr lang="es-E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000000000001432" l="0.70000000000000062" r="0.70000000000000062" t="0.7500000000000143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606383567409769"/>
          <c:y val="0.29926125805015025"/>
          <c:w val="0.63645463149991577"/>
          <c:h val="0.35616420332967708"/>
        </c:manualLayout>
      </c:layout>
      <c:scatterChart>
        <c:scatterStyle val="lineMarker"/>
        <c:varyColors val="0"/>
        <c:ser>
          <c:idx val="0"/>
          <c:order val="0"/>
          <c:tx>
            <c:v>Punto de análisis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FF0000"/>
              </a:solidFill>
            </c:spPr>
          </c:marker>
          <c:xVal>
            <c:numRef>
              <c:f>'Análisis Individual'!$J$10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'Análisis Individual'!$J$11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48-4893-9946-C790A61DB0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3241984"/>
        <c:axId val="163243904"/>
      </c:scatterChart>
      <c:valAx>
        <c:axId val="163241984"/>
        <c:scaling>
          <c:orientation val="minMax"/>
          <c:max val="244"/>
          <c:min val="0"/>
        </c:scaling>
        <c:delete val="1"/>
        <c:axPos val="b"/>
        <c:numFmt formatCode="General" sourceLinked="1"/>
        <c:majorTickMark val="out"/>
        <c:minorTickMark val="none"/>
        <c:tickLblPos val="none"/>
        <c:crossAx val="163243904"/>
        <c:crossesAt val="0"/>
        <c:crossBetween val="midCat"/>
        <c:majorUnit val="122"/>
      </c:valAx>
      <c:valAx>
        <c:axId val="163243904"/>
        <c:scaling>
          <c:orientation val="minMax"/>
          <c:max val="36"/>
          <c:min val="0"/>
        </c:scaling>
        <c:delete val="1"/>
        <c:axPos val="l"/>
        <c:majorGridlines>
          <c:spPr>
            <a:ln>
              <a:solidFill>
                <a:sysClr val="windowText" lastClr="000000">
                  <a:alpha val="0"/>
                </a:sysClr>
              </a:solidFill>
            </a:ln>
          </c:spPr>
        </c:majorGridlines>
        <c:numFmt formatCode="General" sourceLinked="0"/>
        <c:majorTickMark val="out"/>
        <c:minorTickMark val="none"/>
        <c:tickLblPos val="none"/>
        <c:crossAx val="163241984"/>
        <c:crossesAt val="244"/>
        <c:crossBetween val="midCat"/>
        <c:majorUnit val="36"/>
        <c:minorUnit val="36"/>
      </c:valAx>
      <c:spPr>
        <a:noFill/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141" l="0.70000000000000062" r="0.70000000000000062" t="0.7500000000000141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s-MX" sz="1400"/>
              <a:t>Punto</a:t>
            </a:r>
            <a:r>
              <a:rPr lang="es-MX" sz="1400" baseline="0"/>
              <a:t> de análisis</a:t>
            </a:r>
            <a:endParaRPr lang="es-MX" sz="1400"/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606383567409769"/>
          <c:y val="0.29926125805015025"/>
          <c:w val="0.63645463149991555"/>
          <c:h val="0.35616420332967685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FF0000"/>
              </a:solidFill>
            </c:spPr>
          </c:marker>
          <c:xVal>
            <c:numRef>
              <c:f>'Análisis Individual'!$J$10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'Análisis Individual'!$J$11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50-4537-9D0C-0E729AE78E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911552"/>
        <c:axId val="161913088"/>
      </c:scatterChart>
      <c:valAx>
        <c:axId val="161911552"/>
        <c:scaling>
          <c:orientation val="minMax"/>
          <c:max val="244"/>
          <c:min val="0"/>
        </c:scaling>
        <c:delete val="1"/>
        <c:axPos val="b"/>
        <c:numFmt formatCode="General" sourceLinked="1"/>
        <c:majorTickMark val="out"/>
        <c:minorTickMark val="none"/>
        <c:tickLblPos val="none"/>
        <c:crossAx val="161913088"/>
        <c:crossesAt val="0"/>
        <c:crossBetween val="midCat"/>
        <c:majorUnit val="122"/>
      </c:valAx>
      <c:valAx>
        <c:axId val="161913088"/>
        <c:scaling>
          <c:orientation val="minMax"/>
          <c:max val="36"/>
          <c:min val="0"/>
        </c:scaling>
        <c:delete val="1"/>
        <c:axPos val="l"/>
        <c:majorGridlines>
          <c:spPr>
            <a:ln>
              <a:solidFill>
                <a:sysClr val="windowText" lastClr="000000">
                  <a:alpha val="0"/>
                </a:sysClr>
              </a:solidFill>
            </a:ln>
          </c:spPr>
        </c:majorGridlines>
        <c:numFmt formatCode="General" sourceLinked="0"/>
        <c:majorTickMark val="out"/>
        <c:minorTickMark val="none"/>
        <c:tickLblPos val="none"/>
        <c:crossAx val="161911552"/>
        <c:crossesAt val="244"/>
        <c:crossBetween val="midCat"/>
        <c:majorUnit val="36"/>
        <c:minorUnit val="36"/>
      </c:valAx>
      <c:spPr>
        <a:noFill/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9525">
      <a:noFill/>
    </a:ln>
  </c:spPr>
  <c:printSettings>
    <c:headerFooter/>
    <c:pageMargins b="0.75000000000001388" l="0.70000000000000062" r="0.70000000000000062" t="0.75000000000001388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606383567409769"/>
          <c:y val="0.29926125805015025"/>
          <c:w val="0.63645463149991599"/>
          <c:h val="0.35616420332967735"/>
        </c:manualLayout>
      </c:layout>
      <c:scatterChart>
        <c:scatterStyle val="lineMarker"/>
        <c:varyColors val="0"/>
        <c:ser>
          <c:idx val="0"/>
          <c:order val="0"/>
          <c:tx>
            <c:v>Punto de análisis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FF0000"/>
              </a:solidFill>
            </c:spPr>
          </c:marker>
          <c:xVal>
            <c:numRef>
              <c:f>'Análisis Individual'!$J$10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'Análisis Individual'!$J$11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757-46B8-BA68-77CB153BE8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3273344"/>
        <c:axId val="163291904"/>
      </c:scatterChart>
      <c:valAx>
        <c:axId val="163273344"/>
        <c:scaling>
          <c:orientation val="minMax"/>
          <c:max val="244"/>
          <c:min val="0"/>
        </c:scaling>
        <c:delete val="1"/>
        <c:axPos val="b"/>
        <c:numFmt formatCode="General" sourceLinked="1"/>
        <c:majorTickMark val="out"/>
        <c:minorTickMark val="none"/>
        <c:tickLblPos val="none"/>
        <c:crossAx val="163291904"/>
        <c:crossesAt val="0"/>
        <c:crossBetween val="midCat"/>
        <c:majorUnit val="122"/>
      </c:valAx>
      <c:valAx>
        <c:axId val="163291904"/>
        <c:scaling>
          <c:orientation val="minMax"/>
          <c:max val="36"/>
          <c:min val="0"/>
        </c:scaling>
        <c:delete val="1"/>
        <c:axPos val="l"/>
        <c:majorGridlines>
          <c:spPr>
            <a:ln>
              <a:solidFill>
                <a:sysClr val="windowText" lastClr="000000">
                  <a:alpha val="0"/>
                </a:sysClr>
              </a:solidFill>
            </a:ln>
          </c:spPr>
        </c:majorGridlines>
        <c:numFmt formatCode="General" sourceLinked="0"/>
        <c:majorTickMark val="out"/>
        <c:minorTickMark val="none"/>
        <c:tickLblPos val="none"/>
        <c:crossAx val="163273344"/>
        <c:crossesAt val="244"/>
        <c:crossBetween val="midCat"/>
        <c:majorUnit val="36"/>
        <c:minorUnit val="36"/>
      </c:valAx>
      <c:spPr>
        <a:noFill/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1432" l="0.70000000000000062" r="0.70000000000000062" t="0.7500000000000143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606383567409769"/>
          <c:y val="0.29926125805015025"/>
          <c:w val="0.63645463149991577"/>
          <c:h val="0.35616420332967708"/>
        </c:manualLayout>
      </c:layout>
      <c:scatterChart>
        <c:scatterStyle val="lineMarker"/>
        <c:varyColors val="0"/>
        <c:ser>
          <c:idx val="0"/>
          <c:order val="0"/>
          <c:tx>
            <c:v>Punto de análisis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FF0000"/>
              </a:solidFill>
            </c:spPr>
          </c:marker>
          <c:xVal>
            <c:numRef>
              <c:f>'Análisis Individual'!$J$10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'Análisis Individual'!$J$11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67-4451-AAB6-B0F7794244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886208"/>
        <c:axId val="161888128"/>
      </c:scatterChart>
      <c:valAx>
        <c:axId val="161886208"/>
        <c:scaling>
          <c:orientation val="minMax"/>
          <c:max val="244"/>
          <c:min val="0"/>
        </c:scaling>
        <c:delete val="1"/>
        <c:axPos val="b"/>
        <c:numFmt formatCode="General" sourceLinked="1"/>
        <c:majorTickMark val="out"/>
        <c:minorTickMark val="none"/>
        <c:tickLblPos val="none"/>
        <c:crossAx val="161888128"/>
        <c:crossesAt val="0"/>
        <c:crossBetween val="midCat"/>
        <c:majorUnit val="122"/>
      </c:valAx>
      <c:valAx>
        <c:axId val="161888128"/>
        <c:scaling>
          <c:orientation val="minMax"/>
          <c:max val="36"/>
          <c:min val="0"/>
        </c:scaling>
        <c:delete val="1"/>
        <c:axPos val="l"/>
        <c:majorGridlines>
          <c:spPr>
            <a:ln>
              <a:solidFill>
                <a:sysClr val="windowText" lastClr="000000">
                  <a:alpha val="0"/>
                </a:sysClr>
              </a:solidFill>
            </a:ln>
          </c:spPr>
        </c:majorGridlines>
        <c:numFmt formatCode="General" sourceLinked="0"/>
        <c:majorTickMark val="out"/>
        <c:minorTickMark val="none"/>
        <c:tickLblPos val="none"/>
        <c:crossAx val="161886208"/>
        <c:crossesAt val="244"/>
        <c:crossBetween val="midCat"/>
        <c:majorUnit val="36"/>
        <c:minorUnit val="36"/>
      </c:valAx>
      <c:spPr>
        <a:noFill/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141" l="0.70000000000000062" r="0.70000000000000062" t="0.7500000000000141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606383567409769"/>
          <c:y val="0.29926125805015025"/>
          <c:w val="0.63645463149991577"/>
          <c:h val="0.35616420332967708"/>
        </c:manualLayout>
      </c:layout>
      <c:scatterChart>
        <c:scatterStyle val="lineMarker"/>
        <c:varyColors val="0"/>
        <c:ser>
          <c:idx val="0"/>
          <c:order val="0"/>
          <c:tx>
            <c:v>Punto de análisis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FF0000"/>
              </a:solidFill>
            </c:spPr>
          </c:marker>
          <c:xVal>
            <c:numRef>
              <c:f>'Análisis Individual'!$J$10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'Análisis Individual'!$J$11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19-4F41-87CB-3B1C60857A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3263616"/>
        <c:axId val="163265536"/>
      </c:scatterChart>
      <c:valAx>
        <c:axId val="163263616"/>
        <c:scaling>
          <c:orientation val="minMax"/>
          <c:max val="244"/>
          <c:min val="0"/>
        </c:scaling>
        <c:delete val="1"/>
        <c:axPos val="b"/>
        <c:numFmt formatCode="General" sourceLinked="1"/>
        <c:majorTickMark val="out"/>
        <c:minorTickMark val="none"/>
        <c:tickLblPos val="none"/>
        <c:crossAx val="163265536"/>
        <c:crossesAt val="0"/>
        <c:crossBetween val="midCat"/>
        <c:majorUnit val="122"/>
      </c:valAx>
      <c:valAx>
        <c:axId val="163265536"/>
        <c:scaling>
          <c:orientation val="minMax"/>
          <c:max val="36"/>
          <c:min val="0"/>
        </c:scaling>
        <c:delete val="1"/>
        <c:axPos val="l"/>
        <c:majorGridlines>
          <c:spPr>
            <a:ln>
              <a:solidFill>
                <a:sysClr val="windowText" lastClr="000000">
                  <a:alpha val="0"/>
                </a:sysClr>
              </a:solidFill>
            </a:ln>
          </c:spPr>
        </c:majorGridlines>
        <c:numFmt formatCode="General" sourceLinked="0"/>
        <c:majorTickMark val="out"/>
        <c:minorTickMark val="none"/>
        <c:tickLblPos val="none"/>
        <c:crossAx val="163263616"/>
        <c:crossesAt val="244"/>
        <c:crossBetween val="midCat"/>
        <c:majorUnit val="36"/>
        <c:minorUnit val="36"/>
      </c:valAx>
      <c:spPr>
        <a:noFill/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141" l="0.70000000000000062" r="0.70000000000000062" t="0.7500000000000141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MX" sz="2000"/>
              <a:t>Espectros de daño por</a:t>
            </a:r>
            <a:r>
              <a:rPr lang="es-MX" sz="2000" baseline="0"/>
              <a:t> DEFORMACIÓN PERMANENTE</a:t>
            </a:r>
            <a:endParaRPr lang="es-MX" sz="20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800387662581846"/>
          <c:y val="8.9837230173530527E-2"/>
          <c:w val="0.80847868374558562"/>
          <c:h val="0.7376608535040367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Larguillo!$AP$2</c:f>
              <c:strCache>
                <c:ptCount val="1"/>
                <c:pt idx="0">
                  <c:v>SIMPLE</c:v>
                </c:pt>
              </c:strCache>
            </c:strRef>
          </c:tx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Larguillo!$AP$4:$AP$103</c:f>
              <c:numCache>
                <c:formatCode>0.000E+00</c:formatCode>
                <c:ptCount val="100"/>
                <c:pt idx="0">
                  <c:v>6.1870003117930955E-14</c:v>
                </c:pt>
                <c:pt idx="1">
                  <c:v>2.9909295976943478E-9</c:v>
                </c:pt>
                <c:pt idx="2">
                  <c:v>2.6582233387329677E-7</c:v>
                </c:pt>
                <c:pt idx="3">
                  <c:v>2.8351808932822056E-6</c:v>
                </c:pt>
                <c:pt idx="4">
                  <c:v>1.1141735362308736E-5</c:v>
                </c:pt>
                <c:pt idx="5">
                  <c:v>2.5164254113239862E-5</c:v>
                </c:pt>
                <c:pt idx="6">
                  <c:v>4.0491055917409343E-5</c:v>
                </c:pt>
                <c:pt idx="7">
                  <c:v>5.2197880160565967E-5</c:v>
                </c:pt>
                <c:pt idx="8">
                  <c:v>5.7807019372078124E-5</c:v>
                </c:pt>
                <c:pt idx="9">
                  <c:v>5.7480866796185838E-5</c:v>
                </c:pt>
                <c:pt idx="10">
                  <c:v>5.2845232287944034E-5</c:v>
                </c:pt>
                <c:pt idx="11">
                  <c:v>4.5834331464758061E-5</c:v>
                </c:pt>
                <c:pt idx="12">
                  <c:v>3.8045019528112931E-5</c:v>
                </c:pt>
                <c:pt idx="13">
                  <c:v>3.0538761325394002E-5</c:v>
                </c:pt>
                <c:pt idx="14">
                  <c:v>2.3889813057123856E-5</c:v>
                </c:pt>
                <c:pt idx="15">
                  <c:v>1.8319870462195415E-5</c:v>
                </c:pt>
                <c:pt idx="16">
                  <c:v>1.3833421209445054E-5</c:v>
                </c:pt>
                <c:pt idx="17">
                  <c:v>1.0321649871046074E-5</c:v>
                </c:pt>
                <c:pt idx="18">
                  <c:v>7.6308183939236996E-6</c:v>
                </c:pt>
                <c:pt idx="19">
                  <c:v>5.601954988980996E-6</c:v>
                </c:pt>
                <c:pt idx="20">
                  <c:v>4.0908125856202739E-6</c:v>
                </c:pt>
                <c:pt idx="21">
                  <c:v>2.9756995052071605E-6</c:v>
                </c:pt>
                <c:pt idx="22">
                  <c:v>2.1585930372173406E-6</c:v>
                </c:pt>
                <c:pt idx="23">
                  <c:v>1.5629890743225322E-6</c:v>
                </c:pt>
                <c:pt idx="24">
                  <c:v>1.1305057534927002E-6</c:v>
                </c:pt>
                <c:pt idx="25">
                  <c:v>8.1731718432012622E-7</c:v>
                </c:pt>
                <c:pt idx="26">
                  <c:v>5.9092334858386989E-7</c:v>
                </c:pt>
                <c:pt idx="27">
                  <c:v>4.2744187459917453E-7</c:v>
                </c:pt>
                <c:pt idx="28">
                  <c:v>3.0944194067151395E-7</c:v>
                </c:pt>
                <c:pt idx="29">
                  <c:v>2.2426523247930963E-7</c:v>
                </c:pt>
                <c:pt idx="30">
                  <c:v>1.627526424633797E-7</c:v>
                </c:pt>
                <c:pt idx="31">
                  <c:v>1.1829380049137076E-7</c:v>
                </c:pt>
                <c:pt idx="32">
                  <c:v>8.6125771639176888E-8</c:v>
                </c:pt>
                <c:pt idx="33">
                  <c:v>6.2820031070805465E-8</c:v>
                </c:pt>
                <c:pt idx="34">
                  <c:v>4.5909552372880535E-8</c:v>
                </c:pt>
                <c:pt idx="35">
                  <c:v>3.3619007412331526E-8</c:v>
                </c:pt>
                <c:pt idx="36">
                  <c:v>2.4670222870679986E-8</c:v>
                </c:pt>
                <c:pt idx="37">
                  <c:v>1.8142228742205048E-8</c:v>
                </c:pt>
                <c:pt idx="38">
                  <c:v>1.337073145950808E-8</c:v>
                </c:pt>
                <c:pt idx="39">
                  <c:v>9.8759669034265407E-9</c:v>
                </c:pt>
                <c:pt idx="40">
                  <c:v>7.3109374189502529E-9</c:v>
                </c:pt>
                <c:pt idx="41">
                  <c:v>5.4242688651976529E-9</c:v>
                </c:pt>
                <c:pt idx="42">
                  <c:v>4.0335453230579124E-9</c:v>
                </c:pt>
                <c:pt idx="43">
                  <c:v>3.0061507266014277E-9</c:v>
                </c:pt>
                <c:pt idx="44">
                  <c:v>2.2454897946061283E-9</c:v>
                </c:pt>
                <c:pt idx="45">
                  <c:v>1.6810655812787609E-9</c:v>
                </c:pt>
                <c:pt idx="46">
                  <c:v>1.2613241584184591E-9</c:v>
                </c:pt>
                <c:pt idx="47">
                  <c:v>9.4848675660462701E-10</c:v>
                </c:pt>
                <c:pt idx="48">
                  <c:v>7.1481112147059257E-10</c:v>
                </c:pt>
                <c:pt idx="49">
                  <c:v>5.3988206825203535E-10</c:v>
                </c:pt>
                <c:pt idx="50">
                  <c:v>4.0864430551775002E-10</c:v>
                </c:pt>
                <c:pt idx="51">
                  <c:v>3.0997146706679831E-10</c:v>
                </c:pt>
                <c:pt idx="52">
                  <c:v>2.3562316476042931E-10</c:v>
                </c:pt>
                <c:pt idx="53">
                  <c:v>1.7948333474188346E-10</c:v>
                </c:pt>
                <c:pt idx="54">
                  <c:v>1.3700288596633746E-10</c:v>
                </c:pt>
                <c:pt idx="55">
                  <c:v>1.0479101688724402E-10</c:v>
                </c:pt>
                <c:pt idx="56">
                  <c:v>8.0314927490101785E-11</c:v>
                </c:pt>
                <c:pt idx="57">
                  <c:v>6.167872028054832E-11</c:v>
                </c:pt>
                <c:pt idx="58">
                  <c:v>4.7460269478994951E-11</c:v>
                </c:pt>
                <c:pt idx="59">
                  <c:v>3.6590610250465258E-11</c:v>
                </c:pt>
                <c:pt idx="60">
                  <c:v>2.8264580139036791E-11</c:v>
                </c:pt>
                <c:pt idx="61">
                  <c:v>2.1874477767320884E-11</c:v>
                </c:pt>
                <c:pt idx="62">
                  <c:v>1.6960708420442328E-11</c:v>
                </c:pt>
                <c:pt idx="63">
                  <c:v>1.3174991668186691E-11</c:v>
                </c:pt>
                <c:pt idx="64">
                  <c:v>1.0252877727647023E-11</c:v>
                </c:pt>
                <c:pt idx="65">
                  <c:v>7.9931758162061364E-12</c:v>
                </c:pt>
                <c:pt idx="66">
                  <c:v>6.2425252220601627E-12</c:v>
                </c:pt>
                <c:pt idx="67">
                  <c:v>4.8838003976174202E-12</c:v>
                </c:pt>
                <c:pt idx="68">
                  <c:v>3.8273801228268562E-12</c:v>
                </c:pt>
                <c:pt idx="69">
                  <c:v>3.00456041400513E-12</c:v>
                </c:pt>
                <c:pt idx="70">
                  <c:v>2.362575176310718E-12</c:v>
                </c:pt>
                <c:pt idx="71">
                  <c:v>1.8608249681929548E-12</c:v>
                </c:pt>
                <c:pt idx="72">
                  <c:v>1.4680153373671672E-12</c:v>
                </c:pt>
                <c:pt idx="73">
                  <c:v>1.1599812734570614E-12</c:v>
                </c:pt>
                <c:pt idx="74">
                  <c:v>9.180302008427999E-13</c:v>
                </c:pt>
                <c:pt idx="75">
                  <c:v>7.2767760013613585E-13</c:v>
                </c:pt>
                <c:pt idx="76">
                  <c:v>5.7768047312487726E-13</c:v>
                </c:pt>
                <c:pt idx="77">
                  <c:v>4.5929716382151397E-13</c:v>
                </c:pt>
                <c:pt idx="78">
                  <c:v>3.6571951934044202E-13</c:v>
                </c:pt>
                <c:pt idx="79">
                  <c:v>2.9163650049605675E-13</c:v>
                </c:pt>
                <c:pt idx="80">
                  <c:v>2.3289823210886696E-13</c:v>
                </c:pt>
                <c:pt idx="81">
                  <c:v>1.8625693345005342E-13</c:v>
                </c:pt>
                <c:pt idx="82">
                  <c:v>1.4916679775991042E-13</c:v>
                </c:pt>
                <c:pt idx="83">
                  <c:v>1.1962914954527632E-13</c:v>
                </c:pt>
                <c:pt idx="84">
                  <c:v>9.6072437995455471E-14</c:v>
                </c:pt>
                <c:pt idx="85">
                  <c:v>7.725907779404232E-14</c:v>
                </c:pt>
                <c:pt idx="86">
                  <c:v>6.2213014888088646E-14</c:v>
                </c:pt>
                <c:pt idx="87">
                  <c:v>5.0163317165633559E-14</c:v>
                </c:pt>
                <c:pt idx="88">
                  <c:v>4.0500175920368863E-14</c:v>
                </c:pt>
                <c:pt idx="89">
                  <c:v>3.2740534438159221E-14</c:v>
                </c:pt>
                <c:pt idx="90">
                  <c:v>2.6501196186890962E-14</c:v>
                </c:pt>
                <c:pt idx="91">
                  <c:v>2.1477753198104819E-14</c:v>
                </c:pt>
                <c:pt idx="92">
                  <c:v>1.7428050358522696E-14</c:v>
                </c:pt>
                <c:pt idx="93">
                  <c:v>1.4159190097204831E-14</c:v>
                </c:pt>
                <c:pt idx="94">
                  <c:v>1.1517304596640909E-14</c:v>
                </c:pt>
                <c:pt idx="95">
                  <c:v>9.3794945863822283E-15</c:v>
                </c:pt>
                <c:pt idx="96">
                  <c:v>7.6474667538878767E-15</c:v>
                </c:pt>
                <c:pt idx="97">
                  <c:v>6.2425048134118754E-15</c:v>
                </c:pt>
                <c:pt idx="98">
                  <c:v>5.1014891861324076E-15</c:v>
                </c:pt>
                <c:pt idx="99">
                  <c:v>4.1737423342181199E-15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5BA-4E36-932F-B77769812399}"/>
            </c:ext>
          </c:extLst>
        </c:ser>
        <c:ser>
          <c:idx val="1"/>
          <c:order val="1"/>
          <c:tx>
            <c:strRef>
              <c:f>Larguillo!$AR$2</c:f>
              <c:strCache>
                <c:ptCount val="1"/>
                <c:pt idx="0">
                  <c:v>DUAL</c:v>
                </c:pt>
              </c:strCache>
            </c:strRef>
          </c:tx>
          <c:spPr>
            <a:ln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Larguillo!$AR$4:$AR$103</c:f>
              <c:numCache>
                <c:formatCode>0.000E+00</c:formatCode>
                <c:ptCount val="100"/>
                <c:pt idx="0">
                  <c:v>1.5411409812183795E-12</c:v>
                </c:pt>
                <c:pt idx="1">
                  <c:v>2.0146216454224325E-9</c:v>
                </c:pt>
                <c:pt idx="2">
                  <c:v>5.4983198693154252E-8</c:v>
                </c:pt>
                <c:pt idx="3">
                  <c:v>3.8540048014337848E-7</c:v>
                </c:pt>
                <c:pt idx="4">
                  <c:v>1.3895242482522427E-6</c:v>
                </c:pt>
                <c:pt idx="5">
                  <c:v>3.4175912440995053E-6</c:v>
                </c:pt>
                <c:pt idx="6">
                  <c:v>6.5937273449099177E-6</c:v>
                </c:pt>
                <c:pt idx="7">
                  <c:v>1.0789433334329482E-5</c:v>
                </c:pt>
                <c:pt idx="8">
                  <c:v>1.5701188941957136E-5</c:v>
                </c:pt>
                <c:pt idx="9">
                  <c:v>2.095370886206473E-5</c:v>
                </c:pt>
                <c:pt idx="10">
                  <c:v>2.6183132580193748E-5</c:v>
                </c:pt>
                <c:pt idx="11">
                  <c:v>3.1086932055121953E-5</c:v>
                </c:pt>
                <c:pt idx="12">
                  <c:v>3.5444484975492709E-5</c:v>
                </c:pt>
                <c:pt idx="13">
                  <c:v>3.911765539878239E-5</c:v>
                </c:pt>
                <c:pt idx="14">
                  <c:v>4.2040281734403917E-5</c:v>
                </c:pt>
                <c:pt idx="15">
                  <c:v>4.4203092024324708E-5</c:v>
                </c:pt>
                <c:pt idx="16">
                  <c:v>4.5638104080526457E-5</c:v>
                </c:pt>
                <c:pt idx="17">
                  <c:v>4.6404665496011778E-5</c:v>
                </c:pt>
                <c:pt idx="18">
                  <c:v>4.6578025360473826E-5</c:v>
                </c:pt>
                <c:pt idx="19">
                  <c:v>4.6240583932962223E-5</c:v>
                </c:pt>
                <c:pt idx="20">
                  <c:v>4.5475580314129874E-5</c:v>
                </c:pt>
                <c:pt idx="21">
                  <c:v>4.4362817152399504E-5</c:v>
                </c:pt>
                <c:pt idx="22">
                  <c:v>4.2975989092286496E-5</c:v>
                </c:pt>
                <c:pt idx="23">
                  <c:v>4.1381215063957287E-5</c:v>
                </c:pt>
                <c:pt idx="24">
                  <c:v>3.9636435565461253E-5</c:v>
                </c:pt>
                <c:pt idx="25">
                  <c:v>3.7791403498238346E-5</c:v>
                </c:pt>
                <c:pt idx="26">
                  <c:v>3.5888060085315283E-5</c:v>
                </c:pt>
                <c:pt idx="27">
                  <c:v>3.3961141335305454E-5</c:v>
                </c:pt>
                <c:pt idx="28">
                  <c:v>3.2038904246355067E-5</c:v>
                </c:pt>
                <c:pt idx="29">
                  <c:v>3.0143896035741779E-5</c:v>
                </c:pt>
                <c:pt idx="30">
                  <c:v>2.8293715441333277E-5</c:v>
                </c:pt>
                <c:pt idx="31">
                  <c:v>2.6501734084017805E-5</c:v>
                </c:pt>
                <c:pt idx="32">
                  <c:v>2.4777759451540562E-5</c:v>
                </c:pt>
                <c:pt idx="33">
                  <c:v>2.3128630523717794E-5</c:v>
                </c:pt>
                <c:pt idx="34">
                  <c:v>2.1558743445448198E-5</c:v>
                </c:pt>
                <c:pt idx="35">
                  <c:v>2.0070508792304894E-5</c:v>
                </c:pt>
                <c:pt idx="36">
                  <c:v>1.8664744501237728E-5</c:v>
                </c:pt>
                <c:pt idx="37">
                  <c:v>1.7341009937870682E-5</c:v>
                </c:pt>
                <c:pt idx="38">
                  <c:v>1.6097887199447594E-5</c:v>
                </c:pt>
                <c:pt idx="39">
                  <c:v>1.4933215869254119E-5</c:v>
                </c:pt>
                <c:pt idx="40">
                  <c:v>1.3844287231112999E-5</c:v>
                </c:pt>
                <c:pt idx="41">
                  <c:v>1.2828003552832204E-5</c:v>
                </c:pt>
                <c:pt idx="42">
                  <c:v>1.1881007546010808E-5</c:v>
                </c:pt>
                <c:pt idx="43">
                  <c:v>1.0999786567421414E-5</c:v>
                </c:pt>
                <c:pt idx="44">
                  <c:v>1.018075558405254E-5</c:v>
                </c:pt>
                <c:pt idx="45">
                  <c:v>9.420322404515521E-6</c:v>
                </c:pt>
                <c:pt idx="46">
                  <c:v>8.7149381981497673E-6</c:v>
                </c:pt>
                <c:pt idx="47">
                  <c:v>8.0611358869079233E-6</c:v>
                </c:pt>
                <c:pt idx="48">
                  <c:v>7.455558606367848E-6</c:v>
                </c:pt>
                <c:pt idx="49">
                  <c:v>6.8949800903419824E-6</c:v>
                </c:pt>
                <c:pt idx="50">
                  <c:v>6.3763185360505151E-6</c:v>
                </c:pt>
                <c:pt idx="51">
                  <c:v>5.8966452501682792E-6</c:v>
                </c:pt>
                <c:pt idx="52">
                  <c:v>5.453189156245492E-6</c:v>
                </c:pt>
                <c:pt idx="53">
                  <c:v>5.043338056925373E-6</c:v>
                </c:pt>
                <c:pt idx="54">
                  <c:v>4.6646373860318816E-6</c:v>
                </c:pt>
                <c:pt idx="55">
                  <c:v>4.3147870522209881E-6</c:v>
                </c:pt>
                <c:pt idx="56">
                  <c:v>3.9916368640430038E-6</c:v>
                </c:pt>
                <c:pt idx="57">
                  <c:v>3.6931809328641069E-6</c:v>
                </c:pt>
                <c:pt idx="58">
                  <c:v>3.4175513724083121E-6</c:v>
                </c:pt>
                <c:pt idx="59">
                  <c:v>3.16301154931371E-6</c:v>
                </c:pt>
                <c:pt idx="60">
                  <c:v>2.9279490859698481E-6</c:v>
                </c:pt>
                <c:pt idx="61">
                  <c:v>2.7108687732263415E-6</c:v>
                </c:pt>
                <c:pt idx="62">
                  <c:v>2.5103855148024319E-6</c:v>
                </c:pt>
                <c:pt idx="63">
                  <c:v>2.3252173960762967E-6</c:v>
                </c:pt>
                <c:pt idx="64">
                  <c:v>2.1541789462831721E-6</c:v>
                </c:pt>
                <c:pt idx="65">
                  <c:v>1.9961746440656166E-6</c:v>
                </c:pt>
                <c:pt idx="66">
                  <c:v>1.8501927010096909E-6</c:v>
                </c:pt>
                <c:pt idx="67">
                  <c:v>1.7152991456043022E-6</c:v>
                </c:pt>
                <c:pt idx="68">
                  <c:v>1.5906322204244303E-6</c:v>
                </c:pt>
                <c:pt idx="69">
                  <c:v>1.4753970977988872E-6</c:v>
                </c:pt>
                <c:pt idx="70">
                  <c:v>1.3688609133954891E-6</c:v>
                </c:pt>
                <c:pt idx="71">
                  <c:v>1.2703481127202374E-6</c:v>
                </c:pt>
                <c:pt idx="72">
                  <c:v>1.1792361022178573E-6</c:v>
                </c:pt>
                <c:pt idx="73">
                  <c:v>1.0949511942597512E-6</c:v>
                </c:pt>
                <c:pt idx="74">
                  <c:v>1.0169648336310393E-6</c:v>
                </c:pt>
                <c:pt idx="75">
                  <c:v>9.4479009203301427E-7</c:v>
                </c:pt>
                <c:pt idx="76">
                  <c:v>8.7797841647862788E-7</c:v>
                </c:pt>
                <c:pt idx="77">
                  <c:v>8.1611661717757033E-7</c:v>
                </c:pt>
                <c:pt idx="78">
                  <c:v>7.5882408050237063E-7</c:v>
                </c:pt>
                <c:pt idx="79">
                  <c:v>7.0575019283266477E-7</c:v>
                </c:pt>
                <c:pt idx="80">
                  <c:v>6.5657196143708142E-7</c:v>
                </c:pt>
                <c:pt idx="81">
                  <c:v>6.1099181902929127E-7</c:v>
                </c:pt>
                <c:pt idx="82">
                  <c:v>5.6873559919150464E-7</c:v>
                </c:pt>
                <c:pt idx="83">
                  <c:v>5.2955067046825143E-7</c:v>
                </c:pt>
                <c:pt idx="84">
                  <c:v>4.9320421757408531E-7</c:v>
                </c:pt>
                <c:pt idx="85">
                  <c:v>4.5948165881376405E-7</c:v>
                </c:pt>
                <c:pt idx="86">
                  <c:v>4.2818518946993847E-7</c:v>
                </c:pt>
                <c:pt idx="87">
                  <c:v>3.9913244156104176E-7</c:v>
                </c:pt>
                <c:pt idx="88">
                  <c:v>3.7215525100383462E-7</c:v>
                </c:pt>
                <c:pt idx="89">
                  <c:v>3.4709852382533998E-7</c:v>
                </c:pt>
                <c:pt idx="90">
                  <c:v>3.2381919365395754E-7</c:v>
                </c:pt>
                <c:pt idx="91">
                  <c:v>3.0218526327695781E-7</c:v>
                </c:pt>
                <c:pt idx="92">
                  <c:v>2.8207492357957001E-7</c:v>
                </c:pt>
                <c:pt idx="93">
                  <c:v>2.6337574367916159E-7</c:v>
                </c:pt>
                <c:pt idx="94">
                  <c:v>2.4598392653609545E-7</c:v>
                </c:pt>
                <c:pt idx="95">
                  <c:v>2.2980362476134238E-7</c:v>
                </c:pt>
                <c:pt idx="96">
                  <c:v>2.1474631175046857E-7</c:v>
                </c:pt>
                <c:pt idx="97">
                  <c:v>2.007302036551376E-7</c:v>
                </c:pt>
                <c:pt idx="98">
                  <c:v>1.8767972805804253E-7</c:v>
                </c:pt>
                <c:pt idx="99">
                  <c:v>1.7552503554627878E-7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5BA-4E36-932F-B77769812399}"/>
            </c:ext>
          </c:extLst>
        </c:ser>
        <c:ser>
          <c:idx val="2"/>
          <c:order val="2"/>
          <c:tx>
            <c:strRef>
              <c:f>Larguillo!$AT$2</c:f>
              <c:strCache>
                <c:ptCount val="1"/>
                <c:pt idx="0">
                  <c:v>TANDEM</c:v>
                </c:pt>
              </c:strCache>
            </c:strRef>
          </c:tx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Larguillo!$AT$4:$AT$103</c:f>
              <c:numCache>
                <c:formatCode>0.000E+00</c:formatCode>
                <c:ptCount val="100"/>
                <c:pt idx="0">
                  <c:v>8.2691378740371718E-55</c:v>
                </c:pt>
                <c:pt idx="1">
                  <c:v>9.3405971393950385E-35</c:v>
                </c:pt>
                <c:pt idx="2">
                  <c:v>1.9159198467086757E-25</c:v>
                </c:pt>
                <c:pt idx="3">
                  <c:v>6.4096856445091817E-20</c:v>
                </c:pt>
                <c:pt idx="4">
                  <c:v>2.9726164140231003E-16</c:v>
                </c:pt>
                <c:pt idx="5">
                  <c:v>1.1679128373475898E-13</c:v>
                </c:pt>
                <c:pt idx="6">
                  <c:v>9.5337583713575431E-12</c:v>
                </c:pt>
                <c:pt idx="7">
                  <c:v>2.6722289099061024E-10</c:v>
                </c:pt>
                <c:pt idx="8">
                  <c:v>3.507792768075973E-9</c:v>
                </c:pt>
                <c:pt idx="9">
                  <c:v>2.8302927263787648E-8</c:v>
                </c:pt>
                <c:pt idx="10">
                  <c:v>2.0775268965049653E-7</c:v>
                </c:pt>
                <c:pt idx="11">
                  <c:v>1.3859779777155201E-6</c:v>
                </c:pt>
                <c:pt idx="12">
                  <c:v>5.7854135947824565E-6</c:v>
                </c:pt>
                <c:pt idx="13">
                  <c:v>1.3789760768757893E-5</c:v>
                </c:pt>
                <c:pt idx="14">
                  <c:v>2.0293946976827104E-5</c:v>
                </c:pt>
                <c:pt idx="15">
                  <c:v>2.0973283724348727E-5</c:v>
                </c:pt>
                <c:pt idx="16">
                  <c:v>1.8011747514298325E-5</c:v>
                </c:pt>
                <c:pt idx="17">
                  <c:v>1.5428485367636801E-5</c:v>
                </c:pt>
                <c:pt idx="18">
                  <c:v>1.4415012828806644E-5</c:v>
                </c:pt>
                <c:pt idx="19">
                  <c:v>1.4149924080873759E-5</c:v>
                </c:pt>
                <c:pt idx="20">
                  <c:v>1.3832755649841835E-5</c:v>
                </c:pt>
                <c:pt idx="21">
                  <c:v>1.3523763778103374E-5</c:v>
                </c:pt>
                <c:pt idx="22">
                  <c:v>1.4447396716634907E-5</c:v>
                </c:pt>
                <c:pt idx="23">
                  <c:v>1.9290330373666412E-5</c:v>
                </c:pt>
                <c:pt idx="24">
                  <c:v>3.1909230076539582E-5</c:v>
                </c:pt>
                <c:pt idx="25">
                  <c:v>5.5587362512541017E-5</c:v>
                </c:pt>
                <c:pt idx="26">
                  <c:v>9.0187916514530036E-5</c:v>
                </c:pt>
                <c:pt idx="27">
                  <c:v>1.3025093475117818E-4</c:v>
                </c:pt>
                <c:pt idx="28">
                  <c:v>1.6613499701856641E-4</c:v>
                </c:pt>
                <c:pt idx="29">
                  <c:v>1.8807608484131718E-4</c:v>
                </c:pt>
                <c:pt idx="30">
                  <c:v>1.9060186592511247E-4</c:v>
                </c:pt>
                <c:pt idx="31">
                  <c:v>1.745132665370333E-4</c:v>
                </c:pt>
                <c:pt idx="32">
                  <c:v>1.4563064439694244E-4</c:v>
                </c:pt>
                <c:pt idx="33">
                  <c:v>1.1166542227718447E-4</c:v>
                </c:pt>
                <c:pt idx="34">
                  <c:v>7.9255216158381599E-5</c:v>
                </c:pt>
                <c:pt idx="35">
                  <c:v>5.2418071273698313E-5</c:v>
                </c:pt>
                <c:pt idx="36">
                  <c:v>3.2501749022743094E-5</c:v>
                </c:pt>
                <c:pt idx="37">
                  <c:v>1.8997343618397988E-5</c:v>
                </c:pt>
                <c:pt idx="38">
                  <c:v>1.0520095391751502E-5</c:v>
                </c:pt>
                <c:pt idx="39">
                  <c:v>5.5449005494042518E-6</c:v>
                </c:pt>
                <c:pt idx="40">
                  <c:v>2.793740285983675E-6</c:v>
                </c:pt>
                <c:pt idx="41">
                  <c:v>1.3510693543637317E-6</c:v>
                </c:pt>
                <c:pt idx="42">
                  <c:v>6.2968258282209588E-7</c:v>
                </c:pt>
                <c:pt idx="43">
                  <c:v>2.8400946793819454E-7</c:v>
                </c:pt>
                <c:pt idx="44">
                  <c:v>1.2454441000702742E-7</c:v>
                </c:pt>
                <c:pt idx="45">
                  <c:v>5.3397265960254366E-8</c:v>
                </c:pt>
                <c:pt idx="46">
                  <c:v>2.2545799309460328E-8</c:v>
                </c:pt>
                <c:pt idx="47">
                  <c:v>9.4680953464024548E-9</c:v>
                </c:pt>
                <c:pt idx="48">
                  <c:v>4.0086380477221044E-9</c:v>
                </c:pt>
                <c:pt idx="49">
                  <c:v>1.7412653989569684E-9</c:v>
                </c:pt>
                <c:pt idx="50">
                  <c:v>7.9133802431711026E-10</c:v>
                </c:pt>
                <c:pt idx="51">
                  <c:v>3.8255784707851125E-10</c:v>
                </c:pt>
                <c:pt idx="52">
                  <c:v>1.9817394097452037E-10</c:v>
                </c:pt>
                <c:pt idx="53">
                  <c:v>1.0949100391467589E-10</c:v>
                </c:pt>
                <c:pt idx="54">
                  <c:v>6.3675059234629048E-11</c:v>
                </c:pt>
                <c:pt idx="55">
                  <c:v>3.8385064161349711E-11</c:v>
                </c:pt>
                <c:pt idx="56">
                  <c:v>2.3677518372758924E-11</c:v>
                </c:pt>
                <c:pt idx="57">
                  <c:v>1.480913105015318E-11</c:v>
                </c:pt>
                <c:pt idx="58">
                  <c:v>9.3378346533231762E-12</c:v>
                </c:pt>
                <c:pt idx="59">
                  <c:v>5.9159475181959425E-12</c:v>
                </c:pt>
                <c:pt idx="60">
                  <c:v>3.7588276016946647E-12</c:v>
                </c:pt>
                <c:pt idx="61">
                  <c:v>2.3927661706938822E-12</c:v>
                </c:pt>
                <c:pt idx="62">
                  <c:v>1.5252869755864264E-12</c:v>
                </c:pt>
                <c:pt idx="63">
                  <c:v>9.7343293271663899E-13</c:v>
                </c:pt>
                <c:pt idx="64">
                  <c:v>6.2190565836768581E-13</c:v>
                </c:pt>
                <c:pt idx="65">
                  <c:v>3.9773971314064554E-13</c:v>
                </c:pt>
                <c:pt idx="66">
                  <c:v>2.546458015664248E-13</c:v>
                </c:pt>
                <c:pt idx="67">
                  <c:v>1.6321165137320942E-13</c:v>
                </c:pt>
                <c:pt idx="68">
                  <c:v>1.0472717271530401E-13</c:v>
                </c:pt>
                <c:pt idx="69">
                  <c:v>6.7278780522399062E-14</c:v>
                </c:pt>
                <c:pt idx="70">
                  <c:v>4.3273666442657462E-14</c:v>
                </c:pt>
                <c:pt idx="71">
                  <c:v>2.7868360741240639E-14</c:v>
                </c:pt>
                <c:pt idx="72">
                  <c:v>1.7970302643694823E-14</c:v>
                </c:pt>
                <c:pt idx="73">
                  <c:v>1.1602950679120118E-14</c:v>
                </c:pt>
                <c:pt idx="74">
                  <c:v>7.5017438971226389E-15</c:v>
                </c:pt>
                <c:pt idx="75">
                  <c:v>4.8567668567552731E-15</c:v>
                </c:pt>
                <c:pt idx="76">
                  <c:v>3.1487120476219373E-15</c:v>
                </c:pt>
                <c:pt idx="77">
                  <c:v>2.0442204938732197E-15</c:v>
                </c:pt>
                <c:pt idx="78">
                  <c:v>1.3290433364056405E-15</c:v>
                </c:pt>
                <c:pt idx="79">
                  <c:v>8.6531416171323697E-16</c:v>
                </c:pt>
                <c:pt idx="80">
                  <c:v>5.642058736569086E-16</c:v>
                </c:pt>
                <c:pt idx="81">
                  <c:v>3.684135875382635E-16</c:v>
                </c:pt>
                <c:pt idx="82">
                  <c:v>2.4091972567269273E-16</c:v>
                </c:pt>
                <c:pt idx="83">
                  <c:v>1.5777986301977702E-16</c:v>
                </c:pt>
                <c:pt idx="84">
                  <c:v>1.0348478637276398E-16</c:v>
                </c:pt>
                <c:pt idx="85">
                  <c:v>6.7975097757061486E-17</c:v>
                </c:pt>
                <c:pt idx="86">
                  <c:v>4.4717112810825086E-17</c:v>
                </c:pt>
                <c:pt idx="87">
                  <c:v>2.946116838335893E-17</c:v>
                </c:pt>
                <c:pt idx="88">
                  <c:v>1.9439261339004432E-17</c:v>
                </c:pt>
                <c:pt idx="89">
                  <c:v>1.2845884622925087E-17</c:v>
                </c:pt>
                <c:pt idx="90">
                  <c:v>8.5016507031674933E-18</c:v>
                </c:pt>
                <c:pt idx="91">
                  <c:v>5.6350484360158509E-18</c:v>
                </c:pt>
                <c:pt idx="92">
                  <c:v>3.7406498729725998E-18</c:v>
                </c:pt>
                <c:pt idx="93">
                  <c:v>2.4868582952935291E-18</c:v>
                </c:pt>
                <c:pt idx="94">
                  <c:v>1.6558038257921809E-18</c:v>
                </c:pt>
                <c:pt idx="95">
                  <c:v>1.1041285146596762E-18</c:v>
                </c:pt>
                <c:pt idx="96">
                  <c:v>7.3736425027164457E-19</c:v>
                </c:pt>
                <c:pt idx="97">
                  <c:v>4.9316793132004215E-19</c:v>
                </c:pt>
                <c:pt idx="98">
                  <c:v>3.3033627717135025E-19</c:v>
                </c:pt>
                <c:pt idx="99">
                  <c:v>2.2159737494951889E-19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5BA-4E36-932F-B77769812399}"/>
            </c:ext>
          </c:extLst>
        </c:ser>
        <c:ser>
          <c:idx val="3"/>
          <c:order val="3"/>
          <c:tx>
            <c:strRef>
              <c:f>Larguillo!$AV$2</c:f>
              <c:strCache>
                <c:ptCount val="1"/>
                <c:pt idx="0">
                  <c:v>TRIDEM</c:v>
                </c:pt>
              </c:strCache>
            </c:strRef>
          </c:tx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Larguillo!$AV$4:$AV$103</c:f>
              <c:numCache>
                <c:formatCode>0.000E+00</c:formatCode>
                <c:ptCount val="100"/>
                <c:pt idx="0">
                  <c:v>1.4242505548310262E-31</c:v>
                </c:pt>
                <c:pt idx="1">
                  <c:v>3.2245982261260234E-21</c:v>
                </c:pt>
                <c:pt idx="2">
                  <c:v>1.7331599479793161E-16</c:v>
                </c:pt>
                <c:pt idx="3">
                  <c:v>1.0025681293310704E-13</c:v>
                </c:pt>
                <c:pt idx="4">
                  <c:v>6.3703987809495649E-12</c:v>
                </c:pt>
                <c:pt idx="5">
                  <c:v>1.1406895601955206E-10</c:v>
                </c:pt>
                <c:pt idx="6">
                  <c:v>9.163620274276823E-10</c:v>
                </c:pt>
                <c:pt idx="7">
                  <c:v>4.2805665085605686E-9</c:v>
                </c:pt>
                <c:pt idx="8">
                  <c:v>1.3608579385305958E-8</c:v>
                </c:pt>
                <c:pt idx="9">
                  <c:v>3.2592301387904884E-8</c:v>
                </c:pt>
                <c:pt idx="10">
                  <c:v>6.298914443166525E-8</c:v>
                </c:pt>
                <c:pt idx="11">
                  <c:v>1.0309842832916893E-7</c:v>
                </c:pt>
                <c:pt idx="12">
                  <c:v>1.4801580378574616E-7</c:v>
                </c:pt>
                <c:pt idx="13">
                  <c:v>1.9137380856768463E-7</c:v>
                </c:pt>
                <c:pt idx="14">
                  <c:v>2.2757368162526144E-7</c:v>
                </c:pt>
                <c:pt idx="15">
                  <c:v>2.5374240902965049E-7</c:v>
                </c:pt>
                <c:pt idx="16">
                  <c:v>2.7115935552387679E-7</c:v>
                </c:pt>
                <c:pt idx="17">
                  <c:v>2.8603628737063014E-7</c:v>
                </c:pt>
                <c:pt idx="18">
                  <c:v>3.0925729153877847E-7</c:v>
                </c:pt>
                <c:pt idx="19">
                  <c:v>3.545195364441515E-7</c:v>
                </c:pt>
                <c:pt idx="20">
                  <c:v>4.347666157616737E-7</c:v>
                </c:pt>
                <c:pt idx="21">
                  <c:v>5.5776403947226849E-7</c:v>
                </c:pt>
                <c:pt idx="22">
                  <c:v>7.2244600288092662E-7</c:v>
                </c:pt>
                <c:pt idx="23">
                  <c:v>9.1762001384875822E-7</c:v>
                </c:pt>
                <c:pt idx="24">
                  <c:v>1.1237010166985754E-6</c:v>
                </c:pt>
                <c:pt idx="25">
                  <c:v>1.3169003943032526E-6</c:v>
                </c:pt>
                <c:pt idx="26">
                  <c:v>1.4744002083158085E-6</c:v>
                </c:pt>
                <c:pt idx="27">
                  <c:v>1.5788735390005394E-6</c:v>
                </c:pt>
                <c:pt idx="28">
                  <c:v>1.6211964634300234E-6</c:v>
                </c:pt>
                <c:pt idx="29">
                  <c:v>1.6009813692584578E-6</c:v>
                </c:pt>
                <c:pt idx="30">
                  <c:v>1.525266687245652E-6</c:v>
                </c:pt>
                <c:pt idx="31">
                  <c:v>1.4061002460234306E-6</c:v>
                </c:pt>
                <c:pt idx="32">
                  <c:v>1.2578189725232784E-6</c:v>
                </c:pt>
                <c:pt idx="33">
                  <c:v>1.0946534219429228E-6</c:v>
                </c:pt>
                <c:pt idx="34">
                  <c:v>9.2901024458004299E-7</c:v>
                </c:pt>
                <c:pt idx="35">
                  <c:v>7.7052382180005617E-7</c:v>
                </c:pt>
                <c:pt idx="36">
                  <c:v>6.2578321237221633E-7</c:v>
                </c:pt>
                <c:pt idx="37">
                  <c:v>4.9854717724302445E-7</c:v>
                </c:pt>
                <c:pt idx="38">
                  <c:v>3.9024243780244633E-7</c:v>
                </c:pt>
                <c:pt idx="39">
                  <c:v>3.0057036561168553E-7</c:v>
                </c:pt>
                <c:pt idx="40">
                  <c:v>2.2809800618575356E-7</c:v>
                </c:pt>
                <c:pt idx="41">
                  <c:v>1.7076124451980796E-7</c:v>
                </c:pt>
                <c:pt idx="42">
                  <c:v>1.2625028021692119E-7</c:v>
                </c:pt>
                <c:pt idx="43">
                  <c:v>9.2276684257359452E-8</c:v>
                </c:pt>
                <c:pt idx="44">
                  <c:v>6.6737889626042838E-8</c:v>
                </c:pt>
                <c:pt idx="45">
                  <c:v>4.78018574076163E-8</c:v>
                </c:pt>
                <c:pt idx="46">
                  <c:v>3.3935161984591489E-8</c:v>
                </c:pt>
                <c:pt idx="47">
                  <c:v>2.3894728325108082E-8</c:v>
                </c:pt>
                <c:pt idx="48">
                  <c:v>1.6699032688469511E-8</c:v>
                </c:pt>
                <c:pt idx="49">
                  <c:v>1.1590067251257866E-8</c:v>
                </c:pt>
                <c:pt idx="50">
                  <c:v>7.9934634727266456E-9</c:v>
                </c:pt>
                <c:pt idx="51">
                  <c:v>5.4811295396025055E-9</c:v>
                </c:pt>
                <c:pt idx="52">
                  <c:v>3.7385859508825016E-9</c:v>
                </c:pt>
                <c:pt idx="53">
                  <c:v>2.5377535363974741E-9</c:v>
                </c:pt>
                <c:pt idx="54">
                  <c:v>1.7150896498321467E-9</c:v>
                </c:pt>
                <c:pt idx="55">
                  <c:v>1.1545152277832328E-9</c:v>
                </c:pt>
                <c:pt idx="56">
                  <c:v>7.7438911350436702E-10</c:v>
                </c:pt>
                <c:pt idx="57">
                  <c:v>5.1776115912517541E-10</c:v>
                </c:pt>
                <c:pt idx="58">
                  <c:v>3.4519811311314719E-10</c:v>
                </c:pt>
                <c:pt idx="59">
                  <c:v>2.2957774358512336E-10</c:v>
                </c:pt>
                <c:pt idx="60">
                  <c:v>1.52357722276496E-10</c:v>
                </c:pt>
                <c:pt idx="61">
                  <c:v>1.0093043432921509E-10</c:v>
                </c:pt>
                <c:pt idx="62">
                  <c:v>6.6765618105351942E-11</c:v>
                </c:pt>
                <c:pt idx="63">
                  <c:v>4.4117294520985944E-11</c:v>
                </c:pt>
                <c:pt idx="64">
                  <c:v>2.9130386242968876E-11</c:v>
                </c:pt>
                <c:pt idx="65">
                  <c:v>1.9227677558718351E-11</c:v>
                </c:pt>
                <c:pt idx="66">
                  <c:v>1.2691707861708681E-11</c:v>
                </c:pt>
                <c:pt idx="67">
                  <c:v>8.3811730201737651E-12</c:v>
                </c:pt>
                <c:pt idx="68">
                  <c:v>5.5395061954785875E-12</c:v>
                </c:pt>
                <c:pt idx="69">
                  <c:v>3.666244911203797E-12</c:v>
                </c:pt>
                <c:pt idx="70">
                  <c:v>2.4309305449343903E-12</c:v>
                </c:pt>
                <c:pt idx="71">
                  <c:v>1.6156793591671662E-12</c:v>
                </c:pt>
                <c:pt idx="72">
                  <c:v>1.0769969339796772E-12</c:v>
                </c:pt>
                <c:pt idx="73">
                  <c:v>7.2045778552401847E-13</c:v>
                </c:pt>
                <c:pt idx="74">
                  <c:v>4.839561410264131E-13</c:v>
                </c:pt>
                <c:pt idx="75">
                  <c:v>3.2664947611404469E-13</c:v>
                </c:pt>
                <c:pt idx="76">
                  <c:v>2.2167278705127784E-13</c:v>
                </c:pt>
                <c:pt idx="77">
                  <c:v>1.5134457324088504E-13</c:v>
                </c:pt>
                <c:pt idx="78">
                  <c:v>1.040159772507838E-13</c:v>
                </c:pt>
                <c:pt idx="79">
                  <c:v>7.2001624409711377E-14</c:v>
                </c:pt>
                <c:pt idx="80">
                  <c:v>5.0221531032014098E-14</c:v>
                </c:pt>
                <c:pt idx="81">
                  <c:v>3.5309911745030891E-14</c:v>
                </c:pt>
                <c:pt idx="82">
                  <c:v>2.5030302893538895E-14</c:v>
                </c:pt>
                <c:pt idx="83">
                  <c:v>1.7891540338086205E-14</c:v>
                </c:pt>
                <c:pt idx="84">
                  <c:v>1.2895408178799097E-14</c:v>
                </c:pt>
                <c:pt idx="85">
                  <c:v>9.3706115624598031E-15</c:v>
                </c:pt>
                <c:pt idx="86">
                  <c:v>6.8633669125191941E-15</c:v>
                </c:pt>
                <c:pt idx="87">
                  <c:v>5.0651537533685907E-15</c:v>
                </c:pt>
                <c:pt idx="88">
                  <c:v>3.764885309791405E-15</c:v>
                </c:pt>
                <c:pt idx="89">
                  <c:v>2.8171488278977841E-15</c:v>
                </c:pt>
                <c:pt idx="90">
                  <c:v>2.1210415782752755E-15</c:v>
                </c:pt>
                <c:pt idx="91">
                  <c:v>1.6060097760957577E-15</c:v>
                </c:pt>
                <c:pt idx="92">
                  <c:v>1.2223290636527942E-15</c:v>
                </c:pt>
                <c:pt idx="93">
                  <c:v>9.3467174639543316E-16</c:v>
                </c:pt>
                <c:pt idx="94">
                  <c:v>7.1773475227541659E-16</c:v>
                </c:pt>
                <c:pt idx="95">
                  <c:v>5.5324941352016229E-16</c:v>
                </c:pt>
                <c:pt idx="96">
                  <c:v>4.2792243747968019E-16</c:v>
                </c:pt>
                <c:pt idx="97">
                  <c:v>3.3200785378896557E-16</c:v>
                </c:pt>
                <c:pt idx="98">
                  <c:v>2.5830909778529585E-16</c:v>
                </c:pt>
                <c:pt idx="99">
                  <c:v>2.0147623492577678E-16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5BA-4E36-932F-B77769812399}"/>
            </c:ext>
          </c:extLst>
        </c:ser>
        <c:ser>
          <c:idx val="4"/>
          <c:order val="4"/>
          <c:tx>
            <c:v>TOTAL</c:v>
          </c:tx>
          <c:spPr>
            <a:ln cap="rnd">
              <a:solidFill>
                <a:sysClr val="windowText" lastClr="000000"/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Larguillo!$AY$4:$AY$103</c:f>
              <c:numCache>
                <c:formatCode>0.000E+00</c:formatCode>
                <c:ptCount val="100"/>
                <c:pt idx="0">
                  <c:v>1.6030109843363104E-12</c:v>
                </c:pt>
                <c:pt idx="1">
                  <c:v>5.005551243120005E-9</c:v>
                </c:pt>
                <c:pt idx="2">
                  <c:v>3.2080553273976704E-7</c:v>
                </c:pt>
                <c:pt idx="3">
                  <c:v>3.220581473682461E-6</c:v>
                </c:pt>
                <c:pt idx="4">
                  <c:v>1.2531265981257021E-5</c:v>
                </c:pt>
                <c:pt idx="5">
                  <c:v>2.858195954308667E-5</c:v>
                </c:pt>
                <c:pt idx="6">
                  <c:v>4.7085709158105063E-5</c:v>
                </c:pt>
                <c:pt idx="7">
                  <c:v>6.2991861284295003E-5</c:v>
                </c:pt>
                <c:pt idx="8">
                  <c:v>7.3525324686188632E-5</c:v>
                </c:pt>
                <c:pt idx="9">
                  <c:v>7.8495470886902265E-5</c:v>
                </c:pt>
                <c:pt idx="10">
                  <c:v>7.9299106702219937E-5</c:v>
                </c:pt>
                <c:pt idx="11">
                  <c:v>7.8410339925924705E-5</c:v>
                </c:pt>
                <c:pt idx="12">
                  <c:v>7.9422933902173842E-5</c:v>
                </c:pt>
                <c:pt idx="13">
                  <c:v>8.363755130150198E-5</c:v>
                </c:pt>
                <c:pt idx="14">
                  <c:v>8.645161544998014E-5</c:v>
                </c:pt>
                <c:pt idx="15">
                  <c:v>8.3749988619898498E-5</c:v>
                </c:pt>
                <c:pt idx="16">
                  <c:v>7.775443215979371E-5</c:v>
                </c:pt>
                <c:pt idx="17">
                  <c:v>7.2440837022065283E-5</c:v>
                </c:pt>
                <c:pt idx="18">
                  <c:v>6.8933113874742954E-5</c:v>
                </c:pt>
                <c:pt idx="19">
                  <c:v>6.6346982539261138E-5</c:v>
                </c:pt>
                <c:pt idx="20">
                  <c:v>6.3833915165353665E-5</c:v>
                </c:pt>
                <c:pt idx="21">
                  <c:v>6.1420044475182304E-5</c:v>
                </c:pt>
                <c:pt idx="22">
                  <c:v>6.030442484901967E-5</c:v>
                </c:pt>
                <c:pt idx="23">
                  <c:v>6.3152154525794986E-5</c:v>
                </c:pt>
                <c:pt idx="24">
                  <c:v>7.3799872412192105E-5</c:v>
                </c:pt>
                <c:pt idx="25">
                  <c:v>9.5512983589402745E-5</c:v>
                </c:pt>
                <c:pt idx="26">
                  <c:v>1.2814130015674502E-4</c:v>
                </c:pt>
                <c:pt idx="27">
                  <c:v>1.6621839150008334E-4</c:v>
                </c:pt>
                <c:pt idx="28">
                  <c:v>2.0010453966902301E-4</c:v>
                </c:pt>
                <c:pt idx="29">
                  <c:v>2.2004522747879674E-4</c:v>
                </c:pt>
                <c:pt idx="30">
                  <c:v>2.2058360069615479E-4</c:v>
                </c:pt>
                <c:pt idx="31">
                  <c:v>2.0253939466756591E-4</c:v>
                </c:pt>
                <c:pt idx="32">
                  <c:v>1.7175234859264545E-4</c:v>
                </c:pt>
                <c:pt idx="33">
                  <c:v>1.35951526253916E-4</c:v>
                </c:pt>
                <c:pt idx="34">
                  <c:v>1.0178887940078271E-4</c:v>
                </c:pt>
                <c:pt idx="35">
                  <c:v>7.3292722895215601E-5</c:v>
                </c:pt>
                <c:pt idx="36">
                  <c:v>5.1816946959223723E-5</c:v>
                </c:pt>
                <c:pt idx="37">
                  <c:v>3.6855042962253897E-5</c:v>
                </c:pt>
                <c:pt idx="38">
                  <c:v>2.7021595760461049E-5</c:v>
                </c:pt>
                <c:pt idx="39">
                  <c:v>2.0788562751173482E-5</c:v>
                </c:pt>
                <c:pt idx="40">
                  <c:v>1.6873436460701378E-5</c:v>
                </c:pt>
                <c:pt idx="41">
                  <c:v>1.435525842058094E-5</c:v>
                </c:pt>
                <c:pt idx="42">
                  <c:v>1.2640973954372883E-5</c:v>
                </c:pt>
                <c:pt idx="43">
                  <c:v>1.1379078870343569E-5</c:v>
                </c:pt>
                <c:pt idx="44">
                  <c:v>1.0374283373480217E-5</c:v>
                </c:pt>
                <c:pt idx="45">
                  <c:v>9.5232025934646705E-6</c:v>
                </c:pt>
                <c:pt idx="46">
                  <c:v>8.7726804836022382E-6</c:v>
                </c:pt>
                <c:pt idx="47">
                  <c:v>8.0954471973360379E-6</c:v>
                </c:pt>
                <c:pt idx="48">
                  <c:v>7.4769810882255104E-6</c:v>
                </c:pt>
                <c:pt idx="49">
                  <c:v>6.9088513050604493E-6</c:v>
                </c:pt>
                <c:pt idx="50">
                  <c:v>6.3855119818530768E-6</c:v>
                </c:pt>
                <c:pt idx="51">
                  <c:v>5.9028189090220274E-6</c:v>
                </c:pt>
                <c:pt idx="52">
                  <c:v>5.4573615393021095E-6</c:v>
                </c:pt>
                <c:pt idx="53">
                  <c:v>5.0461647848004277E-6</c:v>
                </c:pt>
                <c:pt idx="54">
                  <c:v>4.6665531536269146E-6</c:v>
                </c:pt>
                <c:pt idx="55">
                  <c:v>4.3160847435298211E-6</c:v>
                </c:pt>
                <c:pt idx="56">
                  <c:v>3.9925152456023705E-6</c:v>
                </c:pt>
                <c:pt idx="57">
                  <c:v>3.693775181874563E-6</c:v>
                </c:pt>
                <c:pt idx="58">
                  <c:v>3.4179533686255579E-6</c:v>
                </c:pt>
                <c:pt idx="59">
                  <c:v>3.1632836336150637E-6</c:v>
                </c:pt>
                <c:pt idx="60">
                  <c:v>2.9281334670998651E-6</c:v>
                </c:pt>
                <c:pt idx="61">
                  <c:v>2.7109939709046086E-6</c:v>
                </c:pt>
                <c:pt idx="62">
                  <c:v>2.510470766415933E-6</c:v>
                </c:pt>
                <c:pt idx="63">
                  <c:v>2.3252756617954183E-6</c:v>
                </c:pt>
                <c:pt idx="64">
                  <c:v>2.1542189514528008E-6</c:v>
                </c:pt>
                <c:pt idx="65">
                  <c:v>1.9962022626587045E-6</c:v>
                </c:pt>
                <c:pt idx="66">
                  <c:v>1.8502118898885762E-6</c:v>
                </c:pt>
                <c:pt idx="67">
                  <c:v>1.7153125737893715E-6</c:v>
                </c:pt>
                <c:pt idx="68">
                  <c:v>1.5906416920379211E-6</c:v>
                </c:pt>
                <c:pt idx="69">
                  <c:v>1.475403835882993E-6</c:v>
                </c:pt>
                <c:pt idx="70">
                  <c:v>1.3688657501748769E-6</c:v>
                </c:pt>
                <c:pt idx="71">
                  <c:v>1.2703516170929255E-6</c:v>
                </c:pt>
                <c:pt idx="72">
                  <c:v>1.1792386652004313E-6</c:v>
                </c:pt>
                <c:pt idx="73">
                  <c:v>1.094953086301761E-6</c:v>
                </c:pt>
                <c:pt idx="74">
                  <c:v>1.0169662431191252E-6</c:v>
                </c:pt>
                <c:pt idx="75">
                  <c:v>9.4479115121685729E-7</c:v>
                </c:pt>
                <c:pt idx="76">
                  <c:v>8.7797921898059998E-7</c:v>
                </c:pt>
                <c:pt idx="77">
                  <c:v>8.1611722986352789E-7</c:v>
                </c:pt>
                <c:pt idx="78">
                  <c:v>7.5882455156691053E-7</c:v>
                </c:pt>
                <c:pt idx="79">
                  <c:v>7.0575055733610382E-7</c:v>
                </c:pt>
                <c:pt idx="80">
                  <c:v>6.5657224512105043E-7</c:v>
                </c:pt>
                <c:pt idx="81">
                  <c:v>6.1099204096454996E-7</c:v>
                </c:pt>
                <c:pt idx="82">
                  <c:v>5.6873577362952496E-7</c:v>
                </c:pt>
                <c:pt idx="83">
                  <c:v>5.2955080814672119E-7</c:v>
                </c:pt>
                <c:pt idx="84">
                  <c:v>4.9320432664541625E-7</c:v>
                </c:pt>
                <c:pt idx="85">
                  <c:v>4.594817455114285E-7</c:v>
                </c:pt>
                <c:pt idx="86">
                  <c:v>4.2818525859103733E-7</c:v>
                </c:pt>
                <c:pt idx="87">
                  <c:v>3.9913249681897387E-7</c:v>
                </c:pt>
                <c:pt idx="88">
                  <c:v>3.721552952883351E-7</c:v>
                </c:pt>
                <c:pt idx="89">
                  <c:v>3.4709855939586915E-7</c:v>
                </c:pt>
                <c:pt idx="90">
                  <c:v>3.2381922228469702E-7</c:v>
                </c:pt>
                <c:pt idx="91">
                  <c:v>3.0218528636635581E-7</c:v>
                </c:pt>
                <c:pt idx="92">
                  <c:v>2.8207494223369005E-7</c:v>
                </c:pt>
                <c:pt idx="93">
                  <c:v>2.6337575877551026E-7</c:v>
                </c:pt>
                <c:pt idx="94">
                  <c:v>2.4598393877279059E-7</c:v>
                </c:pt>
                <c:pt idx="95">
                  <c:v>2.2980363469519052E-7</c:v>
                </c:pt>
                <c:pt idx="96">
                  <c:v>2.1474631982659513E-7</c:v>
                </c:pt>
                <c:pt idx="97">
                  <c:v>2.0073021023014342E-7</c:v>
                </c:pt>
                <c:pt idx="98">
                  <c:v>1.8767973341817115E-7</c:v>
                </c:pt>
                <c:pt idx="99">
                  <c:v>1.7552503992171895E-7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5BA-4E36-932F-B777698123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285824"/>
        <c:axId val="164292096"/>
      </c:scatterChart>
      <c:valAx>
        <c:axId val="164285824"/>
        <c:scaling>
          <c:orientation val="minMax"/>
          <c:min val="0"/>
        </c:scaling>
        <c:delete val="0"/>
        <c:axPos val="b"/>
        <c:majorGridlines>
          <c:spPr>
            <a:ln>
              <a:solidFill>
                <a:srgbClr val="4F81BD">
                  <a:alpha val="50000"/>
                </a:srgb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s-MX" sz="2000"/>
                  <a:t>Carga (Ton)</a:t>
                </a:r>
              </a:p>
            </c:rich>
          </c:tx>
          <c:layout>
            <c:manualLayout>
              <c:xMode val="edge"/>
              <c:yMode val="edge"/>
              <c:x val="0.44978727436592131"/>
              <c:y val="0.9360339179547027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s-ES"/>
          </a:p>
        </c:txPr>
        <c:crossAx val="164292096"/>
        <c:crossesAt val="0"/>
        <c:crossBetween val="midCat"/>
        <c:majorUnit val="5"/>
      </c:valAx>
      <c:valAx>
        <c:axId val="164292096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rgbClr val="C00000">
                  <a:alpha val="50000"/>
                </a:srgb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s-MX" sz="2000"/>
                  <a:t>Coeficiente</a:t>
                </a:r>
                <a:r>
                  <a:rPr lang="es-MX" sz="2000" baseline="0"/>
                  <a:t> de Daño (n/Nd)</a:t>
                </a:r>
                <a:endParaRPr lang="es-MX" sz="2000"/>
              </a:p>
            </c:rich>
          </c:tx>
          <c:layout>
            <c:manualLayout>
              <c:xMode val="edge"/>
              <c:yMode val="edge"/>
              <c:x val="8.7843132914960185E-3"/>
              <c:y val="0.22490539150818847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s-ES"/>
          </a:p>
        </c:txPr>
        <c:crossAx val="164285824"/>
        <c:crosses val="autoZero"/>
        <c:crossBetween val="midCat"/>
      </c:valAx>
      <c:spPr>
        <a:noFill/>
      </c:spPr>
    </c:plotArea>
    <c:legend>
      <c:legendPos val="b"/>
      <c:layout>
        <c:manualLayout>
          <c:xMode val="edge"/>
          <c:yMode val="edge"/>
          <c:x val="6.2383034332372543E-2"/>
          <c:y val="0.8916097172487053"/>
          <c:w val="0.78494894377278668"/>
          <c:h val="4.3813710572379788E-2"/>
        </c:manualLayout>
      </c:layout>
      <c:overlay val="0"/>
      <c:txPr>
        <a:bodyPr/>
        <a:lstStyle/>
        <a:p>
          <a:pPr>
            <a:defRPr sz="1300"/>
          </a:pPr>
          <a:endParaRPr lang="es-ES"/>
        </a:p>
      </c:txPr>
    </c:legend>
    <c:plotVisOnly val="1"/>
    <c:dispBlanksAs val="gap"/>
    <c:showDLblsOverMax val="0"/>
  </c:char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MX" sz="2000"/>
              <a:t>Espectros de daño por</a:t>
            </a:r>
            <a:r>
              <a:rPr lang="es-MX" sz="2000" baseline="0"/>
              <a:t> FATIGA</a:t>
            </a:r>
            <a:endParaRPr lang="es-MX" sz="20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800387662581846"/>
          <c:y val="8.9837230173530527E-2"/>
          <c:w val="0.80847868374558562"/>
          <c:h val="0.7376608535040369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Larguillo!$AP$2</c:f>
              <c:strCache>
                <c:ptCount val="1"/>
                <c:pt idx="0">
                  <c:v>SIMPLE</c:v>
                </c:pt>
              </c:strCache>
            </c:strRef>
          </c:tx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Larguillo!$AQ$4:$AQ$103</c:f>
              <c:numCache>
                <c:formatCode>0.000E+00</c:formatCode>
                <c:ptCount val="100"/>
                <c:pt idx="0">
                  <c:v>1.0656995262368486E-12</c:v>
                </c:pt>
                <c:pt idx="1">
                  <c:v>5.1860239098206438E-8</c:v>
                </c:pt>
                <c:pt idx="2">
                  <c:v>4.2070586642002393E-6</c:v>
                </c:pt>
                <c:pt idx="3">
                  <c:v>3.9523887199253185E-5</c:v>
                </c:pt>
                <c:pt idx="4">
                  <c:v>1.3458116900408681E-4</c:v>
                </c:pt>
                <c:pt idx="5">
                  <c:v>2.6123639343526107E-4</c:v>
                </c:pt>
                <c:pt idx="6">
                  <c:v>3.5986386898967024E-4</c:v>
                </c:pt>
                <c:pt idx="7">
                  <c:v>3.9656652570772176E-4</c:v>
                </c:pt>
                <c:pt idx="8">
                  <c:v>3.7541323131969772E-4</c:v>
                </c:pt>
                <c:pt idx="9">
                  <c:v>3.1936845880080388E-4</c:v>
                </c:pt>
                <c:pt idx="10">
                  <c:v>2.5155836213240802E-4</c:v>
                </c:pt>
                <c:pt idx="11">
                  <c:v>1.8727247217148308E-4</c:v>
                </c:pt>
                <c:pt idx="12">
                  <c:v>1.336964308005908E-4</c:v>
                </c:pt>
                <c:pt idx="13">
                  <c:v>9.2504970558152571E-5</c:v>
                </c:pt>
                <c:pt idx="14">
                  <c:v>6.2518380232417804E-5</c:v>
                </c:pt>
                <c:pt idx="15">
                  <c:v>4.1515152789478435E-5</c:v>
                </c:pt>
                <c:pt idx="16">
                  <c:v>2.720922990479748E-5</c:v>
                </c:pt>
                <c:pt idx="17">
                  <c:v>1.7662298018883136E-5</c:v>
                </c:pt>
                <c:pt idx="18">
                  <c:v>1.1386205363650438E-5</c:v>
                </c:pt>
                <c:pt idx="19">
                  <c:v>7.3053399432490945E-6</c:v>
                </c:pt>
                <c:pt idx="20">
                  <c:v>4.672700778120035E-6</c:v>
                </c:pt>
                <c:pt idx="21">
                  <c:v>2.9836581411098187E-6</c:v>
                </c:pt>
                <c:pt idx="22">
                  <c:v>1.9039448133179909E-6</c:v>
                </c:pt>
                <c:pt idx="23">
                  <c:v>1.2152405032134888E-6</c:v>
                </c:pt>
                <c:pt idx="24">
                  <c:v>7.7638579599863027E-7</c:v>
                </c:pt>
                <c:pt idx="25">
                  <c:v>4.9675964706989801E-7</c:v>
                </c:pt>
                <c:pt idx="26">
                  <c:v>3.1846868664778509E-7</c:v>
                </c:pt>
                <c:pt idx="27">
                  <c:v>2.0464377102615821E-7</c:v>
                </c:pt>
                <c:pt idx="28">
                  <c:v>1.318468689278346E-7</c:v>
                </c:pt>
                <c:pt idx="29">
                  <c:v>8.5188876720548399E-8</c:v>
                </c:pt>
                <c:pt idx="30">
                  <c:v>5.5210128391463804E-8</c:v>
                </c:pt>
                <c:pt idx="31">
                  <c:v>3.5895571300655819E-8</c:v>
                </c:pt>
                <c:pt idx="32">
                  <c:v>2.3415214583030205E-8</c:v>
                </c:pt>
                <c:pt idx="33">
                  <c:v>1.532595044103854E-8</c:v>
                </c:pt>
                <c:pt idx="34">
                  <c:v>1.0065966932905814E-8</c:v>
                </c:pt>
                <c:pt idx="35">
                  <c:v>6.6343875229600791E-9</c:v>
                </c:pt>
                <c:pt idx="36">
                  <c:v>4.3880837004833518E-9</c:v>
                </c:pt>
                <c:pt idx="37">
                  <c:v>2.9126169156260076E-9</c:v>
                </c:pt>
                <c:pt idx="38">
                  <c:v>1.9401131078936018E-9</c:v>
                </c:pt>
                <c:pt idx="39">
                  <c:v>1.2968887839483672E-9</c:v>
                </c:pt>
                <c:pt idx="40">
                  <c:v>8.6996913915506989E-10</c:v>
                </c:pt>
                <c:pt idx="41">
                  <c:v>5.8562691386169213E-10</c:v>
                </c:pt>
                <c:pt idx="42">
                  <c:v>3.9558754647292427E-10</c:v>
                </c:pt>
                <c:pt idx="43">
                  <c:v>2.6813594361672364E-10</c:v>
                </c:pt>
                <c:pt idx="44">
                  <c:v>1.8236571091393829E-10</c:v>
                </c:pt>
                <c:pt idx="45">
                  <c:v>1.244487909244508E-10</c:v>
                </c:pt>
                <c:pt idx="46">
                  <c:v>8.5207954280827124E-11</c:v>
                </c:pt>
                <c:pt idx="47">
                  <c:v>5.8531999943574955E-11</c:v>
                </c:pt>
                <c:pt idx="48">
                  <c:v>4.0337738020525071E-11</c:v>
                </c:pt>
                <c:pt idx="49">
                  <c:v>2.7887872539587555E-11</c:v>
                </c:pt>
                <c:pt idx="50">
                  <c:v>1.9341282413839505E-11</c:v>
                </c:pt>
                <c:pt idx="51">
                  <c:v>1.3455545991655084E-11</c:v>
                </c:pt>
                <c:pt idx="52">
                  <c:v>9.3895236751416481E-12</c:v>
                </c:pt>
                <c:pt idx="53">
                  <c:v>6.5719146747710211E-12</c:v>
                </c:pt>
                <c:pt idx="54">
                  <c:v>4.6134555221858518E-12</c:v>
                </c:pt>
                <c:pt idx="55">
                  <c:v>3.2480809094649679E-12</c:v>
                </c:pt>
                <c:pt idx="56">
                  <c:v>2.2933669165086939E-12</c:v>
                </c:pt>
                <c:pt idx="57">
                  <c:v>1.6238530548340289E-12</c:v>
                </c:pt>
                <c:pt idx="58">
                  <c:v>1.1529934775561114E-12</c:v>
                </c:pt>
                <c:pt idx="59">
                  <c:v>8.2090819109355808E-13</c:v>
                </c:pt>
                <c:pt idx="60">
                  <c:v>5.860448486701484E-13</c:v>
                </c:pt>
                <c:pt idx="61">
                  <c:v>4.1948535837576341E-13</c:v>
                </c:pt>
                <c:pt idx="62">
                  <c:v>3.0104671072007886E-13</c:v>
                </c:pt>
                <c:pt idx="63">
                  <c:v>2.1660267131452943E-13</c:v>
                </c:pt>
                <c:pt idx="64">
                  <c:v>1.5623868721525418E-13</c:v>
                </c:pt>
                <c:pt idx="65">
                  <c:v>1.1297712307304836E-13</c:v>
                </c:pt>
                <c:pt idx="66">
                  <c:v>8.1894023534107332E-14</c:v>
                </c:pt>
                <c:pt idx="67">
                  <c:v>5.9505429002723703E-14</c:v>
                </c:pt>
                <c:pt idx="68">
                  <c:v>4.3339797865801236E-14</c:v>
                </c:pt>
                <c:pt idx="69">
                  <c:v>3.1639281760934126E-14</c:v>
                </c:pt>
                <c:pt idx="70">
                  <c:v>2.3150460681225663E-14</c:v>
                </c:pt>
                <c:pt idx="71">
                  <c:v>1.6977357618299566E-14</c:v>
                </c:pt>
                <c:pt idx="72">
                  <c:v>1.2477927269699163E-14</c:v>
                </c:pt>
                <c:pt idx="73">
                  <c:v>9.190972260683794E-15</c:v>
                </c:pt>
                <c:pt idx="74">
                  <c:v>6.7844113373288577E-15</c:v>
                </c:pt>
                <c:pt idx="75">
                  <c:v>5.0185695946304596E-15</c:v>
                </c:pt>
                <c:pt idx="76">
                  <c:v>3.720064242854363E-15</c:v>
                </c:pt>
                <c:pt idx="77">
                  <c:v>2.7631824998544887E-15</c:v>
                </c:pt>
                <c:pt idx="78">
                  <c:v>2.0565702769454329E-15</c:v>
                </c:pt>
                <c:pt idx="79">
                  <c:v>1.533694594264378E-15</c:v>
                </c:pt>
                <c:pt idx="80">
                  <c:v>1.145993963556748E-15</c:v>
                </c:pt>
                <c:pt idx="81">
                  <c:v>8.5794790020599234E-16</c:v>
                </c:pt>
                <c:pt idx="82">
                  <c:v>6.4351983430396296E-16</c:v>
                </c:pt>
                <c:pt idx="83">
                  <c:v>4.8358513703992816E-16</c:v>
                </c:pt>
                <c:pt idx="84">
                  <c:v>3.6406735531006715E-16</c:v>
                </c:pt>
                <c:pt idx="85">
                  <c:v>2.745847214249729E-16</c:v>
                </c:pt>
                <c:pt idx="86">
                  <c:v>2.0746513396914762E-16</c:v>
                </c:pt>
                <c:pt idx="87">
                  <c:v>1.5702779058611321E-16</c:v>
                </c:pt>
                <c:pt idx="88">
                  <c:v>1.190582021652633E-16</c:v>
                </c:pt>
                <c:pt idx="89">
                  <c:v>9.042374713820131E-17</c:v>
                </c:pt>
                <c:pt idx="90">
                  <c:v>6.87915759414839E-17</c:v>
                </c:pt>
                <c:pt idx="91">
                  <c:v>5.2421206226058862E-17</c:v>
                </c:pt>
                <c:pt idx="92">
                  <c:v>4.0011734401153714E-17</c:v>
                </c:pt>
                <c:pt idx="93">
                  <c:v>3.0589064086759442E-17</c:v>
                </c:pt>
                <c:pt idx="94">
                  <c:v>2.3422512260535443E-17</c:v>
                </c:pt>
                <c:pt idx="95">
                  <c:v>1.796302433330889E-17</c:v>
                </c:pt>
                <c:pt idx="96">
                  <c:v>1.3797314189517644E-17</c:v>
                </c:pt>
                <c:pt idx="97">
                  <c:v>1.0613762460047961E-17</c:v>
                </c:pt>
                <c:pt idx="98">
                  <c:v>8.1770126604700034E-18</c:v>
                </c:pt>
                <c:pt idx="99">
                  <c:v>6.3090131674282198E-18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006-4C28-A1FA-5E6CAA45508D}"/>
            </c:ext>
          </c:extLst>
        </c:ser>
        <c:ser>
          <c:idx val="1"/>
          <c:order val="1"/>
          <c:tx>
            <c:strRef>
              <c:f>Larguillo!$AR$2</c:f>
              <c:strCache>
                <c:ptCount val="1"/>
                <c:pt idx="0">
                  <c:v>DUAL</c:v>
                </c:pt>
              </c:strCache>
            </c:strRef>
          </c:tx>
          <c:spPr>
            <a:ln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Larguillo!$AS$4:$AS$103</c:f>
              <c:numCache>
                <c:formatCode>0.000E+00</c:formatCode>
                <c:ptCount val="100"/>
                <c:pt idx="0">
                  <c:v>3.7154908254486728E-13</c:v>
                </c:pt>
                <c:pt idx="1">
                  <c:v>6.2769463731478884E-10</c:v>
                </c:pt>
                <c:pt idx="2">
                  <c:v>1.9903923327365667E-8</c:v>
                </c:pt>
                <c:pt idx="3">
                  <c:v>1.5518447535042751E-7</c:v>
                </c:pt>
                <c:pt idx="4">
                  <c:v>5.6345221655178349E-7</c:v>
                </c:pt>
                <c:pt idx="5">
                  <c:v>1.4104560157028829E-6</c:v>
                </c:pt>
                <c:pt idx="6">
                  <c:v>3.0502629125464319E-6</c:v>
                </c:pt>
                <c:pt idx="7">
                  <c:v>5.395932754923611E-6</c:v>
                </c:pt>
                <c:pt idx="8">
                  <c:v>7.8975575711122945E-6</c:v>
                </c:pt>
                <c:pt idx="9">
                  <c:v>1.0345575889587355E-5</c:v>
                </c:pt>
                <c:pt idx="10">
                  <c:v>1.2539854683087517E-5</c:v>
                </c:pt>
                <c:pt idx="11">
                  <c:v>1.4288009475778058E-5</c:v>
                </c:pt>
                <c:pt idx="12">
                  <c:v>1.5581371580885407E-5</c:v>
                </c:pt>
                <c:pt idx="13">
                  <c:v>1.7131437285543237E-5</c:v>
                </c:pt>
                <c:pt idx="14">
                  <c:v>1.8409899074542178E-5</c:v>
                </c:pt>
                <c:pt idx="15">
                  <c:v>1.9345202295578342E-5</c:v>
                </c:pt>
                <c:pt idx="16">
                  <c:v>1.9909025292425071E-5</c:v>
                </c:pt>
                <c:pt idx="17">
                  <c:v>2.0107606301043055E-5</c:v>
                </c:pt>
                <c:pt idx="18">
                  <c:v>1.9971739661501538E-5</c:v>
                </c:pt>
                <c:pt idx="19">
                  <c:v>1.9547272694269801E-5</c:v>
                </c:pt>
                <c:pt idx="20">
                  <c:v>1.8887166659918529E-5</c:v>
                </c:pt>
                <c:pt idx="21">
                  <c:v>1.8045513204985345E-5</c:v>
                </c:pt>
                <c:pt idx="22">
                  <c:v>1.7077779805404358E-5</c:v>
                </c:pt>
                <c:pt idx="23">
                  <c:v>1.6086561934979351E-5</c:v>
                </c:pt>
                <c:pt idx="24">
                  <c:v>1.5093756574414354E-5</c:v>
                </c:pt>
                <c:pt idx="25">
                  <c:v>1.4107144051714032E-5</c:v>
                </c:pt>
                <c:pt idx="26">
                  <c:v>1.3135348178505349E-5</c:v>
                </c:pt>
                <c:pt idx="27">
                  <c:v>1.2186723951303736E-5</c:v>
                </c:pt>
                <c:pt idx="28">
                  <c:v>1.1268701781742738E-5</c:v>
                </c:pt>
                <c:pt idx="29">
                  <c:v>1.0387449437532179E-5</c:v>
                </c:pt>
                <c:pt idx="30">
                  <c:v>9.5477493346446341E-6</c:v>
                </c:pt>
                <c:pt idx="31">
                  <c:v>8.7530159174470859E-6</c:v>
                </c:pt>
                <c:pt idx="32">
                  <c:v>8.0053985204853789E-6</c:v>
                </c:pt>
                <c:pt idx="33">
                  <c:v>7.3059309325531868E-6</c:v>
                </c:pt>
                <c:pt idx="34">
                  <c:v>6.6547009173008947E-6</c:v>
                </c:pt>
                <c:pt idx="35">
                  <c:v>6.0424903767954884E-6</c:v>
                </c:pt>
                <c:pt idx="36">
                  <c:v>5.4527797324319888E-6</c:v>
                </c:pt>
                <c:pt idx="37">
                  <c:v>4.9188164547830549E-6</c:v>
                </c:pt>
                <c:pt idx="38">
                  <c:v>4.4356121383252354E-6</c:v>
                </c:pt>
                <c:pt idx="39">
                  <c:v>3.9986130761153224E-6</c:v>
                </c:pt>
                <c:pt idx="40">
                  <c:v>3.6036502898658175E-6</c:v>
                </c:pt>
                <c:pt idx="41">
                  <c:v>3.24690151644454E-6</c:v>
                </c:pt>
                <c:pt idx="42">
                  <c:v>2.9248610274903185E-6</c:v>
                </c:pt>
                <c:pt idx="43">
                  <c:v>2.634314566044548E-6</c:v>
                </c:pt>
                <c:pt idx="44">
                  <c:v>2.3723176407139782E-6</c:v>
                </c:pt>
                <c:pt idx="45">
                  <c:v>2.1361760623060904E-6</c:v>
                </c:pt>
                <c:pt idx="46">
                  <c:v>1.9234280365257535E-6</c:v>
                </c:pt>
                <c:pt idx="47">
                  <c:v>1.7318274065506857E-6</c:v>
                </c:pt>
                <c:pt idx="48">
                  <c:v>1.5593278182135622E-6</c:v>
                </c:pt>
                <c:pt idx="49">
                  <c:v>1.4040676909924422E-6</c:v>
                </c:pt>
                <c:pt idx="50">
                  <c:v>1.2643559429242893E-6</c:v>
                </c:pt>
                <c:pt idx="51">
                  <c:v>1.1346144024716437E-6</c:v>
                </c:pt>
                <c:pt idx="52">
                  <c:v>1.0143595519361996E-6</c:v>
                </c:pt>
                <c:pt idx="53">
                  <c:v>9.0715385623150329E-7</c:v>
                </c:pt>
                <c:pt idx="54">
                  <c:v>8.1156484312046041E-7</c:v>
                </c:pt>
                <c:pt idx="55">
                  <c:v>7.2631638874135339E-7</c:v>
                </c:pt>
                <c:pt idx="56">
                  <c:v>6.5027223230299174E-7</c:v>
                </c:pt>
                <c:pt idx="57">
                  <c:v>5.8242107392888484E-7</c:v>
                </c:pt>
                <c:pt idx="58">
                  <c:v>5.2186313942428171E-7</c:v>
                </c:pt>
                <c:pt idx="59">
                  <c:v>4.6779809590793749E-7</c:v>
                </c:pt>
                <c:pt idx="60">
                  <c:v>4.1951420484944755E-7</c:v>
                </c:pt>
                <c:pt idx="61">
                  <c:v>3.7637860340123173E-7</c:v>
                </c:pt>
                <c:pt idx="62">
                  <c:v>3.3782861045819722E-7</c:v>
                </c:pt>
                <c:pt idx="63">
                  <c:v>3.0286468354280226E-7</c:v>
                </c:pt>
                <c:pt idx="64">
                  <c:v>2.7093592859442905E-7</c:v>
                </c:pt>
                <c:pt idx="65">
                  <c:v>2.4251940855391873E-7</c:v>
                </c:pt>
                <c:pt idx="66">
                  <c:v>2.172136701710579E-7</c:v>
                </c:pt>
                <c:pt idx="67">
                  <c:v>1.946647341279854E-7</c:v>
                </c:pt>
                <c:pt idx="68">
                  <c:v>1.7456031335540647E-7</c:v>
                </c:pt>
                <c:pt idx="69">
                  <c:v>1.5662475291385166E-7</c:v>
                </c:pt>
                <c:pt idx="70">
                  <c:v>1.4061459966505516E-7</c:v>
                </c:pt>
                <c:pt idx="71">
                  <c:v>1.2631472178052995E-7</c:v>
                </c:pt>
                <c:pt idx="72">
                  <c:v>1.1353490842496751E-7</c:v>
                </c:pt>
                <c:pt idx="73">
                  <c:v>1.0210688890917378E-7</c:v>
                </c:pt>
                <c:pt idx="74">
                  <c:v>9.188171840344232E-8</c:v>
                </c:pt>
                <c:pt idx="75">
                  <c:v>8.2727484088110067E-8</c:v>
                </c:pt>
                <c:pt idx="76">
                  <c:v>7.452729152457788E-8</c:v>
                </c:pt>
                <c:pt idx="77">
                  <c:v>6.717749617160863E-8</c:v>
                </c:pt>
                <c:pt idx="78">
                  <c:v>6.0586149447665312E-8</c:v>
                </c:pt>
                <c:pt idx="79">
                  <c:v>5.4671632637087808E-8</c:v>
                </c:pt>
                <c:pt idx="80">
                  <c:v>4.913726251646021E-8</c:v>
                </c:pt>
                <c:pt idx="81">
                  <c:v>4.3975309467313349E-8</c:v>
                </c:pt>
                <c:pt idx="82">
                  <c:v>3.9378533788150279E-8</c:v>
                </c:pt>
                <c:pt idx="83">
                  <c:v>3.5282722200283385E-8</c:v>
                </c:pt>
                <c:pt idx="84">
                  <c:v>3.1631195890091893E-8</c:v>
                </c:pt>
                <c:pt idx="85">
                  <c:v>2.8373902553861644E-8</c:v>
                </c:pt>
                <c:pt idx="86">
                  <c:v>2.5466620052088384E-8</c:v>
                </c:pt>
                <c:pt idx="87">
                  <c:v>2.287025780542188E-8</c:v>
                </c:pt>
                <c:pt idx="88">
                  <c:v>2.0550243782875449E-8</c:v>
                </c:pt>
                <c:pt idx="89">
                  <c:v>1.8475986443782301E-8</c:v>
                </c:pt>
                <c:pt idx="90">
                  <c:v>1.6620402321590192E-8</c:v>
                </c:pt>
                <c:pt idx="91">
                  <c:v>1.4959501101141715E-8</c:v>
                </c:pt>
                <c:pt idx="92">
                  <c:v>1.3472021060695228E-8</c:v>
                </c:pt>
                <c:pt idx="93">
                  <c:v>1.2139108642751518E-8</c:v>
                </c:pt>
                <c:pt idx="94">
                  <c:v>1.0944036699044274E-8</c:v>
                </c:pt>
                <c:pt idx="95">
                  <c:v>9.8719566384347669E-9</c:v>
                </c:pt>
                <c:pt idx="96">
                  <c:v>8.9096803039627137E-9</c:v>
                </c:pt>
                <c:pt idx="97">
                  <c:v>8.0454879275900802E-9</c:v>
                </c:pt>
                <c:pt idx="98">
                  <c:v>7.2689589676161633E-9</c:v>
                </c:pt>
                <c:pt idx="99">
                  <c:v>6.5708230325860511E-9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006-4C28-A1FA-5E6CAA45508D}"/>
            </c:ext>
          </c:extLst>
        </c:ser>
        <c:ser>
          <c:idx val="2"/>
          <c:order val="2"/>
          <c:tx>
            <c:strRef>
              <c:f>Larguillo!$AT$2</c:f>
              <c:strCache>
                <c:ptCount val="1"/>
                <c:pt idx="0">
                  <c:v>TANDEM</c:v>
                </c:pt>
              </c:strCache>
            </c:strRef>
          </c:tx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Larguillo!$AU$4:$AU$103</c:f>
              <c:numCache>
                <c:formatCode>0.000E+00</c:formatCode>
                <c:ptCount val="100"/>
                <c:pt idx="0">
                  <c:v>1.3823968366641418E-55</c:v>
                </c:pt>
                <c:pt idx="1">
                  <c:v>2.0180328799323874E-35</c:v>
                </c:pt>
                <c:pt idx="2">
                  <c:v>4.8093313375033372E-26</c:v>
                </c:pt>
                <c:pt idx="3">
                  <c:v>1.7896636845841299E-20</c:v>
                </c:pt>
                <c:pt idx="4">
                  <c:v>9.014263964283259E-17</c:v>
                </c:pt>
                <c:pt idx="5">
                  <c:v>3.7887756796585958E-14</c:v>
                </c:pt>
                <c:pt idx="6">
                  <c:v>3.2743335175617983E-12</c:v>
                </c:pt>
                <c:pt idx="7">
                  <c:v>9.6424956489378125E-11</c:v>
                </c:pt>
                <c:pt idx="8">
                  <c:v>1.3221360744103254E-9</c:v>
                </c:pt>
                <c:pt idx="9">
                  <c:v>1.1091846569903976E-8</c:v>
                </c:pt>
                <c:pt idx="10">
                  <c:v>8.4340165087962601E-8</c:v>
                </c:pt>
                <c:pt idx="11">
                  <c:v>5.8106656820802747E-7</c:v>
                </c:pt>
                <c:pt idx="12">
                  <c:v>2.4984228911329641E-6</c:v>
                </c:pt>
                <c:pt idx="13">
                  <c:v>6.1206367180558795E-6</c:v>
                </c:pt>
                <c:pt idx="14">
                  <c:v>9.2404428507614918E-6</c:v>
                </c:pt>
                <c:pt idx="15">
                  <c:v>9.7805510396138337E-6</c:v>
                </c:pt>
                <c:pt idx="16">
                  <c:v>7.8255148298396572E-6</c:v>
                </c:pt>
                <c:pt idx="17">
                  <c:v>6.7222473100318184E-6</c:v>
                </c:pt>
                <c:pt idx="18">
                  <c:v>6.2747818513170173E-6</c:v>
                </c:pt>
                <c:pt idx="19">
                  <c:v>6.1294689748638608E-6</c:v>
                </c:pt>
                <c:pt idx="20">
                  <c:v>5.9402851575679178E-6</c:v>
                </c:pt>
                <c:pt idx="21">
                  <c:v>5.7369621820479155E-6</c:v>
                </c:pt>
                <c:pt idx="22">
                  <c:v>6.0346646266234614E-6</c:v>
                </c:pt>
                <c:pt idx="23">
                  <c:v>7.9107979691509331E-6</c:v>
                </c:pt>
                <c:pt idx="24">
                  <c:v>1.2795420403834011E-5</c:v>
                </c:pt>
                <c:pt idx="25">
                  <c:v>2.181346337046766E-5</c:v>
                </c:pt>
                <c:pt idx="26">
                  <c:v>3.5298753266835144E-5</c:v>
                </c:pt>
                <c:pt idx="27">
                  <c:v>5.0934115443211513E-5</c:v>
                </c:pt>
                <c:pt idx="28">
                  <c:v>6.4967229463646546E-5</c:v>
                </c:pt>
                <c:pt idx="29">
                  <c:v>7.3569182911561765E-5</c:v>
                </c:pt>
                <c:pt idx="30">
                  <c:v>7.4568178759798259E-5</c:v>
                </c:pt>
                <c:pt idx="31">
                  <c:v>6.8252892829601846E-5</c:v>
                </c:pt>
                <c:pt idx="32">
                  <c:v>5.6901393864416995E-5</c:v>
                </c:pt>
                <c:pt idx="33">
                  <c:v>4.3523350903330478E-5</c:v>
                </c:pt>
                <c:pt idx="34">
                  <c:v>3.0764758119956751E-5</c:v>
                </c:pt>
                <c:pt idx="35">
                  <c:v>2.0251062540209295E-5</c:v>
                </c:pt>
                <c:pt idx="36">
                  <c:v>1.2488393824907948E-5</c:v>
                </c:pt>
                <c:pt idx="37">
                  <c:v>7.2544191370849614E-6</c:v>
                </c:pt>
                <c:pt idx="38">
                  <c:v>3.9894224165664654E-6</c:v>
                </c:pt>
                <c:pt idx="39">
                  <c:v>2.0865835218491479E-6</c:v>
                </c:pt>
                <c:pt idx="40">
                  <c:v>1.0424518611983473E-6</c:v>
                </c:pt>
                <c:pt idx="41">
                  <c:v>4.9952879907670996E-7</c:v>
                </c:pt>
                <c:pt idx="42">
                  <c:v>2.3052257044293087E-7</c:v>
                </c:pt>
                <c:pt idx="43">
                  <c:v>1.0288263580810461E-7</c:v>
                </c:pt>
                <c:pt idx="44">
                  <c:v>4.4614212858711387E-8</c:v>
                </c:pt>
                <c:pt idx="45">
                  <c:v>1.8908599805789731E-8</c:v>
                </c:pt>
                <c:pt idx="46">
                  <c:v>7.8982651042406448E-9</c:v>
                </c:pt>
                <c:pt idx="47">
                  <c:v>3.2829749918345857E-9</c:v>
                </c:pt>
                <c:pt idx="48">
                  <c:v>1.3745330874719319E-9</c:v>
                </c:pt>
                <c:pt idx="49">
                  <c:v>5.9025161619401739E-10</c:v>
                </c:pt>
                <c:pt idx="50">
                  <c:v>2.6527997153524531E-10</c:v>
                </c:pt>
                <c:pt idx="51">
                  <c:v>1.2686165109621477E-10</c:v>
                </c:pt>
                <c:pt idx="52">
                  <c:v>6.5022112796469558E-11</c:v>
                </c:pt>
                <c:pt idx="53">
                  <c:v>3.5549981235048397E-11</c:v>
                </c:pt>
                <c:pt idx="54">
                  <c:v>2.0460703087059197E-11</c:v>
                </c:pt>
                <c:pt idx="55">
                  <c:v>1.2207585731242713E-11</c:v>
                </c:pt>
                <c:pt idx="56">
                  <c:v>7.4530021155793477E-12</c:v>
                </c:pt>
                <c:pt idx="57">
                  <c:v>4.6137188632562725E-12</c:v>
                </c:pt>
                <c:pt idx="58">
                  <c:v>2.8792741648474466E-12</c:v>
                </c:pt>
                <c:pt idx="59">
                  <c:v>1.805331447987119E-12</c:v>
                </c:pt>
                <c:pt idx="60">
                  <c:v>1.1351535488383303E-12</c:v>
                </c:pt>
                <c:pt idx="61">
                  <c:v>7.1505659374353779E-13</c:v>
                </c:pt>
                <c:pt idx="62">
                  <c:v>4.510179196852346E-13</c:v>
                </c:pt>
                <c:pt idx="63">
                  <c:v>2.8478111824146922E-13</c:v>
                </c:pt>
                <c:pt idx="64">
                  <c:v>1.7999107040149816E-13</c:v>
                </c:pt>
                <c:pt idx="65">
                  <c:v>1.1386842390054388E-13</c:v>
                </c:pt>
                <c:pt idx="66">
                  <c:v>7.2106464616232467E-14</c:v>
                </c:pt>
                <c:pt idx="67">
                  <c:v>4.5706389539121308E-14</c:v>
                </c:pt>
                <c:pt idx="68">
                  <c:v>2.9001983155628712E-14</c:v>
                </c:pt>
                <c:pt idx="69">
                  <c:v>1.8422287671463822E-14</c:v>
                </c:pt>
                <c:pt idx="70">
                  <c:v>1.171497129696085E-14</c:v>
                </c:pt>
                <c:pt idx="71">
                  <c:v>7.447898231463642E-15</c:v>
                </c:pt>
                <c:pt idx="72">
                  <c:v>4.7325252541588531E-15</c:v>
                </c:pt>
                <c:pt idx="73">
                  <c:v>3.0115931029646508E-15</c:v>
                </c:pt>
                <c:pt idx="74">
                  <c:v>1.9193237944869749E-15</c:v>
                </c:pt>
                <c:pt idx="75">
                  <c:v>1.2244739789306139E-15</c:v>
                </c:pt>
                <c:pt idx="76">
                  <c:v>7.8189068148291981E-16</c:v>
                </c:pt>
                <c:pt idx="77">
                  <c:v>5.0006588828556466E-16</c:v>
                </c:pt>
                <c:pt idx="78">
                  <c:v>3.2032772988090432E-16</c:v>
                </c:pt>
                <c:pt idx="79">
                  <c:v>2.0551762266146293E-16</c:v>
                </c:pt>
                <c:pt idx="80">
                  <c:v>1.3206619466571739E-16</c:v>
                </c:pt>
                <c:pt idx="81">
                  <c:v>8.5000777829392725E-17</c:v>
                </c:pt>
                <c:pt idx="82">
                  <c:v>5.4795272621276633E-17</c:v>
                </c:pt>
                <c:pt idx="83">
                  <c:v>3.5379550634440547E-17</c:v>
                </c:pt>
                <c:pt idx="84">
                  <c:v>2.2879703788630315E-17</c:v>
                </c:pt>
                <c:pt idx="85">
                  <c:v>1.4819616252623096E-17</c:v>
                </c:pt>
                <c:pt idx="86">
                  <c:v>9.6141609670620325E-18</c:v>
                </c:pt>
                <c:pt idx="87">
                  <c:v>6.2470197894925123E-18</c:v>
                </c:pt>
                <c:pt idx="88">
                  <c:v>4.0655605291932031E-18</c:v>
                </c:pt>
                <c:pt idx="89">
                  <c:v>2.6500425582145199E-18</c:v>
                </c:pt>
                <c:pt idx="90">
                  <c:v>1.730090288520397E-18</c:v>
                </c:pt>
                <c:pt idx="91">
                  <c:v>1.131271014550388E-18</c:v>
                </c:pt>
                <c:pt idx="92">
                  <c:v>7.4087482037342715E-19</c:v>
                </c:pt>
                <c:pt idx="93">
                  <c:v>4.8596104568634876E-19</c:v>
                </c:pt>
                <c:pt idx="94">
                  <c:v>3.1925268105432837E-19</c:v>
                </c:pt>
                <c:pt idx="95">
                  <c:v>2.1005934832740053E-19</c:v>
                </c:pt>
                <c:pt idx="96">
                  <c:v>1.3842725595313442E-19</c:v>
                </c:pt>
                <c:pt idx="97">
                  <c:v>9.1363135494419611E-20</c:v>
                </c:pt>
                <c:pt idx="98">
                  <c:v>6.0378444753904564E-20</c:v>
                </c:pt>
                <c:pt idx="99">
                  <c:v>3.9939294892763613E-20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006-4C28-A1FA-5E6CAA45508D}"/>
            </c:ext>
          </c:extLst>
        </c:ser>
        <c:ser>
          <c:idx val="3"/>
          <c:order val="3"/>
          <c:tx>
            <c:strRef>
              <c:f>Larguillo!$AV$2</c:f>
              <c:strCache>
                <c:ptCount val="1"/>
                <c:pt idx="0">
                  <c:v>TRIDEM</c:v>
                </c:pt>
              </c:strCache>
            </c:strRef>
          </c:tx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Larguillo!$AW$4:$AW$103</c:f>
              <c:numCache>
                <c:formatCode>0.000E+00</c:formatCode>
                <c:ptCount val="100"/>
                <c:pt idx="0">
                  <c:v>2.1220636047081779E-32</c:v>
                </c:pt>
                <c:pt idx="1">
                  <c:v>6.2091007766926316E-22</c:v>
                </c:pt>
                <c:pt idx="2">
                  <c:v>3.8774437665387784E-17</c:v>
                </c:pt>
                <c:pt idx="3">
                  <c:v>2.4948709781049692E-14</c:v>
                </c:pt>
                <c:pt idx="4">
                  <c:v>1.7217001638255631E-12</c:v>
                </c:pt>
                <c:pt idx="5">
                  <c:v>3.2980362819295327E-11</c:v>
                </c:pt>
                <c:pt idx="6">
                  <c:v>2.8049515159477989E-10</c:v>
                </c:pt>
                <c:pt idx="7">
                  <c:v>1.3766278266546557E-9</c:v>
                </c:pt>
                <c:pt idx="8">
                  <c:v>4.571455737801267E-9</c:v>
                </c:pt>
                <c:pt idx="9">
                  <c:v>1.1383793975514288E-8</c:v>
                </c:pt>
                <c:pt idx="10">
                  <c:v>2.2790455357120099E-8</c:v>
                </c:pt>
                <c:pt idx="11">
                  <c:v>3.8523089120162872E-8</c:v>
                </c:pt>
                <c:pt idx="12">
                  <c:v>5.6969069739993855E-8</c:v>
                </c:pt>
                <c:pt idx="13">
                  <c:v>7.5704530900494177E-8</c:v>
                </c:pt>
                <c:pt idx="14">
                  <c:v>9.2352318083060919E-8</c:v>
                </c:pt>
                <c:pt idx="15">
                  <c:v>1.054604091470458E-7</c:v>
                </c:pt>
                <c:pt idx="16">
                  <c:v>1.1525577451543054E-7</c:v>
                </c:pt>
                <c:pt idx="17">
                  <c:v>1.2417779929262029E-7</c:v>
                </c:pt>
                <c:pt idx="18">
                  <c:v>1.3697167918439848E-7</c:v>
                </c:pt>
                <c:pt idx="19">
                  <c:v>1.6002700260551491E-7</c:v>
                </c:pt>
                <c:pt idx="20">
                  <c:v>1.7092728938643294E-7</c:v>
                </c:pt>
                <c:pt idx="21">
                  <c:v>2.2839292082697812E-7</c:v>
                </c:pt>
                <c:pt idx="22">
                  <c:v>3.0628874913339809E-7</c:v>
                </c:pt>
                <c:pt idx="23">
                  <c:v>4.0049673790246097E-7</c:v>
                </c:pt>
                <c:pt idx="24">
                  <c:v>4.998234017513856E-7</c:v>
                </c:pt>
                <c:pt idx="25">
                  <c:v>5.8753964701424638E-7</c:v>
                </c:pt>
                <c:pt idx="26">
                  <c:v>6.5879683524824291E-7</c:v>
                </c:pt>
                <c:pt idx="27">
                  <c:v>7.0534461468828341E-7</c:v>
                </c:pt>
                <c:pt idx="28">
                  <c:v>7.2284981167607676E-7</c:v>
                </c:pt>
                <c:pt idx="29">
                  <c:v>7.112134269102167E-7</c:v>
                </c:pt>
                <c:pt idx="30">
                  <c:v>6.7394405886146709E-7</c:v>
                </c:pt>
                <c:pt idx="31">
                  <c:v>6.1695500738720251E-7</c:v>
                </c:pt>
                <c:pt idx="32">
                  <c:v>5.4720175241916371E-7</c:v>
                </c:pt>
                <c:pt idx="33">
                  <c:v>4.7149031805073424E-7</c:v>
                </c:pt>
                <c:pt idx="34">
                  <c:v>3.9564082852374435E-7</c:v>
                </c:pt>
                <c:pt idx="35">
                  <c:v>3.2404970126856415E-7</c:v>
                </c:pt>
                <c:pt idx="36">
                  <c:v>2.5959520314195635E-7</c:v>
                </c:pt>
                <c:pt idx="37">
                  <c:v>2.0318823105776449E-7</c:v>
                </c:pt>
                <c:pt idx="38">
                  <c:v>1.5704639809676394E-7</c:v>
                </c:pt>
                <c:pt idx="39">
                  <c:v>1.2071905922448998E-7</c:v>
                </c:pt>
                <c:pt idx="40">
                  <c:v>9.1513761439867374E-8</c:v>
                </c:pt>
                <c:pt idx="41">
                  <c:v>6.8479748785648338E-8</c:v>
                </c:pt>
                <c:pt idx="42">
                  <c:v>5.0627173193004828E-8</c:v>
                </c:pt>
                <c:pt idx="43">
                  <c:v>3.7009233421539375E-8</c:v>
                </c:pt>
                <c:pt idx="44">
                  <c:v>2.6771934513313095E-8</c:v>
                </c:pt>
                <c:pt idx="45">
                  <c:v>1.9178346035729606E-8</c:v>
                </c:pt>
                <c:pt idx="46">
                  <c:v>1.3614567876539645E-8</c:v>
                </c:pt>
                <c:pt idx="47">
                  <c:v>9.5838418879202291E-9</c:v>
                </c:pt>
                <c:pt idx="48">
                  <c:v>6.6939662756718955E-9</c:v>
                </c:pt>
                <c:pt idx="49">
                  <c:v>4.6417842505262178E-9</c:v>
                </c:pt>
                <c:pt idx="50">
                  <c:v>3.1950932256968014E-9</c:v>
                </c:pt>
                <c:pt idx="51">
                  <c:v>2.1850569035485901E-9</c:v>
                </c:pt>
                <c:pt idx="52">
                  <c:v>1.4860194592263622E-9</c:v>
                </c:pt>
                <c:pt idx="53">
                  <c:v>1.0054515479904437E-9</c:v>
                </c:pt>
                <c:pt idx="54">
                  <c:v>6.7710489402052784E-10</c:v>
                </c:pt>
                <c:pt idx="55">
                  <c:v>4.5402955181876683E-10</c:v>
                </c:pt>
                <c:pt idx="56">
                  <c:v>3.0325916333923815E-10</c:v>
                </c:pt>
                <c:pt idx="57">
                  <c:v>2.0184030561638393E-10</c:v>
                </c:pt>
                <c:pt idx="58">
                  <c:v>1.3391337256274373E-10</c:v>
                </c:pt>
                <c:pt idx="59">
                  <c:v>8.8596532092422684E-11</c:v>
                </c:pt>
                <c:pt idx="60">
                  <c:v>5.8470778990520998E-11</c:v>
                </c:pt>
                <c:pt idx="61">
                  <c:v>3.8507251409113392E-11</c:v>
                </c:pt>
                <c:pt idx="62">
                  <c:v>2.5315160768820152E-11</c:v>
                </c:pt>
                <c:pt idx="63">
                  <c:v>1.6619156221919967E-11</c:v>
                </c:pt>
                <c:pt idx="64">
                  <c:v>1.089901273263489E-11</c:v>
                </c:pt>
                <c:pt idx="65">
                  <c:v>7.1430061174191046E-12</c:v>
                </c:pt>
                <c:pt idx="66">
                  <c:v>4.6801963459426756E-12</c:v>
                </c:pt>
                <c:pt idx="67">
                  <c:v>3.0670394220242903E-12</c:v>
                </c:pt>
                <c:pt idx="68">
                  <c:v>2.011668100910512E-12</c:v>
                </c:pt>
                <c:pt idx="69">
                  <c:v>1.3217950570089722E-12</c:v>
                </c:pt>
                <c:pt idx="70">
                  <c:v>8.7031305839729776E-13</c:v>
                </c:pt>
                <c:pt idx="71">
                  <c:v>5.7451987337873518E-13</c:v>
                </c:pt>
                <c:pt idx="72">
                  <c:v>3.8020834745052475E-13</c:v>
                </c:pt>
                <c:pt idx="73">
                  <c:v>2.5236547199133356E-13</c:v>
                </c:pt>
                <c:pt idx="74">
                  <c:v>1.6823763221349673E-13</c:v>
                </c:pt>
                <c:pt idx="75">
                  <c:v>1.1271045652943071E-13</c:v>
                </c:pt>
                <c:pt idx="76">
                  <c:v>7.593083994532083E-14</c:v>
                </c:pt>
                <c:pt idx="77">
                  <c:v>5.1468916453121231E-14</c:v>
                </c:pt>
                <c:pt idx="78">
                  <c:v>3.5122925815682053E-14</c:v>
                </c:pt>
                <c:pt idx="79">
                  <c:v>2.4142252141291908E-14</c:v>
                </c:pt>
                <c:pt idx="80">
                  <c:v>1.6722292431679942E-14</c:v>
                </c:pt>
                <c:pt idx="81">
                  <c:v>1.1675951821018988E-14</c:v>
                </c:pt>
                <c:pt idx="82">
                  <c:v>8.219881567917271E-15</c:v>
                </c:pt>
                <c:pt idx="83">
                  <c:v>5.8352594628185686E-15</c:v>
                </c:pt>
                <c:pt idx="84">
                  <c:v>4.1770094551870812E-15</c:v>
                </c:pt>
                <c:pt idx="85">
                  <c:v>3.0145147598328957E-15</c:v>
                </c:pt>
                <c:pt idx="86">
                  <c:v>2.1928235930786939E-15</c:v>
                </c:pt>
                <c:pt idx="87">
                  <c:v>1.6072043380863617E-15</c:v>
                </c:pt>
                <c:pt idx="88">
                  <c:v>1.1864095820273309E-15</c:v>
                </c:pt>
                <c:pt idx="89">
                  <c:v>8.8163201695452736E-16</c:v>
                </c:pt>
                <c:pt idx="90">
                  <c:v>6.5918866217041255E-16</c:v>
                </c:pt>
                <c:pt idx="91">
                  <c:v>4.9565372934718042E-16</c:v>
                </c:pt>
                <c:pt idx="92">
                  <c:v>3.7460469969478839E-16</c:v>
                </c:pt>
                <c:pt idx="93">
                  <c:v>2.8443505852618231E-16</c:v>
                </c:pt>
                <c:pt idx="94">
                  <c:v>2.1687522037777785E-16</c:v>
                </c:pt>
                <c:pt idx="95">
                  <c:v>1.6598584199062713E-16</c:v>
                </c:pt>
                <c:pt idx="96">
                  <c:v>1.274678771643275E-16</c:v>
                </c:pt>
                <c:pt idx="97">
                  <c:v>9.8186232150079939E-17</c:v>
                </c:pt>
                <c:pt idx="98">
                  <c:v>7.5838368825392559E-17</c:v>
                </c:pt>
                <c:pt idx="99">
                  <c:v>5.8721931294822675E-17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006-4C28-A1FA-5E6CAA45508D}"/>
            </c:ext>
          </c:extLst>
        </c:ser>
        <c:ser>
          <c:idx val="4"/>
          <c:order val="4"/>
          <c:tx>
            <c:v>TODOS</c:v>
          </c:tx>
          <c:spPr>
            <a:ln>
              <a:solidFill>
                <a:sysClr val="windowText" lastClr="000000"/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Larguillo!$AZ$4:$AZ$103</c:f>
              <c:numCache>
                <c:formatCode>0.000E+00</c:formatCode>
                <c:ptCount val="100"/>
                <c:pt idx="0">
                  <c:v>1.4372486087817159E-12</c:v>
                </c:pt>
                <c:pt idx="1">
                  <c:v>5.2487933735521849E-8</c:v>
                </c:pt>
                <c:pt idx="2">
                  <c:v>4.2269625875663799E-6</c:v>
                </c:pt>
                <c:pt idx="3">
                  <c:v>3.9679071699552346E-5</c:v>
                </c:pt>
                <c:pt idx="4">
                  <c:v>1.3514462294242892E-4</c:v>
                </c:pt>
                <c:pt idx="5">
                  <c:v>2.6264688246921452E-4</c:v>
                </c:pt>
                <c:pt idx="6">
                  <c:v>3.6291441567170175E-4</c:v>
                </c:pt>
                <c:pt idx="7">
                  <c:v>4.0196393151542851E-4</c:v>
                </c:pt>
                <c:pt idx="8">
                  <c:v>3.8331668248262226E-4</c:v>
                </c:pt>
                <c:pt idx="9">
                  <c:v>3.2973651033093665E-4</c:v>
                </c:pt>
                <c:pt idx="10">
                  <c:v>2.6420534743594064E-4</c:v>
                </c:pt>
                <c:pt idx="11">
                  <c:v>2.0218007130458934E-4</c:v>
                </c:pt>
                <c:pt idx="12">
                  <c:v>1.5183319434234919E-4</c:v>
                </c:pt>
                <c:pt idx="13">
                  <c:v>1.1583274909265219E-4</c:v>
                </c:pt>
                <c:pt idx="14">
                  <c:v>9.0261074475804533E-5</c:v>
                </c:pt>
                <c:pt idx="15">
                  <c:v>7.0746366533817651E-5</c:v>
                </c:pt>
                <c:pt idx="16">
                  <c:v>5.505902580157764E-5</c:v>
                </c:pt>
                <c:pt idx="17">
                  <c:v>4.4616329429250623E-5</c:v>
                </c:pt>
                <c:pt idx="18">
                  <c:v>3.776969855565339E-5</c:v>
                </c:pt>
                <c:pt idx="19">
                  <c:v>3.3142108614988269E-5</c:v>
                </c:pt>
                <c:pt idx="20">
                  <c:v>2.9671079884992916E-5</c:v>
                </c:pt>
                <c:pt idx="21">
                  <c:v>2.6994526448970056E-5</c:v>
                </c:pt>
                <c:pt idx="22">
                  <c:v>2.5322677994479209E-5</c:v>
                </c:pt>
                <c:pt idx="23">
                  <c:v>2.5613097145246234E-5</c:v>
                </c:pt>
                <c:pt idx="24">
                  <c:v>2.9165386175998381E-5</c:v>
                </c:pt>
                <c:pt idx="25">
                  <c:v>3.7004906716265838E-5</c:v>
                </c:pt>
                <c:pt idx="26">
                  <c:v>4.9411366967236517E-5</c:v>
                </c:pt>
                <c:pt idx="27">
                  <c:v>6.4030827780229692E-5</c:v>
                </c:pt>
                <c:pt idx="28">
                  <c:v>7.7090627925993193E-5</c:v>
                </c:pt>
                <c:pt idx="29">
                  <c:v>8.4753034652724707E-5</c:v>
                </c:pt>
                <c:pt idx="30">
                  <c:v>8.4845082281695825E-5</c:v>
                </c:pt>
                <c:pt idx="31">
                  <c:v>7.765875932573679E-5</c:v>
                </c:pt>
                <c:pt idx="32">
                  <c:v>6.547740935190457E-5</c:v>
                </c:pt>
                <c:pt idx="33">
                  <c:v>5.1316098104375441E-5</c:v>
                </c:pt>
                <c:pt idx="34">
                  <c:v>3.7825165832714292E-5</c:v>
                </c:pt>
                <c:pt idx="35">
                  <c:v>2.662423700579631E-5</c:v>
                </c:pt>
                <c:pt idx="36">
                  <c:v>1.8205156844182376E-5</c:v>
                </c:pt>
                <c:pt idx="37">
                  <c:v>1.2379336439841406E-5</c:v>
                </c:pt>
                <c:pt idx="38">
                  <c:v>8.5840210660963579E-6</c:v>
                </c:pt>
                <c:pt idx="39">
                  <c:v>6.2072125459729094E-6</c:v>
                </c:pt>
                <c:pt idx="40">
                  <c:v>4.7384858816431872E-6</c:v>
                </c:pt>
                <c:pt idx="41">
                  <c:v>3.8154956912207595E-6</c:v>
                </c:pt>
                <c:pt idx="42">
                  <c:v>3.206406358672727E-6</c:v>
                </c:pt>
                <c:pt idx="43">
                  <c:v>2.7744745712178086E-6</c:v>
                </c:pt>
                <c:pt idx="44">
                  <c:v>2.4438861537969162E-6</c:v>
                </c:pt>
                <c:pt idx="45">
                  <c:v>2.1743874569385342E-6</c:v>
                </c:pt>
                <c:pt idx="46">
                  <c:v>1.9450260774608144E-6</c:v>
                </c:pt>
                <c:pt idx="47">
                  <c:v>1.7447527554303843E-6</c:v>
                </c:pt>
                <c:pt idx="48">
                  <c:v>1.5674366553147266E-6</c:v>
                </c:pt>
                <c:pt idx="49">
                  <c:v>1.4093276147317018E-6</c:v>
                </c:pt>
                <c:pt idx="50">
                  <c:v>1.2678356574039352E-6</c:v>
                </c:pt>
                <c:pt idx="51">
                  <c:v>1.1369397765722802E-6</c:v>
                </c:pt>
                <c:pt idx="52">
                  <c:v>1.0159199830318976E-6</c:v>
                </c:pt>
                <c:pt idx="53">
                  <c:v>9.0820142967540357E-7</c:v>
                </c:pt>
                <c:pt idx="54">
                  <c:v>8.1226702217309018E-7</c:v>
                </c:pt>
                <c:pt idx="55">
                  <c:v>7.2678587395981292E-7</c:v>
                </c:pt>
                <c:pt idx="56">
                  <c:v>6.5058523783536315E-7</c:v>
                </c:pt>
                <c:pt idx="57">
                  <c:v>5.8262915180641932E-7</c:v>
                </c:pt>
                <c:pt idx="58">
                  <c:v>5.220010850644869E-7</c:v>
                </c:pt>
                <c:pt idx="59">
                  <c:v>4.6788931867966903E-7</c:v>
                </c:pt>
                <c:pt idx="60">
                  <c:v>4.1957439682683556E-7</c:v>
                </c:pt>
                <c:pt idx="61">
                  <c:v>3.7641824519459297E-7</c:v>
                </c:pt>
                <c:pt idx="62">
                  <c:v>3.3785467768359645E-7</c:v>
                </c:pt>
                <c:pt idx="63">
                  <c:v>3.0288180408281373E-7</c:v>
                </c:pt>
                <c:pt idx="64">
                  <c:v>2.7094716383691927E-7</c:v>
                </c:pt>
                <c:pt idx="65">
                  <c:v>2.4252677840558309E-7</c:v>
                </c:pt>
                <c:pt idx="66">
                  <c:v>2.1721850436789201E-7</c:v>
                </c:pt>
                <c:pt idx="67">
                  <c:v>1.9466790637922598E-7</c:v>
                </c:pt>
                <c:pt idx="68">
                  <c:v>1.7456239736528842E-7</c:v>
                </c:pt>
                <c:pt idx="69">
                  <c:v>1.5662612477047812E-7</c:v>
                </c:pt>
                <c:pt idx="70">
                  <c:v>1.4061550484354555E-7</c:v>
                </c:pt>
                <c:pt idx="71">
                  <c:v>1.2631532072565919E-7</c:v>
                </c:pt>
                <c:pt idx="72">
                  <c:v>1.1353530584376747E-7</c:v>
                </c:pt>
                <c:pt idx="73">
                  <c:v>1.0210715347721114E-7</c:v>
                </c:pt>
                <c:pt idx="74">
                  <c:v>9.1881895344809661E-8</c:v>
                </c:pt>
                <c:pt idx="75">
                  <c:v>8.2727603041610176E-8</c:v>
                </c:pt>
                <c:pt idx="76">
                  <c:v>7.4527371957372752E-8</c:v>
                </c:pt>
                <c:pt idx="77">
                  <c:v>6.7177550903773464E-8</c:v>
                </c:pt>
                <c:pt idx="78">
                  <c:v>6.0586186947489133E-8</c:v>
                </c:pt>
                <c:pt idx="79">
                  <c:v>5.4671658518552166E-8</c:v>
                </c:pt>
                <c:pt idx="80">
                  <c:v>4.9137280516812794E-8</c:v>
                </c:pt>
                <c:pt idx="81">
                  <c:v>4.3975322086213844E-8</c:v>
                </c:pt>
                <c:pt idx="82">
                  <c:v>3.9378542706346953E-8</c:v>
                </c:pt>
                <c:pt idx="83">
                  <c:v>3.5282728554507543E-8</c:v>
                </c:pt>
                <c:pt idx="84">
                  <c:v>3.1631200454048403E-8</c:v>
                </c:pt>
                <c:pt idx="85">
                  <c:v>2.8373905857780743E-8</c:v>
                </c:pt>
                <c:pt idx="86">
                  <c:v>2.5466622461991272E-8</c:v>
                </c:pt>
                <c:pt idx="87">
                  <c:v>2.2870259575901028E-8</c:v>
                </c:pt>
                <c:pt idx="88">
                  <c:v>2.0550245092408794E-8</c:v>
                </c:pt>
                <c:pt idx="89">
                  <c:v>1.8475987418488107E-8</c:v>
                </c:pt>
                <c:pt idx="90">
                  <c:v>1.6620403051300519E-8</c:v>
                </c:pt>
                <c:pt idx="91">
                  <c:v>1.4959501650347923E-8</c:v>
                </c:pt>
                <c:pt idx="92">
                  <c:v>1.3472021476052536E-8</c:v>
                </c:pt>
                <c:pt idx="93">
                  <c:v>1.2139108958261602E-8</c:v>
                </c:pt>
                <c:pt idx="94">
                  <c:v>1.0944036939661259E-8</c:v>
                </c:pt>
                <c:pt idx="95">
                  <c:v>9.8719568225936924E-9</c:v>
                </c:pt>
                <c:pt idx="96">
                  <c:v>8.9096804453663327E-9</c:v>
                </c:pt>
                <c:pt idx="97">
                  <c:v>8.0454880364814397E-9</c:v>
                </c:pt>
                <c:pt idx="98">
                  <c:v>7.2689590516919233E-9</c:v>
                </c:pt>
                <c:pt idx="99">
                  <c:v>6.5708230976569352E-9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4006-4C28-A1FA-5E6CAA4550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509184"/>
        <c:axId val="164511104"/>
      </c:scatterChart>
      <c:valAx>
        <c:axId val="164509184"/>
        <c:scaling>
          <c:orientation val="minMax"/>
          <c:min val="0"/>
        </c:scaling>
        <c:delete val="0"/>
        <c:axPos val="b"/>
        <c:majorGridlines>
          <c:spPr>
            <a:ln>
              <a:solidFill>
                <a:srgbClr val="4F81BD">
                  <a:alpha val="50000"/>
                </a:srgb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s-MX" sz="2000"/>
                  <a:t>Carga (Ton)</a:t>
                </a:r>
              </a:p>
            </c:rich>
          </c:tx>
          <c:layout>
            <c:manualLayout>
              <c:xMode val="edge"/>
              <c:yMode val="edge"/>
              <c:x val="0.44978727436592131"/>
              <c:y val="0.9360339179547027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>
            <a:solidFill>
              <a:srgbClr val="4F81BD"/>
            </a:solidFill>
          </a:ln>
        </c:spPr>
        <c:txPr>
          <a:bodyPr/>
          <a:lstStyle/>
          <a:p>
            <a:pPr>
              <a:defRPr sz="1200"/>
            </a:pPr>
            <a:endParaRPr lang="es-ES"/>
          </a:p>
        </c:txPr>
        <c:crossAx val="164511104"/>
        <c:crossesAt val="0"/>
        <c:crossBetween val="midCat"/>
        <c:majorUnit val="5"/>
      </c:valAx>
      <c:valAx>
        <c:axId val="164511104"/>
        <c:scaling>
          <c:orientation val="minMax"/>
          <c:min val="0"/>
        </c:scaling>
        <c:delete val="0"/>
        <c:axPos val="l"/>
        <c:majorGridlines>
          <c:spPr>
            <a:ln w="9525">
              <a:solidFill>
                <a:srgbClr val="C00000">
                  <a:alpha val="50000"/>
                </a:srgb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s-MX" sz="2000"/>
                  <a:t>Coeficiente</a:t>
                </a:r>
                <a:r>
                  <a:rPr lang="es-MX" sz="2000" baseline="0"/>
                  <a:t> de Daño (n/Nd)</a:t>
                </a:r>
                <a:endParaRPr lang="es-MX" sz="2000"/>
              </a:p>
            </c:rich>
          </c:tx>
          <c:layout>
            <c:manualLayout>
              <c:xMode val="edge"/>
              <c:yMode val="edge"/>
              <c:x val="8.7843132914960185E-3"/>
              <c:y val="0.2249053915081885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spPr>
          <a:ln>
            <a:solidFill>
              <a:schemeClr val="accent1"/>
            </a:solidFill>
          </a:ln>
        </c:spPr>
        <c:txPr>
          <a:bodyPr/>
          <a:lstStyle/>
          <a:p>
            <a:pPr>
              <a:defRPr sz="1200"/>
            </a:pPr>
            <a:endParaRPr lang="es-ES"/>
          </a:p>
        </c:txPr>
        <c:crossAx val="164509184"/>
        <c:crosses val="autoZero"/>
        <c:crossBetween val="midCat"/>
      </c:valAx>
      <c:spPr>
        <a:noFill/>
      </c:spPr>
    </c:plotArea>
    <c:legend>
      <c:legendPos val="b"/>
      <c:layout>
        <c:manualLayout>
          <c:xMode val="edge"/>
          <c:yMode val="edge"/>
          <c:x val="8.5807869776361748E-2"/>
          <c:y val="0.88959169936810478"/>
          <c:w val="0.76525732619798092"/>
          <c:h val="4.3813710572379788E-2"/>
        </c:manualLayout>
      </c:layout>
      <c:overlay val="0"/>
      <c:txPr>
        <a:bodyPr/>
        <a:lstStyle/>
        <a:p>
          <a:pPr>
            <a:defRPr sz="1300"/>
          </a:pPr>
          <a:endParaRPr lang="es-ES"/>
        </a:p>
      </c:txPr>
    </c:legend>
    <c:plotVisOnly val="1"/>
    <c:dispBlanksAs val="gap"/>
    <c:showDLblsOverMax val="0"/>
  </c:char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MX" sz="1900"/>
              <a:t>Distribución</a:t>
            </a:r>
            <a:r>
              <a:rPr lang="es-MX" sz="1900" baseline="0"/>
              <a:t> acumulada de daño por DEFORMACIÓN PERMANENTE</a:t>
            </a:r>
            <a:endParaRPr lang="es-MX" sz="19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800387662581846"/>
          <c:y val="8.9837230173530527E-2"/>
          <c:w val="0.80847868374558562"/>
          <c:h val="0.73766085350403898"/>
        </c:manualLayout>
      </c:layout>
      <c:scatterChart>
        <c:scatterStyle val="smoothMarker"/>
        <c:varyColors val="0"/>
        <c:ser>
          <c:idx val="6"/>
          <c:order val="0"/>
          <c:tx>
            <c:strRef>
              <c:f>Larguillo!$BB$3</c:f>
              <c:strCache>
                <c:ptCount val="1"/>
                <c:pt idx="0">
                  <c:v>SIMPLE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Larguillo!$BB$4:$BB$103</c:f>
              <c:numCache>
                <c:formatCode>General</c:formatCode>
                <c:ptCount val="100"/>
                <c:pt idx="0">
                  <c:v>6.1870003117930955E-14</c:v>
                </c:pt>
                <c:pt idx="1">
                  <c:v>2.9909914676974658E-9</c:v>
                </c:pt>
                <c:pt idx="2">
                  <c:v>2.6881332534099421E-7</c:v>
                </c:pt>
                <c:pt idx="3">
                  <c:v>3.1039942186231997E-6</c:v>
                </c:pt>
                <c:pt idx="4">
                  <c:v>1.4245729580931935E-5</c:v>
                </c:pt>
                <c:pt idx="5">
                  <c:v>3.9409983694171795E-5</c:v>
                </c:pt>
                <c:pt idx="6">
                  <c:v>7.9901039611581138E-5</c:v>
                </c:pt>
                <c:pt idx="7">
                  <c:v>1.320989197721471E-4</c:v>
                </c:pt>
                <c:pt idx="8">
                  <c:v>1.8990593914422523E-4</c:v>
                </c:pt>
                <c:pt idx="9">
                  <c:v>2.4738680594041108E-4</c:v>
                </c:pt>
                <c:pt idx="10">
                  <c:v>3.002320382283551E-4</c:v>
                </c:pt>
                <c:pt idx="11">
                  <c:v>3.4606636969311316E-4</c:v>
                </c:pt>
                <c:pt idx="12">
                  <c:v>3.8411138922122607E-4</c:v>
                </c:pt>
                <c:pt idx="13">
                  <c:v>4.1465015054662006E-4</c:v>
                </c:pt>
                <c:pt idx="14">
                  <c:v>4.3853996360374394E-4</c:v>
                </c:pt>
                <c:pt idx="15">
                  <c:v>4.5685983406593936E-4</c:v>
                </c:pt>
                <c:pt idx="16">
                  <c:v>4.7069325527538444E-4</c:v>
                </c:pt>
                <c:pt idx="17">
                  <c:v>4.810149051464305E-4</c:v>
                </c:pt>
                <c:pt idx="18">
                  <c:v>4.8864572354035416E-4</c:v>
                </c:pt>
                <c:pt idx="19">
                  <c:v>4.9424767852933511E-4</c:v>
                </c:pt>
                <c:pt idx="20">
                  <c:v>4.9833849111495542E-4</c:v>
                </c:pt>
                <c:pt idx="21">
                  <c:v>5.0131419062016255E-4</c:v>
                </c:pt>
                <c:pt idx="22">
                  <c:v>5.0347278365737991E-4</c:v>
                </c:pt>
                <c:pt idx="23">
                  <c:v>5.0503577273170244E-4</c:v>
                </c:pt>
                <c:pt idx="24">
                  <c:v>5.0616627848519514E-4</c:v>
                </c:pt>
                <c:pt idx="25">
                  <c:v>5.0698359566951525E-4</c:v>
                </c:pt>
                <c:pt idx="26">
                  <c:v>5.0757451901809912E-4</c:v>
                </c:pt>
                <c:pt idx="27">
                  <c:v>5.0800196089269831E-4</c:v>
                </c:pt>
                <c:pt idx="28">
                  <c:v>5.0831140283336986E-4</c:v>
                </c:pt>
                <c:pt idx="29">
                  <c:v>5.0853566806584912E-4</c:v>
                </c:pt>
                <c:pt idx="30">
                  <c:v>5.0869842070831251E-4</c:v>
                </c:pt>
                <c:pt idx="31">
                  <c:v>5.0881671450880384E-4</c:v>
                </c:pt>
                <c:pt idx="32">
                  <c:v>5.0890284028044298E-4</c:v>
                </c:pt>
                <c:pt idx="33">
                  <c:v>5.089656603115138E-4</c:v>
                </c:pt>
                <c:pt idx="34">
                  <c:v>5.0901156986388673E-4</c:v>
                </c:pt>
                <c:pt idx="35">
                  <c:v>5.090451888712991E-4</c:v>
                </c:pt>
                <c:pt idx="36">
                  <c:v>5.0906985909416973E-4</c:v>
                </c:pt>
                <c:pt idx="37">
                  <c:v>5.0908800132291193E-4</c:v>
                </c:pt>
                <c:pt idx="38">
                  <c:v>5.0910137205437145E-4</c:v>
                </c:pt>
                <c:pt idx="39">
                  <c:v>5.0911124802127488E-4</c:v>
                </c:pt>
                <c:pt idx="40">
                  <c:v>5.0911855895869381E-4</c:v>
                </c:pt>
                <c:pt idx="41">
                  <c:v>5.0912398322755905E-4</c:v>
                </c:pt>
                <c:pt idx="42">
                  <c:v>5.091280167728821E-4</c:v>
                </c:pt>
                <c:pt idx="43">
                  <c:v>5.0913102292360866E-4</c:v>
                </c:pt>
                <c:pt idx="44">
                  <c:v>5.0913326841340331E-4</c:v>
                </c:pt>
                <c:pt idx="45">
                  <c:v>5.0913494947898454E-4</c:v>
                </c:pt>
                <c:pt idx="46">
                  <c:v>5.0913621080314294E-4</c:v>
                </c:pt>
                <c:pt idx="47">
                  <c:v>5.0913715928989952E-4</c:v>
                </c:pt>
                <c:pt idx="48">
                  <c:v>5.0913787410102095E-4</c:v>
                </c:pt>
                <c:pt idx="49">
                  <c:v>5.0913841398308925E-4</c:v>
                </c:pt>
                <c:pt idx="50">
                  <c:v>5.0913882262739482E-4</c:v>
                </c:pt>
                <c:pt idx="51">
                  <c:v>5.0913913259886194E-4</c:v>
                </c:pt>
                <c:pt idx="52">
                  <c:v>5.0913936822202669E-4</c:v>
                </c:pt>
                <c:pt idx="53">
                  <c:v>5.0913954770536146E-4</c:v>
                </c:pt>
                <c:pt idx="54">
                  <c:v>5.0913968470824738E-4</c:v>
                </c:pt>
                <c:pt idx="55">
                  <c:v>5.0913978949926428E-4</c:v>
                </c:pt>
                <c:pt idx="56">
                  <c:v>5.0913986981419173E-4</c:v>
                </c:pt>
                <c:pt idx="57">
                  <c:v>5.0913993149291203E-4</c:v>
                </c:pt>
                <c:pt idx="58">
                  <c:v>5.0913997895318146E-4</c:v>
                </c:pt>
                <c:pt idx="59">
                  <c:v>5.0914001554379167E-4</c:v>
                </c:pt>
                <c:pt idx="60">
                  <c:v>5.091400438083718E-4</c:v>
                </c:pt>
                <c:pt idx="61">
                  <c:v>5.0914006568284962E-4</c:v>
                </c:pt>
                <c:pt idx="62">
                  <c:v>5.0914008264355806E-4</c:v>
                </c:pt>
                <c:pt idx="63">
                  <c:v>5.0914009581854976E-4</c:v>
                </c:pt>
                <c:pt idx="64">
                  <c:v>5.0914010607142751E-4</c:v>
                </c:pt>
                <c:pt idx="65">
                  <c:v>5.091401140646033E-4</c:v>
                </c:pt>
                <c:pt idx="66">
                  <c:v>5.0914012030712857E-4</c:v>
                </c:pt>
                <c:pt idx="67">
                  <c:v>5.0914012519092896E-4</c:v>
                </c:pt>
                <c:pt idx="68">
                  <c:v>5.0914012901830911E-4</c:v>
                </c:pt>
                <c:pt idx="69">
                  <c:v>5.0914013202286957E-4</c:v>
                </c:pt>
                <c:pt idx="70">
                  <c:v>5.0914013438544477E-4</c:v>
                </c:pt>
                <c:pt idx="71">
                  <c:v>5.0914013624626974E-4</c:v>
                </c:pt>
                <c:pt idx="72">
                  <c:v>5.0914013771428512E-4</c:v>
                </c:pt>
                <c:pt idx="73">
                  <c:v>5.0914013887426641E-4</c:v>
                </c:pt>
                <c:pt idx="74">
                  <c:v>5.091401397922966E-4</c:v>
                </c:pt>
                <c:pt idx="75">
                  <c:v>5.0914014051997418E-4</c:v>
                </c:pt>
                <c:pt idx="76">
                  <c:v>5.0914014109765466E-4</c:v>
                </c:pt>
                <c:pt idx="77">
                  <c:v>5.0914014155695186E-4</c:v>
                </c:pt>
                <c:pt idx="78">
                  <c:v>5.0914014192267136E-4</c:v>
                </c:pt>
                <c:pt idx="79">
                  <c:v>5.0914014221430787E-4</c:v>
                </c:pt>
                <c:pt idx="80">
                  <c:v>5.091401424472061E-4</c:v>
                </c:pt>
                <c:pt idx="81">
                  <c:v>5.0914014263346303E-4</c:v>
                </c:pt>
                <c:pt idx="82">
                  <c:v>5.0914014278262984E-4</c:v>
                </c:pt>
                <c:pt idx="83">
                  <c:v>5.0914014290225898E-4</c:v>
                </c:pt>
                <c:pt idx="84">
                  <c:v>5.0914014299833143E-4</c:v>
                </c:pt>
                <c:pt idx="85">
                  <c:v>5.0914014307559049E-4</c:v>
                </c:pt>
                <c:pt idx="86">
                  <c:v>5.0914014313780352E-4</c:v>
                </c:pt>
                <c:pt idx="87">
                  <c:v>5.0914014318796685E-4</c:v>
                </c:pt>
                <c:pt idx="88">
                  <c:v>5.09140143228467E-4</c:v>
                </c:pt>
                <c:pt idx="89">
                  <c:v>5.0914014326120752E-4</c:v>
                </c:pt>
                <c:pt idx="90">
                  <c:v>5.0914014328770868E-4</c:v>
                </c:pt>
                <c:pt idx="91">
                  <c:v>5.091401433091864E-4</c:v>
                </c:pt>
                <c:pt idx="92">
                  <c:v>5.0914014332661441E-4</c:v>
                </c:pt>
                <c:pt idx="93">
                  <c:v>5.0914014334077354E-4</c:v>
                </c:pt>
                <c:pt idx="94">
                  <c:v>5.0914014335229081E-4</c:v>
                </c:pt>
                <c:pt idx="95">
                  <c:v>5.0914014336167035E-4</c:v>
                </c:pt>
                <c:pt idx="96">
                  <c:v>5.0914014336931777E-4</c:v>
                </c:pt>
                <c:pt idx="97">
                  <c:v>5.0914014337556028E-4</c:v>
                </c:pt>
                <c:pt idx="98">
                  <c:v>5.0914014338066178E-4</c:v>
                </c:pt>
                <c:pt idx="99">
                  <c:v>5.0914014338483552E-4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40A-4A99-9AA3-5EE95BF0A2E7}"/>
            </c:ext>
          </c:extLst>
        </c:ser>
        <c:ser>
          <c:idx val="1"/>
          <c:order val="1"/>
          <c:tx>
            <c:strRef>
              <c:f>Larguillo!$BC$3</c:f>
              <c:strCache>
                <c:ptCount val="1"/>
                <c:pt idx="0">
                  <c:v>DUAL</c:v>
                </c:pt>
              </c:strCache>
            </c:strRef>
          </c:tx>
          <c:spPr>
            <a:ln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Larguillo!$BC$4:$BC$103</c:f>
              <c:numCache>
                <c:formatCode>General</c:formatCode>
                <c:ptCount val="100"/>
                <c:pt idx="0">
                  <c:v>1.5411409812183795E-12</c:v>
                </c:pt>
                <c:pt idx="1">
                  <c:v>2.0161627864036507E-9</c:v>
                </c:pt>
                <c:pt idx="2">
                  <c:v>5.69993614795579E-8</c:v>
                </c:pt>
                <c:pt idx="3">
                  <c:v>4.4239984162293635E-7</c:v>
                </c:pt>
                <c:pt idx="4">
                  <c:v>1.831924089875179E-6</c:v>
                </c:pt>
                <c:pt idx="5">
                  <c:v>5.2495153339746841E-6</c:v>
                </c:pt>
                <c:pt idx="6">
                  <c:v>1.1843242678884602E-5</c:v>
                </c:pt>
                <c:pt idx="7">
                  <c:v>2.2632676013214085E-5</c:v>
                </c:pt>
                <c:pt idx="8">
                  <c:v>3.8333864955171222E-5</c:v>
                </c:pt>
                <c:pt idx="9">
                  <c:v>5.9287573817235952E-5</c:v>
                </c:pt>
                <c:pt idx="10">
                  <c:v>8.5470706397429707E-5</c:v>
                </c:pt>
                <c:pt idx="11">
                  <c:v>1.1655763845255167E-4</c:v>
                </c:pt>
                <c:pt idx="12">
                  <c:v>1.5200212342804438E-4</c:v>
                </c:pt>
                <c:pt idx="13">
                  <c:v>1.9111977882682677E-4</c:v>
                </c:pt>
                <c:pt idx="14">
                  <c:v>2.331600605612307E-4</c:v>
                </c:pt>
                <c:pt idx="15">
                  <c:v>2.7736315258555539E-4</c:v>
                </c:pt>
                <c:pt idx="16">
                  <c:v>3.2300125666608184E-4</c:v>
                </c:pt>
                <c:pt idx="17">
                  <c:v>3.694059221620936E-4</c:v>
                </c:pt>
                <c:pt idx="18">
                  <c:v>4.1598394752256744E-4</c:v>
                </c:pt>
                <c:pt idx="19">
                  <c:v>4.6222453145552966E-4</c:v>
                </c:pt>
                <c:pt idx="20">
                  <c:v>5.0770011176965953E-4</c:v>
                </c:pt>
                <c:pt idx="21">
                  <c:v>5.5206292892205904E-4</c:v>
                </c:pt>
                <c:pt idx="22">
                  <c:v>5.9503891801434552E-4</c:v>
                </c:pt>
                <c:pt idx="23">
                  <c:v>6.3642013307830278E-4</c:v>
                </c:pt>
                <c:pt idx="24">
                  <c:v>6.7605656864376399E-4</c:v>
                </c:pt>
                <c:pt idx="25">
                  <c:v>7.138479721420023E-4</c:v>
                </c:pt>
                <c:pt idx="26">
                  <c:v>7.4973603222731758E-4</c:v>
                </c:pt>
                <c:pt idx="27">
                  <c:v>7.8369717356262302E-4</c:v>
                </c:pt>
                <c:pt idx="28">
                  <c:v>8.1573607780897808E-4</c:v>
                </c:pt>
                <c:pt idx="29">
                  <c:v>8.4587997384471983E-4</c:v>
                </c:pt>
                <c:pt idx="30">
                  <c:v>8.7417368928605316E-4</c:v>
                </c:pt>
                <c:pt idx="31">
                  <c:v>9.0067542337007097E-4</c:v>
                </c:pt>
                <c:pt idx="32">
                  <c:v>9.2545318282161149E-4</c:v>
                </c:pt>
                <c:pt idx="33">
                  <c:v>9.4858181334532934E-4</c:v>
                </c:pt>
                <c:pt idx="34">
                  <c:v>9.7014055679077752E-4</c:v>
                </c:pt>
                <c:pt idx="35">
                  <c:v>9.9021106558308232E-4</c:v>
                </c:pt>
                <c:pt idx="36">
                  <c:v>1.0088758100843202E-3</c:v>
                </c:pt>
                <c:pt idx="37">
                  <c:v>1.0262168200221909E-3</c:v>
                </c:pt>
                <c:pt idx="38">
                  <c:v>1.0423147072216386E-3</c:v>
                </c:pt>
                <c:pt idx="39">
                  <c:v>1.0572479230908927E-3</c:v>
                </c:pt>
                <c:pt idx="40">
                  <c:v>1.0710922103220057E-3</c:v>
                </c:pt>
                <c:pt idx="41">
                  <c:v>1.0839202138748379E-3</c:v>
                </c:pt>
                <c:pt idx="42">
                  <c:v>1.0958012214208486E-3</c:v>
                </c:pt>
                <c:pt idx="43">
                  <c:v>1.1068010079882701E-3</c:v>
                </c:pt>
                <c:pt idx="44">
                  <c:v>1.1169817635723227E-3</c:v>
                </c:pt>
                <c:pt idx="45">
                  <c:v>1.1264020859768384E-3</c:v>
                </c:pt>
                <c:pt idx="46">
                  <c:v>1.1351170241749881E-3</c:v>
                </c:pt>
                <c:pt idx="47">
                  <c:v>1.1431781600618961E-3</c:v>
                </c:pt>
                <c:pt idx="48">
                  <c:v>1.1506337186682641E-3</c:v>
                </c:pt>
                <c:pt idx="49">
                  <c:v>1.157528698758606E-3</c:v>
                </c:pt>
                <c:pt idx="50">
                  <c:v>1.1639050172946566E-3</c:v>
                </c:pt>
                <c:pt idx="51">
                  <c:v>1.1698016625448248E-3</c:v>
                </c:pt>
                <c:pt idx="52">
                  <c:v>1.1752548517010703E-3</c:v>
                </c:pt>
                <c:pt idx="53">
                  <c:v>1.1802981897579955E-3</c:v>
                </c:pt>
                <c:pt idx="54">
                  <c:v>1.1849628271440274E-3</c:v>
                </c:pt>
                <c:pt idx="55">
                  <c:v>1.1892776141962484E-3</c:v>
                </c:pt>
                <c:pt idx="56">
                  <c:v>1.1932692510602913E-3</c:v>
                </c:pt>
                <c:pt idx="57">
                  <c:v>1.1969624319931554E-3</c:v>
                </c:pt>
                <c:pt idx="58">
                  <c:v>1.2003799833655638E-3</c:v>
                </c:pt>
                <c:pt idx="59">
                  <c:v>1.2035429949148774E-3</c:v>
                </c:pt>
                <c:pt idx="60">
                  <c:v>1.2064709440008472E-3</c:v>
                </c:pt>
                <c:pt idx="61">
                  <c:v>1.2091818127740734E-3</c:v>
                </c:pt>
                <c:pt idx="62">
                  <c:v>1.2116921982888759E-3</c:v>
                </c:pt>
                <c:pt idx="63">
                  <c:v>1.2140174156849521E-3</c:v>
                </c:pt>
                <c:pt idx="64">
                  <c:v>1.2161715946312354E-3</c:v>
                </c:pt>
                <c:pt idx="65">
                  <c:v>1.218167769275301E-3</c:v>
                </c:pt>
                <c:pt idx="66">
                  <c:v>1.2200179619763108E-3</c:v>
                </c:pt>
                <c:pt idx="67">
                  <c:v>1.2217332611219151E-3</c:v>
                </c:pt>
                <c:pt idx="68">
                  <c:v>1.2233238933423395E-3</c:v>
                </c:pt>
                <c:pt idx="69">
                  <c:v>1.2247992904401382E-3</c:v>
                </c:pt>
                <c:pt idx="70">
                  <c:v>1.2261681513535338E-3</c:v>
                </c:pt>
                <c:pt idx="71">
                  <c:v>1.2274384994662541E-3</c:v>
                </c:pt>
                <c:pt idx="72">
                  <c:v>1.228617735568472E-3</c:v>
                </c:pt>
                <c:pt idx="73">
                  <c:v>1.2297126867627317E-3</c:v>
                </c:pt>
                <c:pt idx="74">
                  <c:v>1.2307296515963629E-3</c:v>
                </c:pt>
                <c:pt idx="75">
                  <c:v>1.2316744416883958E-3</c:v>
                </c:pt>
                <c:pt idx="76">
                  <c:v>1.2325524201048745E-3</c:v>
                </c:pt>
                <c:pt idx="77">
                  <c:v>1.2333685367220521E-3</c:v>
                </c:pt>
                <c:pt idx="78">
                  <c:v>1.2341273608025545E-3</c:v>
                </c:pt>
                <c:pt idx="79">
                  <c:v>1.2348331109953872E-3</c:v>
                </c:pt>
                <c:pt idx="80">
                  <c:v>1.2354896829568243E-3</c:v>
                </c:pt>
                <c:pt idx="81">
                  <c:v>1.2361006747758536E-3</c:v>
                </c:pt>
                <c:pt idx="82">
                  <c:v>1.2366694103750451E-3</c:v>
                </c:pt>
                <c:pt idx="83">
                  <c:v>1.2371989610455133E-3</c:v>
                </c:pt>
                <c:pt idx="84">
                  <c:v>1.2376921652630874E-3</c:v>
                </c:pt>
                <c:pt idx="85">
                  <c:v>1.2381516469219011E-3</c:v>
                </c:pt>
                <c:pt idx="86">
                  <c:v>1.238579832111371E-3</c:v>
                </c:pt>
                <c:pt idx="87">
                  <c:v>1.2389789645529321E-3</c:v>
                </c:pt>
                <c:pt idx="88">
                  <c:v>1.239351119803936E-3</c:v>
                </c:pt>
                <c:pt idx="89">
                  <c:v>1.2396982183277613E-3</c:v>
                </c:pt>
                <c:pt idx="90">
                  <c:v>1.2400220375214151E-3</c:v>
                </c:pt>
                <c:pt idx="91">
                  <c:v>1.2403242227846921E-3</c:v>
                </c:pt>
                <c:pt idx="92">
                  <c:v>1.2406062977082717E-3</c:v>
                </c:pt>
                <c:pt idx="93">
                  <c:v>1.2408696734519508E-3</c:v>
                </c:pt>
                <c:pt idx="94">
                  <c:v>1.2411156573784868E-3</c:v>
                </c:pt>
                <c:pt idx="95">
                  <c:v>1.2413454610032482E-3</c:v>
                </c:pt>
                <c:pt idx="96">
                  <c:v>1.2415602073149986E-3</c:v>
                </c:pt>
                <c:pt idx="97">
                  <c:v>1.2417609375186536E-3</c:v>
                </c:pt>
                <c:pt idx="98">
                  <c:v>1.2419486172467117E-3</c:v>
                </c:pt>
                <c:pt idx="99">
                  <c:v>1.2421241422822581E-3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40A-4A99-9AA3-5EE95BF0A2E7}"/>
            </c:ext>
          </c:extLst>
        </c:ser>
        <c:ser>
          <c:idx val="2"/>
          <c:order val="2"/>
          <c:tx>
            <c:strRef>
              <c:f>Larguillo!$BD$3</c:f>
              <c:strCache>
                <c:ptCount val="1"/>
                <c:pt idx="0">
                  <c:v>TANDEM</c:v>
                </c:pt>
              </c:strCache>
            </c:strRef>
          </c:tx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Larguillo!$BD$4:$BD$103</c:f>
              <c:numCache>
                <c:formatCode>General</c:formatCode>
                <c:ptCount val="100"/>
                <c:pt idx="0">
                  <c:v>8.2691378740371718E-55</c:v>
                </c:pt>
                <c:pt idx="1">
                  <c:v>9.3405971393950385E-35</c:v>
                </c:pt>
                <c:pt idx="2">
                  <c:v>1.9159198476427355E-25</c:v>
                </c:pt>
                <c:pt idx="3">
                  <c:v>6.4097048037076584E-20</c:v>
                </c:pt>
                <c:pt idx="4">
                  <c:v>2.9732573845034711E-16</c:v>
                </c:pt>
                <c:pt idx="5">
                  <c:v>1.1708860947320933E-13</c:v>
                </c:pt>
                <c:pt idx="6">
                  <c:v>9.650846980830753E-12</c:v>
                </c:pt>
                <c:pt idx="7">
                  <c:v>2.7687373797144099E-10</c:v>
                </c:pt>
                <c:pt idx="8">
                  <c:v>3.7846665060474141E-9</c:v>
                </c:pt>
                <c:pt idx="9">
                  <c:v>3.2087593769835061E-8</c:v>
                </c:pt>
                <c:pt idx="10">
                  <c:v>2.3984028342033161E-7</c:v>
                </c:pt>
                <c:pt idx="11">
                  <c:v>1.6258182611358516E-6</c:v>
                </c:pt>
                <c:pt idx="12">
                  <c:v>7.4112318559183086E-6</c:v>
                </c:pt>
                <c:pt idx="13">
                  <c:v>2.1200992624676201E-5</c:v>
                </c:pt>
                <c:pt idx="14">
                  <c:v>4.1494939601503305E-5</c:v>
                </c:pt>
                <c:pt idx="15">
                  <c:v>6.2468223325852032E-5</c:v>
                </c:pt>
                <c:pt idx="16">
                  <c:v>8.047997084015035E-5</c:v>
                </c:pt>
                <c:pt idx="17">
                  <c:v>9.5908456207787155E-5</c:v>
                </c:pt>
                <c:pt idx="18">
                  <c:v>1.1032346903659381E-4</c:v>
                </c:pt>
                <c:pt idx="19">
                  <c:v>1.2447339311746756E-4</c:v>
                </c:pt>
                <c:pt idx="20">
                  <c:v>1.3830614876730938E-4</c:v>
                </c:pt>
                <c:pt idx="21">
                  <c:v>1.5182991254541277E-4</c:v>
                </c:pt>
                <c:pt idx="22">
                  <c:v>1.6627730926204769E-4</c:v>
                </c:pt>
                <c:pt idx="23">
                  <c:v>1.8556763963571411E-4</c:v>
                </c:pt>
                <c:pt idx="24">
                  <c:v>2.1747686971225369E-4</c:v>
                </c:pt>
                <c:pt idx="25">
                  <c:v>2.7306423222479468E-4</c:v>
                </c:pt>
                <c:pt idx="26">
                  <c:v>3.6325214873932473E-4</c:v>
                </c:pt>
                <c:pt idx="27">
                  <c:v>4.9350308349050288E-4</c:v>
                </c:pt>
                <c:pt idx="28">
                  <c:v>6.5963808050906929E-4</c:v>
                </c:pt>
                <c:pt idx="29">
                  <c:v>8.4771416535038644E-4</c:v>
                </c:pt>
                <c:pt idx="30">
                  <c:v>1.038316031275499E-3</c:v>
                </c:pt>
                <c:pt idx="31">
                  <c:v>1.2128292978125324E-3</c:v>
                </c:pt>
                <c:pt idx="32">
                  <c:v>1.3584599422094747E-3</c:v>
                </c:pt>
                <c:pt idx="33">
                  <c:v>1.4701253644866592E-3</c:v>
                </c:pt>
                <c:pt idx="34">
                  <c:v>1.5493805806450409E-3</c:v>
                </c:pt>
                <c:pt idx="35">
                  <c:v>1.6017986519187392E-3</c:v>
                </c:pt>
                <c:pt idx="36">
                  <c:v>1.6343004009414823E-3</c:v>
                </c:pt>
                <c:pt idx="37">
                  <c:v>1.6532977445598803E-3</c:v>
                </c:pt>
                <c:pt idx="38">
                  <c:v>1.6638178399516318E-3</c:v>
                </c:pt>
                <c:pt idx="39">
                  <c:v>1.6693627405010361E-3</c:v>
                </c:pt>
                <c:pt idx="40">
                  <c:v>1.6721564807870197E-3</c:v>
                </c:pt>
                <c:pt idx="41">
                  <c:v>1.6735075501413835E-3</c:v>
                </c:pt>
                <c:pt idx="42">
                  <c:v>1.6741372327242056E-3</c:v>
                </c:pt>
                <c:pt idx="43">
                  <c:v>1.6744212421921439E-3</c:v>
                </c:pt>
                <c:pt idx="44">
                  <c:v>1.674545786602151E-3</c:v>
                </c:pt>
                <c:pt idx="45">
                  <c:v>1.6745991838681112E-3</c:v>
                </c:pt>
                <c:pt idx="46">
                  <c:v>1.6746217296674207E-3</c:v>
                </c:pt>
                <c:pt idx="47">
                  <c:v>1.6746311977627671E-3</c:v>
                </c:pt>
                <c:pt idx="48">
                  <c:v>1.6746352064008149E-3</c:v>
                </c:pt>
                <c:pt idx="49">
                  <c:v>1.6746369476662139E-3</c:v>
                </c:pt>
                <c:pt idx="50">
                  <c:v>1.6746377390042383E-3</c:v>
                </c:pt>
                <c:pt idx="51">
                  <c:v>1.6746381215620855E-3</c:v>
                </c:pt>
                <c:pt idx="52">
                  <c:v>1.6746383197360265E-3</c:v>
                </c:pt>
                <c:pt idx="53">
                  <c:v>1.6746384292270304E-3</c:v>
                </c:pt>
                <c:pt idx="54">
                  <c:v>1.6746384929020896E-3</c:v>
                </c:pt>
                <c:pt idx="55">
                  <c:v>1.6746385312871538E-3</c:v>
                </c:pt>
                <c:pt idx="56">
                  <c:v>1.6746385549646721E-3</c:v>
                </c:pt>
                <c:pt idx="57">
                  <c:v>1.6746385697738032E-3</c:v>
                </c:pt>
                <c:pt idx="58">
                  <c:v>1.674638579111638E-3</c:v>
                </c:pt>
                <c:pt idx="59">
                  <c:v>1.6746385850275854E-3</c:v>
                </c:pt>
                <c:pt idx="60">
                  <c:v>1.6746385887864131E-3</c:v>
                </c:pt>
                <c:pt idx="61">
                  <c:v>1.6746385911791792E-3</c:v>
                </c:pt>
                <c:pt idx="62">
                  <c:v>1.6746385927044662E-3</c:v>
                </c:pt>
                <c:pt idx="63">
                  <c:v>1.6746385936778992E-3</c:v>
                </c:pt>
                <c:pt idx="64">
                  <c:v>1.6746385942998049E-3</c:v>
                </c:pt>
                <c:pt idx="65">
                  <c:v>1.6746385946975447E-3</c:v>
                </c:pt>
                <c:pt idx="66">
                  <c:v>1.6746385949521904E-3</c:v>
                </c:pt>
                <c:pt idx="67">
                  <c:v>1.674638595115402E-3</c:v>
                </c:pt>
                <c:pt idx="68">
                  <c:v>1.6746385952201293E-3</c:v>
                </c:pt>
                <c:pt idx="69">
                  <c:v>1.6746385952874081E-3</c:v>
                </c:pt>
                <c:pt idx="70">
                  <c:v>1.6746385953306819E-3</c:v>
                </c:pt>
                <c:pt idx="71">
                  <c:v>1.6746385953585502E-3</c:v>
                </c:pt>
                <c:pt idx="72">
                  <c:v>1.6746385953765204E-3</c:v>
                </c:pt>
                <c:pt idx="73">
                  <c:v>1.6746385953881233E-3</c:v>
                </c:pt>
                <c:pt idx="74">
                  <c:v>1.6746385953956252E-3</c:v>
                </c:pt>
                <c:pt idx="75">
                  <c:v>1.674638595400482E-3</c:v>
                </c:pt>
                <c:pt idx="76">
                  <c:v>1.6746385954036307E-3</c:v>
                </c:pt>
                <c:pt idx="77">
                  <c:v>1.6746385954056748E-3</c:v>
                </c:pt>
                <c:pt idx="78">
                  <c:v>1.6746385954070039E-3</c:v>
                </c:pt>
                <c:pt idx="79">
                  <c:v>1.6746385954078693E-3</c:v>
                </c:pt>
                <c:pt idx="80">
                  <c:v>1.6746385954084335E-3</c:v>
                </c:pt>
                <c:pt idx="81">
                  <c:v>1.6746385954088019E-3</c:v>
                </c:pt>
                <c:pt idx="82">
                  <c:v>1.6746385954090428E-3</c:v>
                </c:pt>
                <c:pt idx="83">
                  <c:v>1.6746385954092007E-3</c:v>
                </c:pt>
                <c:pt idx="84">
                  <c:v>1.6746385954093041E-3</c:v>
                </c:pt>
                <c:pt idx="85">
                  <c:v>1.674638595409372E-3</c:v>
                </c:pt>
                <c:pt idx="86">
                  <c:v>1.6746385954094166E-3</c:v>
                </c:pt>
                <c:pt idx="87">
                  <c:v>1.6746385954094461E-3</c:v>
                </c:pt>
                <c:pt idx="88">
                  <c:v>1.6746385954094656E-3</c:v>
                </c:pt>
                <c:pt idx="89">
                  <c:v>1.6746385954094784E-3</c:v>
                </c:pt>
                <c:pt idx="90">
                  <c:v>1.6746385954094869E-3</c:v>
                </c:pt>
                <c:pt idx="91">
                  <c:v>1.6746385954094925E-3</c:v>
                </c:pt>
                <c:pt idx="92">
                  <c:v>1.6746385954094962E-3</c:v>
                </c:pt>
                <c:pt idx="93">
                  <c:v>1.6746385954094986E-3</c:v>
                </c:pt>
                <c:pt idx="94">
                  <c:v>1.6746385954095003E-3</c:v>
                </c:pt>
                <c:pt idx="95">
                  <c:v>1.6746385954095014E-3</c:v>
                </c:pt>
                <c:pt idx="96">
                  <c:v>1.6746385954095021E-3</c:v>
                </c:pt>
                <c:pt idx="97">
                  <c:v>1.6746385954095025E-3</c:v>
                </c:pt>
                <c:pt idx="98">
                  <c:v>1.6746385954095029E-3</c:v>
                </c:pt>
                <c:pt idx="99">
                  <c:v>1.6746385954095032E-3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40A-4A99-9AA3-5EE95BF0A2E7}"/>
            </c:ext>
          </c:extLst>
        </c:ser>
        <c:ser>
          <c:idx val="3"/>
          <c:order val="3"/>
          <c:tx>
            <c:strRef>
              <c:f>Larguillo!$BE$3</c:f>
              <c:strCache>
                <c:ptCount val="1"/>
                <c:pt idx="0">
                  <c:v>TRIDEM</c:v>
                </c:pt>
              </c:strCache>
            </c:strRef>
          </c:tx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Larguillo!$BE$4:$BE$103</c:f>
              <c:numCache>
                <c:formatCode>General</c:formatCode>
                <c:ptCount val="100"/>
                <c:pt idx="0">
                  <c:v>1.4242505548310262E-31</c:v>
                </c:pt>
                <c:pt idx="1">
                  <c:v>3.2245982262684485E-21</c:v>
                </c:pt>
                <c:pt idx="2">
                  <c:v>1.7331921939615788E-16</c:v>
                </c:pt>
                <c:pt idx="3">
                  <c:v>1.0043013215250319E-13</c:v>
                </c:pt>
                <c:pt idx="4">
                  <c:v>6.4708289131020683E-12</c:v>
                </c:pt>
                <c:pt idx="5">
                  <c:v>1.2053978493265414E-10</c:v>
                </c:pt>
                <c:pt idx="6">
                  <c:v>1.0369018123603365E-9</c:v>
                </c:pt>
                <c:pt idx="7">
                  <c:v>5.3174683209209049E-9</c:v>
                </c:pt>
                <c:pt idx="8">
                  <c:v>1.8926047706226864E-8</c:v>
                </c:pt>
                <c:pt idx="9">
                  <c:v>5.1518349094131745E-8</c:v>
                </c:pt>
                <c:pt idx="10">
                  <c:v>1.1450749352579699E-7</c:v>
                </c:pt>
                <c:pt idx="11">
                  <c:v>2.1760592185496591E-7</c:v>
                </c:pt>
                <c:pt idx="12">
                  <c:v>3.656217256407121E-7</c:v>
                </c:pt>
                <c:pt idx="13">
                  <c:v>5.569955342083967E-7</c:v>
                </c:pt>
                <c:pt idx="14">
                  <c:v>7.8456921583365819E-7</c:v>
                </c:pt>
                <c:pt idx="15">
                  <c:v>1.0383116248633088E-6</c:v>
                </c:pt>
                <c:pt idx="16">
                  <c:v>1.3094709803871856E-6</c:v>
                </c:pt>
                <c:pt idx="17">
                  <c:v>1.5955072677578158E-6</c:v>
                </c:pt>
                <c:pt idx="18">
                  <c:v>1.9047645592965943E-6</c:v>
                </c:pt>
                <c:pt idx="19">
                  <c:v>2.2592840957407457E-6</c:v>
                </c:pt>
                <c:pt idx="20">
                  <c:v>2.6940507115024195E-6</c:v>
                </c:pt>
                <c:pt idx="21">
                  <c:v>3.2518147509746879E-6</c:v>
                </c:pt>
                <c:pt idx="22">
                  <c:v>3.9742607538556147E-6</c:v>
                </c:pt>
                <c:pt idx="23">
                  <c:v>4.891880767704373E-6</c:v>
                </c:pt>
                <c:pt idx="24">
                  <c:v>6.0155817844029484E-6</c:v>
                </c:pt>
                <c:pt idx="25">
                  <c:v>7.3324821787062011E-6</c:v>
                </c:pt>
                <c:pt idx="26">
                  <c:v>8.8068823870220094E-6</c:v>
                </c:pt>
                <c:pt idx="27">
                  <c:v>1.0385755926022549E-5</c:v>
                </c:pt>
                <c:pt idx="28">
                  <c:v>1.2006952389452572E-5</c:v>
                </c:pt>
                <c:pt idx="29">
                  <c:v>1.3607933758711029E-5</c:v>
                </c:pt>
                <c:pt idx="30">
                  <c:v>1.5133200445956681E-5</c:v>
                </c:pt>
                <c:pt idx="31">
                  <c:v>1.6539300691980113E-5</c:v>
                </c:pt>
                <c:pt idx="32">
                  <c:v>1.7797119664503393E-5</c:v>
                </c:pt>
                <c:pt idx="33">
                  <c:v>1.8891773086446316E-5</c:v>
                </c:pt>
                <c:pt idx="34">
                  <c:v>1.9820783331026359E-5</c:v>
                </c:pt>
                <c:pt idx="35">
                  <c:v>2.0591307152826417E-5</c:v>
                </c:pt>
                <c:pt idx="36">
                  <c:v>2.1217090365198635E-5</c:v>
                </c:pt>
                <c:pt idx="37">
                  <c:v>2.1715637542441658E-5</c:v>
                </c:pt>
                <c:pt idx="38">
                  <c:v>2.2105879980244105E-5</c:v>
                </c:pt>
                <c:pt idx="39">
                  <c:v>2.240645034585579E-5</c:v>
                </c:pt>
                <c:pt idx="40">
                  <c:v>2.2634548352041543E-5</c:v>
                </c:pt>
                <c:pt idx="41">
                  <c:v>2.2805309596561352E-5</c:v>
                </c:pt>
                <c:pt idx="42">
                  <c:v>2.2931559876778275E-5</c:v>
                </c:pt>
                <c:pt idx="43">
                  <c:v>2.3023836561035633E-5</c:v>
                </c:pt>
                <c:pt idx="44">
                  <c:v>2.3090574450661675E-5</c:v>
                </c:pt>
                <c:pt idx="45">
                  <c:v>2.3138376308069291E-5</c:v>
                </c:pt>
                <c:pt idx="46">
                  <c:v>2.3172311470053882E-5</c:v>
                </c:pt>
                <c:pt idx="47">
                  <c:v>2.3196206198378989E-5</c:v>
                </c:pt>
                <c:pt idx="48">
                  <c:v>2.3212905231067457E-5</c:v>
                </c:pt>
                <c:pt idx="49">
                  <c:v>2.3224495298318716E-5</c:v>
                </c:pt>
                <c:pt idx="50">
                  <c:v>2.3232488761791443E-5</c:v>
                </c:pt>
                <c:pt idx="51">
                  <c:v>2.3237969891331044E-5</c:v>
                </c:pt>
                <c:pt idx="52">
                  <c:v>2.3241708477281927E-5</c:v>
                </c:pt>
                <c:pt idx="53">
                  <c:v>2.3244246230818324E-5</c:v>
                </c:pt>
                <c:pt idx="54">
                  <c:v>2.3245961320468157E-5</c:v>
                </c:pt>
                <c:pt idx="55">
                  <c:v>2.3247115835695941E-5</c:v>
                </c:pt>
                <c:pt idx="56">
                  <c:v>2.3247890224809447E-5</c:v>
                </c:pt>
                <c:pt idx="57">
                  <c:v>2.3248407985968572E-5</c:v>
                </c:pt>
                <c:pt idx="58">
                  <c:v>2.3248753184081684E-5</c:v>
                </c:pt>
                <c:pt idx="59">
                  <c:v>2.3248982761825269E-5</c:v>
                </c:pt>
                <c:pt idx="60">
                  <c:v>2.3249135119547547E-5</c:v>
                </c:pt>
                <c:pt idx="61">
                  <c:v>2.3249236049981875E-5</c:v>
                </c:pt>
                <c:pt idx="62">
                  <c:v>2.3249302815599981E-5</c:v>
                </c:pt>
                <c:pt idx="63">
                  <c:v>2.3249346932894502E-5</c:v>
                </c:pt>
                <c:pt idx="64">
                  <c:v>2.3249376063280746E-5</c:v>
                </c:pt>
                <c:pt idx="65">
                  <c:v>2.3249395290958305E-5</c:v>
                </c:pt>
                <c:pt idx="66">
                  <c:v>2.3249407982666169E-5</c:v>
                </c:pt>
                <c:pt idx="67">
                  <c:v>2.3249416363839189E-5</c:v>
                </c:pt>
                <c:pt idx="68">
                  <c:v>2.3249421903345384E-5</c:v>
                </c:pt>
                <c:pt idx="69">
                  <c:v>2.3249425569590293E-5</c:v>
                </c:pt>
                <c:pt idx="70">
                  <c:v>2.3249428000520838E-5</c:v>
                </c:pt>
                <c:pt idx="71">
                  <c:v>2.3249429616200197E-5</c:v>
                </c:pt>
                <c:pt idx="72">
                  <c:v>2.3249430693197131E-5</c:v>
                </c:pt>
                <c:pt idx="73">
                  <c:v>2.3249431413654916E-5</c:v>
                </c:pt>
                <c:pt idx="74">
                  <c:v>2.3249431897611056E-5</c:v>
                </c:pt>
                <c:pt idx="75">
                  <c:v>2.3249432224260533E-5</c:v>
                </c:pt>
                <c:pt idx="76">
                  <c:v>2.3249432445933321E-5</c:v>
                </c:pt>
                <c:pt idx="77">
                  <c:v>2.3249432597277896E-5</c:v>
                </c:pt>
                <c:pt idx="78">
                  <c:v>2.3249432701293873E-5</c:v>
                </c:pt>
                <c:pt idx="79">
                  <c:v>2.3249432773295499E-5</c:v>
                </c:pt>
                <c:pt idx="80">
                  <c:v>2.3249432823517031E-5</c:v>
                </c:pt>
                <c:pt idx="81">
                  <c:v>2.3249432858826941E-5</c:v>
                </c:pt>
                <c:pt idx="82">
                  <c:v>2.3249432883857243E-5</c:v>
                </c:pt>
                <c:pt idx="83">
                  <c:v>2.3249432901748784E-5</c:v>
                </c:pt>
                <c:pt idx="84">
                  <c:v>2.3249432914644193E-5</c:v>
                </c:pt>
                <c:pt idx="85">
                  <c:v>2.3249432924014804E-5</c:v>
                </c:pt>
                <c:pt idx="86">
                  <c:v>2.3249432930878169E-5</c:v>
                </c:pt>
                <c:pt idx="87">
                  <c:v>2.3249432935943325E-5</c:v>
                </c:pt>
                <c:pt idx="88">
                  <c:v>2.324943293970821E-5</c:v>
                </c:pt>
                <c:pt idx="89">
                  <c:v>2.324943294252536E-5</c:v>
                </c:pt>
                <c:pt idx="90">
                  <c:v>2.3249432944646402E-5</c:v>
                </c:pt>
                <c:pt idx="91">
                  <c:v>2.324943294625241E-5</c:v>
                </c:pt>
                <c:pt idx="92">
                  <c:v>2.324943294747474E-5</c:v>
                </c:pt>
                <c:pt idx="93">
                  <c:v>2.324943294840941E-5</c:v>
                </c:pt>
                <c:pt idx="94">
                  <c:v>2.3249432949127145E-5</c:v>
                </c:pt>
                <c:pt idx="95">
                  <c:v>2.3249432949680393E-5</c:v>
                </c:pt>
                <c:pt idx="96">
                  <c:v>2.3249432950108314E-5</c:v>
                </c:pt>
                <c:pt idx="97">
                  <c:v>2.3249432950440321E-5</c:v>
                </c:pt>
                <c:pt idx="98">
                  <c:v>2.3249432950698629E-5</c:v>
                </c:pt>
                <c:pt idx="99">
                  <c:v>2.3249432950900104E-5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40A-4A99-9AA3-5EE95BF0A2E7}"/>
            </c:ext>
          </c:extLst>
        </c:ser>
        <c:ser>
          <c:idx val="0"/>
          <c:order val="4"/>
          <c:tx>
            <c:v>TODOS</c:v>
          </c:tx>
          <c:spPr>
            <a:ln>
              <a:solidFill>
                <a:prstClr val="black"/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Larguillo!$BF$4:$BF$103</c:f>
              <c:numCache>
                <c:formatCode>General</c:formatCode>
                <c:ptCount val="100"/>
                <c:pt idx="0">
                  <c:v>1.6030109843363104E-12</c:v>
                </c:pt>
                <c:pt idx="1">
                  <c:v>5.0071542541043413E-9</c:v>
                </c:pt>
                <c:pt idx="2">
                  <c:v>3.2581268699387133E-7</c:v>
                </c:pt>
                <c:pt idx="3">
                  <c:v>3.5463941606763321E-6</c:v>
                </c:pt>
                <c:pt idx="4">
                  <c:v>1.6077660141933351E-5</c:v>
                </c:pt>
                <c:pt idx="5">
                  <c:v>4.4659619685020021E-5</c:v>
                </c:pt>
                <c:pt idx="6">
                  <c:v>9.1745328843125077E-5</c:v>
                </c:pt>
                <c:pt idx="7">
                  <c:v>1.5473719012742005E-4</c:v>
                </c:pt>
                <c:pt idx="8">
                  <c:v>2.2826251481360873E-4</c:v>
                </c:pt>
                <c:pt idx="9">
                  <c:v>3.0675798570051096E-4</c:v>
                </c:pt>
                <c:pt idx="10">
                  <c:v>3.860570924027309E-4</c:v>
                </c:pt>
                <c:pt idx="11">
                  <c:v>4.6446743232865566E-4</c:v>
                </c:pt>
                <c:pt idx="12">
                  <c:v>5.4389036623082941E-4</c:v>
                </c:pt>
                <c:pt idx="13">
                  <c:v>6.2752791753233148E-4</c:v>
                </c:pt>
                <c:pt idx="14">
                  <c:v>7.139795329823115E-4</c:v>
                </c:pt>
                <c:pt idx="15">
                  <c:v>7.9772952160221005E-4</c:v>
                </c:pt>
                <c:pt idx="16">
                  <c:v>8.7548395376200387E-4</c:v>
                </c:pt>
                <c:pt idx="17">
                  <c:v>9.4792479078406914E-4</c:v>
                </c:pt>
                <c:pt idx="18">
                  <c:v>1.016857904658812E-3</c:v>
                </c:pt>
                <c:pt idx="19">
                  <c:v>1.083204887198073E-3</c:v>
                </c:pt>
                <c:pt idx="20">
                  <c:v>1.1470388023634267E-3</c:v>
                </c:pt>
                <c:pt idx="21">
                  <c:v>1.2084588468386089E-3</c:v>
                </c:pt>
                <c:pt idx="22">
                  <c:v>1.2687632716876288E-3</c:v>
                </c:pt>
                <c:pt idx="23">
                  <c:v>1.3319154262134236E-3</c:v>
                </c:pt>
                <c:pt idx="24">
                  <c:v>1.4057152986256159E-3</c:v>
                </c:pt>
                <c:pt idx="25">
                  <c:v>1.5012282822150183E-3</c:v>
                </c:pt>
                <c:pt idx="26">
                  <c:v>1.6293695823717635E-3</c:v>
                </c:pt>
                <c:pt idx="27">
                  <c:v>1.7955879738718468E-3</c:v>
                </c:pt>
                <c:pt idx="28">
                  <c:v>1.9956925135408699E-3</c:v>
                </c:pt>
                <c:pt idx="29">
                  <c:v>2.2157377410196664E-3</c:v>
                </c:pt>
                <c:pt idx="30">
                  <c:v>2.4363213417158214E-3</c:v>
                </c:pt>
                <c:pt idx="31">
                  <c:v>2.6388607363833872E-3</c:v>
                </c:pt>
                <c:pt idx="32">
                  <c:v>2.8106130849760327E-3</c:v>
                </c:pt>
                <c:pt idx="33">
                  <c:v>2.9465646112299491E-3</c:v>
                </c:pt>
                <c:pt idx="34">
                  <c:v>3.0483534906307315E-3</c:v>
                </c:pt>
                <c:pt idx="35">
                  <c:v>3.121646213525947E-3</c:v>
                </c:pt>
                <c:pt idx="36">
                  <c:v>3.1734631604851708E-3</c:v>
                </c:pt>
                <c:pt idx="37">
                  <c:v>3.2103182034474249E-3</c:v>
                </c:pt>
                <c:pt idx="38">
                  <c:v>3.2373397992078862E-3</c:v>
                </c:pt>
                <c:pt idx="39">
                  <c:v>3.2581283619590594E-3</c:v>
                </c:pt>
                <c:pt idx="40">
                  <c:v>3.2750017984197605E-3</c:v>
                </c:pt>
                <c:pt idx="41">
                  <c:v>3.2893570568403416E-3</c:v>
                </c:pt>
                <c:pt idx="42">
                  <c:v>3.3019980307947144E-3</c:v>
                </c:pt>
                <c:pt idx="43">
                  <c:v>3.3133771096650584E-3</c:v>
                </c:pt>
                <c:pt idx="44">
                  <c:v>3.323751393038539E-3</c:v>
                </c:pt>
                <c:pt idx="45">
                  <c:v>3.3332745956320031E-3</c:v>
                </c:pt>
                <c:pt idx="46">
                  <c:v>3.342047276115606E-3</c:v>
                </c:pt>
                <c:pt idx="47">
                  <c:v>3.3501427233129421E-3</c:v>
                </c:pt>
                <c:pt idx="48">
                  <c:v>3.3576197044011672E-3</c:v>
                </c:pt>
                <c:pt idx="49">
                  <c:v>3.3645285557062283E-3</c:v>
                </c:pt>
                <c:pt idx="50">
                  <c:v>3.3709140676880813E-3</c:v>
                </c:pt>
                <c:pt idx="51">
                  <c:v>3.3768168865971034E-3</c:v>
                </c:pt>
                <c:pt idx="52">
                  <c:v>3.3822742481364053E-3</c:v>
                </c:pt>
                <c:pt idx="53">
                  <c:v>3.387320412921206E-3</c:v>
                </c:pt>
                <c:pt idx="54">
                  <c:v>3.3919869660748322E-3</c:v>
                </c:pt>
                <c:pt idx="55">
                  <c:v>3.3963030508183624E-3</c:v>
                </c:pt>
                <c:pt idx="56">
                  <c:v>3.4002955660639642E-3</c:v>
                </c:pt>
                <c:pt idx="57">
                  <c:v>3.4039893412458389E-3</c:v>
                </c:pt>
                <c:pt idx="58">
                  <c:v>3.4074072946144647E-3</c:v>
                </c:pt>
                <c:pt idx="59">
                  <c:v>3.4105705782480795E-3</c:v>
                </c:pt>
                <c:pt idx="60">
                  <c:v>3.4134987117151795E-3</c:v>
                </c:pt>
                <c:pt idx="61">
                  <c:v>3.4162097056860841E-3</c:v>
                </c:pt>
                <c:pt idx="62">
                  <c:v>3.4187201764524998E-3</c:v>
                </c:pt>
                <c:pt idx="63">
                  <c:v>3.4210454521142954E-3</c:v>
                </c:pt>
                <c:pt idx="64">
                  <c:v>3.4231996710657481E-3</c:v>
                </c:pt>
                <c:pt idx="65">
                  <c:v>3.4251958733284072E-3</c:v>
                </c:pt>
                <c:pt idx="66">
                  <c:v>3.427046085218296E-3</c:v>
                </c:pt>
                <c:pt idx="67">
                  <c:v>3.4287613977920851E-3</c:v>
                </c:pt>
                <c:pt idx="68">
                  <c:v>3.4303520394841232E-3</c:v>
                </c:pt>
                <c:pt idx="69">
                  <c:v>3.4318274433200063E-3</c:v>
                </c:pt>
                <c:pt idx="70">
                  <c:v>3.4331963090701812E-3</c:v>
                </c:pt>
                <c:pt idx="71">
                  <c:v>3.4344666606872742E-3</c:v>
                </c:pt>
                <c:pt idx="72">
                  <c:v>3.4356458993524751E-3</c:v>
                </c:pt>
                <c:pt idx="73">
                  <c:v>3.436740852438776E-3</c:v>
                </c:pt>
                <c:pt idx="74">
                  <c:v>3.4377578186818953E-3</c:v>
                </c:pt>
                <c:pt idx="75">
                  <c:v>3.4387026098331125E-3</c:v>
                </c:pt>
                <c:pt idx="76">
                  <c:v>3.4395805890520934E-3</c:v>
                </c:pt>
                <c:pt idx="77">
                  <c:v>3.4403967062819566E-3</c:v>
                </c:pt>
                <c:pt idx="78">
                  <c:v>3.4411555308335238E-3</c:v>
                </c:pt>
                <c:pt idx="79">
                  <c:v>3.4418612813908599E-3</c:v>
                </c:pt>
                <c:pt idx="80">
                  <c:v>3.4425178536359809E-3</c:v>
                </c:pt>
                <c:pt idx="81">
                  <c:v>3.4431288456769457E-3</c:v>
                </c:pt>
                <c:pt idx="82">
                  <c:v>3.4436975814505747E-3</c:v>
                </c:pt>
                <c:pt idx="83">
                  <c:v>3.4442271322587216E-3</c:v>
                </c:pt>
                <c:pt idx="84">
                  <c:v>3.4447203365853669E-3</c:v>
                </c:pt>
                <c:pt idx="85">
                  <c:v>3.4451798183308784E-3</c:v>
                </c:pt>
                <c:pt idx="86">
                  <c:v>3.4456080035894692E-3</c:v>
                </c:pt>
                <c:pt idx="87">
                  <c:v>3.4460071360862886E-3</c:v>
                </c:pt>
                <c:pt idx="88">
                  <c:v>3.4463792913815767E-3</c:v>
                </c:pt>
                <c:pt idx="89">
                  <c:v>3.446726389940973E-3</c:v>
                </c:pt>
                <c:pt idx="90">
                  <c:v>3.4470502091632567E-3</c:v>
                </c:pt>
                <c:pt idx="91">
                  <c:v>3.4473523944496235E-3</c:v>
                </c:pt>
                <c:pt idx="92">
                  <c:v>3.4476344693918572E-3</c:v>
                </c:pt>
                <c:pt idx="93">
                  <c:v>3.4478978451506323E-3</c:v>
                </c:pt>
                <c:pt idx="94">
                  <c:v>3.4481438290894051E-3</c:v>
                </c:pt>
                <c:pt idx="95">
                  <c:v>3.4483736327241003E-3</c:v>
                </c:pt>
                <c:pt idx="96">
                  <c:v>3.4485883790439267E-3</c:v>
                </c:pt>
                <c:pt idx="97">
                  <c:v>3.4487891092541564E-3</c:v>
                </c:pt>
                <c:pt idx="98">
                  <c:v>3.4489767889875752E-3</c:v>
                </c:pt>
                <c:pt idx="99">
                  <c:v>3.4491523140274972E-3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40A-4A99-9AA3-5EE95BF0A2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960320"/>
        <c:axId val="161962240"/>
      </c:scatterChart>
      <c:valAx>
        <c:axId val="161960320"/>
        <c:scaling>
          <c:orientation val="minMax"/>
          <c:min val="0"/>
        </c:scaling>
        <c:delete val="0"/>
        <c:axPos val="b"/>
        <c:majorGridlines>
          <c:spPr>
            <a:ln>
              <a:solidFill>
                <a:srgbClr val="4F81BD">
                  <a:alpha val="50000"/>
                </a:srgb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s-MX" sz="2000"/>
                  <a:t>Carga (Ton)</a:t>
                </a:r>
              </a:p>
            </c:rich>
          </c:tx>
          <c:layout>
            <c:manualLayout>
              <c:xMode val="edge"/>
              <c:yMode val="edge"/>
              <c:x val="0.44978727436592131"/>
              <c:y val="0.9360339179547027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s-ES"/>
          </a:p>
        </c:txPr>
        <c:crossAx val="161962240"/>
        <c:crossesAt val="0"/>
        <c:crossBetween val="midCat"/>
        <c:majorUnit val="5"/>
      </c:valAx>
      <c:valAx>
        <c:axId val="161962240"/>
        <c:scaling>
          <c:orientation val="minMax"/>
          <c:min val="0"/>
        </c:scaling>
        <c:delete val="0"/>
        <c:axPos val="l"/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s-MX" sz="2000"/>
                  <a:t>Coeficiente</a:t>
                </a:r>
                <a:r>
                  <a:rPr lang="es-MX" sz="2000" baseline="0"/>
                  <a:t> de daño (n/Nd)</a:t>
                </a:r>
                <a:endParaRPr lang="es-MX" sz="2000"/>
              </a:p>
            </c:rich>
          </c:tx>
          <c:layout>
            <c:manualLayout>
              <c:xMode val="edge"/>
              <c:yMode val="edge"/>
              <c:x val="8.7843132914960185E-3"/>
              <c:y val="0.22490539150818881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s-ES"/>
          </a:p>
        </c:txPr>
        <c:crossAx val="161960320"/>
        <c:crosses val="autoZero"/>
        <c:crossBetween val="midCat"/>
      </c:valAx>
      <c:spPr>
        <a:noFill/>
      </c:spPr>
    </c:plotArea>
    <c:legend>
      <c:legendPos val="b"/>
      <c:layout>
        <c:manualLayout>
          <c:xMode val="edge"/>
          <c:yMode val="edge"/>
          <c:x val="7.1167347623866312E-2"/>
          <c:y val="0.89564575300989135"/>
          <c:w val="0.82350320258540965"/>
          <c:h val="4.3813710572379788E-2"/>
        </c:manualLayout>
      </c:layout>
      <c:overlay val="0"/>
      <c:txPr>
        <a:bodyPr/>
        <a:lstStyle/>
        <a:p>
          <a:pPr>
            <a:defRPr sz="1300"/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</c:spPr>
  <c:userShapes r:id="rId1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463753297386311"/>
          <c:y val="0.70833479148439771"/>
          <c:w val="3.1884043417077082E-2"/>
          <c:h val="0.138888888888888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A7C46E"/>
              </a:solidFill>
            </a:ln>
          </c:spPr>
          <c:marker>
            <c:symbol val="circle"/>
            <c:size val="9"/>
            <c:spPr>
              <a:solidFill>
                <a:srgbClr val="A7C46E"/>
              </a:solidFill>
              <a:ln>
                <a:solidFill>
                  <a:srgbClr val="A7C46E"/>
                </a:solidFill>
              </a:ln>
            </c:spPr>
          </c:marker>
          <c:dLbls>
            <c:dLbl>
              <c:idx val="0"/>
              <c:layout>
                <c:manualLayout>
                  <c:x val="1.6864296524793002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7BE-4821-AE42-B5C2C7A5255C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b" anchorCtr="1"/>
              <a:lstStyle/>
              <a:p>
                <a:pPr>
                  <a:defRPr sz="1300" b="1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Larguillo!$BO$8</c:f>
              <c:numCache>
                <c:formatCode>0.0</c:formatCode>
                <c:ptCount val="1"/>
                <c:pt idx="0">
                  <c:v>597.14376746193875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7BE-4821-AE42-B5C2C7A5255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4374400"/>
        <c:axId val="164381440"/>
      </c:lineChart>
      <c:catAx>
        <c:axId val="16437440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one"/>
        <c:crossAx val="164381440"/>
        <c:crosses val="autoZero"/>
        <c:auto val="1"/>
        <c:lblAlgn val="ctr"/>
        <c:lblOffset val="100"/>
        <c:noMultiLvlLbl val="0"/>
      </c:catAx>
      <c:valAx>
        <c:axId val="164381440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164374400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463753297386289"/>
          <c:y val="0.70833479148439771"/>
          <c:w val="3.1884043417077033E-2"/>
          <c:h val="0.138888888888888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A7C46E"/>
              </a:solidFill>
            </a:ln>
          </c:spPr>
          <c:marker>
            <c:symbol val="circle"/>
            <c:size val="9"/>
            <c:spPr>
              <a:solidFill>
                <a:srgbClr val="D06422"/>
              </a:solidFill>
              <a:ln>
                <a:solidFill>
                  <a:srgbClr val="A7C46E"/>
                </a:solidFill>
              </a:ln>
            </c:spPr>
          </c:marker>
          <c:dLbls>
            <c:dLbl>
              <c:idx val="0"/>
              <c:layout>
                <c:manualLayout>
                  <c:x val="1.6864296524793002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B05-4EA9-9F2F-2E2A7708210C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b" anchorCtr="1"/>
              <a:lstStyle/>
              <a:p>
                <a:pPr>
                  <a:defRPr sz="1300" b="1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Larguillo!$BN$8</c:f>
              <c:numCache>
                <c:formatCode>0.0</c:formatCode>
                <c:ptCount val="1"/>
                <c:pt idx="0">
                  <c:v>805.07250922811693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B05-4EA9-9F2F-2E2A7708210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4391936"/>
        <c:axId val="164411264"/>
      </c:lineChart>
      <c:catAx>
        <c:axId val="164391936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one"/>
        <c:crossAx val="164411264"/>
        <c:crosses val="autoZero"/>
        <c:auto val="1"/>
        <c:lblAlgn val="ctr"/>
        <c:lblOffset val="100"/>
        <c:noMultiLvlLbl val="0"/>
      </c:catAx>
      <c:valAx>
        <c:axId val="164411264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164391936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463753297386311"/>
          <c:y val="0.70833479148439771"/>
          <c:w val="3.1884043417077082E-2"/>
          <c:h val="0.138888888888888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A7C46E"/>
              </a:solidFill>
            </a:ln>
          </c:spPr>
          <c:marker>
            <c:symbol val="circle"/>
            <c:size val="9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solidFill>
                  <a:srgbClr val="A7C46E"/>
                </a:solidFill>
              </a:ln>
            </c:spPr>
          </c:marker>
          <c:dLbls>
            <c:dLbl>
              <c:idx val="0"/>
              <c:layout>
                <c:manualLayout>
                  <c:x val="1.6864296524793002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60A-4833-85A6-D307C44FBC10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b" anchorCtr="1"/>
              <a:lstStyle/>
              <a:p>
                <a:pPr>
                  <a:defRPr sz="1300" b="1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Larguillo!$BP$8</c:f>
              <c:numCache>
                <c:formatCode>0.0</c:formatCode>
                <c:ptCount val="1"/>
                <c:pt idx="0">
                  <c:v>43011.801711976157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60A-4833-85A6-D307C44FBC1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5093760"/>
        <c:axId val="165096448"/>
      </c:lineChart>
      <c:catAx>
        <c:axId val="16509376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one"/>
        <c:crossAx val="165096448"/>
        <c:crosses val="autoZero"/>
        <c:auto val="1"/>
        <c:lblAlgn val="ctr"/>
        <c:lblOffset val="100"/>
        <c:noMultiLvlLbl val="0"/>
      </c:catAx>
      <c:valAx>
        <c:axId val="165096448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165093760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24637532973863"/>
          <c:y val="0.70833479148439771"/>
          <c:w val="3.1884043417077061E-2"/>
          <c:h val="0.138888888888888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A7C46E"/>
              </a:solidFill>
            </a:ln>
          </c:spPr>
          <c:marker>
            <c:symbol val="circle"/>
            <c:size val="9"/>
            <c:spPr>
              <a:solidFill>
                <a:schemeClr val="tx2">
                  <a:lumMod val="60000"/>
                  <a:lumOff val="40000"/>
                </a:schemeClr>
              </a:solidFill>
              <a:ln>
                <a:solidFill>
                  <a:srgbClr val="A7C46E"/>
                </a:solidFill>
              </a:ln>
            </c:spPr>
          </c:marker>
          <c:dLbls>
            <c:dLbl>
              <c:idx val="0"/>
              <c:layout>
                <c:manualLayout>
                  <c:x val="1.6864296524793002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F11-426C-8354-28496AB1F8F2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b" anchorCtr="1"/>
              <a:lstStyle/>
              <a:p>
                <a:pPr>
                  <a:defRPr sz="1300" b="1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Larguillo!$BM$8</c:f>
              <c:numCache>
                <c:formatCode>0.0</c:formatCode>
                <c:ptCount val="1"/>
                <c:pt idx="0">
                  <c:v>1964.0957661516511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F11-426C-8354-28496AB1F8F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5127680"/>
        <c:axId val="165130624"/>
      </c:lineChart>
      <c:catAx>
        <c:axId val="16512768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one"/>
        <c:crossAx val="165130624"/>
        <c:crosses val="autoZero"/>
        <c:auto val="1"/>
        <c:lblAlgn val="ctr"/>
        <c:lblOffset val="100"/>
        <c:noMultiLvlLbl val="0"/>
      </c:catAx>
      <c:valAx>
        <c:axId val="165130624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165127680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463753297386311"/>
          <c:y val="0.70833479148439771"/>
          <c:w val="3.1884043417077082E-2"/>
          <c:h val="0.138888888888888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A7C46E"/>
              </a:solidFill>
            </a:ln>
          </c:spPr>
          <c:marker>
            <c:symbol val="circle"/>
            <c:size val="9"/>
            <c:spPr>
              <a:solidFill>
                <a:schemeClr val="tx1"/>
              </a:solidFill>
              <a:ln>
                <a:solidFill>
                  <a:srgbClr val="A7C46E"/>
                </a:solidFill>
              </a:ln>
            </c:spPr>
          </c:marker>
          <c:dLbls>
            <c:dLbl>
              <c:idx val="0"/>
              <c:layout>
                <c:manualLayout>
                  <c:x val="1.6864296524793002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CBE-4A48-A923-C2AD19EF9710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b" anchorCtr="1"/>
              <a:lstStyle/>
              <a:p>
                <a:pPr>
                  <a:defRPr sz="1300" b="1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Larguillo!$BQ$8</c:f>
              <c:numCache>
                <c:formatCode>0.0</c:formatCode>
                <c:ptCount val="1"/>
                <c:pt idx="0">
                  <c:v>289.92630912037708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CBE-4A48-A923-C2AD19EF971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5141120"/>
        <c:axId val="165160448"/>
      </c:lineChart>
      <c:catAx>
        <c:axId val="16514112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one"/>
        <c:crossAx val="165160448"/>
        <c:crosses val="autoZero"/>
        <c:auto val="1"/>
        <c:lblAlgn val="ctr"/>
        <c:lblOffset val="100"/>
        <c:noMultiLvlLbl val="0"/>
      </c:catAx>
      <c:valAx>
        <c:axId val="165160448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165141120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MX" sz="1900"/>
              <a:t>Distribución</a:t>
            </a:r>
            <a:r>
              <a:rPr lang="es-MX" sz="1900" baseline="0"/>
              <a:t> acumulada de daño por FATIGA</a:t>
            </a:r>
            <a:endParaRPr lang="es-MX" sz="19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800387662581846"/>
          <c:y val="8.9837230173530527E-2"/>
          <c:w val="0.80847868374558562"/>
          <c:h val="0.73766085350403876"/>
        </c:manualLayout>
      </c:layout>
      <c:scatterChart>
        <c:scatterStyle val="smoothMarker"/>
        <c:varyColors val="0"/>
        <c:ser>
          <c:idx val="4"/>
          <c:order val="0"/>
          <c:tx>
            <c:strRef>
              <c:f>Larguillo!$BG$3</c:f>
              <c:strCache>
                <c:ptCount val="1"/>
                <c:pt idx="0">
                  <c:v>SIMPLE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Larguillo!$BG$4:$BG$103</c:f>
              <c:numCache>
                <c:formatCode>General</c:formatCode>
                <c:ptCount val="100"/>
                <c:pt idx="0">
                  <c:v>1.0656995262368486E-12</c:v>
                </c:pt>
                <c:pt idx="1">
                  <c:v>5.1861304797732673E-8</c:v>
                </c:pt>
                <c:pt idx="2">
                  <c:v>4.2589199689979721E-6</c:v>
                </c:pt>
                <c:pt idx="3">
                  <c:v>4.3782807168251158E-5</c:v>
                </c:pt>
                <c:pt idx="4">
                  <c:v>1.7836397617233796E-4</c:v>
                </c:pt>
                <c:pt idx="5">
                  <c:v>4.3960036960759904E-4</c:v>
                </c:pt>
                <c:pt idx="6">
                  <c:v>7.9946423859726928E-4</c:v>
                </c:pt>
                <c:pt idx="7">
                  <c:v>1.1960307643049911E-3</c:v>
                </c:pt>
                <c:pt idx="8">
                  <c:v>1.5714439956246889E-3</c:v>
                </c:pt>
                <c:pt idx="9">
                  <c:v>1.8908124544254929E-3</c:v>
                </c:pt>
                <c:pt idx="10">
                  <c:v>2.1423708165579009E-3</c:v>
                </c:pt>
                <c:pt idx="11">
                  <c:v>2.3296432887293839E-3</c:v>
                </c:pt>
                <c:pt idx="12">
                  <c:v>2.4633397195299748E-3</c:v>
                </c:pt>
                <c:pt idx="13">
                  <c:v>2.5558446900881275E-3</c:v>
                </c:pt>
                <c:pt idx="14">
                  <c:v>2.6183630703205452E-3</c:v>
                </c:pt>
                <c:pt idx="15">
                  <c:v>2.6598782231100236E-3</c:v>
                </c:pt>
                <c:pt idx="16">
                  <c:v>2.6870874530148209E-3</c:v>
                </c:pt>
                <c:pt idx="17">
                  <c:v>2.7047497510337042E-3</c:v>
                </c:pt>
                <c:pt idx="18">
                  <c:v>2.7161359563973547E-3</c:v>
                </c:pt>
                <c:pt idx="19">
                  <c:v>2.7234412963406036E-3</c:v>
                </c:pt>
                <c:pt idx="20">
                  <c:v>2.7281139971187234E-3</c:v>
                </c:pt>
                <c:pt idx="21">
                  <c:v>2.7310976552598334E-3</c:v>
                </c:pt>
                <c:pt idx="22">
                  <c:v>2.7330016000731514E-3</c:v>
                </c:pt>
                <c:pt idx="23">
                  <c:v>2.7342168405763648E-3</c:v>
                </c:pt>
                <c:pt idx="24">
                  <c:v>2.7349932263723634E-3</c:v>
                </c:pt>
                <c:pt idx="25">
                  <c:v>2.7354899860194334E-3</c:v>
                </c:pt>
                <c:pt idx="26">
                  <c:v>2.7358084547060811E-3</c:v>
                </c:pt>
                <c:pt idx="27">
                  <c:v>2.7360130984771074E-3</c:v>
                </c:pt>
                <c:pt idx="28">
                  <c:v>2.7361449453460352E-3</c:v>
                </c:pt>
                <c:pt idx="29">
                  <c:v>2.7362301342227558E-3</c:v>
                </c:pt>
                <c:pt idx="30">
                  <c:v>2.7362853443511472E-3</c:v>
                </c:pt>
                <c:pt idx="31">
                  <c:v>2.7363212399224477E-3</c:v>
                </c:pt>
                <c:pt idx="32">
                  <c:v>2.7363446551370309E-3</c:v>
                </c:pt>
                <c:pt idx="33">
                  <c:v>2.736359981087472E-3</c:v>
                </c:pt>
                <c:pt idx="34">
                  <c:v>2.7363700470544048E-3</c:v>
                </c:pt>
                <c:pt idx="35">
                  <c:v>2.7363766814419276E-3</c:v>
                </c:pt>
                <c:pt idx="36">
                  <c:v>2.7363810695256283E-3</c:v>
                </c:pt>
                <c:pt idx="37">
                  <c:v>2.7363839821425437E-3</c:v>
                </c:pt>
                <c:pt idx="38">
                  <c:v>2.7363859222556517E-3</c:v>
                </c:pt>
                <c:pt idx="39">
                  <c:v>2.7363872191444355E-3</c:v>
                </c:pt>
                <c:pt idx="40">
                  <c:v>2.7363880891135748E-3</c:v>
                </c:pt>
                <c:pt idx="41">
                  <c:v>2.7363886747404885E-3</c:v>
                </c:pt>
                <c:pt idx="42">
                  <c:v>2.7363890703280352E-3</c:v>
                </c:pt>
                <c:pt idx="43">
                  <c:v>2.7363893384639787E-3</c:v>
                </c:pt>
                <c:pt idx="44">
                  <c:v>2.7363895208296898E-3</c:v>
                </c:pt>
                <c:pt idx="45">
                  <c:v>2.7363896452784809E-3</c:v>
                </c:pt>
                <c:pt idx="46">
                  <c:v>2.7363897304864353E-3</c:v>
                </c:pt>
                <c:pt idx="47">
                  <c:v>2.7363897890184353E-3</c:v>
                </c:pt>
                <c:pt idx="48">
                  <c:v>2.7363898293561732E-3</c:v>
                </c:pt>
                <c:pt idx="49">
                  <c:v>2.7363898572440458E-3</c:v>
                </c:pt>
                <c:pt idx="50">
                  <c:v>2.7363898765853283E-3</c:v>
                </c:pt>
                <c:pt idx="51">
                  <c:v>2.7363898900408744E-3</c:v>
                </c:pt>
                <c:pt idx="52">
                  <c:v>2.7363898994303983E-3</c:v>
                </c:pt>
                <c:pt idx="53">
                  <c:v>2.7363899060023132E-3</c:v>
                </c:pt>
                <c:pt idx="54">
                  <c:v>2.7363899106157686E-3</c:v>
                </c:pt>
                <c:pt idx="55">
                  <c:v>2.7363899138638497E-3</c:v>
                </c:pt>
                <c:pt idx="56">
                  <c:v>2.7363899161572166E-3</c:v>
                </c:pt>
                <c:pt idx="57">
                  <c:v>2.7363899177810696E-3</c:v>
                </c:pt>
                <c:pt idx="58">
                  <c:v>2.7363899189340631E-3</c:v>
                </c:pt>
                <c:pt idx="59">
                  <c:v>2.7363899197549711E-3</c:v>
                </c:pt>
                <c:pt idx="60">
                  <c:v>2.7363899203410157E-3</c:v>
                </c:pt>
                <c:pt idx="61">
                  <c:v>2.7363899207605009E-3</c:v>
                </c:pt>
                <c:pt idx="62">
                  <c:v>2.7363899210615474E-3</c:v>
                </c:pt>
                <c:pt idx="63">
                  <c:v>2.7363899212781502E-3</c:v>
                </c:pt>
                <c:pt idx="64">
                  <c:v>2.736389921434389E-3</c:v>
                </c:pt>
                <c:pt idx="65">
                  <c:v>2.7363899215473663E-3</c:v>
                </c:pt>
                <c:pt idx="66">
                  <c:v>2.7363899216292604E-3</c:v>
                </c:pt>
                <c:pt idx="67">
                  <c:v>2.7363899216887658E-3</c:v>
                </c:pt>
                <c:pt idx="68">
                  <c:v>2.7363899217321057E-3</c:v>
                </c:pt>
                <c:pt idx="69">
                  <c:v>2.7363899217637449E-3</c:v>
                </c:pt>
                <c:pt idx="70">
                  <c:v>2.7363899217868952E-3</c:v>
                </c:pt>
                <c:pt idx="71">
                  <c:v>2.7363899218038725E-3</c:v>
                </c:pt>
                <c:pt idx="72">
                  <c:v>2.7363899218163503E-3</c:v>
                </c:pt>
                <c:pt idx="73">
                  <c:v>2.7363899218255413E-3</c:v>
                </c:pt>
                <c:pt idx="74">
                  <c:v>2.7363899218323258E-3</c:v>
                </c:pt>
                <c:pt idx="75">
                  <c:v>2.7363899218373444E-3</c:v>
                </c:pt>
                <c:pt idx="76">
                  <c:v>2.7363899218410645E-3</c:v>
                </c:pt>
                <c:pt idx="77">
                  <c:v>2.7363899218438275E-3</c:v>
                </c:pt>
                <c:pt idx="78">
                  <c:v>2.736389921845884E-3</c:v>
                </c:pt>
                <c:pt idx="79">
                  <c:v>2.7363899218474175E-3</c:v>
                </c:pt>
                <c:pt idx="80">
                  <c:v>2.7363899218485633E-3</c:v>
                </c:pt>
                <c:pt idx="81">
                  <c:v>2.7363899218494211E-3</c:v>
                </c:pt>
                <c:pt idx="82">
                  <c:v>2.7363899218500647E-3</c:v>
                </c:pt>
                <c:pt idx="83">
                  <c:v>2.7363899218505482E-3</c:v>
                </c:pt>
                <c:pt idx="84">
                  <c:v>2.7363899218509121E-3</c:v>
                </c:pt>
                <c:pt idx="85">
                  <c:v>2.7363899218511866E-3</c:v>
                </c:pt>
                <c:pt idx="86">
                  <c:v>2.7363899218513939E-3</c:v>
                </c:pt>
                <c:pt idx="87">
                  <c:v>2.7363899218515509E-3</c:v>
                </c:pt>
                <c:pt idx="88">
                  <c:v>2.7363899218516702E-3</c:v>
                </c:pt>
                <c:pt idx="89">
                  <c:v>2.7363899218517608E-3</c:v>
                </c:pt>
                <c:pt idx="90">
                  <c:v>2.7363899218518298E-3</c:v>
                </c:pt>
                <c:pt idx="91">
                  <c:v>2.7363899218518823E-3</c:v>
                </c:pt>
                <c:pt idx="92">
                  <c:v>2.7363899218519222E-3</c:v>
                </c:pt>
                <c:pt idx="93">
                  <c:v>2.7363899218519529E-3</c:v>
                </c:pt>
                <c:pt idx="94">
                  <c:v>2.7363899218519764E-3</c:v>
                </c:pt>
                <c:pt idx="95">
                  <c:v>2.7363899218519941E-3</c:v>
                </c:pt>
                <c:pt idx="96">
                  <c:v>2.736389921852008E-3</c:v>
                </c:pt>
                <c:pt idx="97">
                  <c:v>2.7363899218520184E-3</c:v>
                </c:pt>
                <c:pt idx="98">
                  <c:v>2.7363899218520267E-3</c:v>
                </c:pt>
                <c:pt idx="99">
                  <c:v>2.7363899218520332E-3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0E7-4634-87E2-A31D356BE4C9}"/>
            </c:ext>
          </c:extLst>
        </c:ser>
        <c:ser>
          <c:idx val="1"/>
          <c:order val="1"/>
          <c:tx>
            <c:strRef>
              <c:f>Larguillo!$BH$3</c:f>
              <c:strCache>
                <c:ptCount val="1"/>
                <c:pt idx="0">
                  <c:v>DUAL</c:v>
                </c:pt>
              </c:strCache>
            </c:strRef>
          </c:tx>
          <c:spPr>
            <a:ln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Larguillo!$BH$4:$BH$103</c:f>
              <c:numCache>
                <c:formatCode>General</c:formatCode>
                <c:ptCount val="100"/>
                <c:pt idx="0">
                  <c:v>3.7154908254486728E-13</c:v>
                </c:pt>
                <c:pt idx="1">
                  <c:v>6.2806618639733372E-10</c:v>
                </c:pt>
                <c:pt idx="2">
                  <c:v>2.0531989513763001E-8</c:v>
                </c:pt>
                <c:pt idx="3">
                  <c:v>1.757164648641905E-7</c:v>
                </c:pt>
                <c:pt idx="4">
                  <c:v>7.3916868141597402E-7</c:v>
                </c:pt>
                <c:pt idx="5">
                  <c:v>2.1496246971188568E-6</c:v>
                </c:pt>
                <c:pt idx="6">
                  <c:v>5.1998876096652887E-6</c:v>
                </c:pt>
                <c:pt idx="7">
                  <c:v>1.0595820364588899E-5</c:v>
                </c:pt>
                <c:pt idx="8">
                  <c:v>1.8493377935701195E-5</c:v>
                </c:pt>
                <c:pt idx="9">
                  <c:v>2.8838953825288552E-5</c:v>
                </c:pt>
                <c:pt idx="10">
                  <c:v>4.1378808508376069E-5</c:v>
                </c:pt>
                <c:pt idx="11">
                  <c:v>5.5666817984154131E-5</c:v>
                </c:pt>
                <c:pt idx="12">
                  <c:v>7.1248189565039535E-5</c:v>
                </c:pt>
                <c:pt idx="13">
                  <c:v>8.8379626850582769E-5</c:v>
                </c:pt>
                <c:pt idx="14">
                  <c:v>1.0678952592512494E-4</c:v>
                </c:pt>
                <c:pt idx="15">
                  <c:v>1.2613472822070327E-4</c:v>
                </c:pt>
                <c:pt idx="16">
                  <c:v>1.4604375351312836E-4</c:v>
                </c:pt>
                <c:pt idx="17">
                  <c:v>1.6615135981417142E-4</c:v>
                </c:pt>
                <c:pt idx="18">
                  <c:v>1.8612309947567296E-4</c:v>
                </c:pt>
                <c:pt idx="19">
                  <c:v>2.0567037216994276E-4</c:v>
                </c:pt>
                <c:pt idx="20">
                  <c:v>2.2455753882986128E-4</c:v>
                </c:pt>
                <c:pt idx="21">
                  <c:v>2.4260305203484663E-4</c:v>
                </c:pt>
                <c:pt idx="22">
                  <c:v>2.5968083184025096E-4</c:v>
                </c:pt>
                <c:pt idx="23">
                  <c:v>2.7576739377523031E-4</c:v>
                </c:pt>
                <c:pt idx="24">
                  <c:v>2.9086115034964469E-4</c:v>
                </c:pt>
                <c:pt idx="25">
                  <c:v>3.0496829440135873E-4</c:v>
                </c:pt>
                <c:pt idx="26">
                  <c:v>3.1810364257986407E-4</c:v>
                </c:pt>
                <c:pt idx="27">
                  <c:v>3.3029036653116779E-4</c:v>
                </c:pt>
                <c:pt idx="28">
                  <c:v>3.4155906831291052E-4</c:v>
                </c:pt>
                <c:pt idx="29">
                  <c:v>3.5194651775044268E-4</c:v>
                </c:pt>
                <c:pt idx="30">
                  <c:v>3.614942670850873E-4</c:v>
                </c:pt>
                <c:pt idx="31">
                  <c:v>3.7024728300253437E-4</c:v>
                </c:pt>
                <c:pt idx="32">
                  <c:v>3.7825268152301975E-4</c:v>
                </c:pt>
                <c:pt idx="33">
                  <c:v>3.8555861245557295E-4</c:v>
                </c:pt>
                <c:pt idx="34">
                  <c:v>3.9221331337287385E-4</c:v>
                </c:pt>
                <c:pt idx="35">
                  <c:v>3.9825580374966933E-4</c:v>
                </c:pt>
                <c:pt idx="36">
                  <c:v>4.037085834821013E-4</c:v>
                </c:pt>
                <c:pt idx="37">
                  <c:v>4.0862739993688434E-4</c:v>
                </c:pt>
                <c:pt idx="38">
                  <c:v>4.1306301207520956E-4</c:v>
                </c:pt>
                <c:pt idx="39">
                  <c:v>4.170616251513249E-4</c:v>
                </c:pt>
                <c:pt idx="40">
                  <c:v>4.2066527544119071E-4</c:v>
                </c:pt>
                <c:pt idx="41">
                  <c:v>4.2391217695763526E-4</c:v>
                </c:pt>
                <c:pt idx="42">
                  <c:v>4.2683703798512558E-4</c:v>
                </c:pt>
                <c:pt idx="43">
                  <c:v>4.2947135255117012E-4</c:v>
                </c:pt>
                <c:pt idx="44">
                  <c:v>4.3184367019188409E-4</c:v>
                </c:pt>
                <c:pt idx="45">
                  <c:v>4.3397984625419018E-4</c:v>
                </c:pt>
                <c:pt idx="46">
                  <c:v>4.3590327429071592E-4</c:v>
                </c:pt>
                <c:pt idx="47">
                  <c:v>4.3763510169726662E-4</c:v>
                </c:pt>
                <c:pt idx="48">
                  <c:v>4.3919442951548016E-4</c:v>
                </c:pt>
                <c:pt idx="49">
                  <c:v>4.4059849720647261E-4</c:v>
                </c:pt>
                <c:pt idx="50">
                  <c:v>4.4186285314939689E-4</c:v>
                </c:pt>
                <c:pt idx="51">
                  <c:v>4.4299746755186852E-4</c:v>
                </c:pt>
                <c:pt idx="52">
                  <c:v>4.4401182710380473E-4</c:v>
                </c:pt>
                <c:pt idx="53">
                  <c:v>4.4491898096003622E-4</c:v>
                </c:pt>
                <c:pt idx="54">
                  <c:v>4.4573054580315666E-4</c:v>
                </c:pt>
                <c:pt idx="55">
                  <c:v>4.4645686219189803E-4</c:v>
                </c:pt>
                <c:pt idx="56">
                  <c:v>4.4710713442420102E-4</c:v>
                </c:pt>
                <c:pt idx="57">
                  <c:v>4.4768955549812989E-4</c:v>
                </c:pt>
                <c:pt idx="58">
                  <c:v>4.4821141863755416E-4</c:v>
                </c:pt>
                <c:pt idx="59">
                  <c:v>4.4867921673346207E-4</c:v>
                </c:pt>
                <c:pt idx="60">
                  <c:v>4.4909873093831155E-4</c:v>
                </c:pt>
                <c:pt idx="61">
                  <c:v>4.4947510954171279E-4</c:v>
                </c:pt>
                <c:pt idx="62">
                  <c:v>4.4981293815217097E-4</c:v>
                </c:pt>
                <c:pt idx="63">
                  <c:v>4.5011580283571377E-4</c:v>
                </c:pt>
                <c:pt idx="64">
                  <c:v>4.5038673876430819E-4</c:v>
                </c:pt>
                <c:pt idx="65">
                  <c:v>4.5062925817286213E-4</c:v>
                </c:pt>
                <c:pt idx="66">
                  <c:v>4.508464718430332E-4</c:v>
                </c:pt>
                <c:pt idx="67">
                  <c:v>4.5104113657716121E-4</c:v>
                </c:pt>
                <c:pt idx="68">
                  <c:v>4.5121569689051663E-4</c:v>
                </c:pt>
                <c:pt idx="69">
                  <c:v>4.5137232164343049E-4</c:v>
                </c:pt>
                <c:pt idx="70">
                  <c:v>4.5151293624309553E-4</c:v>
                </c:pt>
                <c:pt idx="71">
                  <c:v>4.5163925096487604E-4</c:v>
                </c:pt>
                <c:pt idx="72">
                  <c:v>4.5175278587330099E-4</c:v>
                </c:pt>
                <c:pt idx="73">
                  <c:v>4.5185489276221015E-4</c:v>
                </c:pt>
                <c:pt idx="74">
                  <c:v>4.5194677448061359E-4</c:v>
                </c:pt>
                <c:pt idx="75">
                  <c:v>4.5202950196470169E-4</c:v>
                </c:pt>
                <c:pt idx="76">
                  <c:v>4.5210402925622629E-4</c:v>
                </c:pt>
                <c:pt idx="77">
                  <c:v>4.5217120675239788E-4</c:v>
                </c:pt>
                <c:pt idx="78">
                  <c:v>4.5223179290184557E-4</c:v>
                </c:pt>
                <c:pt idx="79">
                  <c:v>4.5228646453448264E-4</c:v>
                </c:pt>
                <c:pt idx="80">
                  <c:v>4.5233560179699911E-4</c:v>
                </c:pt>
                <c:pt idx="81">
                  <c:v>4.5237957710646644E-4</c:v>
                </c:pt>
                <c:pt idx="82">
                  <c:v>4.524189556402546E-4</c:v>
                </c:pt>
                <c:pt idx="83">
                  <c:v>4.5245423836245486E-4</c:v>
                </c:pt>
                <c:pt idx="84">
                  <c:v>4.5248586955834495E-4</c:v>
                </c:pt>
                <c:pt idx="85">
                  <c:v>4.5251424346089879E-4</c:v>
                </c:pt>
                <c:pt idx="86">
                  <c:v>4.5253971008095086E-4</c:v>
                </c:pt>
                <c:pt idx="87">
                  <c:v>4.5256258033875627E-4</c:v>
                </c:pt>
                <c:pt idx="88">
                  <c:v>4.5258313058253914E-4</c:v>
                </c:pt>
                <c:pt idx="89">
                  <c:v>4.5260160656898293E-4</c:v>
                </c:pt>
                <c:pt idx="90">
                  <c:v>4.526182269713045E-4</c:v>
                </c:pt>
                <c:pt idx="91">
                  <c:v>4.5263318647240563E-4</c:v>
                </c:pt>
                <c:pt idx="92">
                  <c:v>4.5264665849346631E-4</c:v>
                </c:pt>
                <c:pt idx="93">
                  <c:v>4.5265879760210908E-4</c:v>
                </c:pt>
                <c:pt idx="94">
                  <c:v>4.5266974163880814E-4</c:v>
                </c:pt>
                <c:pt idx="95">
                  <c:v>4.5267961359544658E-4</c:v>
                </c:pt>
                <c:pt idx="96">
                  <c:v>4.5268852327575056E-4</c:v>
                </c:pt>
                <c:pt idx="97">
                  <c:v>4.5269656876367813E-4</c:v>
                </c:pt>
                <c:pt idx="98">
                  <c:v>4.5270383772264575E-4</c:v>
                </c:pt>
                <c:pt idx="99">
                  <c:v>4.5271040854567835E-4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0E7-4634-87E2-A31D356BE4C9}"/>
            </c:ext>
          </c:extLst>
        </c:ser>
        <c:ser>
          <c:idx val="2"/>
          <c:order val="2"/>
          <c:tx>
            <c:strRef>
              <c:f>Larguillo!$BI$3</c:f>
              <c:strCache>
                <c:ptCount val="1"/>
                <c:pt idx="0">
                  <c:v>TANDEM</c:v>
                </c:pt>
              </c:strCache>
            </c:strRef>
          </c:tx>
          <c:spPr>
            <a:ln>
              <a:solidFill>
                <a:schemeClr val="accent3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Larguillo!$BI$4:$BI$103</c:f>
              <c:numCache>
                <c:formatCode>General</c:formatCode>
                <c:ptCount val="100"/>
                <c:pt idx="0">
                  <c:v>1.3823968366641418E-55</c:v>
                </c:pt>
                <c:pt idx="1">
                  <c:v>2.0180328799323874E-35</c:v>
                </c:pt>
                <c:pt idx="2">
                  <c:v>4.80933133952137E-26</c:v>
                </c:pt>
                <c:pt idx="3">
                  <c:v>1.7896684939154695E-20</c:v>
                </c:pt>
                <c:pt idx="4">
                  <c:v>9.0160536327771747E-17</c:v>
                </c:pt>
                <c:pt idx="5">
                  <c:v>3.7977917332913731E-14</c:v>
                </c:pt>
                <c:pt idx="6">
                  <c:v>3.3123114348947119E-12</c:v>
                </c:pt>
                <c:pt idx="7">
                  <c:v>9.9737267924272839E-11</c:v>
                </c:pt>
                <c:pt idx="8">
                  <c:v>1.4218733423345983E-9</c:v>
                </c:pt>
                <c:pt idx="9">
                  <c:v>1.2513719912238574E-8</c:v>
                </c:pt>
                <c:pt idx="10">
                  <c:v>9.6853885000201178E-8</c:v>
                </c:pt>
                <c:pt idx="11">
                  <c:v>6.7792045320822862E-7</c:v>
                </c:pt>
                <c:pt idx="12">
                  <c:v>3.1763433443411926E-6</c:v>
                </c:pt>
                <c:pt idx="13">
                  <c:v>9.2969800623970729E-6</c:v>
                </c:pt>
                <c:pt idx="14">
                  <c:v>1.8537422913158563E-5</c:v>
                </c:pt>
                <c:pt idx="15">
                  <c:v>2.8317973952772395E-5</c:v>
                </c:pt>
                <c:pt idx="16">
                  <c:v>3.6143488782612051E-5</c:v>
                </c:pt>
                <c:pt idx="17">
                  <c:v>4.2865736092643866E-5</c:v>
                </c:pt>
                <c:pt idx="18">
                  <c:v>4.914051794396088E-5</c:v>
                </c:pt>
                <c:pt idx="19">
                  <c:v>5.5269986918824742E-5</c:v>
                </c:pt>
                <c:pt idx="20">
                  <c:v>6.1210272076392657E-5</c:v>
                </c:pt>
                <c:pt idx="21">
                  <c:v>6.6947234258440575E-5</c:v>
                </c:pt>
                <c:pt idx="22">
                  <c:v>7.2981898885064037E-5</c:v>
                </c:pt>
                <c:pt idx="23">
                  <c:v>8.0892696854214968E-5</c:v>
                </c:pt>
                <c:pt idx="24">
                  <c:v>9.3688117258048975E-5</c:v>
                </c:pt>
                <c:pt idx="25">
                  <c:v>1.1550158062851664E-4</c:v>
                </c:pt>
                <c:pt idx="26">
                  <c:v>1.5080033389535178E-4</c:v>
                </c:pt>
                <c:pt idx="27">
                  <c:v>2.0173444933856328E-4</c:v>
                </c:pt>
                <c:pt idx="28">
                  <c:v>2.667016788022098E-4</c:v>
                </c:pt>
                <c:pt idx="29">
                  <c:v>3.4027086171377157E-4</c:v>
                </c:pt>
                <c:pt idx="30">
                  <c:v>4.1483904047356983E-4</c:v>
                </c:pt>
                <c:pt idx="31">
                  <c:v>4.8309193330317167E-4</c:v>
                </c:pt>
                <c:pt idx="32">
                  <c:v>5.3999332716758871E-4</c:v>
                </c:pt>
                <c:pt idx="33">
                  <c:v>5.8351667807091914E-4</c:v>
                </c:pt>
                <c:pt idx="34">
                  <c:v>6.142814361908759E-4</c:v>
                </c:pt>
                <c:pt idx="35">
                  <c:v>6.3453249873108523E-4</c:v>
                </c:pt>
                <c:pt idx="36">
                  <c:v>6.4702089255599319E-4</c:v>
                </c:pt>
                <c:pt idx="37">
                  <c:v>6.542753116930782E-4</c:v>
                </c:pt>
                <c:pt idx="38">
                  <c:v>6.5826473410964469E-4</c:v>
                </c:pt>
                <c:pt idx="39">
                  <c:v>6.603513176314938E-4</c:v>
                </c:pt>
                <c:pt idx="40">
                  <c:v>6.6139376949269214E-4</c:v>
                </c:pt>
                <c:pt idx="41">
                  <c:v>6.6189329829176888E-4</c:v>
                </c:pt>
                <c:pt idx="42">
                  <c:v>6.6212382086221178E-4</c:v>
                </c:pt>
                <c:pt idx="43">
                  <c:v>6.6222670349801985E-4</c:v>
                </c:pt>
                <c:pt idx="44">
                  <c:v>6.6227131771087852E-4</c:v>
                </c:pt>
                <c:pt idx="45">
                  <c:v>6.6229022631068433E-4</c:v>
                </c:pt>
                <c:pt idx="46">
                  <c:v>6.6229812457578856E-4</c:v>
                </c:pt>
                <c:pt idx="47">
                  <c:v>6.6230140755078036E-4</c:v>
                </c:pt>
                <c:pt idx="48">
                  <c:v>6.6230278208386786E-4</c:v>
                </c:pt>
                <c:pt idx="49">
                  <c:v>6.623033723354841E-4</c:v>
                </c:pt>
                <c:pt idx="50">
                  <c:v>6.623036376154556E-4</c:v>
                </c:pt>
                <c:pt idx="51">
                  <c:v>6.6230376447710666E-4</c:v>
                </c:pt>
                <c:pt idx="52">
                  <c:v>6.6230382949921947E-4</c:v>
                </c:pt>
                <c:pt idx="53">
                  <c:v>6.6230386504920072E-4</c:v>
                </c:pt>
                <c:pt idx="54">
                  <c:v>6.6230388550990384E-4</c:v>
                </c:pt>
                <c:pt idx="55">
                  <c:v>6.6230389771748958E-4</c:v>
                </c:pt>
                <c:pt idx="56">
                  <c:v>6.6230390517049167E-4</c:v>
                </c:pt>
                <c:pt idx="57">
                  <c:v>6.6230390978421058E-4</c:v>
                </c:pt>
                <c:pt idx="58">
                  <c:v>6.6230391266348476E-4</c:v>
                </c:pt>
                <c:pt idx="59">
                  <c:v>6.6230391446881625E-4</c:v>
                </c:pt>
                <c:pt idx="60">
                  <c:v>6.6230391560396975E-4</c:v>
                </c:pt>
                <c:pt idx="61">
                  <c:v>6.6230391631902634E-4</c:v>
                </c:pt>
                <c:pt idx="62">
                  <c:v>6.6230391677004426E-4</c:v>
                </c:pt>
                <c:pt idx="63">
                  <c:v>6.6230391705482535E-4</c:v>
                </c:pt>
                <c:pt idx="64">
                  <c:v>6.6230391723481647E-4</c:v>
                </c:pt>
                <c:pt idx="65">
                  <c:v>6.6230391734868491E-4</c:v>
                </c:pt>
                <c:pt idx="66">
                  <c:v>6.623039174207914E-4</c:v>
                </c:pt>
                <c:pt idx="67">
                  <c:v>6.6230391746649778E-4</c:v>
                </c:pt>
                <c:pt idx="68">
                  <c:v>6.6230391749549976E-4</c:v>
                </c:pt>
                <c:pt idx="69">
                  <c:v>6.6230391751392209E-4</c:v>
                </c:pt>
                <c:pt idx="70">
                  <c:v>6.6230391752563711E-4</c:v>
                </c:pt>
                <c:pt idx="71">
                  <c:v>6.6230391753308504E-4</c:v>
                </c:pt>
                <c:pt idx="72">
                  <c:v>6.6230391753781758E-4</c:v>
                </c:pt>
                <c:pt idx="73">
                  <c:v>6.6230391754082917E-4</c:v>
                </c:pt>
                <c:pt idx="74">
                  <c:v>6.6230391754274853E-4</c:v>
                </c:pt>
                <c:pt idx="75">
                  <c:v>6.6230391754397303E-4</c:v>
                </c:pt>
                <c:pt idx="76">
                  <c:v>6.6230391754475496E-4</c:v>
                </c:pt>
                <c:pt idx="77">
                  <c:v>6.6230391754525499E-4</c:v>
                </c:pt>
                <c:pt idx="78">
                  <c:v>6.6230391754557537E-4</c:v>
                </c:pt>
                <c:pt idx="79">
                  <c:v>6.6230391754578094E-4</c:v>
                </c:pt>
                <c:pt idx="80">
                  <c:v>6.6230391754591299E-4</c:v>
                </c:pt>
                <c:pt idx="81">
                  <c:v>6.6230391754599799E-4</c:v>
                </c:pt>
                <c:pt idx="82">
                  <c:v>6.6230391754605275E-4</c:v>
                </c:pt>
                <c:pt idx="83">
                  <c:v>6.6230391754608809E-4</c:v>
                </c:pt>
                <c:pt idx="84">
                  <c:v>6.6230391754611097E-4</c:v>
                </c:pt>
                <c:pt idx="85">
                  <c:v>6.6230391754612582E-4</c:v>
                </c:pt>
                <c:pt idx="86">
                  <c:v>6.6230391754613547E-4</c:v>
                </c:pt>
                <c:pt idx="87">
                  <c:v>6.6230391754614176E-4</c:v>
                </c:pt>
                <c:pt idx="88">
                  <c:v>6.6230391754614577E-4</c:v>
                </c:pt>
                <c:pt idx="89">
                  <c:v>6.6230391754614837E-4</c:v>
                </c:pt>
                <c:pt idx="90">
                  <c:v>6.6230391754615011E-4</c:v>
                </c:pt>
                <c:pt idx="91">
                  <c:v>6.6230391754615119E-4</c:v>
                </c:pt>
                <c:pt idx="92">
                  <c:v>6.6230391754615195E-4</c:v>
                </c:pt>
                <c:pt idx="93">
                  <c:v>6.6230391754615238E-4</c:v>
                </c:pt>
                <c:pt idx="94">
                  <c:v>6.6230391754615271E-4</c:v>
                </c:pt>
                <c:pt idx="95">
                  <c:v>6.6230391754615293E-4</c:v>
                </c:pt>
                <c:pt idx="96">
                  <c:v>6.6230391754615303E-4</c:v>
                </c:pt>
                <c:pt idx="97">
                  <c:v>6.6230391754615314E-4</c:v>
                </c:pt>
                <c:pt idx="98">
                  <c:v>6.6230391754615325E-4</c:v>
                </c:pt>
                <c:pt idx="99">
                  <c:v>6.6230391754615325E-4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0E7-4634-87E2-A31D356BE4C9}"/>
            </c:ext>
          </c:extLst>
        </c:ser>
        <c:ser>
          <c:idx val="3"/>
          <c:order val="3"/>
          <c:tx>
            <c:strRef>
              <c:f>Larguillo!$BJ$3</c:f>
              <c:strCache>
                <c:ptCount val="1"/>
                <c:pt idx="0">
                  <c:v>TRIDEM</c:v>
                </c:pt>
              </c:strCache>
            </c:strRef>
          </c:tx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Larguillo!$BJ$4:$BJ$103</c:f>
              <c:numCache>
                <c:formatCode>General</c:formatCode>
                <c:ptCount val="100"/>
                <c:pt idx="0">
                  <c:v>2.1220636047081779E-32</c:v>
                </c:pt>
                <c:pt idx="1">
                  <c:v>6.2091007769048385E-22</c:v>
                </c:pt>
                <c:pt idx="2">
                  <c:v>3.8775058575465475E-17</c:v>
                </c:pt>
                <c:pt idx="3">
                  <c:v>2.4987484839625156E-14</c:v>
                </c:pt>
                <c:pt idx="4">
                  <c:v>1.7466876486651883E-12</c:v>
                </c:pt>
                <c:pt idx="5">
                  <c:v>3.4727050467960515E-11</c:v>
                </c:pt>
                <c:pt idx="6">
                  <c:v>3.152222020627404E-10</c:v>
                </c:pt>
                <c:pt idx="7">
                  <c:v>1.6918500287173961E-9</c:v>
                </c:pt>
                <c:pt idx="8">
                  <c:v>6.2633057665186631E-9</c:v>
                </c:pt>
                <c:pt idx="9">
                  <c:v>1.7647099742032951E-8</c:v>
                </c:pt>
                <c:pt idx="10">
                  <c:v>4.043755509915305E-8</c:v>
                </c:pt>
                <c:pt idx="11">
                  <c:v>7.8960644219315922E-8</c:v>
                </c:pt>
                <c:pt idx="12">
                  <c:v>1.3592971395930978E-7</c:v>
                </c:pt>
                <c:pt idx="13">
                  <c:v>2.1163424485980397E-7</c:v>
                </c:pt>
                <c:pt idx="14">
                  <c:v>3.0398656294286491E-7</c:v>
                </c:pt>
                <c:pt idx="15">
                  <c:v>4.0944697208991073E-7</c:v>
                </c:pt>
                <c:pt idx="16">
                  <c:v>5.2470274660534124E-7</c:v>
                </c:pt>
                <c:pt idx="17">
                  <c:v>6.4888054589796153E-7</c:v>
                </c:pt>
                <c:pt idx="18">
                  <c:v>7.8585222508235996E-7</c:v>
                </c:pt>
                <c:pt idx="19">
                  <c:v>9.4587922768787487E-7</c:v>
                </c:pt>
                <c:pt idx="20">
                  <c:v>1.1168065170743077E-6</c:v>
                </c:pt>
                <c:pt idx="21">
                  <c:v>1.3451994379012859E-6</c:v>
                </c:pt>
                <c:pt idx="22">
                  <c:v>1.6514881870346839E-6</c:v>
                </c:pt>
                <c:pt idx="23">
                  <c:v>2.0519849249371449E-6</c:v>
                </c:pt>
                <c:pt idx="24">
                  <c:v>2.5518083266885304E-6</c:v>
                </c:pt>
                <c:pt idx="25">
                  <c:v>3.1393479737027769E-6</c:v>
                </c:pt>
                <c:pt idx="26">
                  <c:v>3.7981448089510198E-6</c:v>
                </c:pt>
                <c:pt idx="27">
                  <c:v>4.5034894236393036E-6</c:v>
                </c:pt>
                <c:pt idx="28">
                  <c:v>5.2263392353153804E-6</c:v>
                </c:pt>
                <c:pt idx="29">
                  <c:v>5.9375526622255972E-6</c:v>
                </c:pt>
                <c:pt idx="30">
                  <c:v>6.6114967210870644E-6</c:v>
                </c:pt>
                <c:pt idx="31">
                  <c:v>7.228451728474267E-6</c:v>
                </c:pt>
                <c:pt idx="32">
                  <c:v>7.7756534808934306E-6</c:v>
                </c:pt>
                <c:pt idx="33">
                  <c:v>8.2471437989441648E-6</c:v>
                </c:pt>
                <c:pt idx="34">
                  <c:v>8.6427846274679085E-6</c:v>
                </c:pt>
                <c:pt idx="35">
                  <c:v>8.9668343287364734E-6</c:v>
                </c:pt>
                <c:pt idx="36">
                  <c:v>9.2264295318784299E-6</c:v>
                </c:pt>
                <c:pt idx="37">
                  <c:v>9.4296177629361943E-6</c:v>
                </c:pt>
                <c:pt idx="38">
                  <c:v>9.586664161032958E-6</c:v>
                </c:pt>
                <c:pt idx="39">
                  <c:v>9.7073832202574482E-6</c:v>
                </c:pt>
                <c:pt idx="40">
                  <c:v>9.7988969816973159E-6</c:v>
                </c:pt>
                <c:pt idx="41">
                  <c:v>9.8673767304829645E-6</c:v>
                </c:pt>
                <c:pt idx="42">
                  <c:v>9.9180039036759687E-6</c:v>
                </c:pt>
                <c:pt idx="43">
                  <c:v>9.955013137097508E-6</c:v>
                </c:pt>
                <c:pt idx="44">
                  <c:v>9.9817850716108205E-6</c:v>
                </c:pt>
                <c:pt idx="45">
                  <c:v>1.0000963417646551E-5</c:v>
                </c:pt>
                <c:pt idx="46">
                  <c:v>1.0014577985523091E-5</c:v>
                </c:pt>
                <c:pt idx="47">
                  <c:v>1.0024161827411012E-5</c:v>
                </c:pt>
                <c:pt idx="48">
                  <c:v>1.0030855793686685E-5</c:v>
                </c:pt>
                <c:pt idx="49">
                  <c:v>1.0035497577937211E-5</c:v>
                </c:pt>
                <c:pt idx="50">
                  <c:v>1.0038692671162908E-5</c:v>
                </c:pt>
                <c:pt idx="51">
                  <c:v>1.0040877728066456E-5</c:v>
                </c:pt>
                <c:pt idx="52">
                  <c:v>1.0042363747525683E-5</c:v>
                </c:pt>
                <c:pt idx="53">
                  <c:v>1.0043369199073672E-5</c:v>
                </c:pt>
                <c:pt idx="54">
                  <c:v>1.0044046303967693E-5</c:v>
                </c:pt>
                <c:pt idx="55">
                  <c:v>1.0044500333519513E-5</c:v>
                </c:pt>
                <c:pt idx="56">
                  <c:v>1.0044803592682852E-5</c:v>
                </c:pt>
                <c:pt idx="57">
                  <c:v>1.0045005432988469E-5</c:v>
                </c:pt>
                <c:pt idx="58">
                  <c:v>1.0045139346361032E-5</c:v>
                </c:pt>
                <c:pt idx="59">
                  <c:v>1.0045227942893123E-5</c:v>
                </c:pt>
                <c:pt idx="60">
                  <c:v>1.0045286413672115E-5</c:v>
                </c:pt>
                <c:pt idx="61">
                  <c:v>1.0045324920923523E-5</c:v>
                </c:pt>
                <c:pt idx="62">
                  <c:v>1.0045350236084292E-5</c:v>
                </c:pt>
                <c:pt idx="63">
                  <c:v>1.0045366855240513E-5</c:v>
                </c:pt>
                <c:pt idx="64">
                  <c:v>1.0045377754253245E-5</c:v>
                </c:pt>
                <c:pt idx="65">
                  <c:v>1.0045384897259362E-5</c:v>
                </c:pt>
                <c:pt idx="66">
                  <c:v>1.0045389577455708E-5</c:v>
                </c:pt>
                <c:pt idx="67">
                  <c:v>1.004539264449513E-5</c:v>
                </c:pt>
                <c:pt idx="68">
                  <c:v>1.0045394656163231E-5</c:v>
                </c:pt>
                <c:pt idx="69">
                  <c:v>1.0045395977958288E-5</c:v>
                </c:pt>
                <c:pt idx="70">
                  <c:v>1.0045396848271346E-5</c:v>
                </c:pt>
                <c:pt idx="71">
                  <c:v>1.0045397422791219E-5</c:v>
                </c:pt>
                <c:pt idx="72">
                  <c:v>1.0045397802999567E-5</c:v>
                </c:pt>
                <c:pt idx="73">
                  <c:v>1.004539805536504E-5</c:v>
                </c:pt>
                <c:pt idx="74">
                  <c:v>1.0045398223602671E-5</c:v>
                </c:pt>
                <c:pt idx="75">
                  <c:v>1.0045398336313127E-5</c:v>
                </c:pt>
                <c:pt idx="76">
                  <c:v>1.0045398412243968E-5</c:v>
                </c:pt>
                <c:pt idx="77">
                  <c:v>1.0045398463712885E-5</c:v>
                </c:pt>
                <c:pt idx="78">
                  <c:v>1.004539849883581E-5</c:v>
                </c:pt>
                <c:pt idx="79">
                  <c:v>1.0045398522978062E-5</c:v>
                </c:pt>
                <c:pt idx="80">
                  <c:v>1.0045398539700354E-5</c:v>
                </c:pt>
                <c:pt idx="81">
                  <c:v>1.0045398551376305E-5</c:v>
                </c:pt>
                <c:pt idx="82">
                  <c:v>1.0045398559596187E-5</c:v>
                </c:pt>
                <c:pt idx="83">
                  <c:v>1.0045398565431447E-5</c:v>
                </c:pt>
                <c:pt idx="84">
                  <c:v>1.0045398569608456E-5</c:v>
                </c:pt>
                <c:pt idx="85">
                  <c:v>1.004539857262297E-5</c:v>
                </c:pt>
                <c:pt idx="86">
                  <c:v>1.0045398574815794E-5</c:v>
                </c:pt>
                <c:pt idx="87">
                  <c:v>1.0045398576422998E-5</c:v>
                </c:pt>
                <c:pt idx="88">
                  <c:v>1.0045398577609409E-5</c:v>
                </c:pt>
                <c:pt idx="89">
                  <c:v>1.0045398578491041E-5</c:v>
                </c:pt>
                <c:pt idx="90">
                  <c:v>1.0045398579150229E-5</c:v>
                </c:pt>
                <c:pt idx="91">
                  <c:v>1.0045398579645883E-5</c:v>
                </c:pt>
                <c:pt idx="92">
                  <c:v>1.0045398580020488E-5</c:v>
                </c:pt>
                <c:pt idx="93">
                  <c:v>1.0045398580304923E-5</c:v>
                </c:pt>
                <c:pt idx="94">
                  <c:v>1.0045398580521799E-5</c:v>
                </c:pt>
                <c:pt idx="95">
                  <c:v>1.0045398580687786E-5</c:v>
                </c:pt>
                <c:pt idx="96">
                  <c:v>1.0045398580815254E-5</c:v>
                </c:pt>
                <c:pt idx="97">
                  <c:v>1.004539858091344E-5</c:v>
                </c:pt>
                <c:pt idx="98">
                  <c:v>1.0045398580989279E-5</c:v>
                </c:pt>
                <c:pt idx="99">
                  <c:v>1.0045398581048E-5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0E7-4634-87E2-A31D356BE4C9}"/>
            </c:ext>
          </c:extLst>
        </c:ser>
        <c:ser>
          <c:idx val="0"/>
          <c:order val="4"/>
          <c:tx>
            <c:v>TODOS</c:v>
          </c:tx>
          <c:spPr>
            <a:ln>
              <a:solidFill>
                <a:prstClr val="black"/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Larguillo!$BK$4:$BK$103</c:f>
              <c:numCache>
                <c:formatCode>General</c:formatCode>
                <c:ptCount val="100"/>
                <c:pt idx="0">
                  <c:v>1.4372486087817159E-12</c:v>
                </c:pt>
                <c:pt idx="1">
                  <c:v>5.2489370984130629E-8</c:v>
                </c:pt>
                <c:pt idx="2">
                  <c:v>4.2794519585505103E-6</c:v>
                </c:pt>
                <c:pt idx="3">
                  <c:v>4.3958523658102857E-5</c:v>
                </c:pt>
                <c:pt idx="4">
                  <c:v>1.7910314660053175E-4</c:v>
                </c:pt>
                <c:pt idx="5">
                  <c:v>4.4175002906974626E-4</c:v>
                </c:pt>
                <c:pt idx="6">
                  <c:v>8.0466444474144806E-4</c:v>
                </c:pt>
                <c:pt idx="7">
                  <c:v>1.2066283762568767E-3</c:v>
                </c:pt>
                <c:pt idx="8">
                  <c:v>1.5899450587394991E-3</c:v>
                </c:pt>
                <c:pt idx="9">
                  <c:v>1.9196815690704356E-3</c:v>
                </c:pt>
                <c:pt idx="10">
                  <c:v>2.1838869165063763E-3</c:v>
                </c:pt>
                <c:pt idx="11">
                  <c:v>2.3860669878109655E-3</c:v>
                </c:pt>
                <c:pt idx="12">
                  <c:v>2.5379001821533146E-3</c:v>
                </c:pt>
                <c:pt idx="13">
                  <c:v>2.6537329312459669E-3</c:v>
                </c:pt>
                <c:pt idx="14">
                  <c:v>2.7439940057217716E-3</c:v>
                </c:pt>
                <c:pt idx="15">
                  <c:v>2.8147403722555892E-3</c:v>
                </c:pt>
                <c:pt idx="16">
                  <c:v>2.8697993980571668E-3</c:v>
                </c:pt>
                <c:pt idx="17">
                  <c:v>2.9144157274864175E-3</c:v>
                </c:pt>
                <c:pt idx="18">
                  <c:v>2.9521854260420705E-3</c:v>
                </c:pt>
                <c:pt idx="19">
                  <c:v>2.9853275346570589E-3</c:v>
                </c:pt>
                <c:pt idx="20">
                  <c:v>3.0149986145420514E-3</c:v>
                </c:pt>
                <c:pt idx="21">
                  <c:v>3.041993140991022E-3</c:v>
                </c:pt>
                <c:pt idx="22">
                  <c:v>3.0673158189855015E-3</c:v>
                </c:pt>
                <c:pt idx="23">
                  <c:v>3.0929289161307472E-3</c:v>
                </c:pt>
                <c:pt idx="24">
                  <c:v>3.1220943023067453E-3</c:v>
                </c:pt>
                <c:pt idx="25">
                  <c:v>3.1590992090230119E-3</c:v>
                </c:pt>
                <c:pt idx="26">
                  <c:v>3.208510575990248E-3</c:v>
                </c:pt>
                <c:pt idx="27">
                  <c:v>3.2725414037704775E-3</c:v>
                </c:pt>
                <c:pt idx="28">
                  <c:v>3.3496320316964705E-3</c:v>
                </c:pt>
                <c:pt idx="29">
                  <c:v>3.4343850663491955E-3</c:v>
                </c:pt>
                <c:pt idx="30">
                  <c:v>3.5192301486308914E-3</c:v>
                </c:pt>
                <c:pt idx="31">
                  <c:v>3.5968889079566282E-3</c:v>
                </c:pt>
                <c:pt idx="32">
                  <c:v>3.662366317308533E-3</c:v>
                </c:pt>
                <c:pt idx="33">
                  <c:v>3.7136824154129079E-3</c:v>
                </c:pt>
                <c:pt idx="34">
                  <c:v>3.7515075812456222E-3</c:v>
                </c:pt>
                <c:pt idx="35">
                  <c:v>3.7781318182514186E-3</c:v>
                </c:pt>
                <c:pt idx="36">
                  <c:v>3.796336975095601E-3</c:v>
                </c:pt>
                <c:pt idx="37">
                  <c:v>3.8087163115354426E-3</c:v>
                </c:pt>
                <c:pt idx="38">
                  <c:v>3.8173003326015388E-3</c:v>
                </c:pt>
                <c:pt idx="39">
                  <c:v>3.8235075451475121E-3</c:v>
                </c:pt>
                <c:pt idx="40">
                  <c:v>3.8282460310291554E-3</c:v>
                </c:pt>
                <c:pt idx="41">
                  <c:v>3.832061526720376E-3</c:v>
                </c:pt>
                <c:pt idx="42">
                  <c:v>3.8352679330790483E-3</c:v>
                </c:pt>
                <c:pt idx="43">
                  <c:v>3.8380424076502663E-3</c:v>
                </c:pt>
                <c:pt idx="44">
                  <c:v>3.8404862938040628E-3</c:v>
                </c:pt>
                <c:pt idx="45">
                  <c:v>3.842660681261002E-3</c:v>
                </c:pt>
                <c:pt idx="46">
                  <c:v>3.844605707338463E-3</c:v>
                </c:pt>
                <c:pt idx="47">
                  <c:v>3.8463504600938928E-3</c:v>
                </c:pt>
                <c:pt idx="48">
                  <c:v>3.8479178967492076E-3</c:v>
                </c:pt>
                <c:pt idx="49">
                  <c:v>3.8493272243639394E-3</c:v>
                </c:pt>
                <c:pt idx="50">
                  <c:v>3.8505950600213439E-3</c:v>
                </c:pt>
                <c:pt idx="51">
                  <c:v>3.8517319997979161E-3</c:v>
                </c:pt>
                <c:pt idx="52">
                  <c:v>3.8527479197809481E-3</c:v>
                </c:pt>
                <c:pt idx="53">
                  <c:v>3.8536561212106236E-3</c:v>
                </c:pt>
                <c:pt idx="54">
                  <c:v>3.8544683882327968E-3</c:v>
                </c:pt>
                <c:pt idx="55">
                  <c:v>3.8551951741067573E-3</c:v>
                </c:pt>
                <c:pt idx="56">
                  <c:v>3.8558457593445917E-3</c:v>
                </c:pt>
                <c:pt idx="57">
                  <c:v>3.8564283884963985E-3</c:v>
                </c:pt>
                <c:pt idx="58">
                  <c:v>3.8569503895814631E-3</c:v>
                </c:pt>
                <c:pt idx="59">
                  <c:v>3.8574182789001422E-3</c:v>
                </c:pt>
                <c:pt idx="60">
                  <c:v>3.8578378532969689E-3</c:v>
                </c:pt>
                <c:pt idx="61">
                  <c:v>3.8582142715421638E-3</c:v>
                </c:pt>
                <c:pt idx="62">
                  <c:v>3.858552126219847E-3</c:v>
                </c:pt>
                <c:pt idx="63">
                  <c:v>3.8588550080239296E-3</c:v>
                </c:pt>
                <c:pt idx="64">
                  <c:v>3.8591259551877671E-3</c:v>
                </c:pt>
                <c:pt idx="65">
                  <c:v>3.8593684819661724E-3</c:v>
                </c:pt>
                <c:pt idx="66">
                  <c:v>3.8595857004705405E-3</c:v>
                </c:pt>
                <c:pt idx="67">
                  <c:v>3.8597803683769198E-3</c:v>
                </c:pt>
                <c:pt idx="68">
                  <c:v>3.8599549307742854E-3</c:v>
                </c:pt>
                <c:pt idx="69">
                  <c:v>3.8601115568990554E-3</c:v>
                </c:pt>
                <c:pt idx="70">
                  <c:v>3.8602521724038991E-3</c:v>
                </c:pt>
                <c:pt idx="71">
                  <c:v>3.8603784877246244E-3</c:v>
                </c:pt>
                <c:pt idx="72">
                  <c:v>3.8604920230304687E-3</c:v>
                </c:pt>
                <c:pt idx="73">
                  <c:v>3.8605941301839458E-3</c:v>
                </c:pt>
                <c:pt idx="74">
                  <c:v>3.860686012079291E-3</c:v>
                </c:pt>
                <c:pt idx="75">
                  <c:v>3.860768739682332E-3</c:v>
                </c:pt>
                <c:pt idx="76">
                  <c:v>3.8608432670542898E-3</c:v>
                </c:pt>
                <c:pt idx="77">
                  <c:v>3.8609104446051929E-3</c:v>
                </c:pt>
                <c:pt idx="78">
                  <c:v>3.8609710307921409E-3</c:v>
                </c:pt>
                <c:pt idx="79">
                  <c:v>3.8610257024506594E-3</c:v>
                </c:pt>
                <c:pt idx="80">
                  <c:v>3.861074839731176E-3</c:v>
                </c:pt>
                <c:pt idx="81">
                  <c:v>3.8611188150532616E-3</c:v>
                </c:pt>
                <c:pt idx="82">
                  <c:v>3.8611581935959682E-3</c:v>
                </c:pt>
                <c:pt idx="83">
                  <c:v>3.8611934763245225E-3</c:v>
                </c:pt>
                <c:pt idx="84">
                  <c:v>3.8612251075249766E-3</c:v>
                </c:pt>
                <c:pt idx="85">
                  <c:v>3.8612534814308343E-3</c:v>
                </c:pt>
                <c:pt idx="86">
                  <c:v>3.8612789480532957E-3</c:v>
                </c:pt>
                <c:pt idx="87">
                  <c:v>3.861301818312872E-3</c:v>
                </c:pt>
                <c:pt idx="88">
                  <c:v>3.8613223685579645E-3</c:v>
                </c:pt>
                <c:pt idx="89">
                  <c:v>3.8613408445453833E-3</c:v>
                </c:pt>
                <c:pt idx="90">
                  <c:v>3.8613574649484349E-3</c:v>
                </c:pt>
                <c:pt idx="91">
                  <c:v>3.8613724244500854E-3</c:v>
                </c:pt>
                <c:pt idx="92">
                  <c:v>3.8613858964715608E-3</c:v>
                </c:pt>
                <c:pt idx="93">
                  <c:v>3.8613980355805193E-3</c:v>
                </c:pt>
                <c:pt idx="94">
                  <c:v>3.861408979617459E-3</c:v>
                </c:pt>
                <c:pt idx="95">
                  <c:v>3.8614188515742817E-3</c:v>
                </c:pt>
                <c:pt idx="96">
                  <c:v>3.861427761254727E-3</c:v>
                </c:pt>
                <c:pt idx="97">
                  <c:v>3.8614358067427627E-3</c:v>
                </c:pt>
                <c:pt idx="98">
                  <c:v>3.8614430757018146E-3</c:v>
                </c:pt>
                <c:pt idx="99">
                  <c:v>3.8614496465249129E-3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0E7-4634-87E2-A31D356BE4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848768"/>
        <c:axId val="164850688"/>
      </c:scatterChart>
      <c:valAx>
        <c:axId val="164848768"/>
        <c:scaling>
          <c:orientation val="minMax"/>
          <c:min val="0"/>
        </c:scaling>
        <c:delete val="0"/>
        <c:axPos val="b"/>
        <c:majorGridlines>
          <c:spPr>
            <a:ln>
              <a:solidFill>
                <a:srgbClr val="4F81BD">
                  <a:alpha val="50000"/>
                </a:srgb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s-MX" sz="2000"/>
                  <a:t>Carga (Ton)</a:t>
                </a:r>
              </a:p>
            </c:rich>
          </c:tx>
          <c:layout>
            <c:manualLayout>
              <c:xMode val="edge"/>
              <c:yMode val="edge"/>
              <c:x val="0.44978727436592131"/>
              <c:y val="0.9360339179547027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s-ES"/>
          </a:p>
        </c:txPr>
        <c:crossAx val="164850688"/>
        <c:crossesAt val="0"/>
        <c:crossBetween val="midCat"/>
        <c:majorUnit val="5"/>
      </c:valAx>
      <c:valAx>
        <c:axId val="164850688"/>
        <c:scaling>
          <c:orientation val="minMax"/>
          <c:min val="0"/>
        </c:scaling>
        <c:delete val="0"/>
        <c:axPos val="l"/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s-MX" sz="2000"/>
                  <a:t>Coeficiente</a:t>
                </a:r>
                <a:r>
                  <a:rPr lang="es-MX" sz="2000" baseline="0"/>
                  <a:t> de daño (n/Nd)</a:t>
                </a:r>
                <a:endParaRPr lang="es-MX" sz="2000"/>
              </a:p>
            </c:rich>
          </c:tx>
          <c:layout>
            <c:manualLayout>
              <c:xMode val="edge"/>
              <c:yMode val="edge"/>
              <c:x val="8.7843132914960185E-3"/>
              <c:y val="0.22490539150818878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s-ES"/>
          </a:p>
        </c:txPr>
        <c:crossAx val="164848768"/>
        <c:crosses val="autoZero"/>
        <c:crossBetween val="midCat"/>
      </c:valAx>
      <c:spPr>
        <a:noFill/>
      </c:spPr>
    </c:plotArea>
    <c:legend>
      <c:legendPos val="b"/>
      <c:layout>
        <c:manualLayout>
          <c:xMode val="edge"/>
          <c:yMode val="edge"/>
          <c:x val="4.0422251103630534E-2"/>
          <c:y val="0.89564575300989135"/>
          <c:w val="0.82350320258540965"/>
          <c:h val="4.3813710572379788E-2"/>
        </c:manualLayout>
      </c:layout>
      <c:overlay val="0"/>
      <c:txPr>
        <a:bodyPr/>
        <a:lstStyle/>
        <a:p>
          <a:pPr>
            <a:defRPr sz="1300"/>
          </a:pPr>
          <a:endParaRPr lang="es-ES"/>
        </a:p>
      </c:txPr>
    </c:legend>
    <c:plotVisOnly val="1"/>
    <c:dispBlanksAs val="gap"/>
    <c:showDLblsOverMax val="0"/>
  </c:chart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463753297386327"/>
          <c:y val="0.70833479148439771"/>
          <c:w val="3.1884043417077103E-2"/>
          <c:h val="0.138888888888888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A7C46E"/>
              </a:solidFill>
            </a:ln>
          </c:spPr>
          <c:marker>
            <c:symbol val="circle"/>
            <c:size val="9"/>
            <c:spPr>
              <a:solidFill>
                <a:schemeClr val="tx1"/>
              </a:solidFill>
              <a:ln>
                <a:solidFill>
                  <a:srgbClr val="A7C46E"/>
                </a:solidFill>
              </a:ln>
            </c:spPr>
          </c:marker>
          <c:dLbls>
            <c:dLbl>
              <c:idx val="0"/>
              <c:layout>
                <c:manualLayout>
                  <c:x val="1.6864296524793002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C2D-4FEA-B9DA-089B1B61F4FE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b" anchorCtr="1"/>
              <a:lstStyle/>
              <a:p>
                <a:pPr>
                  <a:defRPr sz="1300" b="1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Larguillo!$BV$8</c:f>
              <c:numCache>
                <c:formatCode>0.0</c:formatCode>
                <c:ptCount val="1"/>
                <c:pt idx="0">
                  <c:v>258.97009971370301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C2D-4FEA-B9DA-089B1B61F4F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4981376"/>
        <c:axId val="164988416"/>
      </c:lineChart>
      <c:catAx>
        <c:axId val="164981376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one"/>
        <c:crossAx val="164988416"/>
        <c:crosses val="autoZero"/>
        <c:auto val="1"/>
        <c:lblAlgn val="ctr"/>
        <c:lblOffset val="100"/>
        <c:noMultiLvlLbl val="0"/>
      </c:catAx>
      <c:valAx>
        <c:axId val="164988416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164981376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463753297386327"/>
          <c:y val="0.70833479148439771"/>
          <c:w val="3.1884043417077103E-2"/>
          <c:h val="0.138888888888888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A7C46E"/>
              </a:solidFill>
            </a:ln>
          </c:spPr>
          <c:marker>
            <c:symbol val="circle"/>
            <c:size val="9"/>
            <c:spPr>
              <a:solidFill>
                <a:srgbClr val="A7C46E"/>
              </a:solidFill>
              <a:ln>
                <a:solidFill>
                  <a:srgbClr val="A7C46E"/>
                </a:solidFill>
              </a:ln>
            </c:spPr>
          </c:marker>
          <c:dLbls>
            <c:dLbl>
              <c:idx val="0"/>
              <c:layout>
                <c:manualLayout>
                  <c:x val="1.6864296524793002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A68-439E-BBE6-D058557CFE60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b" anchorCtr="1"/>
              <a:lstStyle/>
              <a:p>
                <a:pPr>
                  <a:defRPr sz="1300" b="1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Larguillo!$BT$8</c:f>
              <c:numCache>
                <c:formatCode>0.0</c:formatCode>
                <c:ptCount val="1"/>
                <c:pt idx="0">
                  <c:v>1509.8808470060335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A68-439E-BBE6-D058557CFE6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5212160"/>
        <c:axId val="165214848"/>
      </c:lineChart>
      <c:catAx>
        <c:axId val="16521216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one"/>
        <c:crossAx val="165214848"/>
        <c:crosses val="autoZero"/>
        <c:auto val="1"/>
        <c:lblAlgn val="ctr"/>
        <c:lblOffset val="100"/>
        <c:noMultiLvlLbl val="0"/>
      </c:catAx>
      <c:valAx>
        <c:axId val="165214848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165212160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463753297386316"/>
          <c:y val="0.70833479148439771"/>
          <c:w val="3.1884043417077089E-2"/>
          <c:h val="0.138888888888888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A7C46E"/>
              </a:solidFill>
            </a:ln>
          </c:spPr>
          <c:marker>
            <c:symbol val="circle"/>
            <c:size val="9"/>
            <c:spPr>
              <a:solidFill>
                <a:schemeClr val="tx2">
                  <a:lumMod val="60000"/>
                  <a:lumOff val="40000"/>
                </a:schemeClr>
              </a:solidFill>
              <a:ln>
                <a:solidFill>
                  <a:srgbClr val="A7C46E"/>
                </a:solidFill>
              </a:ln>
            </c:spPr>
          </c:marker>
          <c:dLbls>
            <c:dLbl>
              <c:idx val="0"/>
              <c:layout>
                <c:manualLayout>
                  <c:x val="1.6864296524793002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A6A-4648-8FC6-C254C6179275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b" anchorCtr="1"/>
              <a:lstStyle/>
              <a:p>
                <a:pPr>
                  <a:defRPr sz="1300" b="1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Larguillo!$BR$8</c:f>
              <c:numCache>
                <c:formatCode>0.0</c:formatCode>
                <c:ptCount val="1"/>
                <c:pt idx="0">
                  <c:v>365.44499452153508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A6A-4648-8FC6-C254C617927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5041280"/>
        <c:axId val="165048320"/>
      </c:lineChart>
      <c:catAx>
        <c:axId val="16504128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one"/>
        <c:crossAx val="165048320"/>
        <c:crosses val="autoZero"/>
        <c:auto val="1"/>
        <c:lblAlgn val="ctr"/>
        <c:lblOffset val="100"/>
        <c:noMultiLvlLbl val="0"/>
      </c:catAx>
      <c:valAx>
        <c:axId val="165048320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165041280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463753297386305"/>
          <c:y val="0.70833479148439771"/>
          <c:w val="3.1884043417077075E-2"/>
          <c:h val="0.138888888888888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A7C46E"/>
              </a:solidFill>
            </a:ln>
          </c:spPr>
          <c:marker>
            <c:symbol val="circle"/>
            <c:size val="9"/>
            <c:spPr>
              <a:solidFill>
                <a:srgbClr val="D06422"/>
              </a:solidFill>
              <a:ln>
                <a:solidFill>
                  <a:srgbClr val="A7C46E"/>
                </a:solidFill>
              </a:ln>
            </c:spPr>
          </c:marker>
          <c:dLbls>
            <c:dLbl>
              <c:idx val="0"/>
              <c:layout>
                <c:manualLayout>
                  <c:x val="1.6864296524793002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6CE-4C52-9DE2-96564674E043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b" anchorCtr="1"/>
              <a:lstStyle/>
              <a:p>
                <a:pPr>
                  <a:defRPr sz="1300" b="1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Larguillo!$BS$8</c:f>
              <c:numCache>
                <c:formatCode>0.0</c:formatCode>
                <c:ptCount val="1"/>
                <c:pt idx="0">
                  <c:v>2208.9176239894214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6CE-4C52-9DE2-96564674E04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5062912"/>
        <c:axId val="165082240"/>
      </c:lineChart>
      <c:catAx>
        <c:axId val="165062912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one"/>
        <c:crossAx val="165082240"/>
        <c:crosses val="autoZero"/>
        <c:auto val="1"/>
        <c:lblAlgn val="ctr"/>
        <c:lblOffset val="100"/>
        <c:noMultiLvlLbl val="0"/>
      </c:catAx>
      <c:valAx>
        <c:axId val="165082240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165062912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463753297386327"/>
          <c:y val="0.70833479148439771"/>
          <c:w val="3.1884043417077103E-2"/>
          <c:h val="0.138888888888888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A7C46E"/>
              </a:solidFill>
            </a:ln>
          </c:spPr>
          <c:marker>
            <c:symbol val="circle"/>
            <c:size val="9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solidFill>
                  <a:srgbClr val="A7C46E"/>
                </a:solidFill>
              </a:ln>
            </c:spPr>
          </c:marker>
          <c:dLbls>
            <c:dLbl>
              <c:idx val="0"/>
              <c:layout>
                <c:manualLayout>
                  <c:x val="5.3778922776038021E-4"/>
                  <c:y val="-0.12393780664238331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67F-4FDD-AFD5-BF6D1D970AC1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b" anchorCtr="1"/>
              <a:lstStyle/>
              <a:p>
                <a:pPr>
                  <a:defRPr sz="1300" b="1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Larguillo!$BU$8</c:f>
              <c:numCache>
                <c:formatCode>0.0</c:formatCode>
                <c:ptCount val="1"/>
                <c:pt idx="0">
                  <c:v>99548.065906178672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67F-4FDD-AFD5-BF6D1D970AC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5621120"/>
        <c:axId val="165636352"/>
      </c:lineChart>
      <c:catAx>
        <c:axId val="16562112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one"/>
        <c:crossAx val="165636352"/>
        <c:crosses val="autoZero"/>
        <c:auto val="1"/>
        <c:lblAlgn val="ctr"/>
        <c:lblOffset val="100"/>
        <c:noMultiLvlLbl val="0"/>
      </c:catAx>
      <c:valAx>
        <c:axId val="165636352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165621120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.bin"/></Relationships>
</file>

<file path=xl/chart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2.bin"/></Relationships>
</file>

<file path=xl/chart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3.bin"/></Relationships>
</file>

<file path=xl/chart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4.bin"/></Relationships>
</file>

<file path=xl/chartsheets/sheet1.xml><?xml version="1.0" encoding="utf-8"?>
<chart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r="http://schemas.microsoft.com/office/spreadsheetml/2014/revision" xmlns:xr3="http://schemas.microsoft.com/office/spreadsheetml/2016/revision3" mc:Ignorable="xr xr3" xr:uid="{00000000-0001-0000-0900-000000000000}">
  <sheetPr codeName="Gráfico12">
    <tabColor rgb="FFF9ED91"/>
  </sheetPr>
  <sheetViews>
    <sheetView zoomScale="80" workbookViewId="0"/>
  </sheetViews>
  <pageMargins left="0.7" right="0.7" top="0.75" bottom="0.75" header="0.3" footer="0.3"/>
  <pageSetup orientation="landscape" r:id="rId1"/>
  <drawing r:id="rId2"/>
  <legacyDrawing r:id="rId3"/>
</chartsheet>
</file>

<file path=xl/chartsheets/sheet2.xml><?xml version="1.0" encoding="utf-8"?>
<chart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r="http://schemas.microsoft.com/office/spreadsheetml/2014/revision" xmlns:xr3="http://schemas.microsoft.com/office/spreadsheetml/2016/revision3" mc:Ignorable="xr xr3" xr:uid="{00000000-0001-0000-0A00-000000000000}">
  <sheetPr codeName="Gráfico15">
    <tabColor rgb="FFF9ED91"/>
  </sheetPr>
  <sheetViews>
    <sheetView zoomScale="80" workbookViewId="0"/>
  </sheetViews>
  <pageMargins left="0.7" right="0.7" top="0.75" bottom="0.75" header="0.3" footer="0.3"/>
  <pageSetup orientation="landscape" r:id="rId1"/>
  <drawing r:id="rId2"/>
  <legacyDrawing r:id="rId3"/>
</chartsheet>
</file>

<file path=xl/chartsheets/sheet3.xml><?xml version="1.0" encoding="utf-8"?>
<chart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r="http://schemas.microsoft.com/office/spreadsheetml/2014/revision" xmlns:xr3="http://schemas.microsoft.com/office/spreadsheetml/2016/revision3" mc:Ignorable="xr xr3" xr:uid="{00000000-0001-0000-0B00-000000000000}">
  <sheetPr codeName="Gráfico19">
    <tabColor rgb="FFF9ED91"/>
  </sheetPr>
  <sheetViews>
    <sheetView zoomScale="80" workbookViewId="0"/>
  </sheetViews>
  <pageMargins left="0.7" right="0.7" top="0.75" bottom="0.75" header="0.3" footer="0.3"/>
  <pageSetup orientation="landscape" r:id="rId1"/>
  <drawing r:id="rId2"/>
  <legacyDrawing r:id="rId3"/>
</chartsheet>
</file>

<file path=xl/chartsheets/sheet4.xml><?xml version="1.0" encoding="utf-8"?>
<chart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r="http://schemas.microsoft.com/office/spreadsheetml/2014/revision" xmlns:xr3="http://schemas.microsoft.com/office/spreadsheetml/2016/revision3" mc:Ignorable="xr xr3" xr:uid="{00000000-0001-0000-0C00-000000000000}">
  <sheetPr codeName="Gráfico17">
    <tabColor rgb="FFF9ED91"/>
  </sheetPr>
  <sheetViews>
    <sheetView zoomScale="80" workbookViewId="0"/>
  </sheetViews>
  <pageMargins left="0.7" right="0.7" top="0.75" bottom="0.75" header="0.3" footer="0.3"/>
  <pageSetup orientation="landscape" r:id="rId1"/>
  <drawing r:id="rId2"/>
  <legacyDrawing r:id="rId3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2.png"/><Relationship Id="rId3" Type="http://schemas.openxmlformats.org/officeDocument/2006/relationships/image" Target="../media/image17.png"/><Relationship Id="rId7" Type="http://schemas.openxmlformats.org/officeDocument/2006/relationships/image" Target="../media/image21.png"/><Relationship Id="rId2" Type="http://schemas.openxmlformats.org/officeDocument/2006/relationships/image" Target="../media/image16.png"/><Relationship Id="rId1" Type="http://schemas.openxmlformats.org/officeDocument/2006/relationships/image" Target="../media/image15.png"/><Relationship Id="rId6" Type="http://schemas.openxmlformats.org/officeDocument/2006/relationships/image" Target="../media/image20.png"/><Relationship Id="rId5" Type="http://schemas.openxmlformats.org/officeDocument/2006/relationships/image" Target="../media/image19.png"/><Relationship Id="rId4" Type="http://schemas.openxmlformats.org/officeDocument/2006/relationships/image" Target="../media/image18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Relationship Id="rId5" Type="http://schemas.openxmlformats.org/officeDocument/2006/relationships/chart" Target="../charts/chart14.xml"/><Relationship Id="rId4" Type="http://schemas.openxmlformats.org/officeDocument/2006/relationships/chart" Target="../charts/chart13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5" Type="http://schemas.openxmlformats.org/officeDocument/2006/relationships/chart" Target="../charts/chart20.xml"/><Relationship Id="rId4" Type="http://schemas.openxmlformats.org/officeDocument/2006/relationships/chart" Target="../charts/chart19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7.emf"/><Relationship Id="rId13" Type="http://schemas.openxmlformats.org/officeDocument/2006/relationships/image" Target="../media/image2.emf"/><Relationship Id="rId3" Type="http://schemas.openxmlformats.org/officeDocument/2006/relationships/image" Target="../media/image12.emf"/><Relationship Id="rId7" Type="http://schemas.openxmlformats.org/officeDocument/2006/relationships/image" Target="../media/image8.emf"/><Relationship Id="rId12" Type="http://schemas.openxmlformats.org/officeDocument/2006/relationships/image" Target="../media/image3.emf"/><Relationship Id="rId2" Type="http://schemas.openxmlformats.org/officeDocument/2006/relationships/image" Target="../media/image13.emf"/><Relationship Id="rId1" Type="http://schemas.openxmlformats.org/officeDocument/2006/relationships/image" Target="../media/image14.emf"/><Relationship Id="rId6" Type="http://schemas.openxmlformats.org/officeDocument/2006/relationships/image" Target="../media/image9.emf"/><Relationship Id="rId11" Type="http://schemas.openxmlformats.org/officeDocument/2006/relationships/image" Target="../media/image4.emf"/><Relationship Id="rId5" Type="http://schemas.openxmlformats.org/officeDocument/2006/relationships/image" Target="../media/image10.emf"/><Relationship Id="rId10" Type="http://schemas.openxmlformats.org/officeDocument/2006/relationships/image" Target="../media/image5.emf"/><Relationship Id="rId4" Type="http://schemas.openxmlformats.org/officeDocument/2006/relationships/image" Target="../media/image11.emf"/><Relationship Id="rId9" Type="http://schemas.openxmlformats.org/officeDocument/2006/relationships/image" Target="../media/image6.emf"/><Relationship Id="rId14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6.emf"/><Relationship Id="rId2" Type="http://schemas.openxmlformats.org/officeDocument/2006/relationships/image" Target="../media/image25.emf"/><Relationship Id="rId1" Type="http://schemas.openxmlformats.org/officeDocument/2006/relationships/image" Target="../media/image24.emf"/><Relationship Id="rId6" Type="http://schemas.openxmlformats.org/officeDocument/2006/relationships/image" Target="../media/image28.emf"/><Relationship Id="rId5" Type="http://schemas.openxmlformats.org/officeDocument/2006/relationships/image" Target="../media/image23.emf"/><Relationship Id="rId4" Type="http://schemas.openxmlformats.org/officeDocument/2006/relationships/image" Target="../media/image27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9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6.emf"/><Relationship Id="rId1" Type="http://schemas.openxmlformats.org/officeDocument/2006/relationships/image" Target="../media/image35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37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295274</xdr:colOff>
      <xdr:row>4</xdr:row>
      <xdr:rowOff>133350</xdr:rowOff>
    </xdr:from>
    <xdr:ext cx="843757" cy="3409950"/>
    <xdr:sp macro="" textlink="">
      <xdr:nvSpPr>
        <xdr:cNvPr id="2" name="1 CuadroText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 rot="16200000">
          <a:off x="-987822" y="2178446"/>
          <a:ext cx="3409950" cy="8437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r>
            <a:rPr lang="es-MX" sz="4800">
              <a:solidFill>
                <a:schemeClr val="tx2">
                  <a:lumMod val="60000"/>
                  <a:lumOff val="40000"/>
                </a:schemeClr>
              </a:solidFill>
            </a:rPr>
            <a:t>IMT-PAVE</a:t>
          </a:r>
        </a:p>
      </xdr:txBody>
    </xdr:sp>
    <xdr:clientData/>
  </xdr:oneCellAnchor>
  <xdr:oneCellAnchor>
    <xdr:from>
      <xdr:col>3</xdr:col>
      <xdr:colOff>9525</xdr:colOff>
      <xdr:row>0</xdr:row>
      <xdr:rowOff>161925</xdr:rowOff>
    </xdr:from>
    <xdr:ext cx="1487715" cy="468013"/>
    <xdr:sp macro="" textlink="">
      <xdr:nvSpPr>
        <xdr:cNvPr id="3" name="2 CuadroTexto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2295525" y="161925"/>
          <a:ext cx="1487715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es-MX" sz="2400" b="1">
              <a:solidFill>
                <a:schemeClr val="tx2">
                  <a:lumMod val="60000"/>
                  <a:lumOff val="40000"/>
                </a:schemeClr>
              </a:solidFill>
            </a:rPr>
            <a:t>TRÁNSITO</a:t>
          </a:r>
        </a:p>
      </xdr:txBody>
    </xdr:sp>
    <xdr:clientData/>
  </xdr:oneCellAnchor>
  <xdr:twoCellAnchor editAs="oneCell">
    <xdr:from>
      <xdr:col>12</xdr:col>
      <xdr:colOff>9523</xdr:colOff>
      <xdr:row>5</xdr:row>
      <xdr:rowOff>180170</xdr:rowOff>
    </xdr:from>
    <xdr:to>
      <xdr:col>13</xdr:col>
      <xdr:colOff>704850</xdr:colOff>
      <xdr:row>7</xdr:row>
      <xdr:rowOff>108594</xdr:rowOff>
    </xdr:to>
    <xdr:pic>
      <xdr:nvPicPr>
        <xdr:cNvPr id="9" name="8 Imagen" descr="B2.png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 flipH="1">
          <a:off x="9515473" y="1266020"/>
          <a:ext cx="876302" cy="318949"/>
        </a:xfrm>
        <a:prstGeom prst="rect">
          <a:avLst/>
        </a:prstGeom>
      </xdr:spPr>
    </xdr:pic>
    <xdr:clientData/>
  </xdr:twoCellAnchor>
  <xdr:twoCellAnchor editAs="oneCell">
    <xdr:from>
      <xdr:col>12</xdr:col>
      <xdr:colOff>16651</xdr:colOff>
      <xdr:row>8</xdr:row>
      <xdr:rowOff>35700</xdr:rowOff>
    </xdr:from>
    <xdr:to>
      <xdr:col>13</xdr:col>
      <xdr:colOff>742950</xdr:colOff>
      <xdr:row>9</xdr:row>
      <xdr:rowOff>93312</xdr:rowOff>
    </xdr:to>
    <xdr:pic>
      <xdr:nvPicPr>
        <xdr:cNvPr id="10" name="9 Imagen" descr="B3.png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 flipH="1">
          <a:off x="9522601" y="1750200"/>
          <a:ext cx="907274" cy="276687"/>
        </a:xfrm>
        <a:prstGeom prst="rect">
          <a:avLst/>
        </a:prstGeom>
      </xdr:spPr>
    </xdr:pic>
    <xdr:clientData/>
  </xdr:twoCellAnchor>
  <xdr:twoCellAnchor editAs="oneCell">
    <xdr:from>
      <xdr:col>12</xdr:col>
      <xdr:colOff>33301</xdr:colOff>
      <xdr:row>4</xdr:row>
      <xdr:rowOff>90452</xdr:rowOff>
    </xdr:from>
    <xdr:to>
      <xdr:col>13</xdr:col>
      <xdr:colOff>400050</xdr:colOff>
      <xdr:row>5</xdr:row>
      <xdr:rowOff>127672</xdr:rowOff>
    </xdr:to>
    <xdr:pic>
      <xdr:nvPicPr>
        <xdr:cNvPr id="11" name="10 Imagen" descr="vehiculo.png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 flipH="1">
          <a:off x="9539251" y="909602"/>
          <a:ext cx="547724" cy="303920"/>
        </a:xfrm>
        <a:prstGeom prst="rect">
          <a:avLst/>
        </a:prstGeom>
      </xdr:spPr>
    </xdr:pic>
    <xdr:clientData/>
  </xdr:twoCellAnchor>
  <xdr:twoCellAnchor editAs="oneCell">
    <xdr:from>
      <xdr:col>12</xdr:col>
      <xdr:colOff>47626</xdr:colOff>
      <xdr:row>9</xdr:row>
      <xdr:rowOff>230100</xdr:rowOff>
    </xdr:from>
    <xdr:to>
      <xdr:col>13</xdr:col>
      <xdr:colOff>523875</xdr:colOff>
      <xdr:row>11</xdr:row>
      <xdr:rowOff>100002</xdr:rowOff>
    </xdr:to>
    <xdr:pic>
      <xdr:nvPicPr>
        <xdr:cNvPr id="12" name="11 Imagen" descr="c2.png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 flipH="1">
          <a:off x="9553576" y="2163675"/>
          <a:ext cx="657224" cy="336627"/>
        </a:xfrm>
        <a:prstGeom prst="rect">
          <a:avLst/>
        </a:prstGeom>
      </xdr:spPr>
    </xdr:pic>
    <xdr:clientData/>
  </xdr:twoCellAnchor>
  <xdr:twoCellAnchor editAs="oneCell">
    <xdr:from>
      <xdr:col>12</xdr:col>
      <xdr:colOff>45226</xdr:colOff>
      <xdr:row>12</xdr:row>
      <xdr:rowOff>10817</xdr:rowOff>
    </xdr:from>
    <xdr:to>
      <xdr:col>13</xdr:col>
      <xdr:colOff>581025</xdr:colOff>
      <xdr:row>13</xdr:row>
      <xdr:rowOff>102247</xdr:rowOff>
    </xdr:to>
    <xdr:pic>
      <xdr:nvPicPr>
        <xdr:cNvPr id="13" name="12 Imagen" descr="c3.png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 flipH="1">
          <a:off x="9551176" y="2601617"/>
          <a:ext cx="716774" cy="310505"/>
        </a:xfrm>
        <a:prstGeom prst="rect">
          <a:avLst/>
        </a:prstGeom>
      </xdr:spPr>
    </xdr:pic>
    <xdr:clientData/>
  </xdr:twoCellAnchor>
  <xdr:twoCellAnchor editAs="oneCell">
    <xdr:from>
      <xdr:col>12</xdr:col>
      <xdr:colOff>52351</xdr:colOff>
      <xdr:row>13</xdr:row>
      <xdr:rowOff>229911</xdr:rowOff>
    </xdr:from>
    <xdr:to>
      <xdr:col>14</xdr:col>
      <xdr:colOff>352425</xdr:colOff>
      <xdr:row>15</xdr:row>
      <xdr:rowOff>99837</xdr:rowOff>
    </xdr:to>
    <xdr:pic>
      <xdr:nvPicPr>
        <xdr:cNvPr id="14" name="13 Imagen" descr="t3s2.png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 flipH="1">
          <a:off x="9558301" y="3039786"/>
          <a:ext cx="1243049" cy="384276"/>
        </a:xfrm>
        <a:prstGeom prst="rect">
          <a:avLst/>
        </a:prstGeom>
      </xdr:spPr>
    </xdr:pic>
    <xdr:clientData/>
  </xdr:twoCellAnchor>
  <xdr:twoCellAnchor editAs="oneCell">
    <xdr:from>
      <xdr:col>12</xdr:col>
      <xdr:colOff>88050</xdr:colOff>
      <xdr:row>17</xdr:row>
      <xdr:rowOff>189995</xdr:rowOff>
    </xdr:from>
    <xdr:to>
      <xdr:col>15</xdr:col>
      <xdr:colOff>381000</xdr:colOff>
      <xdr:row>19</xdr:row>
      <xdr:rowOff>126013</xdr:rowOff>
    </xdr:to>
    <xdr:pic>
      <xdr:nvPicPr>
        <xdr:cNvPr id="15" name="14 Imagen" descr="t3s2r4.png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 flipH="1">
          <a:off x="9594000" y="3895220"/>
          <a:ext cx="1997925" cy="355118"/>
        </a:xfrm>
        <a:prstGeom prst="rect">
          <a:avLst/>
        </a:prstGeom>
      </xdr:spPr>
    </xdr:pic>
    <xdr:clientData/>
  </xdr:twoCellAnchor>
  <xdr:twoCellAnchor editAs="oneCell">
    <xdr:from>
      <xdr:col>12</xdr:col>
      <xdr:colOff>85650</xdr:colOff>
      <xdr:row>15</xdr:row>
      <xdr:rowOff>162952</xdr:rowOff>
    </xdr:from>
    <xdr:to>
      <xdr:col>14</xdr:col>
      <xdr:colOff>342899</xdr:colOff>
      <xdr:row>17</xdr:row>
      <xdr:rowOff>147646</xdr:rowOff>
    </xdr:to>
    <xdr:pic>
      <xdr:nvPicPr>
        <xdr:cNvPr id="16" name="15 Imagen" descr="t3s3.png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 flipH="1">
          <a:off x="9591600" y="3487177"/>
          <a:ext cx="1200224" cy="36569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733425</xdr:colOff>
          <xdr:row>7</xdr:row>
          <xdr:rowOff>228600</xdr:rowOff>
        </xdr:from>
        <xdr:to>
          <xdr:col>5</xdr:col>
          <xdr:colOff>666750</xdr:colOff>
          <xdr:row>9</xdr:row>
          <xdr:rowOff>19050</xdr:rowOff>
        </xdr:to>
        <xdr:sp macro="" textlink="">
          <xdr:nvSpPr>
            <xdr:cNvPr id="115714" name="FDS1" hidden="1">
              <a:extLst>
                <a:ext uri="{63B3BB69-23CF-44E3-9099-C40C66FF867C}">
                  <a14:compatExt spid="_x0000_s115714"/>
                </a:ext>
                <a:ext uri="{FF2B5EF4-FFF2-40B4-BE49-F238E27FC236}">
                  <a16:creationId xmlns:a16="http://schemas.microsoft.com/office/drawing/2014/main" id="{00000000-0008-0000-0000-000002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733425</xdr:colOff>
          <xdr:row>9</xdr:row>
          <xdr:rowOff>0</xdr:rowOff>
        </xdr:from>
        <xdr:to>
          <xdr:col>5</xdr:col>
          <xdr:colOff>666750</xdr:colOff>
          <xdr:row>9</xdr:row>
          <xdr:rowOff>257175</xdr:rowOff>
        </xdr:to>
        <xdr:sp macro="" textlink="">
          <xdr:nvSpPr>
            <xdr:cNvPr id="115715" name="FDC1" hidden="1">
              <a:extLst>
                <a:ext uri="{63B3BB69-23CF-44E3-9099-C40C66FF867C}">
                  <a14:compatExt spid="_x0000_s115715"/>
                </a:ext>
                <a:ext uri="{FF2B5EF4-FFF2-40B4-BE49-F238E27FC236}">
                  <a16:creationId xmlns:a16="http://schemas.microsoft.com/office/drawing/2014/main" id="{00000000-0008-0000-0000-000003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12</xdr:row>
          <xdr:rowOff>19050</xdr:rowOff>
        </xdr:from>
        <xdr:to>
          <xdr:col>5</xdr:col>
          <xdr:colOff>723900</xdr:colOff>
          <xdr:row>13</xdr:row>
          <xdr:rowOff>38100</xdr:rowOff>
        </xdr:to>
        <xdr:sp macro="" textlink="">
          <xdr:nvSpPr>
            <xdr:cNvPr id="115716" name="años1" hidden="1">
              <a:extLst>
                <a:ext uri="{63B3BB69-23CF-44E3-9099-C40C66FF867C}">
                  <a14:compatExt spid="_x0000_s115716"/>
                </a:ext>
                <a:ext uri="{FF2B5EF4-FFF2-40B4-BE49-F238E27FC236}">
                  <a16:creationId xmlns:a16="http://schemas.microsoft.com/office/drawing/2014/main" id="{00000000-0008-0000-0000-000004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13</xdr:row>
          <xdr:rowOff>38100</xdr:rowOff>
        </xdr:from>
        <xdr:to>
          <xdr:col>5</xdr:col>
          <xdr:colOff>714375</xdr:colOff>
          <xdr:row>13</xdr:row>
          <xdr:rowOff>257175</xdr:rowOff>
        </xdr:to>
        <xdr:sp macro="" textlink="">
          <xdr:nvSpPr>
            <xdr:cNvPr id="115717" name="Tasa1" hidden="1">
              <a:extLst>
                <a:ext uri="{63B3BB69-23CF-44E3-9099-C40C66FF867C}">
                  <a14:compatExt spid="_x0000_s115717"/>
                </a:ext>
                <a:ext uri="{FF2B5EF4-FFF2-40B4-BE49-F238E27FC236}">
                  <a16:creationId xmlns:a16="http://schemas.microsoft.com/office/drawing/2014/main" id="{00000000-0008-0000-0000-000005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4</xdr:row>
          <xdr:rowOff>123825</xdr:rowOff>
        </xdr:from>
        <xdr:to>
          <xdr:col>11</xdr:col>
          <xdr:colOff>600075</xdr:colOff>
          <xdr:row>5</xdr:row>
          <xdr:rowOff>104775</xdr:rowOff>
        </xdr:to>
        <xdr:sp macro="" textlink="">
          <xdr:nvSpPr>
            <xdr:cNvPr id="115718" name="vehiculoA" hidden="1">
              <a:extLst>
                <a:ext uri="{63B3BB69-23CF-44E3-9099-C40C66FF867C}">
                  <a14:compatExt spid="_x0000_s115718"/>
                </a:ext>
                <a:ext uri="{FF2B5EF4-FFF2-40B4-BE49-F238E27FC236}">
                  <a16:creationId xmlns:a16="http://schemas.microsoft.com/office/drawing/2014/main" id="{00000000-0008-0000-0000-000006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6</xdr:row>
          <xdr:rowOff>47625</xdr:rowOff>
        </xdr:from>
        <xdr:to>
          <xdr:col>11</xdr:col>
          <xdr:colOff>600075</xdr:colOff>
          <xdr:row>7</xdr:row>
          <xdr:rowOff>171450</xdr:rowOff>
        </xdr:to>
        <xdr:sp macro="" textlink="">
          <xdr:nvSpPr>
            <xdr:cNvPr id="115719" name="VehiculoB2" hidden="1">
              <a:extLst>
                <a:ext uri="{63B3BB69-23CF-44E3-9099-C40C66FF867C}">
                  <a14:compatExt spid="_x0000_s115719"/>
                </a:ext>
                <a:ext uri="{FF2B5EF4-FFF2-40B4-BE49-F238E27FC236}">
                  <a16:creationId xmlns:a16="http://schemas.microsoft.com/office/drawing/2014/main" id="{00000000-0008-0000-0000-000007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8</xdr:row>
          <xdr:rowOff>38100</xdr:rowOff>
        </xdr:from>
        <xdr:to>
          <xdr:col>11</xdr:col>
          <xdr:colOff>600075</xdr:colOff>
          <xdr:row>9</xdr:row>
          <xdr:rowOff>85725</xdr:rowOff>
        </xdr:to>
        <xdr:sp macro="" textlink="">
          <xdr:nvSpPr>
            <xdr:cNvPr id="115720" name="VehiculoB3" hidden="1">
              <a:extLst>
                <a:ext uri="{63B3BB69-23CF-44E3-9099-C40C66FF867C}">
                  <a14:compatExt spid="_x0000_s115720"/>
                </a:ext>
                <a:ext uri="{FF2B5EF4-FFF2-40B4-BE49-F238E27FC236}">
                  <a16:creationId xmlns:a16="http://schemas.microsoft.com/office/drawing/2014/main" id="{00000000-0008-0000-0000-000008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10</xdr:row>
          <xdr:rowOff>38100</xdr:rowOff>
        </xdr:from>
        <xdr:to>
          <xdr:col>11</xdr:col>
          <xdr:colOff>600075</xdr:colOff>
          <xdr:row>11</xdr:row>
          <xdr:rowOff>104775</xdr:rowOff>
        </xdr:to>
        <xdr:sp macro="" textlink="">
          <xdr:nvSpPr>
            <xdr:cNvPr id="115721" name="VehiculoC2" hidden="1">
              <a:extLst>
                <a:ext uri="{63B3BB69-23CF-44E3-9099-C40C66FF867C}">
                  <a14:compatExt spid="_x0000_s115721"/>
                </a:ext>
                <a:ext uri="{FF2B5EF4-FFF2-40B4-BE49-F238E27FC236}">
                  <a16:creationId xmlns:a16="http://schemas.microsoft.com/office/drawing/2014/main" id="{00000000-0008-0000-0000-000009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12</xdr:row>
          <xdr:rowOff>66675</xdr:rowOff>
        </xdr:from>
        <xdr:to>
          <xdr:col>11</xdr:col>
          <xdr:colOff>590550</xdr:colOff>
          <xdr:row>13</xdr:row>
          <xdr:rowOff>95250</xdr:rowOff>
        </xdr:to>
        <xdr:sp macro="" textlink="">
          <xdr:nvSpPr>
            <xdr:cNvPr id="115722" name="vehiculoC3" hidden="1">
              <a:extLst>
                <a:ext uri="{63B3BB69-23CF-44E3-9099-C40C66FF867C}">
                  <a14:compatExt spid="_x0000_s115722"/>
                </a:ext>
                <a:ext uri="{FF2B5EF4-FFF2-40B4-BE49-F238E27FC236}">
                  <a16:creationId xmlns:a16="http://schemas.microsoft.com/office/drawing/2014/main" id="{00000000-0008-0000-0000-00000A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14</xdr:row>
          <xdr:rowOff>38100</xdr:rowOff>
        </xdr:from>
        <xdr:to>
          <xdr:col>11</xdr:col>
          <xdr:colOff>581025</xdr:colOff>
          <xdr:row>15</xdr:row>
          <xdr:rowOff>47625</xdr:rowOff>
        </xdr:to>
        <xdr:sp macro="" textlink="">
          <xdr:nvSpPr>
            <xdr:cNvPr id="115723" name="VehiculoT3S2" hidden="1">
              <a:extLst>
                <a:ext uri="{63B3BB69-23CF-44E3-9099-C40C66FF867C}">
                  <a14:compatExt spid="_x0000_s115723"/>
                </a:ext>
                <a:ext uri="{FF2B5EF4-FFF2-40B4-BE49-F238E27FC236}">
                  <a16:creationId xmlns:a16="http://schemas.microsoft.com/office/drawing/2014/main" id="{00000000-0008-0000-0000-00000B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16</xdr:row>
          <xdr:rowOff>28575</xdr:rowOff>
        </xdr:from>
        <xdr:to>
          <xdr:col>11</xdr:col>
          <xdr:colOff>571500</xdr:colOff>
          <xdr:row>17</xdr:row>
          <xdr:rowOff>76200</xdr:rowOff>
        </xdr:to>
        <xdr:sp macro="" textlink="">
          <xdr:nvSpPr>
            <xdr:cNvPr id="115724" name="VehiculoT3S3" hidden="1">
              <a:extLst>
                <a:ext uri="{63B3BB69-23CF-44E3-9099-C40C66FF867C}">
                  <a14:compatExt spid="_x0000_s115724"/>
                </a:ext>
                <a:ext uri="{FF2B5EF4-FFF2-40B4-BE49-F238E27FC236}">
                  <a16:creationId xmlns:a16="http://schemas.microsoft.com/office/drawing/2014/main" id="{00000000-0008-0000-0000-00000C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18</xdr:row>
          <xdr:rowOff>47625</xdr:rowOff>
        </xdr:from>
        <xdr:to>
          <xdr:col>11</xdr:col>
          <xdr:colOff>561975</xdr:colOff>
          <xdr:row>19</xdr:row>
          <xdr:rowOff>85725</xdr:rowOff>
        </xdr:to>
        <xdr:sp macro="" textlink="">
          <xdr:nvSpPr>
            <xdr:cNvPr id="115725" name="VehiculoT3S2R4" hidden="1">
              <a:extLst>
                <a:ext uri="{63B3BB69-23CF-44E3-9099-C40C66FF867C}">
                  <a14:compatExt spid="_x0000_s115725"/>
                </a:ext>
                <a:ext uri="{FF2B5EF4-FFF2-40B4-BE49-F238E27FC236}">
                  <a16:creationId xmlns:a16="http://schemas.microsoft.com/office/drawing/2014/main" id="{00000000-0008-0000-0000-00000D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123825</xdr:colOff>
          <xdr:row>4</xdr:row>
          <xdr:rowOff>85725</xdr:rowOff>
        </xdr:from>
        <xdr:to>
          <xdr:col>5</xdr:col>
          <xdr:colOff>962025</xdr:colOff>
          <xdr:row>5</xdr:row>
          <xdr:rowOff>66675</xdr:rowOff>
        </xdr:to>
        <xdr:sp macro="" textlink="">
          <xdr:nvSpPr>
            <xdr:cNvPr id="115726" name="TDPA1" hidden="1">
              <a:extLst>
                <a:ext uri="{63B3BB69-23CF-44E3-9099-C40C66FF867C}">
                  <a14:compatExt spid="_x0000_s115726"/>
                </a:ext>
                <a:ext uri="{FF2B5EF4-FFF2-40B4-BE49-F238E27FC236}">
                  <a16:creationId xmlns:a16="http://schemas.microsoft.com/office/drawing/2014/main" id="{00000000-0008-0000-0000-00000E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20</xdr:row>
          <xdr:rowOff>28575</xdr:rowOff>
        </xdr:from>
        <xdr:to>
          <xdr:col>11</xdr:col>
          <xdr:colOff>581025</xdr:colOff>
          <xdr:row>21</xdr:row>
          <xdr:rowOff>95250</xdr:rowOff>
        </xdr:to>
        <xdr:sp macro="" textlink="">
          <xdr:nvSpPr>
            <xdr:cNvPr id="115727" name="otros" hidden="1">
              <a:extLst>
                <a:ext uri="{63B3BB69-23CF-44E3-9099-C40C66FF867C}">
                  <a14:compatExt spid="_x0000_s115727"/>
                </a:ext>
                <a:ext uri="{FF2B5EF4-FFF2-40B4-BE49-F238E27FC236}">
                  <a16:creationId xmlns:a16="http://schemas.microsoft.com/office/drawing/2014/main" id="{00000000-0008-0000-0000-00000F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361950</xdr:colOff>
      <xdr:row>3</xdr:row>
      <xdr:rowOff>2</xdr:rowOff>
    </xdr:from>
    <xdr:ext cx="843757" cy="3409950"/>
    <xdr:sp macro="" textlink="">
      <xdr:nvSpPr>
        <xdr:cNvPr id="2" name="1 CuadroTexto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 rot="16200000">
          <a:off x="-921146" y="1854598"/>
          <a:ext cx="3409950" cy="8437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r>
            <a:rPr lang="es-MX" sz="4800">
              <a:solidFill>
                <a:schemeClr val="tx2">
                  <a:lumMod val="60000"/>
                  <a:lumOff val="40000"/>
                </a:schemeClr>
              </a:solidFill>
            </a:rPr>
            <a:t>IMT-PAVE</a:t>
          </a:r>
        </a:p>
      </xdr:txBody>
    </xdr:sp>
    <xdr:clientData/>
  </xdr:oneCellAnchor>
  <xdr:oneCellAnchor>
    <xdr:from>
      <xdr:col>2</xdr:col>
      <xdr:colOff>247650</xdr:colOff>
      <xdr:row>0</xdr:row>
      <xdr:rowOff>47625</xdr:rowOff>
    </xdr:from>
    <xdr:ext cx="3129446" cy="655885"/>
    <xdr:sp macro="" textlink="">
      <xdr:nvSpPr>
        <xdr:cNvPr id="3" name="2 CuadroTexto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1609725" y="47625"/>
          <a:ext cx="3129446" cy="65588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es-MX" sz="2400" b="1">
              <a:solidFill>
                <a:schemeClr val="tx2">
                  <a:lumMod val="60000"/>
                  <a:lumOff val="40000"/>
                </a:schemeClr>
              </a:solidFill>
            </a:rPr>
            <a:t>ESPECTROS</a:t>
          </a:r>
          <a:r>
            <a:rPr lang="es-MX" sz="2400" b="1" baseline="0">
              <a:solidFill>
                <a:schemeClr val="tx2">
                  <a:lumMod val="60000"/>
                  <a:lumOff val="40000"/>
                </a:schemeClr>
              </a:solidFill>
            </a:rPr>
            <a:t> DE CARGA</a:t>
          </a:r>
          <a:r>
            <a:rPr lang="es-MX" sz="3600" b="1" baseline="0">
              <a:solidFill>
                <a:schemeClr val="tx2">
                  <a:lumMod val="60000"/>
                  <a:lumOff val="40000"/>
                </a:schemeClr>
              </a:solidFill>
            </a:rPr>
            <a:t> </a:t>
          </a:r>
          <a:endParaRPr lang="es-MX" sz="3600" b="1">
            <a:solidFill>
              <a:schemeClr val="tx2">
                <a:lumMod val="60000"/>
                <a:lumOff val="40000"/>
              </a:schemeClr>
            </a:solidFill>
          </a:endParaRPr>
        </a:p>
      </xdr:txBody>
    </xdr:sp>
    <xdr:clientData/>
  </xdr:oneCellAnchor>
  <xdr:absoluteAnchor>
    <xdr:pos x="1381126" y="771525"/>
    <xdr:ext cx="7595151" cy="4305299"/>
    <xdr:graphicFrame macro="">
      <xdr:nvGraphicFramePr>
        <xdr:cNvPr id="5" name="4 Gráfico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104775</xdr:colOff>
          <xdr:row>12</xdr:row>
          <xdr:rowOff>219075</xdr:rowOff>
        </xdr:from>
        <xdr:to>
          <xdr:col>12</xdr:col>
          <xdr:colOff>133350</xdr:colOff>
          <xdr:row>14</xdr:row>
          <xdr:rowOff>28575</xdr:rowOff>
        </xdr:to>
        <xdr:sp macro="" textlink="">
          <xdr:nvSpPr>
            <xdr:cNvPr id="91144" name="Sencillo" hidden="1">
              <a:extLst>
                <a:ext uri="{63B3BB69-23CF-44E3-9099-C40C66FF867C}">
                  <a14:compatExt spid="_x0000_s91144"/>
                </a:ext>
                <a:ext uri="{FF2B5EF4-FFF2-40B4-BE49-F238E27FC236}">
                  <a16:creationId xmlns:a16="http://schemas.microsoft.com/office/drawing/2014/main" id="{00000000-0008-0000-0100-000008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95250</xdr:colOff>
          <xdr:row>14</xdr:row>
          <xdr:rowOff>19050</xdr:rowOff>
        </xdr:from>
        <xdr:to>
          <xdr:col>12</xdr:col>
          <xdr:colOff>190500</xdr:colOff>
          <xdr:row>15</xdr:row>
          <xdr:rowOff>66675</xdr:rowOff>
        </xdr:to>
        <xdr:sp macro="" textlink="">
          <xdr:nvSpPr>
            <xdr:cNvPr id="91145" name="Sencillodual" hidden="1">
              <a:extLst>
                <a:ext uri="{63B3BB69-23CF-44E3-9099-C40C66FF867C}">
                  <a14:compatExt spid="_x0000_s91145"/>
                </a:ext>
                <a:ext uri="{FF2B5EF4-FFF2-40B4-BE49-F238E27FC236}">
                  <a16:creationId xmlns:a16="http://schemas.microsoft.com/office/drawing/2014/main" id="{00000000-0008-0000-0100-000009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123825</xdr:colOff>
          <xdr:row>15</xdr:row>
          <xdr:rowOff>66675</xdr:rowOff>
        </xdr:from>
        <xdr:to>
          <xdr:col>12</xdr:col>
          <xdr:colOff>523875</xdr:colOff>
          <xdr:row>16</xdr:row>
          <xdr:rowOff>104775</xdr:rowOff>
        </xdr:to>
        <xdr:sp macro="" textlink="">
          <xdr:nvSpPr>
            <xdr:cNvPr id="91146" name="Tandem" hidden="1">
              <a:extLst>
                <a:ext uri="{63B3BB69-23CF-44E3-9099-C40C66FF867C}">
                  <a14:compatExt spid="_x0000_s91146"/>
                </a:ext>
                <a:ext uri="{FF2B5EF4-FFF2-40B4-BE49-F238E27FC236}">
                  <a16:creationId xmlns:a16="http://schemas.microsoft.com/office/drawing/2014/main" id="{00000000-0008-0000-0100-00000A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123825</xdr:colOff>
          <xdr:row>16</xdr:row>
          <xdr:rowOff>114300</xdr:rowOff>
        </xdr:from>
        <xdr:to>
          <xdr:col>12</xdr:col>
          <xdr:colOff>219075</xdr:colOff>
          <xdr:row>17</xdr:row>
          <xdr:rowOff>171450</xdr:rowOff>
        </xdr:to>
        <xdr:sp macro="" textlink="">
          <xdr:nvSpPr>
            <xdr:cNvPr id="91147" name="Tridem" hidden="1">
              <a:extLst>
                <a:ext uri="{63B3BB69-23CF-44E3-9099-C40C66FF867C}">
                  <a14:compatExt spid="_x0000_s91147"/>
                </a:ext>
                <a:ext uri="{FF2B5EF4-FFF2-40B4-BE49-F238E27FC236}">
                  <a16:creationId xmlns:a16="http://schemas.microsoft.com/office/drawing/2014/main" id="{00000000-0008-0000-0100-00000B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142875</xdr:colOff>
          <xdr:row>20</xdr:row>
          <xdr:rowOff>0</xdr:rowOff>
        </xdr:from>
        <xdr:to>
          <xdr:col>12</xdr:col>
          <xdr:colOff>114300</xdr:colOff>
          <xdr:row>21</xdr:row>
          <xdr:rowOff>95250</xdr:rowOff>
        </xdr:to>
        <xdr:sp macro="" textlink="">
          <xdr:nvSpPr>
            <xdr:cNvPr id="91151" name="Legal" hidden="1">
              <a:extLst>
                <a:ext uri="{63B3BB69-23CF-44E3-9099-C40C66FF867C}">
                  <a14:compatExt spid="_x0000_s91151"/>
                </a:ext>
                <a:ext uri="{FF2B5EF4-FFF2-40B4-BE49-F238E27FC236}">
                  <a16:creationId xmlns:a16="http://schemas.microsoft.com/office/drawing/2014/main" id="{00000000-0008-0000-0100-00000F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10</xdr:row>
          <xdr:rowOff>9525</xdr:rowOff>
        </xdr:from>
        <xdr:to>
          <xdr:col>12</xdr:col>
          <xdr:colOff>381000</xdr:colOff>
          <xdr:row>11</xdr:row>
          <xdr:rowOff>47625</xdr:rowOff>
        </xdr:to>
        <xdr:sp macro="" textlink="">
          <xdr:nvSpPr>
            <xdr:cNvPr id="91154" name="ComboBox2" hidden="1">
              <a:extLst>
                <a:ext uri="{63B3BB69-23CF-44E3-9099-C40C66FF867C}">
                  <a14:compatExt spid="_x0000_s91154"/>
                </a:ext>
                <a:ext uri="{FF2B5EF4-FFF2-40B4-BE49-F238E27FC236}">
                  <a16:creationId xmlns:a16="http://schemas.microsoft.com/office/drawing/2014/main" id="{00000000-0008-0000-0100-000012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5</xdr:row>
      <xdr:rowOff>4512</xdr:rowOff>
    </xdr:from>
    <xdr:to>
      <xdr:col>23</xdr:col>
      <xdr:colOff>209049</xdr:colOff>
      <xdr:row>12</xdr:row>
      <xdr:rowOff>181977</xdr:rowOff>
    </xdr:to>
    <xdr:graphicFrame macro="">
      <xdr:nvGraphicFramePr>
        <xdr:cNvPr id="16" name="15 Gráfico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7</xdr:row>
          <xdr:rowOff>0</xdr:rowOff>
        </xdr:from>
        <xdr:to>
          <xdr:col>6</xdr:col>
          <xdr:colOff>19050</xdr:colOff>
          <xdr:row>8</xdr:row>
          <xdr:rowOff>19050</xdr:rowOff>
        </xdr:to>
        <xdr:sp macro="" textlink="">
          <xdr:nvSpPr>
            <xdr:cNvPr id="106506" name="ComboBox1" hidden="1">
              <a:extLst>
                <a:ext uri="{63B3BB69-23CF-44E3-9099-C40C66FF867C}">
                  <a14:compatExt spid="_x0000_s106506"/>
                </a:ext>
                <a:ext uri="{FF2B5EF4-FFF2-40B4-BE49-F238E27FC236}">
                  <a16:creationId xmlns:a16="http://schemas.microsoft.com/office/drawing/2014/main" id="{00000000-0008-0000-0200-00000A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12</xdr:col>
      <xdr:colOff>274570</xdr:colOff>
      <xdr:row>4</xdr:row>
      <xdr:rowOff>190172</xdr:rowOff>
    </xdr:from>
    <xdr:to>
      <xdr:col>23</xdr:col>
      <xdr:colOff>205539</xdr:colOff>
      <xdr:row>12</xdr:row>
      <xdr:rowOff>185486</xdr:rowOff>
    </xdr:to>
    <xdr:graphicFrame macro="">
      <xdr:nvGraphicFramePr>
        <xdr:cNvPr id="14" name="13 Gráfico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5</xdr:row>
      <xdr:rowOff>19050</xdr:rowOff>
    </xdr:from>
    <xdr:to>
      <xdr:col>23</xdr:col>
      <xdr:colOff>212724</xdr:colOff>
      <xdr:row>12</xdr:row>
      <xdr:rowOff>198794</xdr:rowOff>
    </xdr:to>
    <xdr:graphicFrame macro="">
      <xdr:nvGraphicFramePr>
        <xdr:cNvPr id="8" name="7 Gráfico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271211</xdr:colOff>
      <xdr:row>5</xdr:row>
      <xdr:rowOff>2006</xdr:rowOff>
    </xdr:from>
    <xdr:to>
      <xdr:col>23</xdr:col>
      <xdr:colOff>210552</xdr:colOff>
      <xdr:row>12</xdr:row>
      <xdr:rowOff>175460</xdr:rowOff>
    </xdr:to>
    <xdr:graphicFrame macro="">
      <xdr:nvGraphicFramePr>
        <xdr:cNvPr id="15" name="14 Gráfico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5014</xdr:colOff>
      <xdr:row>5</xdr:row>
      <xdr:rowOff>4845</xdr:rowOff>
    </xdr:from>
    <xdr:to>
      <xdr:col>23</xdr:col>
      <xdr:colOff>217738</xdr:colOff>
      <xdr:row>12</xdr:row>
      <xdr:rowOff>184589</xdr:rowOff>
    </xdr:to>
    <xdr:graphicFrame macro="">
      <xdr:nvGraphicFramePr>
        <xdr:cNvPr id="17" name="16 Gráfico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8213</xdr:colOff>
      <xdr:row>13</xdr:row>
      <xdr:rowOff>19050</xdr:rowOff>
    </xdr:from>
    <xdr:ext cx="534712" cy="2162175"/>
    <xdr:sp macro="" textlink="">
      <xdr:nvSpPr>
        <xdr:cNvPr id="2" name="1 CuadroTexto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 rot="16200000">
          <a:off x="-805519" y="3795057"/>
          <a:ext cx="2162175" cy="53471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/>
        <a:p>
          <a:r>
            <a:rPr lang="es-MX" sz="3600">
              <a:solidFill>
                <a:schemeClr val="tx2">
                  <a:lumMod val="60000"/>
                  <a:lumOff val="40000"/>
                </a:schemeClr>
              </a:solidFill>
            </a:rPr>
            <a:t>IMT-PAVE</a:t>
          </a:r>
        </a:p>
      </xdr:txBody>
    </xdr:sp>
    <xdr:clientData/>
  </xdr:oneCellAnchor>
  <xdr:oneCellAnchor>
    <xdr:from>
      <xdr:col>2</xdr:col>
      <xdr:colOff>190500</xdr:colOff>
      <xdr:row>1</xdr:row>
      <xdr:rowOff>38100</xdr:rowOff>
    </xdr:from>
    <xdr:ext cx="2830134" cy="468013"/>
    <xdr:sp macro="" textlink="">
      <xdr:nvSpPr>
        <xdr:cNvPr id="3" name="2 CuadroTexto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981075" y="228600"/>
          <a:ext cx="2830134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es-MX" sz="2400" b="1">
              <a:solidFill>
                <a:schemeClr val="tx2">
                  <a:lumMod val="60000"/>
                  <a:lumOff val="40000"/>
                </a:schemeClr>
              </a:solidFill>
            </a:rPr>
            <a:t>ANÁLISIS</a:t>
          </a:r>
          <a:r>
            <a:rPr lang="es-MX" sz="2400" b="1" baseline="0">
              <a:solidFill>
                <a:schemeClr val="tx2">
                  <a:lumMod val="60000"/>
                  <a:lumOff val="40000"/>
                </a:schemeClr>
              </a:solidFill>
            </a:rPr>
            <a:t> ESPECTRAL</a:t>
          </a:r>
          <a:endParaRPr lang="es-MX" sz="2400" b="1">
            <a:solidFill>
              <a:schemeClr val="tx2">
                <a:lumMod val="60000"/>
                <a:lumOff val="40000"/>
              </a:schemeClr>
            </a:solidFill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685800</xdr:colOff>
          <xdr:row>10</xdr:row>
          <xdr:rowOff>142875</xdr:rowOff>
        </xdr:from>
        <xdr:to>
          <xdr:col>11</xdr:col>
          <xdr:colOff>276225</xdr:colOff>
          <xdr:row>12</xdr:row>
          <xdr:rowOff>85725</xdr:rowOff>
        </xdr:to>
        <xdr:sp macro="" textlink="">
          <xdr:nvSpPr>
            <xdr:cNvPr id="108546" name="Button 2" hidden="1">
              <a:extLst>
                <a:ext uri="{63B3BB69-23CF-44E3-9099-C40C66FF867C}">
                  <a14:compatExt spid="_x0000_s108546"/>
                </a:ext>
                <a:ext uri="{FF2B5EF4-FFF2-40B4-BE49-F238E27FC236}">
                  <a16:creationId xmlns:a16="http://schemas.microsoft.com/office/drawing/2014/main" id="{00000000-0008-0000-0300-000002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Análisis Espectral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5</xdr:row>
          <xdr:rowOff>190500</xdr:rowOff>
        </xdr:from>
        <xdr:to>
          <xdr:col>12</xdr:col>
          <xdr:colOff>28575</xdr:colOff>
          <xdr:row>7</xdr:row>
          <xdr:rowOff>9525</xdr:rowOff>
        </xdr:to>
        <xdr:sp macro="" textlink="">
          <xdr:nvSpPr>
            <xdr:cNvPr id="108556" name="ComboBoxFatiga" hidden="1">
              <a:extLst>
                <a:ext uri="{63B3BB69-23CF-44E3-9099-C40C66FF867C}">
                  <a14:compatExt spid="_x0000_s108556"/>
                </a:ext>
                <a:ext uri="{FF2B5EF4-FFF2-40B4-BE49-F238E27FC236}">
                  <a16:creationId xmlns:a16="http://schemas.microsoft.com/office/drawing/2014/main" id="{00000000-0008-0000-0300-00000C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7</xdr:row>
          <xdr:rowOff>0</xdr:rowOff>
        </xdr:from>
        <xdr:to>
          <xdr:col>12</xdr:col>
          <xdr:colOff>28575</xdr:colOff>
          <xdr:row>8</xdr:row>
          <xdr:rowOff>19050</xdr:rowOff>
        </xdr:to>
        <xdr:sp macro="" textlink="">
          <xdr:nvSpPr>
            <xdr:cNvPr id="108558" name="ComboBoxDeformacion" hidden="1">
              <a:extLst>
                <a:ext uri="{63B3BB69-23CF-44E3-9099-C40C66FF867C}">
                  <a14:compatExt spid="_x0000_s108558"/>
                </a:ext>
                <a:ext uri="{FF2B5EF4-FFF2-40B4-BE49-F238E27FC236}">
                  <a16:creationId xmlns:a16="http://schemas.microsoft.com/office/drawing/2014/main" id="{00000000-0008-0000-0300-00000E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8213</xdr:colOff>
      <xdr:row>13</xdr:row>
      <xdr:rowOff>19050</xdr:rowOff>
    </xdr:from>
    <xdr:ext cx="534712" cy="2162175"/>
    <xdr:sp macro="" textlink="">
      <xdr:nvSpPr>
        <xdr:cNvPr id="4" name="3 CuadroTexto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 txBox="1"/>
      </xdr:nvSpPr>
      <xdr:spPr>
        <a:xfrm rot="16200000">
          <a:off x="-805519" y="3795057"/>
          <a:ext cx="2162175" cy="53471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/>
        <a:p>
          <a:r>
            <a:rPr lang="es-MX" sz="3600">
              <a:solidFill>
                <a:srgbClr val="00CC00"/>
              </a:solidFill>
            </a:rPr>
            <a:t>IMT-PAVE</a:t>
          </a:r>
        </a:p>
      </xdr:txBody>
    </xdr:sp>
    <xdr:clientData/>
  </xdr:oneCellAnchor>
  <xdr:oneCellAnchor>
    <xdr:from>
      <xdr:col>2</xdr:col>
      <xdr:colOff>247650</xdr:colOff>
      <xdr:row>0</xdr:row>
      <xdr:rowOff>104775</xdr:rowOff>
    </xdr:from>
    <xdr:ext cx="1450141" cy="655885"/>
    <xdr:sp macro="" textlink="">
      <xdr:nvSpPr>
        <xdr:cNvPr id="5" name="4 CuadroTexto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 txBox="1"/>
      </xdr:nvSpPr>
      <xdr:spPr>
        <a:xfrm>
          <a:off x="1038225" y="104775"/>
          <a:ext cx="1450141" cy="65588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es-MX" sz="2400" b="1">
              <a:solidFill>
                <a:srgbClr val="00CC00"/>
              </a:solidFill>
            </a:rPr>
            <a:t>ANÁLISIS</a:t>
          </a:r>
          <a:r>
            <a:rPr lang="es-MX" sz="3600" b="1" baseline="0">
              <a:solidFill>
                <a:srgbClr val="00CC00"/>
              </a:solidFill>
            </a:rPr>
            <a:t> </a:t>
          </a:r>
          <a:endParaRPr lang="es-MX" sz="3600" b="1">
            <a:solidFill>
              <a:srgbClr val="00CC00"/>
            </a:solidFill>
          </a:endParaRPr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190500</xdr:colOff>
      <xdr:row>1</xdr:row>
      <xdr:rowOff>38100</xdr:rowOff>
    </xdr:from>
    <xdr:ext cx="3270895" cy="468013"/>
    <xdr:sp macro="" textlink="">
      <xdr:nvSpPr>
        <xdr:cNvPr id="3" name="2 CuadroTexto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 txBox="1"/>
      </xdr:nvSpPr>
      <xdr:spPr>
        <a:xfrm>
          <a:off x="1695450" y="228600"/>
          <a:ext cx="3270895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es-MX" sz="2400" b="1">
              <a:solidFill>
                <a:schemeClr val="tx2">
                  <a:lumMod val="60000"/>
                  <a:lumOff val="40000"/>
                </a:schemeClr>
              </a:solidFill>
            </a:rPr>
            <a:t>ANÁLISIS</a:t>
          </a:r>
          <a:r>
            <a:rPr lang="es-MX" sz="2400" b="1" baseline="0">
              <a:solidFill>
                <a:schemeClr val="tx2">
                  <a:lumMod val="60000"/>
                  <a:lumOff val="40000"/>
                </a:schemeClr>
              </a:solidFill>
            </a:rPr>
            <a:t> PROBABILISTA</a:t>
          </a:r>
          <a:endParaRPr lang="es-MX" sz="2400" b="1">
            <a:solidFill>
              <a:schemeClr val="tx2">
                <a:lumMod val="60000"/>
                <a:lumOff val="40000"/>
              </a:schemeClr>
            </a:solidFill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6</xdr:row>
          <xdr:rowOff>0</xdr:rowOff>
        </xdr:from>
        <xdr:to>
          <xdr:col>12</xdr:col>
          <xdr:colOff>0</xdr:colOff>
          <xdr:row>7</xdr:row>
          <xdr:rowOff>0</xdr:rowOff>
        </xdr:to>
        <xdr:sp macro="" textlink="">
          <xdr:nvSpPr>
            <xdr:cNvPr id="128003" name="ComboBoxConfiabilidad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06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428625</xdr:colOff>
          <xdr:row>8</xdr:row>
          <xdr:rowOff>152400</xdr:rowOff>
        </xdr:from>
        <xdr:to>
          <xdr:col>11</xdr:col>
          <xdr:colOff>352425</xdr:colOff>
          <xdr:row>11</xdr:row>
          <xdr:rowOff>152400</xdr:rowOff>
        </xdr:to>
        <xdr:sp macro="" textlink="">
          <xdr:nvSpPr>
            <xdr:cNvPr id="128004" name="Button 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06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Análisis Probabilista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9526</xdr:colOff>
      <xdr:row>5</xdr:row>
      <xdr:rowOff>190499</xdr:rowOff>
    </xdr:from>
    <xdr:to>
      <xdr:col>6</xdr:col>
      <xdr:colOff>9525</xdr:colOff>
      <xdr:row>7</xdr:row>
      <xdr:rowOff>9525</xdr:rowOff>
    </xdr:to>
    <xdr:sp macro="" textlink="">
      <xdr:nvSpPr>
        <xdr:cNvPr id="6" name="5 Rectángulo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/>
      </xdr:nvSpPr>
      <xdr:spPr>
        <a:xfrm>
          <a:off x="3267076" y="1152524"/>
          <a:ext cx="742949" cy="257176"/>
        </a:xfrm>
        <a:prstGeom prst="rect">
          <a:avLst/>
        </a:prstGeom>
        <a:solidFill>
          <a:schemeClr val="bg2">
            <a:alpha val="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209550</xdr:colOff>
          <xdr:row>8</xdr:row>
          <xdr:rowOff>171450</xdr:rowOff>
        </xdr:from>
        <xdr:to>
          <xdr:col>9</xdr:col>
          <xdr:colOff>514350</xdr:colOff>
          <xdr:row>16</xdr:row>
          <xdr:rowOff>19050</xdr:rowOff>
        </xdr:to>
        <xdr:sp macro="" textlink="">
          <xdr:nvSpPr>
            <xdr:cNvPr id="139265" name="Button 1" hidden="1">
              <a:extLst>
                <a:ext uri="{63B3BB69-23CF-44E3-9099-C40C66FF867C}">
                  <a14:compatExt spid="_x0000_s139265"/>
                </a:ext>
                <a:ext uri="{FF2B5EF4-FFF2-40B4-BE49-F238E27FC236}">
                  <a16:creationId xmlns:a16="http://schemas.microsoft.com/office/drawing/2014/main" id="{00000000-0008-0000-0700-000001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Botón 1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8406"/>
    <xdr:graphicFrame macro="">
      <xdr:nvGraphicFramePr>
        <xdr:cNvPr id="2" name="1 Gráfico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9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8406"/>
    <xdr:graphicFrame macro="">
      <xdr:nvGraphicFramePr>
        <xdr:cNvPr id="2" name="1 Gráfico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0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8406"/>
    <xdr:graphicFrame macro="">
      <xdr:nvGraphicFramePr>
        <xdr:cNvPr id="2" name="1 Gráfico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0.15784</cdr:x>
      <cdr:y>0.07376</cdr:y>
    </cdr:from>
    <cdr:to>
      <cdr:x>0.37184</cdr:x>
      <cdr:y>0.47801</cdr:y>
    </cdr:to>
    <cdr:sp macro="" textlink="">
      <cdr:nvSpPr>
        <cdr:cNvPr id="10" name="7 CuadroTexto"/>
        <cdr:cNvSpPr txBox="1"/>
      </cdr:nvSpPr>
      <cdr:spPr>
        <a:xfrm xmlns:a="http://schemas.openxmlformats.org/drawingml/2006/main">
          <a:off x="1368134" y="464593"/>
          <a:ext cx="1854899" cy="2546130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chemeClr val="tx1">
              <a:lumMod val="50000"/>
              <a:lumOff val="50000"/>
            </a:scheme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pPr algn="ctr"/>
          <a:r>
            <a:rPr lang="es-MX" sz="1400" b="1"/>
            <a:t>Vida</a:t>
          </a:r>
          <a:r>
            <a:rPr lang="es-MX" sz="1400" b="1" baseline="0"/>
            <a:t> remanente</a:t>
          </a:r>
        </a:p>
        <a:p xmlns:a="http://schemas.openxmlformats.org/drawingml/2006/main">
          <a:pPr algn="ctr"/>
          <a:r>
            <a:rPr lang="es-MX" sz="1400" b="1" baseline="0"/>
            <a:t>(años)</a:t>
          </a:r>
          <a:endParaRPr lang="es-MX" sz="1400" b="1"/>
        </a:p>
      </cdr:txBody>
    </cdr:sp>
  </cdr:relSizeAnchor>
  <cdr:relSizeAnchor xmlns:cdr="http://schemas.openxmlformats.org/drawingml/2006/chartDrawing">
    <cdr:from>
      <cdr:x>0.1252</cdr:x>
      <cdr:y>0.19585</cdr:y>
    </cdr:from>
    <cdr:to>
      <cdr:x>0.39757</cdr:x>
      <cdr:y>0.28477</cdr:y>
    </cdr:to>
    <cdr:graphicFrame macro="">
      <cdr:nvGraphicFramePr>
        <cdr:cNvPr id="8" name="7 Gráfico">
          <a:extLst xmlns:a="http://schemas.openxmlformats.org/drawingml/2006/main">
            <a:ext uri="{FF2B5EF4-FFF2-40B4-BE49-F238E27FC236}">
              <a16:creationId xmlns:a16="http://schemas.microsoft.com/office/drawing/2014/main" id="{C6D4AACA-6AF4-0FC5-47B6-ECBA54534614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cdr:graphicFrame>
  </cdr:relSizeAnchor>
  <cdr:relSizeAnchor xmlns:cdr="http://schemas.openxmlformats.org/drawingml/2006/chartDrawing">
    <cdr:from>
      <cdr:x>0.12083</cdr:x>
      <cdr:y>0.14092</cdr:y>
    </cdr:from>
    <cdr:to>
      <cdr:x>0.41644</cdr:x>
      <cdr:y>0.22983</cdr:y>
    </cdr:to>
    <cdr:graphicFrame macro="">
      <cdr:nvGraphicFramePr>
        <cdr:cNvPr id="5" name="4 Gráfico">
          <a:extLst xmlns:a="http://schemas.openxmlformats.org/drawingml/2006/main">
            <a:ext uri="{FF2B5EF4-FFF2-40B4-BE49-F238E27FC236}">
              <a16:creationId xmlns:a16="http://schemas.microsoft.com/office/drawing/2014/main" id="{99A52037-2D32-B96D-020B-3BA76E3506ED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cdr:graphicFrame>
  </cdr:relSizeAnchor>
  <cdr:relSizeAnchor xmlns:cdr="http://schemas.openxmlformats.org/drawingml/2006/chartDrawing">
    <cdr:from>
      <cdr:x>0.08447</cdr:x>
      <cdr:y>0.26206</cdr:y>
    </cdr:from>
    <cdr:to>
      <cdr:x>0.47434</cdr:x>
      <cdr:y>0.35098</cdr:y>
    </cdr:to>
    <cdr:graphicFrame macro="">
      <cdr:nvGraphicFramePr>
        <cdr:cNvPr id="7" name="6 Gráfico">
          <a:extLst xmlns:a="http://schemas.openxmlformats.org/drawingml/2006/main">
            <a:ext uri="{FF2B5EF4-FFF2-40B4-BE49-F238E27FC236}">
              <a16:creationId xmlns:a16="http://schemas.microsoft.com/office/drawing/2014/main" id="{68F98D38-2E7E-675A-9AD1-21297C06386D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cdr:graphicFrame>
  </cdr:relSizeAnchor>
  <cdr:relSizeAnchor xmlns:cdr="http://schemas.openxmlformats.org/drawingml/2006/chartDrawing">
    <cdr:from>
      <cdr:x>0.13332</cdr:x>
      <cdr:y>0.11531</cdr:y>
    </cdr:from>
    <cdr:to>
      <cdr:x>0.39286</cdr:x>
      <cdr:y>0.1808</cdr:y>
    </cdr:to>
    <cdr:graphicFrame macro="">
      <cdr:nvGraphicFramePr>
        <cdr:cNvPr id="6" name="5 Gráfico">
          <a:extLst xmlns:a="http://schemas.openxmlformats.org/drawingml/2006/main">
            <a:ext uri="{FF2B5EF4-FFF2-40B4-BE49-F238E27FC236}">
              <a16:creationId xmlns:a16="http://schemas.microsoft.com/office/drawing/2014/main" id="{3B81630B-803D-9C6C-5DAF-826B89AA85B0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cdr:graphicFrame>
  </cdr:relSizeAnchor>
  <cdr:relSizeAnchor xmlns:cdr="http://schemas.openxmlformats.org/drawingml/2006/chartDrawing">
    <cdr:from>
      <cdr:x>0.117</cdr:x>
      <cdr:y>0.32836</cdr:y>
    </cdr:from>
    <cdr:to>
      <cdr:x>0.41764</cdr:x>
      <cdr:y>0.41728</cdr:y>
    </cdr:to>
    <cdr:graphicFrame macro="">
      <cdr:nvGraphicFramePr>
        <cdr:cNvPr id="9" name="8 Gráfico">
          <a:extLst xmlns:a="http://schemas.openxmlformats.org/drawingml/2006/main">
            <a:ext uri="{FF2B5EF4-FFF2-40B4-BE49-F238E27FC236}">
              <a16:creationId xmlns:a16="http://schemas.microsoft.com/office/drawing/2014/main" id="{8ED19C6C-A1D6-F1B7-DA5B-CFC325C9376D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cdr:graphicFrame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8406"/>
    <xdr:graphicFrame macro="">
      <xdr:nvGraphicFramePr>
        <xdr:cNvPr id="2" name="1 Gráfico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0.14961</cdr:x>
      <cdr:y>0.08324</cdr:y>
    </cdr:from>
    <cdr:to>
      <cdr:x>0.32392</cdr:x>
      <cdr:y>0.48351</cdr:y>
    </cdr:to>
    <cdr:sp macro="" textlink="">
      <cdr:nvSpPr>
        <cdr:cNvPr id="7" name="7 CuadroTexto"/>
        <cdr:cNvSpPr txBox="1"/>
      </cdr:nvSpPr>
      <cdr:spPr>
        <a:xfrm xmlns:a="http://schemas.openxmlformats.org/drawingml/2006/main">
          <a:off x="1297782" y="523875"/>
          <a:ext cx="1512094" cy="2519023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Text" lastClr="000000">
              <a:lumMod val="50000"/>
              <a:lumOff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pPr algn="ctr"/>
          <a:r>
            <a:rPr lang="es-MX" sz="1400" b="1"/>
            <a:t>Vida</a:t>
          </a:r>
          <a:r>
            <a:rPr lang="es-MX" sz="1400" b="1" baseline="0"/>
            <a:t> remanente (años)</a:t>
          </a:r>
          <a:endParaRPr lang="es-MX" sz="1400" b="1"/>
        </a:p>
      </cdr:txBody>
    </cdr:sp>
  </cdr:relSizeAnchor>
  <cdr:relSizeAnchor xmlns:cdr="http://schemas.openxmlformats.org/drawingml/2006/chartDrawing">
    <cdr:from>
      <cdr:x>0.10569</cdr:x>
      <cdr:y>0.38135</cdr:y>
    </cdr:from>
    <cdr:to>
      <cdr:x>0.40216</cdr:x>
      <cdr:y>0.45595</cdr:y>
    </cdr:to>
    <cdr:graphicFrame macro="">
      <cdr:nvGraphicFramePr>
        <cdr:cNvPr id="2" name="1 Gráfico">
          <a:extLst xmlns:a="http://schemas.openxmlformats.org/drawingml/2006/main">
            <a:ext uri="{FF2B5EF4-FFF2-40B4-BE49-F238E27FC236}">
              <a16:creationId xmlns:a16="http://schemas.microsoft.com/office/drawing/2014/main" id="{533E7645-0695-7CEE-D518-B1335BCDB3E5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cdr:graphicFrame>
  </cdr:relSizeAnchor>
  <cdr:relSizeAnchor xmlns:cdr="http://schemas.openxmlformats.org/drawingml/2006/chartDrawing">
    <cdr:from>
      <cdr:x>0.11117</cdr:x>
      <cdr:y>0.23757</cdr:y>
    </cdr:from>
    <cdr:to>
      <cdr:x>0.38431</cdr:x>
      <cdr:y>0.30649</cdr:y>
    </cdr:to>
    <cdr:graphicFrame macro="">
      <cdr:nvGraphicFramePr>
        <cdr:cNvPr id="3" name="2 Gráfico">
          <a:extLst xmlns:a="http://schemas.openxmlformats.org/drawingml/2006/main">
            <a:ext uri="{FF2B5EF4-FFF2-40B4-BE49-F238E27FC236}">
              <a16:creationId xmlns:a16="http://schemas.microsoft.com/office/drawing/2014/main" id="{2D1841EC-DCBF-DA64-5272-D085D0CB1227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cdr:graphicFrame>
  </cdr:relSizeAnchor>
  <cdr:relSizeAnchor xmlns:cdr="http://schemas.openxmlformats.org/drawingml/2006/chartDrawing">
    <cdr:from>
      <cdr:x>0.1153</cdr:x>
      <cdr:y>0.12784</cdr:y>
    </cdr:from>
    <cdr:to>
      <cdr:x>0.3755</cdr:x>
      <cdr:y>0.19297</cdr:y>
    </cdr:to>
    <cdr:graphicFrame macro="">
      <cdr:nvGraphicFramePr>
        <cdr:cNvPr id="4" name="3 Gráfico">
          <a:extLst xmlns:a="http://schemas.openxmlformats.org/drawingml/2006/main">
            <a:ext uri="{FF2B5EF4-FFF2-40B4-BE49-F238E27FC236}">
              <a16:creationId xmlns:a16="http://schemas.microsoft.com/office/drawing/2014/main" id="{40FB9B07-D199-066B-8045-D36F483C2276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cdr:graphicFrame>
  </cdr:relSizeAnchor>
  <cdr:relSizeAnchor xmlns:cdr="http://schemas.openxmlformats.org/drawingml/2006/chartDrawing">
    <cdr:from>
      <cdr:x>0.10843</cdr:x>
      <cdr:y>0.1846</cdr:y>
    </cdr:from>
    <cdr:to>
      <cdr:x>0.38569</cdr:x>
      <cdr:y>0.24217</cdr:y>
    </cdr:to>
    <cdr:graphicFrame macro="">
      <cdr:nvGraphicFramePr>
        <cdr:cNvPr id="5" name="4 Gráfico">
          <a:extLst xmlns:a="http://schemas.openxmlformats.org/drawingml/2006/main">
            <a:ext uri="{FF2B5EF4-FFF2-40B4-BE49-F238E27FC236}">
              <a16:creationId xmlns:a16="http://schemas.microsoft.com/office/drawing/2014/main" id="{29C2B4FE-5A43-130A-D673-94BEF9829D16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cdr:graphicFrame>
  </cdr:relSizeAnchor>
  <cdr:relSizeAnchor xmlns:cdr="http://schemas.openxmlformats.org/drawingml/2006/chartDrawing">
    <cdr:from>
      <cdr:x>0.07</cdr:x>
      <cdr:y>0.31893</cdr:y>
    </cdr:from>
    <cdr:to>
      <cdr:x>0.47078</cdr:x>
      <cdr:y>0.38406</cdr:y>
    </cdr:to>
    <cdr:graphicFrame macro="">
      <cdr:nvGraphicFramePr>
        <cdr:cNvPr id="6" name="5 Gráfico">
          <a:extLst xmlns:a="http://schemas.openxmlformats.org/drawingml/2006/main">
            <a:ext uri="{FF2B5EF4-FFF2-40B4-BE49-F238E27FC236}">
              <a16:creationId xmlns:a16="http://schemas.microsoft.com/office/drawing/2014/main" id="{1860D3C3-83F1-0D24-8E9D-A1F0F9986152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cdr:graphicFrame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oberto/AppData/Roaming/Microsoft/Excel/Users/Roberto/AppData/Roaming/Microsoft/Excel/1.%20OBAA-PAVE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oberto/AppData/Roaming/Microsoft/Excel/OBBA%20PAVE%20hoja%20definitiv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oberto/AppData/Roaming/Microsoft/Excel/carpeta%20trabajo%20obaa%20pave/Users/Roberto/AppData/Roaming/Microsoft/Excel/1.%20OBAA-PAVE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oberto/AppData/Roaming/Microsoft/Excel/OBBA%20PAVE%202.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NALISIS PAVIMENTO"/>
      <sheetName val="RESULTADO ESPECTRAL"/>
      <sheetName val="RESULTADO INDIVIDUAL"/>
      <sheetName val="E. CARGA TODOS"/>
      <sheetName val="E. DAÑO DEF"/>
      <sheetName val="E. DAÑO FATIGA"/>
      <sheetName val="AC. MINER (PENDIENTE)"/>
      <sheetName val="E. CARGA DUAL"/>
      <sheetName val="E. CARGA TANDEM"/>
      <sheetName val="E. CARGA TRIDEM"/>
    </sheetNames>
    <sheetDataSet>
      <sheetData sheetId="0">
        <row r="61">
          <cell r="DS61">
            <v>0</v>
          </cell>
          <cell r="DT61">
            <v>0.2</v>
          </cell>
          <cell r="DU61">
            <v>0.4</v>
          </cell>
          <cell r="DV61">
            <v>0.6</v>
          </cell>
          <cell r="DW61">
            <v>0.8</v>
          </cell>
          <cell r="DX61">
            <v>1</v>
          </cell>
          <cell r="DY61">
            <v>1.2</v>
          </cell>
          <cell r="DZ61">
            <v>1.5</v>
          </cell>
          <cell r="EA61">
            <v>2</v>
          </cell>
          <cell r="EB61">
            <v>3</v>
          </cell>
          <cell r="EC61">
            <v>4</v>
          </cell>
          <cell r="ED61">
            <v>5</v>
          </cell>
          <cell r="EE61">
            <v>6</v>
          </cell>
          <cell r="EF61">
            <v>7</v>
          </cell>
          <cell r="EG61">
            <v>8</v>
          </cell>
          <cell r="EH61">
            <v>10</v>
          </cell>
          <cell r="EI61">
            <v>12</v>
          </cell>
          <cell r="EJ61">
            <v>14</v>
          </cell>
        </row>
        <row r="62">
          <cell r="DS62">
            <v>1</v>
          </cell>
          <cell r="DT62">
            <v>2</v>
          </cell>
          <cell r="DU62">
            <v>3</v>
          </cell>
          <cell r="DV62">
            <v>4</v>
          </cell>
          <cell r="DW62">
            <v>5</v>
          </cell>
          <cell r="DX62">
            <v>6</v>
          </cell>
          <cell r="DY62">
            <v>7</v>
          </cell>
          <cell r="DZ62">
            <v>8</v>
          </cell>
          <cell r="EA62">
            <v>9</v>
          </cell>
          <cell r="EB62">
            <v>10</v>
          </cell>
          <cell r="EC62">
            <v>11</v>
          </cell>
          <cell r="ED62">
            <v>12</v>
          </cell>
          <cell r="EE62">
            <v>13</v>
          </cell>
          <cell r="EF62">
            <v>14</v>
          </cell>
          <cell r="EG62">
            <v>15</v>
          </cell>
          <cell r="EH62">
            <v>16</v>
          </cell>
          <cell r="EI62">
            <v>17</v>
          </cell>
          <cell r="EJ62">
            <v>18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vanzado"/>
      <sheetName val="COMPARATIVA"/>
      <sheetName val="NuevoFormatoTransito"/>
      <sheetName val="NuevoEspectrosdeCarga"/>
      <sheetName val="NuevoFormatoPav"/>
      <sheetName val="GraficoEspectros"/>
      <sheetName val="Larguillo"/>
      <sheetName val="calculos"/>
      <sheetName val="ANALISIS PAVIMENTO"/>
      <sheetName val="RESULTADO INDIVIDUAL"/>
      <sheetName val="RESULTADO ESPECTRAL"/>
      <sheetName val="ESPECTROS CARGA"/>
      <sheetName val="DAÑO AC. FATIGA"/>
      <sheetName val="DAÑO AC. DEFORMACION"/>
      <sheetName val="ESPECTRO DAÑO DEFORMACION"/>
      <sheetName val="ESPECTRO DAÑO FATIGA"/>
      <sheetName val="E. CARGA SIMPLE"/>
      <sheetName val="E. CARGA DUAL"/>
      <sheetName val="E. CARGA TANDEM"/>
      <sheetName val="E. CARGA TRIDEM"/>
      <sheetName val="factor_e_vert"/>
      <sheetName val="factor_e_rad"/>
      <sheetName val="factor_e_tan"/>
      <sheetName val="Estructura de Pavimento"/>
    </sheetNames>
    <sheetDataSet>
      <sheetData sheetId="0"/>
      <sheetData sheetId="1"/>
      <sheetData sheetId="2"/>
      <sheetData sheetId="3"/>
      <sheetData sheetId="4"/>
      <sheetData sheetId="5" refreshError="1"/>
      <sheetData sheetId="6"/>
      <sheetData sheetId="7"/>
      <sheetData sheetId="8">
        <row r="61">
          <cell r="DS61">
            <v>0</v>
          </cell>
          <cell r="DT61">
            <v>0.2</v>
          </cell>
          <cell r="DU61">
            <v>0.4</v>
          </cell>
          <cell r="DV61">
            <v>0.6</v>
          </cell>
          <cell r="DW61">
            <v>0.8</v>
          </cell>
          <cell r="DX61">
            <v>1</v>
          </cell>
          <cell r="DY61">
            <v>1.2</v>
          </cell>
          <cell r="DZ61">
            <v>1.5</v>
          </cell>
          <cell r="EA61">
            <v>2</v>
          </cell>
          <cell r="EB61">
            <v>3</v>
          </cell>
          <cell r="EC61">
            <v>4</v>
          </cell>
          <cell r="ED61">
            <v>5</v>
          </cell>
          <cell r="EE61">
            <v>6</v>
          </cell>
          <cell r="EF61">
            <v>7</v>
          </cell>
          <cell r="EG61">
            <v>8</v>
          </cell>
          <cell r="EH61">
            <v>10</v>
          </cell>
          <cell r="EI61">
            <v>12</v>
          </cell>
          <cell r="EJ61">
            <v>14</v>
          </cell>
        </row>
        <row r="62">
          <cell r="DS62">
            <v>1</v>
          </cell>
          <cell r="DT62">
            <v>2</v>
          </cell>
          <cell r="DU62">
            <v>3</v>
          </cell>
          <cell r="DV62">
            <v>4</v>
          </cell>
          <cell r="DW62">
            <v>5</v>
          </cell>
          <cell r="DX62">
            <v>6</v>
          </cell>
          <cell r="DY62">
            <v>7</v>
          </cell>
          <cell r="DZ62">
            <v>8</v>
          </cell>
          <cell r="EA62">
            <v>9</v>
          </cell>
          <cell r="EB62">
            <v>10</v>
          </cell>
          <cell r="EC62">
            <v>11</v>
          </cell>
          <cell r="ED62">
            <v>12</v>
          </cell>
          <cell r="EE62">
            <v>13</v>
          </cell>
          <cell r="EF62">
            <v>14</v>
          </cell>
          <cell r="EG62">
            <v>15</v>
          </cell>
          <cell r="EH62">
            <v>16</v>
          </cell>
          <cell r="EI62">
            <v>17</v>
          </cell>
          <cell r="EJ62">
            <v>18</v>
          </cell>
        </row>
      </sheetData>
      <sheetData sheetId="9"/>
      <sheetData sheetId="10">
        <row r="31">
          <cell r="BO31">
            <v>1.2012019919015862</v>
          </cell>
        </row>
      </sheetData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/>
      <sheetData sheetId="21"/>
      <sheetData sheetId="22"/>
      <sheetData sheetId="2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NALISIS PAVIMENTO"/>
      <sheetName val="RESULTADO ESPECTRAL"/>
      <sheetName val="RESULTADO INDIVIDUAL"/>
      <sheetName val="E. CARGA TODOS"/>
      <sheetName val="E. DAÑO DEF"/>
      <sheetName val="E. DAÑO FATIGA"/>
      <sheetName val="AC. MINER (PENDIENTE)"/>
      <sheetName val="E. CARGA DUAL"/>
      <sheetName val="E. CARGA TANDEM"/>
      <sheetName val="E. CARGA TRIDEM"/>
    </sheetNames>
    <sheetDataSet>
      <sheetData sheetId="0">
        <row r="61">
          <cell r="DS61">
            <v>0</v>
          </cell>
          <cell r="DT61">
            <v>0.2</v>
          </cell>
          <cell r="DU61">
            <v>0.4</v>
          </cell>
          <cell r="DV61">
            <v>0.6</v>
          </cell>
          <cell r="DW61">
            <v>0.8</v>
          </cell>
          <cell r="DX61">
            <v>1</v>
          </cell>
          <cell r="DY61">
            <v>1.2</v>
          </cell>
          <cell r="DZ61">
            <v>1.5</v>
          </cell>
          <cell r="EA61">
            <v>2</v>
          </cell>
          <cell r="EB61">
            <v>3</v>
          </cell>
          <cell r="EC61">
            <v>4</v>
          </cell>
          <cell r="ED61">
            <v>5</v>
          </cell>
          <cell r="EE61">
            <v>6</v>
          </cell>
          <cell r="EF61">
            <v>7</v>
          </cell>
          <cell r="EG61">
            <v>8</v>
          </cell>
          <cell r="EH61">
            <v>10</v>
          </cell>
          <cell r="EI61">
            <v>12</v>
          </cell>
          <cell r="EJ61">
            <v>14</v>
          </cell>
        </row>
        <row r="62">
          <cell r="DS62">
            <v>1</v>
          </cell>
          <cell r="DT62">
            <v>2</v>
          </cell>
          <cell r="DU62">
            <v>3</v>
          </cell>
          <cell r="DV62">
            <v>4</v>
          </cell>
          <cell r="DW62">
            <v>5</v>
          </cell>
          <cell r="DX62">
            <v>6</v>
          </cell>
          <cell r="DY62">
            <v>7</v>
          </cell>
          <cell r="DZ62">
            <v>8</v>
          </cell>
          <cell r="EA62">
            <v>9</v>
          </cell>
          <cell r="EB62">
            <v>10</v>
          </cell>
          <cell r="EC62">
            <v>11</v>
          </cell>
          <cell r="ED62">
            <v>12</v>
          </cell>
          <cell r="EE62">
            <v>13</v>
          </cell>
          <cell r="EF62">
            <v>14</v>
          </cell>
          <cell r="EG62">
            <v>15</v>
          </cell>
          <cell r="EH62">
            <v>16</v>
          </cell>
          <cell r="EI62">
            <v>17</v>
          </cell>
          <cell r="EJ62">
            <v>18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NuevoFormatoPavimento"/>
      <sheetName val="calculos"/>
      <sheetName val="NuevoFormatoTransito"/>
      <sheetName val="NuevoEspectrosdeCarga"/>
      <sheetName val="NuevoFormatoModelos"/>
      <sheetName val="ANALISIS PAVIMENTO"/>
      <sheetName val="RESULTADO INDIVIDUAL"/>
      <sheetName val="RESULTADO ESPECTRAL"/>
      <sheetName val="ESPECTROS CARGA"/>
      <sheetName val="DAÑO AC. FATIGA"/>
      <sheetName val="DAÑO AC. DEFORMACION"/>
      <sheetName val="ESPECTRO DAÑO DEFORMACION"/>
      <sheetName val="ESPECTRO DAÑO FATIGA"/>
      <sheetName val="E. CARGA SIMPLE"/>
      <sheetName val="E. CARGA DUAL"/>
      <sheetName val="E. CARGA TANDEM"/>
      <sheetName val="E. CARGA TRIDEM"/>
      <sheetName val="factor_e_vert"/>
      <sheetName val="factor_e_rad"/>
      <sheetName val="factor_e_tan"/>
      <sheetName val="Estructura de Pavimento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61">
          <cell r="CX61">
            <v>0</v>
          </cell>
          <cell r="CY61">
            <v>0.2</v>
          </cell>
          <cell r="CZ61">
            <v>0.4</v>
          </cell>
          <cell r="DA61">
            <v>0.6</v>
          </cell>
          <cell r="DB61">
            <v>0.8</v>
          </cell>
          <cell r="DC61">
            <v>1</v>
          </cell>
          <cell r="DD61">
            <v>1.2</v>
          </cell>
          <cell r="DE61">
            <v>1.5</v>
          </cell>
          <cell r="DF61">
            <v>2</v>
          </cell>
          <cell r="DG61">
            <v>3</v>
          </cell>
          <cell r="DH61">
            <v>4</v>
          </cell>
          <cell r="DI61">
            <v>5</v>
          </cell>
          <cell r="DJ61">
            <v>6</v>
          </cell>
          <cell r="DK61">
            <v>7</v>
          </cell>
          <cell r="DL61">
            <v>8</v>
          </cell>
          <cell r="DM61">
            <v>10</v>
          </cell>
          <cell r="DN61">
            <v>12</v>
          </cell>
          <cell r="DO61">
            <v>14</v>
          </cell>
          <cell r="DS61">
            <v>0</v>
          </cell>
          <cell r="DT61">
            <v>0.2</v>
          </cell>
          <cell r="DU61">
            <v>0.4</v>
          </cell>
          <cell r="DV61">
            <v>0.6</v>
          </cell>
          <cell r="DW61">
            <v>0.8</v>
          </cell>
          <cell r="DX61">
            <v>1</v>
          </cell>
          <cell r="DY61">
            <v>1.2</v>
          </cell>
          <cell r="DZ61">
            <v>1.5</v>
          </cell>
          <cell r="EA61">
            <v>2</v>
          </cell>
          <cell r="EB61">
            <v>3</v>
          </cell>
          <cell r="EC61">
            <v>4</v>
          </cell>
          <cell r="ED61">
            <v>5</v>
          </cell>
          <cell r="EE61">
            <v>6</v>
          </cell>
          <cell r="EF61">
            <v>7</v>
          </cell>
          <cell r="EG61">
            <v>8</v>
          </cell>
          <cell r="EH61">
            <v>10</v>
          </cell>
          <cell r="EI61">
            <v>12</v>
          </cell>
          <cell r="EJ61">
            <v>14</v>
          </cell>
          <cell r="EN61">
            <v>0</v>
          </cell>
          <cell r="EO61">
            <v>0.2</v>
          </cell>
          <cell r="EP61">
            <v>0.4</v>
          </cell>
          <cell r="EQ61">
            <v>0.6</v>
          </cell>
          <cell r="ER61">
            <v>0.8</v>
          </cell>
          <cell r="ES61">
            <v>1</v>
          </cell>
          <cell r="ET61">
            <v>1.2</v>
          </cell>
          <cell r="EU61">
            <v>1.5</v>
          </cell>
          <cell r="EV61">
            <v>2</v>
          </cell>
          <cell r="EW61">
            <v>3</v>
          </cell>
          <cell r="EX61">
            <v>4</v>
          </cell>
          <cell r="EY61">
            <v>5</v>
          </cell>
          <cell r="EZ61">
            <v>6</v>
          </cell>
          <cell r="FA61">
            <v>7</v>
          </cell>
          <cell r="FB61">
            <v>8</v>
          </cell>
          <cell r="FC61">
            <v>10</v>
          </cell>
          <cell r="FD61">
            <v>12</v>
          </cell>
          <cell r="FE61">
            <v>14</v>
          </cell>
        </row>
        <row r="62">
          <cell r="CX62">
            <v>1</v>
          </cell>
          <cell r="CY62">
            <v>2</v>
          </cell>
          <cell r="CZ62">
            <v>3</v>
          </cell>
          <cell r="DA62">
            <v>4</v>
          </cell>
          <cell r="DB62">
            <v>5</v>
          </cell>
          <cell r="DC62">
            <v>6</v>
          </cell>
          <cell r="DD62">
            <v>7</v>
          </cell>
          <cell r="DE62">
            <v>8</v>
          </cell>
          <cell r="DF62">
            <v>9</v>
          </cell>
          <cell r="DG62">
            <v>10</v>
          </cell>
          <cell r="DH62">
            <v>11</v>
          </cell>
          <cell r="DI62">
            <v>12</v>
          </cell>
          <cell r="DJ62">
            <v>13</v>
          </cell>
          <cell r="DK62">
            <v>14</v>
          </cell>
          <cell r="DL62">
            <v>15</v>
          </cell>
          <cell r="DM62">
            <v>16</v>
          </cell>
          <cell r="DN62">
            <v>17</v>
          </cell>
          <cell r="DO62">
            <v>18</v>
          </cell>
          <cell r="DS62">
            <v>1</v>
          </cell>
          <cell r="DT62">
            <v>2</v>
          </cell>
          <cell r="DU62">
            <v>3</v>
          </cell>
          <cell r="DV62">
            <v>4</v>
          </cell>
          <cell r="DW62">
            <v>5</v>
          </cell>
          <cell r="DX62">
            <v>6</v>
          </cell>
          <cell r="DY62">
            <v>7</v>
          </cell>
          <cell r="DZ62">
            <v>8</v>
          </cell>
          <cell r="EA62">
            <v>9</v>
          </cell>
          <cell r="EB62">
            <v>10</v>
          </cell>
          <cell r="EC62">
            <v>11</v>
          </cell>
          <cell r="ED62">
            <v>12</v>
          </cell>
          <cell r="EE62">
            <v>13</v>
          </cell>
          <cell r="EF62">
            <v>14</v>
          </cell>
          <cell r="EG62">
            <v>15</v>
          </cell>
          <cell r="EH62">
            <v>16</v>
          </cell>
          <cell r="EI62">
            <v>17</v>
          </cell>
          <cell r="EJ62">
            <v>18</v>
          </cell>
          <cell r="EN62">
            <v>1</v>
          </cell>
          <cell r="EO62">
            <v>2</v>
          </cell>
          <cell r="EP62">
            <v>3</v>
          </cell>
          <cell r="EQ62">
            <v>4</v>
          </cell>
          <cell r="ER62">
            <v>5</v>
          </cell>
          <cell r="ES62">
            <v>6</v>
          </cell>
          <cell r="ET62">
            <v>7</v>
          </cell>
          <cell r="EU62">
            <v>8</v>
          </cell>
          <cell r="EV62">
            <v>9</v>
          </cell>
          <cell r="EW62">
            <v>10</v>
          </cell>
          <cell r="EX62">
            <v>11</v>
          </cell>
          <cell r="EY62">
            <v>12</v>
          </cell>
          <cell r="EZ62">
            <v>13</v>
          </cell>
          <cell r="FA62">
            <v>14</v>
          </cell>
          <cell r="FB62">
            <v>15</v>
          </cell>
          <cell r="FC62">
            <v>16</v>
          </cell>
          <cell r="FD62">
            <v>17</v>
          </cell>
          <cell r="FE62">
            <v>18</v>
          </cell>
        </row>
        <row r="63">
          <cell r="CV63">
            <v>0</v>
          </cell>
          <cell r="CW63">
            <v>1</v>
          </cell>
          <cell r="CX63">
            <v>1</v>
          </cell>
          <cell r="CY63">
            <v>1</v>
          </cell>
          <cell r="CZ63">
            <v>1</v>
          </cell>
          <cell r="DA63">
            <v>1</v>
          </cell>
          <cell r="DB63">
            <v>1</v>
          </cell>
          <cell r="DC63">
            <v>0.5</v>
          </cell>
          <cell r="DD63">
            <v>0</v>
          </cell>
          <cell r="DE63">
            <v>0</v>
          </cell>
          <cell r="DF63">
            <v>0</v>
          </cell>
          <cell r="DG63">
            <v>0</v>
          </cell>
          <cell r="DH63">
            <v>0</v>
          </cell>
          <cell r="DI63">
            <v>0</v>
          </cell>
          <cell r="DJ63">
            <v>0</v>
          </cell>
          <cell r="DK63">
            <v>0</v>
          </cell>
          <cell r="DL63">
            <v>0</v>
          </cell>
          <cell r="DM63">
            <v>0</v>
          </cell>
          <cell r="DN63">
            <v>0</v>
          </cell>
          <cell r="DO63">
            <v>0</v>
          </cell>
          <cell r="DQ63">
            <v>0</v>
          </cell>
          <cell r="DR63">
            <v>1</v>
          </cell>
          <cell r="DS63">
            <v>0.85</v>
          </cell>
          <cell r="DT63">
            <v>0.85</v>
          </cell>
          <cell r="DU63">
            <v>0.85</v>
          </cell>
          <cell r="DV63">
            <v>0.85</v>
          </cell>
          <cell r="DW63">
            <v>0.85</v>
          </cell>
          <cell r="DX63">
            <v>0.35</v>
          </cell>
          <cell r="DY63">
            <v>-0.10416600000000001</v>
          </cell>
          <cell r="DZ63">
            <v>-6.6666000000000017E-2</v>
          </cell>
          <cell r="EA63">
            <v>-3.7500000000000006E-2</v>
          </cell>
          <cell r="EB63">
            <v>-1.6668000000000002E-2</v>
          </cell>
          <cell r="EC63">
            <v>-9.3750000000000014E-3</v>
          </cell>
          <cell r="ED63">
            <v>-6.000000000000001E-3</v>
          </cell>
          <cell r="EE63">
            <v>-4.1670000000000006E-3</v>
          </cell>
          <cell r="EF63">
            <v>-3.0600000000000007E-3</v>
          </cell>
          <cell r="EG63">
            <v>-2.3430000000000005E-3</v>
          </cell>
          <cell r="EH63">
            <v>-1.5000000000000002E-3</v>
          </cell>
          <cell r="EI63">
            <v>-1.0410000000000003E-3</v>
          </cell>
          <cell r="EJ63">
            <v>-7.6500000000000016E-4</v>
          </cell>
          <cell r="EL63">
            <v>0</v>
          </cell>
          <cell r="EM63">
            <v>1</v>
          </cell>
          <cell r="EN63">
            <v>0.85</v>
          </cell>
          <cell r="EO63">
            <v>0.85</v>
          </cell>
          <cell r="EP63">
            <v>0.85</v>
          </cell>
          <cell r="EQ63">
            <v>0.85</v>
          </cell>
          <cell r="ER63">
            <v>0.85</v>
          </cell>
          <cell r="ES63">
            <v>0.5</v>
          </cell>
          <cell r="ET63">
            <v>0.10416600000000001</v>
          </cell>
          <cell r="EU63">
            <v>6.6666000000000017E-2</v>
          </cell>
          <cell r="EV63">
            <v>3.7500000000000006E-2</v>
          </cell>
          <cell r="EW63">
            <v>1.6668000000000002E-2</v>
          </cell>
          <cell r="EX63">
            <v>9.3750000000000014E-3</v>
          </cell>
          <cell r="EY63">
            <v>6.000000000000001E-3</v>
          </cell>
          <cell r="EZ63">
            <v>4.1670000000000006E-3</v>
          </cell>
          <cell r="FA63">
            <v>3.0600000000000007E-3</v>
          </cell>
          <cell r="FB63">
            <v>2.3430000000000005E-3</v>
          </cell>
          <cell r="FC63">
            <v>1.5000000000000002E-3</v>
          </cell>
          <cell r="FD63">
            <v>1.0410000000000003E-3</v>
          </cell>
          <cell r="FE63">
            <v>7.6500000000000016E-4</v>
          </cell>
        </row>
        <row r="64">
          <cell r="CV64">
            <v>0.1</v>
          </cell>
          <cell r="CW64">
            <v>2</v>
          </cell>
          <cell r="CX64">
            <v>0.99902000000000002</v>
          </cell>
          <cell r="CY64">
            <v>0.9988800000000001</v>
          </cell>
          <cell r="CZ64">
            <v>0.99817</v>
          </cell>
          <cell r="DA64">
            <v>0.99550000000000005</v>
          </cell>
          <cell r="DB64">
            <v>0.97592999999999996</v>
          </cell>
          <cell r="DC64">
            <v>0.48402999999999996</v>
          </cell>
          <cell r="DD64">
            <v>1.7459999999999989E-2</v>
          </cell>
          <cell r="DE64">
            <v>1.1499999999999982E-3</v>
          </cell>
          <cell r="DF64">
            <v>1.1000000000000072E-4</v>
          </cell>
          <cell r="DG64">
            <v>1.0000000000000026E-5</v>
          </cell>
          <cell r="DH64">
            <v>0</v>
          </cell>
          <cell r="DI64">
            <v>0</v>
          </cell>
          <cell r="DJ64">
            <v>0</v>
          </cell>
          <cell r="DK64">
            <v>1.4999999999999999E-4</v>
          </cell>
          <cell r="DL64">
            <v>1E-4</v>
          </cell>
          <cell r="DM64">
            <v>0</v>
          </cell>
          <cell r="DN64">
            <v>0</v>
          </cell>
          <cell r="DO64">
            <v>0</v>
          </cell>
          <cell r="DQ64">
            <v>0.1</v>
          </cell>
          <cell r="DR64">
            <v>2</v>
          </cell>
          <cell r="DS64">
            <v>0.71616500000000005</v>
          </cell>
          <cell r="DT64">
            <v>0.711198</v>
          </cell>
          <cell r="DU64">
            <v>0.69366599999999989</v>
          </cell>
          <cell r="DV64">
            <v>0.65166400000000002</v>
          </cell>
          <cell r="DW64">
            <v>0.53786599999999996</v>
          </cell>
          <cell r="DX64">
            <v>0.33502599999999993</v>
          </cell>
          <cell r="DY64">
            <v>0.12518499999999999</v>
          </cell>
          <cell r="DZ64">
            <v>1.1422999999999989E-2</v>
          </cell>
          <cell r="EA64">
            <v>-1.1498000000000005E-2</v>
          </cell>
          <cell r="EB64">
            <v>-9.9460000000000034E-3</v>
          </cell>
          <cell r="EC64">
            <v>-6.6550000000000021E-3</v>
          </cell>
          <cell r="ED64">
            <v>-4.6370000000000005E-3</v>
          </cell>
          <cell r="EE64">
            <v>-3.4200000000000003E-3</v>
          </cell>
          <cell r="EF64">
            <v>-2.65E-3</v>
          </cell>
          <cell r="EG64">
            <v>-2.1250000000000002E-3</v>
          </cell>
          <cell r="EH64">
            <v>-1.4700000000000002E-3</v>
          </cell>
          <cell r="EI64">
            <v>-1.023E-3</v>
          </cell>
          <cell r="EJ64">
            <v>-7.5300000000000009E-4</v>
          </cell>
          <cell r="EL64">
            <v>0.1</v>
          </cell>
          <cell r="EM64">
            <v>2</v>
          </cell>
          <cell r="EN64">
            <v>0.71616500000000005</v>
          </cell>
          <cell r="EO64">
            <v>0.71310420000000008</v>
          </cell>
          <cell r="EP64">
            <v>0.70249699999999993</v>
          </cell>
          <cell r="EQ64">
            <v>0.67824100000000009</v>
          </cell>
          <cell r="ER64">
            <v>0.61373299999999997</v>
          </cell>
          <cell r="ES64">
            <v>0.34234899999999996</v>
          </cell>
          <cell r="ET64">
            <v>0.11777000000000001</v>
          </cell>
          <cell r="EU64">
            <v>6.2676000000000009E-2</v>
          </cell>
          <cell r="EV64">
            <v>3.4500000000000003E-2</v>
          </cell>
          <cell r="EW64">
            <v>1.5633000000000001E-2</v>
          </cell>
          <cell r="EX64">
            <v>8.9230000000000021E-3</v>
          </cell>
          <cell r="EY64">
            <v>5.7610000000000014E-3</v>
          </cell>
          <cell r="EZ64">
            <v>4.0400000000000002E-3</v>
          </cell>
          <cell r="FA64">
            <v>2.8900000000000006E-3</v>
          </cell>
          <cell r="FB64">
            <v>2.2860000000000003E-3</v>
          </cell>
          <cell r="FC64">
            <v>1.4850000000000004E-3</v>
          </cell>
          <cell r="FD64">
            <v>1.0290000000000002E-3</v>
          </cell>
          <cell r="FE64">
            <v>7.5900000000000013E-4</v>
          </cell>
        </row>
        <row r="65">
          <cell r="CV65">
            <v>0.2</v>
          </cell>
          <cell r="CW65">
            <v>3</v>
          </cell>
          <cell r="CX65">
            <v>0.99245000000000005</v>
          </cell>
          <cell r="CY65">
            <v>0.99129999999999996</v>
          </cell>
          <cell r="CZ65">
            <v>0.98655999999999999</v>
          </cell>
          <cell r="DA65">
            <v>0.97006999999999999</v>
          </cell>
          <cell r="DB65">
            <v>0.88997000000000004</v>
          </cell>
          <cell r="DC65">
            <v>0.46781999999999996</v>
          </cell>
          <cell r="DD65">
            <v>7.6739999999999989E-2</v>
          </cell>
          <cell r="DE65">
            <v>8.0300000000000024E-3</v>
          </cell>
          <cell r="DF65">
            <v>8.6999999999999925E-4</v>
          </cell>
          <cell r="DG65">
            <v>6.999999999999975E-5</v>
          </cell>
          <cell r="DH65">
            <v>1.0000000000000026E-5</v>
          </cell>
          <cell r="DI65">
            <v>0</v>
          </cell>
          <cell r="DJ65">
            <v>2.4000000000000001E-4</v>
          </cell>
          <cell r="DK65">
            <v>1.4999999999999999E-4</v>
          </cell>
          <cell r="DL65">
            <v>1E-4</v>
          </cell>
          <cell r="DM65">
            <v>0</v>
          </cell>
          <cell r="DN65">
            <v>0</v>
          </cell>
          <cell r="DO65">
            <v>0</v>
          </cell>
          <cell r="DQ65">
            <v>0.2</v>
          </cell>
          <cell r="DR65">
            <v>3</v>
          </cell>
          <cell r="DS65">
            <v>0.58900799999999998</v>
          </cell>
          <cell r="DT65">
            <v>0.5803609999999999</v>
          </cell>
          <cell r="DU65">
            <v>0.5513499999999999</v>
          </cell>
          <cell r="DV65">
            <v>0.48907999999999996</v>
          </cell>
          <cell r="DW65">
            <v>0.37422300000000003</v>
          </cell>
          <cell r="DX65">
            <v>0.308471</v>
          </cell>
          <cell r="DY65">
            <v>0.22349599999999997</v>
          </cell>
          <cell r="DZ65">
            <v>7.553399999999999E-2</v>
          </cell>
          <cell r="EA65">
            <v>1.2947E-2</v>
          </cell>
          <cell r="EB65">
            <v>-3.3570000000000023E-3</v>
          </cell>
          <cell r="EC65">
            <v>-3.9750000000000028E-3</v>
          </cell>
          <cell r="ED65">
            <v>-3.2840000000000013E-3</v>
          </cell>
          <cell r="EE65">
            <v>-2.6090000000000002E-3</v>
          </cell>
          <cell r="EF65">
            <v>-2.0830000000000006E-3</v>
          </cell>
          <cell r="EG65">
            <v>-1.6960000000000005E-3</v>
          </cell>
          <cell r="EH65">
            <v>-1.2700000000000001E-3</v>
          </cell>
          <cell r="EI65">
            <v>-1.0080000000000002E-3</v>
          </cell>
          <cell r="EJ65">
            <v>-7.4100000000000012E-4</v>
          </cell>
          <cell r="EL65">
            <v>0.2</v>
          </cell>
          <cell r="EM65">
            <v>3</v>
          </cell>
          <cell r="EN65">
            <v>0.58900799999999998</v>
          </cell>
          <cell r="EO65">
            <v>0.58337819999999996</v>
          </cell>
          <cell r="EP65">
            <v>0.56496099999999994</v>
          </cell>
          <cell r="EQ65">
            <v>0.52490099999999995</v>
          </cell>
          <cell r="ER65">
            <v>0.43718199999999996</v>
          </cell>
          <cell r="ES65">
            <v>0.256969</v>
          </cell>
          <cell r="ET65">
            <v>0.116435</v>
          </cell>
          <cell r="EU65">
            <v>5.8216000000000004E-2</v>
          </cell>
          <cell r="EV65">
            <v>3.1533000000000005E-2</v>
          </cell>
          <cell r="EW65">
            <v>1.4603000000000003E-2</v>
          </cell>
          <cell r="EX65">
            <v>8.4740000000000024E-3</v>
          </cell>
          <cell r="EY65">
            <v>5.5280000000000008E-3</v>
          </cell>
          <cell r="EZ65">
            <v>3.8920000000000001E-3</v>
          </cell>
          <cell r="FA65">
            <v>2.8930000000000002E-3</v>
          </cell>
          <cell r="FB65">
            <v>2.2260000000000001E-3</v>
          </cell>
          <cell r="FC65">
            <v>1.5370000000000002E-3</v>
          </cell>
          <cell r="FD65">
            <v>1.0200000000000001E-3</v>
          </cell>
          <cell r="FE65">
            <v>7.5300000000000009E-4</v>
          </cell>
        </row>
        <row r="66">
          <cell r="CV66">
            <v>0.3</v>
          </cell>
          <cell r="CW66">
            <v>4</v>
          </cell>
          <cell r="CX66">
            <v>0.97626999999999997</v>
          </cell>
          <cell r="CY66">
            <v>0.97304999999999997</v>
          </cell>
          <cell r="CZ66">
            <v>0.96333999999999997</v>
          </cell>
          <cell r="DA66">
            <v>0.92172999999999994</v>
          </cell>
          <cell r="DB66">
            <v>0.79337999999999997</v>
          </cell>
          <cell r="DC66">
            <v>0.45132</v>
          </cell>
          <cell r="DD66">
            <v>0.13647999999999999</v>
          </cell>
          <cell r="DE66">
            <v>2.1999999999999999E-2</v>
          </cell>
          <cell r="DF66">
            <v>2.7400000000000028E-3</v>
          </cell>
          <cell r="DG66">
            <v>2.3000000000000017E-4</v>
          </cell>
          <cell r="DH66">
            <v>5.0000000000000131E-5</v>
          </cell>
          <cell r="DI66">
            <v>1.0000000000000001E-5</v>
          </cell>
          <cell r="DJ66">
            <v>0</v>
          </cell>
          <cell r="DM66">
            <v>0</v>
          </cell>
          <cell r="DN66">
            <v>0</v>
          </cell>
          <cell r="DO66">
            <v>0</v>
          </cell>
          <cell r="DQ66">
            <v>0.3</v>
          </cell>
          <cell r="DR66">
            <v>4</v>
          </cell>
          <cell r="DS66">
            <v>0.47394399999999998</v>
          </cell>
          <cell r="DT66">
            <v>0.46406800000000004</v>
          </cell>
          <cell r="DU66">
            <v>0.43758599999999997</v>
          </cell>
          <cell r="DV66">
            <v>0.37564799999999998</v>
          </cell>
          <cell r="DW66">
            <v>0.29617599999999999</v>
          </cell>
          <cell r="DX66">
            <v>0.27962100000000001</v>
          </cell>
          <cell r="DY66">
            <v>0.24365000000000003</v>
          </cell>
          <cell r="DZ66">
            <v>0.11924899999999999</v>
          </cell>
          <cell r="EA66">
            <v>3.4529999999999991E-2</v>
          </cell>
          <cell r="EB66">
            <v>2.975999999999996E-3</v>
          </cell>
          <cell r="EC66">
            <v>-1.3280000000000019E-3</v>
          </cell>
          <cell r="ED66">
            <v>-1.870000000000001E-3</v>
          </cell>
          <cell r="EE66">
            <v>-1.9250000000000005E-3</v>
          </cell>
          <cell r="EF66">
            <v>-1.5710000000000008E-3</v>
          </cell>
          <cell r="EG66">
            <v>-1.3850000000000004E-3</v>
          </cell>
          <cell r="EH66">
            <v>-1.0050000000000003E-3</v>
          </cell>
          <cell r="EI66">
            <v>-8.2700000000000026E-4</v>
          </cell>
          <cell r="EJ66">
            <v>-7.3200000000000012E-4</v>
          </cell>
          <cell r="EL66">
            <v>0.3</v>
          </cell>
          <cell r="EM66">
            <v>4</v>
          </cell>
          <cell r="EN66">
            <v>0.47394399999999998</v>
          </cell>
          <cell r="EO66">
            <v>0.46686000000000005</v>
          </cell>
          <cell r="EP66">
            <v>0.43912899999999999</v>
          </cell>
          <cell r="EQ66">
            <v>0.39923199999999998</v>
          </cell>
          <cell r="ER66">
            <v>0.316631</v>
          </cell>
          <cell r="ES66">
            <v>0.19718399999999997</v>
          </cell>
          <cell r="ET66">
            <v>0.10490100000000001</v>
          </cell>
          <cell r="EU66">
            <v>5.3123999999999998E-2</v>
          </cell>
          <cell r="EV66">
            <v>2.8610000000000003E-2</v>
          </cell>
          <cell r="EW66">
            <v>1.0021000000000002E-2</v>
          </cell>
          <cell r="EX66">
            <v>8.0280000000000004E-3</v>
          </cell>
          <cell r="EY66">
            <v>5.3500000000000006E-3</v>
          </cell>
          <cell r="EZ66">
            <v>3.6760000000000004E-3</v>
          </cell>
          <cell r="FA66">
            <v>2.7780000000000005E-3</v>
          </cell>
          <cell r="FB66">
            <v>2.1750000000000007E-3</v>
          </cell>
          <cell r="FC66">
            <v>1.4570000000000002E-3</v>
          </cell>
          <cell r="FD66">
            <v>1.0740000000000001E-3</v>
          </cell>
          <cell r="FE66">
            <v>7.4700000000000016E-4</v>
          </cell>
        </row>
        <row r="67">
          <cell r="CV67">
            <v>0.4</v>
          </cell>
          <cell r="CW67">
            <v>5</v>
          </cell>
          <cell r="CX67">
            <v>0.62861</v>
          </cell>
          <cell r="CY67">
            <v>0.62014999999999998</v>
          </cell>
          <cell r="CZ67">
            <v>0.59240999999999999</v>
          </cell>
          <cell r="DA67">
            <v>0.53766999999999998</v>
          </cell>
          <cell r="DB67">
            <v>0.44329000000000002</v>
          </cell>
          <cell r="DC67">
            <v>0.31047999999999998</v>
          </cell>
          <cell r="DD67">
            <v>0.18709000000000001</v>
          </cell>
          <cell r="DE67">
            <v>8.5930000000000006E-2</v>
          </cell>
          <cell r="DF67">
            <v>3.1179999999999999E-2</v>
          </cell>
          <cell r="DG67">
            <v>5.2999999999999998E-4</v>
          </cell>
          <cell r="DH67">
            <v>1.05E-4</v>
          </cell>
          <cell r="DI67">
            <v>5.0000000000000002E-5</v>
          </cell>
          <cell r="DJ67">
            <v>1.0000000000000001E-5</v>
          </cell>
          <cell r="DM67">
            <v>0</v>
          </cell>
          <cell r="DN67">
            <v>0</v>
          </cell>
          <cell r="DO67">
            <v>0</v>
          </cell>
          <cell r="DQ67">
            <v>0.4</v>
          </cell>
          <cell r="DR67">
            <v>5</v>
          </cell>
          <cell r="DS67">
            <v>0.27994699999999995</v>
          </cell>
          <cell r="DT67">
            <v>0.27222499999999994</v>
          </cell>
          <cell r="DU67">
            <v>0.24949699999999997</v>
          </cell>
          <cell r="DV67">
            <v>0.21651899999999996</v>
          </cell>
          <cell r="DW67">
            <v>0.19862299999999999</v>
          </cell>
          <cell r="DX67">
            <v>0.23025599999999996</v>
          </cell>
          <cell r="DY67">
            <v>0.24110300000000001</v>
          </cell>
          <cell r="DZ67">
            <v>0.16437099999999999</v>
          </cell>
          <cell r="EA67">
            <v>7.2496000000000005E-2</v>
          </cell>
          <cell r="EB67">
            <v>2.146E-2</v>
          </cell>
          <cell r="EC67">
            <v>8.3800000000000003E-3</v>
          </cell>
          <cell r="ED67">
            <v>4.3899999999999998E-3</v>
          </cell>
          <cell r="EE67">
            <v>2.3800000000000002E-3</v>
          </cell>
          <cell r="EF67">
            <v>1.5349999999999999E-3</v>
          </cell>
          <cell r="EG67">
            <v>1.06E-3</v>
          </cell>
          <cell r="EH67">
            <v>5.4000000000000001E-4</v>
          </cell>
          <cell r="EI67">
            <v>2.8400000000000002E-4</v>
          </cell>
          <cell r="EJ67">
            <v>1E-4</v>
          </cell>
          <cell r="EL67">
            <v>0.4</v>
          </cell>
          <cell r="EM67">
            <v>5</v>
          </cell>
          <cell r="EN67">
            <v>0.27994699999999995</v>
          </cell>
          <cell r="EO67">
            <v>0.27340499999999995</v>
          </cell>
          <cell r="EP67">
            <v>0.25239699999999998</v>
          </cell>
          <cell r="EQ67">
            <v>0.21348899999999996</v>
          </cell>
          <cell r="ER67">
            <v>0.15274299999999999</v>
          </cell>
          <cell r="ES67">
            <v>8.0375999999999975E-2</v>
          </cell>
          <cell r="ET67">
            <v>2.8482999999999994E-2</v>
          </cell>
          <cell r="EU67">
            <v>1.2810000000000044E-3</v>
          </cell>
          <cell r="EV67">
            <v>-3.6240000000000022E-3</v>
          </cell>
          <cell r="EW67">
            <v>-3.2799999999999999E-3</v>
          </cell>
          <cell r="EX67">
            <v>-7.2000000000000015E-4</v>
          </cell>
          <cell r="EY67">
            <v>-4.1000000000000021E-4</v>
          </cell>
          <cell r="EZ67">
            <v>-3.2000000000000008E-4</v>
          </cell>
          <cell r="FA67">
            <v>-2.6499999999999999E-4</v>
          </cell>
          <cell r="FB67">
            <v>-1.2000000000000004E-4</v>
          </cell>
          <cell r="FC67">
            <v>-6.0000000000000022E-5</v>
          </cell>
          <cell r="FD67">
            <v>-1.6000000000000009E-5</v>
          </cell>
          <cell r="FE67">
            <v>0</v>
          </cell>
        </row>
        <row r="68">
          <cell r="CV68">
            <v>0.5</v>
          </cell>
          <cell r="CW68">
            <v>6</v>
          </cell>
          <cell r="CX68">
            <v>0.91056000000000004</v>
          </cell>
          <cell r="CY68">
            <v>0.90155000000000007</v>
          </cell>
          <cell r="CZ68">
            <v>0.86945000000000006</v>
          </cell>
          <cell r="DA68">
            <v>0.79554000000000002</v>
          </cell>
          <cell r="DB68">
            <v>0.64626000000000006</v>
          </cell>
          <cell r="DC68">
            <v>0.41747000000000001</v>
          </cell>
          <cell r="DD68">
            <v>0.20721000000000001</v>
          </cell>
          <cell r="DE68">
            <v>6.0440000000000008E-2</v>
          </cell>
          <cell r="DF68">
            <v>1.0500000000000002E-2</v>
          </cell>
          <cell r="DG68">
            <v>1.15E-3</v>
          </cell>
          <cell r="DH68">
            <v>1.8999999999999963E-4</v>
          </cell>
          <cell r="DI68">
            <v>9.9999999999999829E-5</v>
          </cell>
          <cell r="DJ68">
            <v>2.0000000000000052E-5</v>
          </cell>
          <cell r="DK68">
            <v>-1.9999999999999944E-5</v>
          </cell>
          <cell r="DL68">
            <v>3.9999999999999996E-5</v>
          </cell>
          <cell r="DM68">
            <v>0</v>
          </cell>
          <cell r="DN68">
            <v>9.9999999999999991E-6</v>
          </cell>
          <cell r="DO68">
            <v>0</v>
          </cell>
          <cell r="DQ68">
            <v>0.5</v>
          </cell>
          <cell r="DR68">
            <v>6</v>
          </cell>
          <cell r="DS68">
            <v>0.29098000000000002</v>
          </cell>
          <cell r="DT68">
            <v>0.28346199999999999</v>
          </cell>
          <cell r="DU68">
            <v>0.26105400000000001</v>
          </cell>
          <cell r="DV68">
            <v>0.23169699999999999</v>
          </cell>
          <cell r="DW68">
            <v>0.21465599999999999</v>
          </cell>
          <cell r="DX68">
            <v>0.22303299999999998</v>
          </cell>
          <cell r="DY68">
            <v>0.21835599999999999</v>
          </cell>
          <cell r="DZ68">
            <v>0.15415600000000002</v>
          </cell>
          <cell r="EA68">
            <v>6.6369999999999985E-2</v>
          </cell>
          <cell r="EB68">
            <v>1.4545999999999996E-2</v>
          </cell>
          <cell r="EC68">
            <v>3.6689999999999987E-3</v>
          </cell>
          <cell r="ED68">
            <v>6.8299999999999871E-4</v>
          </cell>
          <cell r="EE68">
            <v>-3.2600000000000077E-4</v>
          </cell>
          <cell r="EF68">
            <v>-6.140000000000004E-4</v>
          </cell>
          <cell r="EG68">
            <v>-6.9200000000000012E-4</v>
          </cell>
          <cell r="EH68">
            <v>-6.7500000000000004E-4</v>
          </cell>
          <cell r="EI68">
            <v>-5.5900000000000025E-4</v>
          </cell>
          <cell r="EJ68">
            <v>-4.6800000000000015E-4</v>
          </cell>
          <cell r="EL68">
            <v>0.5</v>
          </cell>
          <cell r="EM68">
            <v>6</v>
          </cell>
          <cell r="EN68">
            <v>0.29098000000000002</v>
          </cell>
          <cell r="EO68">
            <v>0.28387199999999996</v>
          </cell>
          <cell r="EP68">
            <v>0.26329000000000002</v>
          </cell>
          <cell r="EQ68">
            <v>0.22685900000000001</v>
          </cell>
          <cell r="ER68">
            <v>0.17561699999999997</v>
          </cell>
          <cell r="ES68">
            <v>0.11970899999999997</v>
          </cell>
          <cell r="ET68">
            <v>7.5456000000000023E-2</v>
          </cell>
          <cell r="EU68">
            <v>4.1877000000000004E-2</v>
          </cell>
          <cell r="EV68">
            <v>2.3057000000000005E-2</v>
          </cell>
          <cell r="EW68">
            <v>1.1705000000000004E-2</v>
          </cell>
          <cell r="EX68">
            <v>7.1300000000000009E-3</v>
          </cell>
          <cell r="EY68">
            <v>4.8630000000000001E-3</v>
          </cell>
          <cell r="EZ68">
            <v>3.4820000000000007E-3</v>
          </cell>
          <cell r="FA68">
            <v>2.6050000000000001E-3</v>
          </cell>
          <cell r="FB68">
            <v>2.0830000000000002E-3</v>
          </cell>
          <cell r="FC68">
            <v>1.3500000000000003E-3</v>
          </cell>
          <cell r="FD68">
            <v>9.5100000000000013E-4</v>
          </cell>
          <cell r="FE68">
            <v>7.1100000000000004E-4</v>
          </cell>
        </row>
        <row r="69">
          <cell r="CV69">
            <v>0.6</v>
          </cell>
          <cell r="CW69">
            <v>7</v>
          </cell>
          <cell r="CX69">
            <v>0.86380999999999997</v>
          </cell>
          <cell r="CY69">
            <v>0.85221999999999998</v>
          </cell>
          <cell r="CZ69">
            <v>0.81386000000000003</v>
          </cell>
          <cell r="DA69">
            <v>0.73249000000000009</v>
          </cell>
          <cell r="DB69">
            <v>0.59087000000000001</v>
          </cell>
          <cell r="DC69">
            <v>0.40027999999999997</v>
          </cell>
          <cell r="DD69">
            <v>0.22409000000000001</v>
          </cell>
          <cell r="DE69">
            <v>7.9089999999999994E-2</v>
          </cell>
          <cell r="DF69">
            <v>1.6449999999999999E-2</v>
          </cell>
          <cell r="DG69">
            <v>1.72E-3</v>
          </cell>
          <cell r="DH69">
            <v>2.9E-4</v>
          </cell>
          <cell r="DI69">
            <v>1.3999999999999999E-4</v>
          </cell>
          <cell r="DJ69">
            <v>3.4999999999999997E-5</v>
          </cell>
          <cell r="DK69">
            <v>2.0000000000000002E-5</v>
          </cell>
          <cell r="DL69">
            <v>1.0000000000000001E-5</v>
          </cell>
          <cell r="DM69">
            <v>0</v>
          </cell>
          <cell r="DN69">
            <v>0</v>
          </cell>
          <cell r="DO69">
            <v>0</v>
          </cell>
          <cell r="DQ69">
            <v>0.6</v>
          </cell>
          <cell r="DR69">
            <v>7</v>
          </cell>
          <cell r="DS69">
            <v>0.22352499999999997</v>
          </cell>
          <cell r="DT69">
            <v>0.21752900000000003</v>
          </cell>
          <cell r="DU69">
            <v>0.20718700000000001</v>
          </cell>
          <cell r="DV69">
            <v>0.18806300000000001</v>
          </cell>
          <cell r="DW69">
            <v>0.18518800000000002</v>
          </cell>
          <cell r="DX69">
            <v>0.19728000000000001</v>
          </cell>
          <cell r="DY69">
            <v>0.19836499999999999</v>
          </cell>
          <cell r="DZ69">
            <v>0.15495300000000001</v>
          </cell>
          <cell r="EA69">
            <v>7.5549999999999992E-2</v>
          </cell>
          <cell r="EB69">
            <v>1.9393000000000001E-2</v>
          </cell>
          <cell r="EC69">
            <v>6.1099999999999991E-3</v>
          </cell>
          <cell r="ED69">
            <v>1.8399999999999988E-3</v>
          </cell>
          <cell r="EE69">
            <v>5.0099999999999928E-4</v>
          </cell>
          <cell r="EF69">
            <v>-2.1600000000000005E-4</v>
          </cell>
          <cell r="EG69">
            <v>-3.8100000000000026E-4</v>
          </cell>
          <cell r="EH69">
            <v>-5.300000000000002E-4</v>
          </cell>
          <cell r="EI69">
            <v>-4.630000000000002E-4</v>
          </cell>
          <cell r="EJ69">
            <v>-3.990000000000001E-4</v>
          </cell>
          <cell r="EL69">
            <v>0.6</v>
          </cell>
          <cell r="EM69">
            <v>7</v>
          </cell>
          <cell r="EN69">
            <v>0.22352499999999997</v>
          </cell>
          <cell r="EO69">
            <v>0.21790799999999999</v>
          </cell>
          <cell r="EP69">
            <v>0.200049</v>
          </cell>
          <cell r="EQ69">
            <v>0.170986</v>
          </cell>
          <cell r="ER69">
            <v>0.132744</v>
          </cell>
          <cell r="ES69">
            <v>9.3306000000000014E-2</v>
          </cell>
          <cell r="ET69">
            <v>6.2269000000000005E-2</v>
          </cell>
          <cell r="EU69">
            <v>3.6226999999999995E-2</v>
          </cell>
          <cell r="EV69">
            <v>2.0729999999999998E-2</v>
          </cell>
          <cell r="EW69">
            <v>1.0543000000000002E-2</v>
          </cell>
          <cell r="EX69">
            <v>6.7650000000000002E-3</v>
          </cell>
          <cell r="EY69">
            <v>4.530000000000001E-3</v>
          </cell>
          <cell r="EZ69">
            <v>3.3690000000000005E-3</v>
          </cell>
          <cell r="FA69">
            <v>2.5350000000000004E-3</v>
          </cell>
          <cell r="FB69">
            <v>2.0290000000000004E-3</v>
          </cell>
          <cell r="FC69">
            <v>1.3200000000000002E-3</v>
          </cell>
          <cell r="FD69">
            <v>9.360000000000002E-4</v>
          </cell>
          <cell r="FE69">
            <v>6.9900000000000008E-4</v>
          </cell>
        </row>
        <row r="70">
          <cell r="CV70">
            <v>0.7</v>
          </cell>
          <cell r="CW70">
            <v>8</v>
          </cell>
          <cell r="CX70">
            <v>0.81140999999999996</v>
          </cell>
          <cell r="CY70">
            <v>0.79835999999999996</v>
          </cell>
          <cell r="CZ70">
            <v>0.75563000000000002</v>
          </cell>
          <cell r="DA70">
            <v>0.67357</v>
          </cell>
          <cell r="DB70">
            <v>0.54471000000000003</v>
          </cell>
          <cell r="DC70">
            <v>0.37712999999999997</v>
          </cell>
          <cell r="DD70">
            <v>0.23333000000000001</v>
          </cell>
          <cell r="DE70">
            <v>9.5259999999999997E-2</v>
          </cell>
          <cell r="DF70">
            <v>2.2290000000000001E-2</v>
          </cell>
          <cell r="DG70">
            <v>2.3400000000000001E-3</v>
          </cell>
          <cell r="DH70">
            <v>4.2999999999999999E-4</v>
          </cell>
          <cell r="DI70">
            <v>1.95E-4</v>
          </cell>
          <cell r="DJ70">
            <v>4.8999999999999998E-5</v>
          </cell>
          <cell r="DK70">
            <v>3.0000000000000001E-5</v>
          </cell>
          <cell r="DL70">
            <v>2.0000000000000002E-5</v>
          </cell>
          <cell r="DM70">
            <v>0</v>
          </cell>
          <cell r="DN70">
            <v>0</v>
          </cell>
          <cell r="DO70">
            <v>0</v>
          </cell>
          <cell r="DQ70">
            <v>0.7</v>
          </cell>
          <cell r="DR70">
            <v>8</v>
          </cell>
          <cell r="DS70">
            <v>0.17011899999999996</v>
          </cell>
          <cell r="DT70">
            <v>0.16709399999999999</v>
          </cell>
          <cell r="DU70">
            <v>0.15937499999999999</v>
          </cell>
          <cell r="DV70">
            <v>0.15423499999999996</v>
          </cell>
          <cell r="DW70">
            <v>0.15996099999999999</v>
          </cell>
          <cell r="DX70">
            <v>0.16936799999999996</v>
          </cell>
          <cell r="DY70">
            <v>0.17826</v>
          </cell>
          <cell r="DZ70">
            <v>0.14994999999999997</v>
          </cell>
          <cell r="EA70">
            <v>8.2789000000000001E-2</v>
          </cell>
          <cell r="EB70">
            <v>2.3625E-2</v>
          </cell>
          <cell r="EC70">
            <v>8.5699999999999995E-3</v>
          </cell>
          <cell r="ED70">
            <v>3.3199999999999992E-3</v>
          </cell>
          <cell r="EE70">
            <v>1.3189999999999994E-3</v>
          </cell>
          <cell r="EF70">
            <v>1.7699999999999964E-4</v>
          </cell>
          <cell r="EG70">
            <v>-8.8000000000000187E-5</v>
          </cell>
          <cell r="EH70">
            <v>-3.7500000000000012E-4</v>
          </cell>
          <cell r="EI70">
            <v>-3.7700000000000016E-4</v>
          </cell>
          <cell r="EJ70">
            <v>-3.3300000000000007E-4</v>
          </cell>
          <cell r="EL70">
            <v>0.7</v>
          </cell>
          <cell r="EM70">
            <v>8</v>
          </cell>
          <cell r="EN70">
            <v>0.17011899999999996</v>
          </cell>
          <cell r="EO70">
            <v>0.165134</v>
          </cell>
          <cell r="EP70">
            <v>0.151252</v>
          </cell>
          <cell r="EQ70">
            <v>0.12875099999999998</v>
          </cell>
          <cell r="ER70">
            <v>0.10082000000000001</v>
          </cell>
          <cell r="ES70">
            <v>6.8896999999999986E-2</v>
          </cell>
          <cell r="ET70">
            <v>5.0761000000000001E-2</v>
          </cell>
          <cell r="EU70">
            <v>3.0946000000000001E-2</v>
          </cell>
          <cell r="EV70">
            <v>1.7976999999999996E-2</v>
          </cell>
          <cell r="EW70">
            <v>9.5530000000000007E-3</v>
          </cell>
          <cell r="EX70">
            <v>6.3850000000000009E-3</v>
          </cell>
          <cell r="EY70">
            <v>4.4200000000000003E-3</v>
          </cell>
          <cell r="EZ70">
            <v>3.2160000000000001E-3</v>
          </cell>
          <cell r="FA70">
            <v>2.4670000000000004E-3</v>
          </cell>
          <cell r="FB70">
            <v>1.9720000000000002E-3</v>
          </cell>
          <cell r="FC70">
            <v>1.2900000000000001E-3</v>
          </cell>
          <cell r="FD70">
            <v>9.1800000000000009E-4</v>
          </cell>
          <cell r="FE70">
            <v>6.8700000000000011E-4</v>
          </cell>
        </row>
        <row r="71">
          <cell r="CV71">
            <v>0.8</v>
          </cell>
          <cell r="CW71">
            <v>9</v>
          </cell>
          <cell r="CX71">
            <v>0.75622</v>
          </cell>
          <cell r="CY71">
            <v>0.74239999999999995</v>
          </cell>
          <cell r="CZ71">
            <v>0.69862000000000002</v>
          </cell>
          <cell r="DA71">
            <v>0.61941999999999997</v>
          </cell>
          <cell r="DB71">
            <v>0.50360000000000005</v>
          </cell>
          <cell r="DC71">
            <v>0.36588999999999999</v>
          </cell>
          <cell r="DD71">
            <v>0.23736000000000002</v>
          </cell>
          <cell r="DE71">
            <v>0.10850000000000001</v>
          </cell>
          <cell r="DF71">
            <v>2.8219999999999999E-2</v>
          </cell>
          <cell r="DG71">
            <v>3.2499999999999999E-3</v>
          </cell>
          <cell r="DH71">
            <v>6.7000000000000002E-4</v>
          </cell>
          <cell r="DI71">
            <v>2.7999999999999998E-4</v>
          </cell>
          <cell r="DJ71">
            <v>6.7999999999999999E-5</v>
          </cell>
          <cell r="DK71">
            <v>4.0000000000000003E-5</v>
          </cell>
          <cell r="DL71">
            <v>3.0000000000000001E-5</v>
          </cell>
          <cell r="DM71">
            <v>0</v>
          </cell>
          <cell r="DN71">
            <v>0</v>
          </cell>
          <cell r="DO71">
            <v>0</v>
          </cell>
          <cell r="DQ71">
            <v>0.8</v>
          </cell>
          <cell r="DR71">
            <v>9</v>
          </cell>
          <cell r="DS71">
            <v>0.128552</v>
          </cell>
          <cell r="DT71">
            <v>0.12787500000000002</v>
          </cell>
          <cell r="DU71">
            <v>0.12529999999999999</v>
          </cell>
          <cell r="DV71">
            <v>0.12692999999999999</v>
          </cell>
          <cell r="DW71">
            <v>0.13721899999999998</v>
          </cell>
          <cell r="DX71">
            <v>0.15196099999999998</v>
          </cell>
          <cell r="DY71">
            <v>0.15909300000000001</v>
          </cell>
          <cell r="DZ71">
            <v>0.14169699999999996</v>
          </cell>
          <cell r="EA71">
            <v>8.5834999999999995E-2</v>
          </cell>
          <cell r="EB71">
            <v>2.7465000000000003E-2</v>
          </cell>
          <cell r="EC71">
            <v>1.056E-2</v>
          </cell>
          <cell r="ED71">
            <v>4.3799999999999993E-3</v>
          </cell>
          <cell r="EE71">
            <v>1.895E-3</v>
          </cell>
          <cell r="EF71">
            <v>6.2799999999999965E-4</v>
          </cell>
          <cell r="EG71">
            <v>2.2799999999999947E-4</v>
          </cell>
          <cell r="EH71">
            <v>-2.2999999999999995E-4</v>
          </cell>
          <cell r="EI71">
            <v>-2.7500000000000018E-4</v>
          </cell>
          <cell r="EJ71">
            <v>-2.8000000000000003E-4</v>
          </cell>
          <cell r="EL71">
            <v>0.8</v>
          </cell>
          <cell r="EM71">
            <v>9</v>
          </cell>
          <cell r="EN71">
            <v>0.128552</v>
          </cell>
          <cell r="EO71">
            <v>0.12420400000000001</v>
          </cell>
          <cell r="EP71">
            <v>0.11377</v>
          </cell>
          <cell r="EQ71">
            <v>9.7210999999999992E-2</v>
          </cell>
          <cell r="ER71">
            <v>7.6857999999999982E-2</v>
          </cell>
          <cell r="ES71">
            <v>5.7168000000000004E-2</v>
          </cell>
          <cell r="ET71">
            <v>4.1076000000000008E-2</v>
          </cell>
          <cell r="EU71">
            <v>2.6178E-2</v>
          </cell>
          <cell r="EV71">
            <v>1.5350000000000006E-2</v>
          </cell>
          <cell r="EW71">
            <v>8.4350000000000015E-3</v>
          </cell>
          <cell r="EX71">
            <v>5.935000000000001E-3</v>
          </cell>
          <cell r="EY71">
            <v>4.1799999999999997E-3</v>
          </cell>
          <cell r="EZ71">
            <v>3.0760000000000002E-3</v>
          </cell>
          <cell r="FA71">
            <v>2.3920000000000009E-3</v>
          </cell>
          <cell r="FB71">
            <v>1.9050000000000004E-3</v>
          </cell>
          <cell r="FC71">
            <v>1.2600000000000001E-3</v>
          </cell>
          <cell r="FD71">
            <v>9.0000000000000008E-4</v>
          </cell>
          <cell r="FE71">
            <v>6.7500000000000004E-4</v>
          </cell>
        </row>
        <row r="72">
          <cell r="CV72">
            <v>0.9</v>
          </cell>
          <cell r="CW72">
            <v>10</v>
          </cell>
          <cell r="CX72">
            <v>0.70066000000000006</v>
          </cell>
          <cell r="CY72">
            <v>0.68767</v>
          </cell>
          <cell r="CZ72">
            <v>0.64402999999999999</v>
          </cell>
          <cell r="DA72">
            <v>0.57006000000000001</v>
          </cell>
          <cell r="DB72">
            <v>0.46723000000000003</v>
          </cell>
          <cell r="DC72">
            <v>0.34892000000000001</v>
          </cell>
          <cell r="DD72">
            <v>0.23760000000000001</v>
          </cell>
          <cell r="DE72">
            <v>0.11889</v>
          </cell>
          <cell r="DF72">
            <v>3.465E-2</v>
          </cell>
          <cell r="DG72">
            <v>4.5500000000000002E-3</v>
          </cell>
          <cell r="DH72">
            <v>1.0300000000000001E-3</v>
          </cell>
          <cell r="DI72">
            <v>3.6999999999999999E-4</v>
          </cell>
          <cell r="DJ72">
            <v>1E-4</v>
          </cell>
          <cell r="DK72">
            <v>6.0000000000000002E-5</v>
          </cell>
          <cell r="DL72">
            <v>4.0000000000000003E-5</v>
          </cell>
          <cell r="DM72">
            <v>1.0000000000000001E-5</v>
          </cell>
          <cell r="DN72">
            <v>0</v>
          </cell>
          <cell r="DO72">
            <v>0</v>
          </cell>
          <cell r="DQ72">
            <v>0.9</v>
          </cell>
          <cell r="DR72">
            <v>10</v>
          </cell>
          <cell r="DS72">
            <v>9.6573999999999993E-2</v>
          </cell>
          <cell r="DT72">
            <v>9.7507999999999984E-2</v>
          </cell>
          <cell r="DU72">
            <v>9.8684000000000022E-2</v>
          </cell>
          <cell r="DV72">
            <v>0.10489299999999999</v>
          </cell>
          <cell r="DW72">
            <v>0.117536</v>
          </cell>
          <cell r="DX72">
            <v>0.13264499999999999</v>
          </cell>
          <cell r="DY72">
            <v>0.14121800000000001</v>
          </cell>
          <cell r="DZ72">
            <v>0.13181199999999998</v>
          </cell>
          <cell r="EA72">
            <v>8.6558999999999997E-2</v>
          </cell>
          <cell r="EB72">
            <v>3.0834999999999998E-2</v>
          </cell>
          <cell r="EC72">
            <v>1.2269999999999998E-2</v>
          </cell>
          <cell r="ED72">
            <v>5.4999999999999988E-3</v>
          </cell>
          <cell r="EE72">
            <v>2.4989999999999991E-3</v>
          </cell>
          <cell r="EF72">
            <v>1.1099999999999994E-3</v>
          </cell>
          <cell r="EG72">
            <v>4.9099999999999968E-4</v>
          </cell>
          <cell r="EH72">
            <v>-6.5000000000000387E-5</v>
          </cell>
          <cell r="EI72">
            <v>-1.8300000000000011E-4</v>
          </cell>
          <cell r="EJ72">
            <v>-2.2400000000000013E-4</v>
          </cell>
          <cell r="EL72">
            <v>0.9</v>
          </cell>
          <cell r="EM72">
            <v>10</v>
          </cell>
          <cell r="EN72">
            <v>9.6573999999999993E-2</v>
          </cell>
          <cell r="EO72">
            <v>9.2964999999999992E-2</v>
          </cell>
          <cell r="EP72">
            <v>8.5356000000000015E-2</v>
          </cell>
          <cell r="EQ72">
            <v>7.3135999999999993E-2</v>
          </cell>
          <cell r="ER72">
            <v>5.8698000000000021E-2</v>
          </cell>
          <cell r="ES72">
            <v>4.4607999999999974E-2</v>
          </cell>
          <cell r="ET72">
            <v>3.3012999999999987E-2</v>
          </cell>
          <cell r="EU72">
            <v>2.1835999999999998E-2</v>
          </cell>
          <cell r="EV72">
            <v>1.2954000000000004E-2</v>
          </cell>
          <cell r="EW72">
            <v>7.7650000000000028E-3</v>
          </cell>
          <cell r="EX72">
            <v>5.6450000000000016E-3</v>
          </cell>
          <cell r="EY72">
            <v>3.8700000000000006E-3</v>
          </cell>
          <cell r="EZ72">
            <v>2.9310000000000004E-3</v>
          </cell>
          <cell r="FA72">
            <v>2.2980000000000006E-3</v>
          </cell>
          <cell r="FB72">
            <v>1.8420000000000003E-3</v>
          </cell>
          <cell r="FC72">
            <v>1.2300000000000002E-3</v>
          </cell>
          <cell r="FD72">
            <v>8.8200000000000019E-4</v>
          </cell>
          <cell r="FE72">
            <v>6.5600000000000012E-4</v>
          </cell>
        </row>
        <row r="73">
          <cell r="CV73">
            <v>1</v>
          </cell>
          <cell r="CW73">
            <v>11</v>
          </cell>
          <cell r="CX73">
            <v>0.6464399999999999</v>
          </cell>
          <cell r="CY73">
            <v>0.63315999999999995</v>
          </cell>
          <cell r="CZ73">
            <v>0.59079999999999999</v>
          </cell>
          <cell r="DA73">
            <v>0.52515999999999996</v>
          </cell>
          <cell r="DB73">
            <v>0.43446000000000001</v>
          </cell>
          <cell r="DC73">
            <v>0.33223000000000003</v>
          </cell>
          <cell r="DD73">
            <v>0.23538999999999999</v>
          </cell>
          <cell r="DE73">
            <v>0.12662999999999999</v>
          </cell>
          <cell r="DF73">
            <v>4.1800000000000004E-2</v>
          </cell>
          <cell r="DG73">
            <v>6.2700000000000013E-3</v>
          </cell>
          <cell r="DH73">
            <v>1.5299999999999992E-3</v>
          </cell>
          <cell r="DI73">
            <v>4.9000000000000042E-4</v>
          </cell>
          <cell r="DJ73">
            <v>1.5999999999999999E-4</v>
          </cell>
          <cell r="DK73">
            <v>7.9999999999999993E-5</v>
          </cell>
          <cell r="DL73">
            <v>5.0000000000000023E-5</v>
          </cell>
          <cell r="DM73">
            <v>1.9999999999999998E-5</v>
          </cell>
          <cell r="DN73">
            <v>1.9999999999999998E-5</v>
          </cell>
          <cell r="DO73">
            <v>0</v>
          </cell>
          <cell r="DQ73">
            <v>1</v>
          </cell>
          <cell r="DR73">
            <v>11</v>
          </cell>
          <cell r="DS73">
            <v>7.2177999999999992E-2</v>
          </cell>
          <cell r="DT73">
            <v>7.3680999999999996E-2</v>
          </cell>
          <cell r="DU73">
            <v>7.4340000000000031E-2</v>
          </cell>
          <cell r="DV73">
            <v>8.6603999999999987E-2</v>
          </cell>
          <cell r="DW73">
            <v>0.10048599999999999</v>
          </cell>
          <cell r="DX73">
            <v>0.115414</v>
          </cell>
          <cell r="DY73">
            <v>0.12506999999999999</v>
          </cell>
          <cell r="DZ73">
            <v>0.12128499999999999</v>
          </cell>
          <cell r="EA73">
            <v>8.6484000000000005E-2</v>
          </cell>
          <cell r="EB73">
            <v>3.3472000000000002E-2</v>
          </cell>
          <cell r="EC73">
            <v>1.3883999999999999E-2</v>
          </cell>
          <cell r="ED73">
            <v>6.3839999999999991E-3</v>
          </cell>
          <cell r="EE73">
            <v>3.1189999999999989E-3</v>
          </cell>
          <cell r="EF73">
            <v>1.5879999999999996E-3</v>
          </cell>
          <cell r="EG73">
            <v>7.9799999999999966E-4</v>
          </cell>
          <cell r="EH73">
            <v>1.2999999999999991E-4</v>
          </cell>
          <cell r="EI73">
            <v>-8.7000000000000163E-5</v>
          </cell>
          <cell r="EJ73">
            <v>-1.7100000000000014E-4</v>
          </cell>
          <cell r="EL73">
            <v>1</v>
          </cell>
          <cell r="EM73">
            <v>11</v>
          </cell>
          <cell r="EN73">
            <v>7.2177999999999992E-2</v>
          </cell>
          <cell r="EO73">
            <v>6.9760000000000003E-2</v>
          </cell>
          <cell r="EP73">
            <v>6.4005000000000006E-2</v>
          </cell>
          <cell r="EQ73">
            <v>5.5054999999999993E-2</v>
          </cell>
          <cell r="ER73">
            <v>4.468999999999998E-2</v>
          </cell>
          <cell r="ES73">
            <v>3.4779000000000011E-2</v>
          </cell>
          <cell r="ET73">
            <v>2.6432999999999998E-2</v>
          </cell>
          <cell r="EU73">
            <v>1.8007999999999996E-2</v>
          </cell>
          <cell r="EV73">
            <v>1.1390999999999998E-2</v>
          </cell>
          <cell r="EW73">
            <v>7.2920000000000016E-3</v>
          </cell>
          <cell r="EX73">
            <v>5.1329999999999995E-3</v>
          </cell>
          <cell r="EY73">
            <v>3.7370000000000003E-3</v>
          </cell>
          <cell r="EZ73">
            <v>2.8130000000000004E-3</v>
          </cell>
          <cell r="FA73">
            <v>2.2030000000000001E-3</v>
          </cell>
          <cell r="FB73">
            <v>1.7680000000000005E-3</v>
          </cell>
          <cell r="FC73">
            <v>1.2000000000000001E-3</v>
          </cell>
          <cell r="FD73">
            <v>8.7400000000000021E-4</v>
          </cell>
          <cell r="FE73">
            <v>6.5700000000000014E-4</v>
          </cell>
        </row>
        <row r="74">
          <cell r="CV74">
            <v>1.2</v>
          </cell>
          <cell r="CW74">
            <v>12</v>
          </cell>
          <cell r="CX74">
            <v>0.54663000000000006</v>
          </cell>
          <cell r="CY74">
            <v>0.53525</v>
          </cell>
          <cell r="CZ74">
            <v>0.50143000000000004</v>
          </cell>
          <cell r="DA74">
            <v>0.44725999999999999</v>
          </cell>
          <cell r="DB74">
            <v>0.37739</v>
          </cell>
          <cell r="DC74">
            <v>0.30015999999999998</v>
          </cell>
          <cell r="DD74">
            <v>0.22572</v>
          </cell>
          <cell r="DE74">
            <v>0.13569999999999999</v>
          </cell>
          <cell r="DF74">
            <v>5.2830000000000002E-2</v>
          </cell>
          <cell r="DG74">
            <v>9.3999999999999986E-3</v>
          </cell>
          <cell r="DH74">
            <v>2.3900000000000006E-3</v>
          </cell>
          <cell r="DI74">
            <v>8.1000000000000039E-4</v>
          </cell>
          <cell r="DJ74">
            <v>3.3E-4</v>
          </cell>
          <cell r="DK74">
            <v>1.4999999999999996E-4</v>
          </cell>
          <cell r="DL74">
            <v>7.9999999999999993E-5</v>
          </cell>
          <cell r="DM74">
            <v>3.0000000000000001E-5</v>
          </cell>
          <cell r="DN74">
            <v>2.4000000000000001E-5</v>
          </cell>
          <cell r="DO74">
            <v>0</v>
          </cell>
          <cell r="DQ74">
            <v>1.2</v>
          </cell>
          <cell r="DR74">
            <v>12</v>
          </cell>
          <cell r="DS74">
            <v>3.9593000000000003E-2</v>
          </cell>
          <cell r="DT74">
            <v>4.247500000000002E-2</v>
          </cell>
          <cell r="DU74">
            <v>4.8343999999999984E-2</v>
          </cell>
          <cell r="DV74">
            <v>5.9946999999999993E-2</v>
          </cell>
          <cell r="DW74">
            <v>7.2950000000000001E-2</v>
          </cell>
          <cell r="DX74">
            <v>8.6966999999999989E-2</v>
          </cell>
          <cell r="DY74">
            <v>9.7279000000000004E-2</v>
          </cell>
          <cell r="DZ74">
            <v>0.100562</v>
          </cell>
          <cell r="EA74">
            <v>8.0984E-2</v>
          </cell>
          <cell r="EB74">
            <v>3.6982000000000001E-2</v>
          </cell>
          <cell r="EC74">
            <v>1.6756E-2</v>
          </cell>
          <cell r="ED74">
            <v>8.2490000000000011E-3</v>
          </cell>
          <cell r="EE74">
            <v>4.3609999999999994E-3</v>
          </cell>
          <cell r="EF74">
            <v>2.4089999999999997E-3</v>
          </cell>
          <cell r="EG74">
            <v>1.3650000000000001E-3</v>
          </cell>
          <cell r="EH74">
            <v>4.4499999999999987E-4</v>
          </cell>
          <cell r="EI74">
            <v>1.1999999999999988E-4</v>
          </cell>
          <cell r="EJ74">
            <v>-1.0600000000000008E-4</v>
          </cell>
          <cell r="EL74">
            <v>1.2</v>
          </cell>
          <cell r="EM74">
            <v>12</v>
          </cell>
          <cell r="EN74">
            <v>3.9593000000000003E-2</v>
          </cell>
          <cell r="EO74">
            <v>3.7690000000000001E-2</v>
          </cell>
          <cell r="EP74">
            <v>3.5097000000000003E-2</v>
          </cell>
          <cell r="EQ74">
            <v>3.0723000000000007E-2</v>
          </cell>
          <cell r="ER74">
            <v>2.5571999999999987E-2</v>
          </cell>
          <cell r="ES74">
            <v>2.06E-2</v>
          </cell>
          <cell r="ET74">
            <v>1.6390999999999996E-2</v>
          </cell>
          <cell r="EU74">
            <v>1.1931999999999995E-2</v>
          </cell>
          <cell r="EV74">
            <v>8.2540000000000009E-3</v>
          </cell>
          <cell r="EW74">
            <v>5.8600000000000006E-3</v>
          </cell>
          <cell r="EX74">
            <v>4.3710000000000008E-3</v>
          </cell>
          <cell r="EY74">
            <v>3.3340000000000006E-3</v>
          </cell>
          <cell r="EZ74">
            <v>2.5820000000000001E-3</v>
          </cell>
          <cell r="FA74">
            <v>2.0480000000000003E-3</v>
          </cell>
          <cell r="FB74">
            <v>1.6570000000000003E-3</v>
          </cell>
          <cell r="FC74">
            <v>1.1400000000000002E-3</v>
          </cell>
          <cell r="FD74">
            <v>8.3500000000000002E-4</v>
          </cell>
          <cell r="FE74">
            <v>6.4300000000000013E-4</v>
          </cell>
        </row>
        <row r="75">
          <cell r="CV75">
            <v>1.5</v>
          </cell>
          <cell r="CW75">
            <v>13</v>
          </cell>
          <cell r="CX75">
            <v>0.42397000000000001</v>
          </cell>
          <cell r="CY75">
            <v>0.41576999999999997</v>
          </cell>
          <cell r="CZ75">
            <v>0.39215</v>
          </cell>
          <cell r="DA75">
            <v>0.35498000000000002</v>
          </cell>
          <cell r="DB75">
            <v>0.30803999999999998</v>
          </cell>
          <cell r="DC75">
            <v>0.25624000000000002</v>
          </cell>
          <cell r="DD75">
            <v>0.20489000000000002</v>
          </cell>
          <cell r="DE75">
            <v>0.13793</v>
          </cell>
          <cell r="DF75">
            <v>6.5009999999999998E-2</v>
          </cell>
          <cell r="DG75">
            <v>1.4730000000000002E-2</v>
          </cell>
          <cell r="DH75">
            <v>4.13E-3</v>
          </cell>
          <cell r="DI75">
            <v>1.47E-3</v>
          </cell>
          <cell r="DJ75">
            <v>5.9999999999999984E-4</v>
          </cell>
          <cell r="DK75">
            <v>2.8999999999999989E-4</v>
          </cell>
          <cell r="DL75">
            <v>1.4999999999999996E-4</v>
          </cell>
          <cell r="DM75">
            <v>4.9999999999999914E-5</v>
          </cell>
          <cell r="DN75">
            <v>2.999999999999997E-5</v>
          </cell>
          <cell r="DO75">
            <v>1.0000000000000026E-5</v>
          </cell>
          <cell r="DQ75">
            <v>1.5</v>
          </cell>
          <cell r="DR75">
            <v>13</v>
          </cell>
          <cell r="DS75">
            <v>1.4748999999999981E-2</v>
          </cell>
          <cell r="DT75">
            <v>1.7681999999999996E-2</v>
          </cell>
          <cell r="DU75">
            <v>2.3285999999999991E-2</v>
          </cell>
          <cell r="DV75">
            <v>3.2932000000000003E-2</v>
          </cell>
          <cell r="DW75">
            <v>4.4698999999999996E-2</v>
          </cell>
          <cell r="DX75">
            <v>5.6416000000000001E-2</v>
          </cell>
          <cell r="DY75">
            <v>6.6110000000000002E-2</v>
          </cell>
          <cell r="DZ75">
            <v>7.3746999999999993E-2</v>
          </cell>
          <cell r="EA75">
            <v>6.8590999999999999E-2</v>
          </cell>
          <cell r="EB75">
            <v>3.8876999999999995E-2</v>
          </cell>
          <cell r="EC75">
            <v>1.9805999999999997E-2</v>
          </cell>
          <cell r="ED75">
            <v>1.0555999999999999E-2</v>
          </cell>
          <cell r="EE75">
            <v>5.9559999999999995E-3</v>
          </cell>
          <cell r="EF75">
            <v>3.5419999999999991E-3</v>
          </cell>
          <cell r="EG75">
            <v>2.1619999999999999E-3</v>
          </cell>
          <cell r="EH75">
            <v>8.619999999999997E-4</v>
          </cell>
          <cell r="EI75">
            <v>3.48E-4</v>
          </cell>
          <cell r="EJ75">
            <v>-2.400000000000015E-5</v>
          </cell>
          <cell r="EL75">
            <v>1.5</v>
          </cell>
          <cell r="EM75">
            <v>13</v>
          </cell>
          <cell r="EN75">
            <v>1.4748999999999981E-2</v>
          </cell>
          <cell r="EO75">
            <v>1.3392000000000012E-2</v>
          </cell>
          <cell r="EP75">
            <v>1.3245999999999983E-2</v>
          </cell>
          <cell r="EQ75">
            <v>1.1793000000000008E-2</v>
          </cell>
          <cell r="ER75">
            <v>1.0033000000000004E-2</v>
          </cell>
          <cell r="ES75">
            <v>8.4280000000000015E-3</v>
          </cell>
          <cell r="ET75">
            <v>6.9950000000000012E-3</v>
          </cell>
          <cell r="EU75">
            <v>5.6189999999999921E-3</v>
          </cell>
          <cell r="EV75">
            <v>4.5310000000000003E-3</v>
          </cell>
          <cell r="EW75">
            <v>4.1730000000000014E-3</v>
          </cell>
          <cell r="EX75">
            <v>3.4149999999999996E-3</v>
          </cell>
          <cell r="EY75">
            <v>2.7729999999999999E-3</v>
          </cell>
          <cell r="EZ75">
            <v>2.2219999999999996E-3</v>
          </cell>
          <cell r="FA75">
            <v>1.8379999999999996E-3</v>
          </cell>
          <cell r="FB75">
            <v>1.4950000000000005E-3</v>
          </cell>
          <cell r="FC75">
            <v>1.0560000000000003E-3</v>
          </cell>
          <cell r="FD75">
            <v>7.8300000000000017E-4</v>
          </cell>
          <cell r="FE75">
            <v>6.0300000000000002E-4</v>
          </cell>
        </row>
        <row r="76">
          <cell r="CV76">
            <v>2</v>
          </cell>
          <cell r="CW76">
            <v>14</v>
          </cell>
          <cell r="CX76">
            <v>0.28445999999999999</v>
          </cell>
          <cell r="CY76">
            <v>0.28597</v>
          </cell>
          <cell r="CZ76">
            <v>0.26784000000000002</v>
          </cell>
          <cell r="DA76">
            <v>0.24845</v>
          </cell>
          <cell r="DB76">
            <v>0.22386</v>
          </cell>
          <cell r="DC76">
            <v>0.19600000000000001</v>
          </cell>
          <cell r="DD76">
            <v>0.16725000000000001</v>
          </cell>
          <cell r="DE76">
            <v>0.12646000000000002</v>
          </cell>
          <cell r="DF76">
            <v>7.3319999999999996E-2</v>
          </cell>
          <cell r="DG76">
            <v>2.249E-2</v>
          </cell>
          <cell r="DH76">
            <v>7.4999999999999989E-3</v>
          </cell>
          <cell r="DI76">
            <v>2.8800000000000002E-3</v>
          </cell>
          <cell r="DJ76">
            <v>1.2099999999999997E-3</v>
          </cell>
          <cell r="DK76">
            <v>6.1999999999999989E-4</v>
          </cell>
          <cell r="DL76">
            <v>3.1999999999999997E-4</v>
          </cell>
          <cell r="DM76">
            <v>9.9999999999999937E-5</v>
          </cell>
          <cell r="DN76">
            <v>5.9999999999999941E-5</v>
          </cell>
          <cell r="DO76">
            <v>3.0000000000000024E-5</v>
          </cell>
          <cell r="DQ76">
            <v>2</v>
          </cell>
          <cell r="DR76">
            <v>14</v>
          </cell>
          <cell r="DS76">
            <v>2.9599999999998725E-4</v>
          </cell>
          <cell r="DT76">
            <v>4.3050000000000033E-3</v>
          </cell>
          <cell r="DU76">
            <v>6.2020000000000061E-3</v>
          </cell>
          <cell r="DV76">
            <v>1.2120999999999988E-2</v>
          </cell>
          <cell r="DW76">
            <v>1.9962999999999998E-2</v>
          </cell>
          <cell r="DX76">
            <v>2.7222E-2</v>
          </cell>
          <cell r="DY76">
            <v>3.4513999999999996E-2</v>
          </cell>
          <cell r="DZ76">
            <v>4.2695999999999998E-2</v>
          </cell>
          <cell r="EA76">
            <v>4.7271000000000001E-2</v>
          </cell>
          <cell r="EB76">
            <v>3.5680000000000003E-2</v>
          </cell>
          <cell r="EC76">
            <v>2.1752000000000001E-2</v>
          </cell>
          <cell r="ED76">
            <v>1.2975999999999998E-2</v>
          </cell>
          <cell r="EE76">
            <v>7.9109999999999996E-3</v>
          </cell>
          <cell r="EF76">
            <v>5.0459999999999993E-3</v>
          </cell>
          <cell r="EG76">
            <v>3.2999999999999991E-3</v>
          </cell>
          <cell r="EH76">
            <v>1.5269999999999997E-3</v>
          </cell>
          <cell r="EI76">
            <v>7.629999999999999E-4</v>
          </cell>
          <cell r="EJ76">
            <v>3.9299999999999979E-4</v>
          </cell>
          <cell r="EL76">
            <v>2</v>
          </cell>
          <cell r="EM76">
            <v>14</v>
          </cell>
          <cell r="EN76">
            <v>2.9599999999998725E-4</v>
          </cell>
          <cell r="EO76">
            <v>-2.3140000000000036E-3</v>
          </cell>
          <cell r="EP76">
            <v>-2.6199999999998967E-4</v>
          </cell>
          <cell r="EQ76">
            <v>-9.9000000000003599E-5</v>
          </cell>
          <cell r="ER76">
            <v>-5.1300000000000477E-4</v>
          </cell>
          <cell r="ES76">
            <v>3.799999999999637E-5</v>
          </cell>
          <cell r="ET76">
            <v>-3.6999999999997105E-5</v>
          </cell>
          <cell r="EU76">
            <v>2.6899999999999667E-4</v>
          </cell>
          <cell r="EV76">
            <v>8.0400000000000436E-4</v>
          </cell>
          <cell r="EW76">
            <v>1.7970000000000026E-3</v>
          </cell>
          <cell r="EX76">
            <v>2.0679999999999995E-3</v>
          </cell>
          <cell r="EY76">
            <v>1.9270000000000003E-3</v>
          </cell>
          <cell r="EZ76">
            <v>1.6419999999999998E-3</v>
          </cell>
          <cell r="FA76">
            <v>1.4620000000000002E-3</v>
          </cell>
          <cell r="FB76">
            <v>1.2400000000000002E-3</v>
          </cell>
          <cell r="FC76">
            <v>9.1100000000000003E-4</v>
          </cell>
          <cell r="FD76">
            <v>7.0200000000000015E-4</v>
          </cell>
          <cell r="FE76">
            <v>5.4900000000000012E-4</v>
          </cell>
        </row>
        <row r="77">
          <cell r="CV77">
            <v>2.5</v>
          </cell>
          <cell r="CW77">
            <v>15</v>
          </cell>
          <cell r="CX77">
            <v>0.19958999999999999</v>
          </cell>
          <cell r="CY77">
            <v>0.19730999999999999</v>
          </cell>
          <cell r="CZ77">
            <v>0.19073000000000001</v>
          </cell>
          <cell r="DA77">
            <v>0.18024999999999999</v>
          </cell>
          <cell r="DB77">
            <v>0.16671</v>
          </cell>
          <cell r="DC77">
            <v>0.15104000000000001</v>
          </cell>
          <cell r="DD77">
            <v>0.13424</v>
          </cell>
          <cell r="DE77">
            <v>0.10902000000000001</v>
          </cell>
          <cell r="DF77">
            <v>7.2160000000000002E-2</v>
          </cell>
          <cell r="DG77">
            <v>2.8040000000000002E-2</v>
          </cell>
          <cell r="DH77">
            <v>1.091E-2</v>
          </cell>
          <cell r="DI77">
            <v>4.6099999999999995E-3</v>
          </cell>
          <cell r="DJ77">
            <v>2.1299999999999995E-3</v>
          </cell>
          <cell r="DK77">
            <v>1.0699999999999998E-3</v>
          </cell>
          <cell r="DL77">
            <v>5.8E-4</v>
          </cell>
          <cell r="DM77">
            <v>2.1000000000000001E-4</v>
          </cell>
          <cell r="DN77">
            <v>9.0000000000000019E-5</v>
          </cell>
          <cell r="DO77">
            <v>3.9999999999999996E-5</v>
          </cell>
          <cell r="DQ77">
            <v>2.5</v>
          </cell>
          <cell r="DR77">
            <v>15</v>
          </cell>
          <cell r="DS77">
            <v>-3.2380000000000048E-3</v>
          </cell>
          <cell r="DT77">
            <v>2.5000000000004186E-5</v>
          </cell>
          <cell r="DU77">
            <v>6.160000000000037E-4</v>
          </cell>
          <cell r="DV77">
            <v>4.0850000000000001E-3</v>
          </cell>
          <cell r="DW77">
            <v>8.4329999999999891E-3</v>
          </cell>
          <cell r="DX77">
            <v>1.4054000000000004E-2</v>
          </cell>
          <cell r="DY77">
            <v>1.8102999999999998E-2</v>
          </cell>
          <cell r="DZ77">
            <v>2.4581000000000006E-2</v>
          </cell>
          <cell r="EA77">
            <v>3.1102999999999999E-2</v>
          </cell>
          <cell r="EB77">
            <v>2.9434999999999999E-2</v>
          </cell>
          <cell r="EC77">
            <v>2.1008999999999996E-2</v>
          </cell>
          <cell r="ED77">
            <v>1.3902000000000001E-2</v>
          </cell>
          <cell r="EE77">
            <v>9.1529999999999979E-3</v>
          </cell>
          <cell r="EF77">
            <v>6.1180000000000002E-3</v>
          </cell>
          <cell r="EG77">
            <v>4.1919999999999995E-3</v>
          </cell>
          <cell r="EH77">
            <v>2.1059999999999998E-3</v>
          </cell>
          <cell r="EI77">
            <v>1.1320000000000002E-3</v>
          </cell>
          <cell r="EJ77">
            <v>6.3299999999999999E-4</v>
          </cell>
          <cell r="EL77">
            <v>2.5</v>
          </cell>
          <cell r="EM77">
            <v>15</v>
          </cell>
          <cell r="EN77">
            <v>-3.2380000000000048E-3</v>
          </cell>
          <cell r="EO77">
            <v>-5.6859999999999983E-3</v>
          </cell>
          <cell r="EP77">
            <v>-3.7439999999999939E-3</v>
          </cell>
          <cell r="EQ77">
            <v>-3.488999999999999E-3</v>
          </cell>
          <cell r="ER77">
            <v>-3.0790000000000105E-3</v>
          </cell>
          <cell r="ES77">
            <v>-3.7989999999999986E-3</v>
          </cell>
          <cell r="ET77">
            <v>-2.3550000000000012E-3</v>
          </cell>
          <cell r="EU77">
            <v>-1.8409999999999919E-3</v>
          </cell>
          <cell r="EV77">
            <v>-1.0139999999999984E-3</v>
          </cell>
          <cell r="EW77">
            <v>3.8600000000000179E-4</v>
          </cell>
          <cell r="EX77">
            <v>1.0579999999999999E-3</v>
          </cell>
          <cell r="EY77">
            <v>1.242E-3</v>
          </cell>
          <cell r="EZ77">
            <v>1.2209999999999999E-3</v>
          </cell>
          <cell r="FA77">
            <v>1.1180000000000005E-3</v>
          </cell>
          <cell r="FB77">
            <v>1.0060000000000002E-3</v>
          </cell>
          <cell r="FC77">
            <v>7.890000000000002E-4</v>
          </cell>
          <cell r="FD77">
            <v>6.2399999999999999E-4</v>
          </cell>
          <cell r="FE77">
            <v>4.9100000000000001E-4</v>
          </cell>
        </row>
        <row r="78">
          <cell r="CV78">
            <v>3</v>
          </cell>
          <cell r="CW78">
            <v>16</v>
          </cell>
          <cell r="CX78">
            <v>0.14618999999999999</v>
          </cell>
          <cell r="CY78">
            <v>0.14495</v>
          </cell>
          <cell r="CZ78">
            <v>0.14121</v>
          </cell>
          <cell r="DA78">
            <v>0.13521</v>
          </cell>
          <cell r="DB78">
            <v>0.12740000000000001</v>
          </cell>
          <cell r="DC78">
            <v>0.11812</v>
          </cell>
          <cell r="DD78">
            <v>0.10792</v>
          </cell>
          <cell r="DE78">
            <v>9.1929999999999998E-2</v>
          </cell>
          <cell r="DF78">
            <v>6.6610000000000003E-2</v>
          </cell>
          <cell r="DG78">
            <v>3.0920000000000003E-2</v>
          </cell>
          <cell r="DH78">
            <v>1.3770000000000001E-2</v>
          </cell>
          <cell r="DI78">
            <v>6.3600000000000002E-3</v>
          </cell>
          <cell r="DJ78">
            <v>3.13E-3</v>
          </cell>
          <cell r="DK78">
            <v>1.67E-3</v>
          </cell>
          <cell r="DL78">
            <v>9.0999999999999978E-4</v>
          </cell>
          <cell r="DM78">
            <v>3.3E-4</v>
          </cell>
          <cell r="DN78">
            <v>1.4000000000000004E-4</v>
          </cell>
          <cell r="DO78">
            <v>5.0000000000000023E-5</v>
          </cell>
          <cell r="DQ78">
            <v>3</v>
          </cell>
          <cell r="DR78">
            <v>16</v>
          </cell>
          <cell r="DS78">
            <v>-3.8180000000000045E-3</v>
          </cell>
          <cell r="DT78">
            <v>-2.1350000000000041E-3</v>
          </cell>
          <cell r="DU78">
            <v>-1.4709999999999992E-3</v>
          </cell>
          <cell r="DV78">
            <v>4.9699999999999397E-4</v>
          </cell>
          <cell r="DW78">
            <v>3.3179999999999998E-3</v>
          </cell>
          <cell r="DX78">
            <v>6.3999999999999986E-3</v>
          </cell>
          <cell r="DY78">
            <v>9.5500000000000012E-3</v>
          </cell>
          <cell r="DZ78">
            <v>1.4262E-2</v>
          </cell>
          <cell r="EA78">
            <v>2.0202000000000001E-2</v>
          </cell>
          <cell r="EB78">
            <v>2.2968000000000002E-2</v>
          </cell>
          <cell r="EC78">
            <v>1.8810000000000004E-2</v>
          </cell>
          <cell r="ED78">
            <v>1.3694000000000001E-2</v>
          </cell>
          <cell r="EE78">
            <v>9.6509999999999999E-3</v>
          </cell>
          <cell r="EF78">
            <v>6.8089999999999991E-3</v>
          </cell>
          <cell r="EG78">
            <v>4.8249999999999994E-3</v>
          </cell>
          <cell r="EH78">
            <v>2.5749999999999996E-3</v>
          </cell>
          <cell r="EI78">
            <v>1.454E-3</v>
          </cell>
          <cell r="EJ78">
            <v>8.6699999999999993E-4</v>
          </cell>
          <cell r="EL78">
            <v>3</v>
          </cell>
          <cell r="EM78">
            <v>16</v>
          </cell>
          <cell r="EN78">
            <v>-3.8180000000000045E-3</v>
          </cell>
          <cell r="EO78">
            <v>-5.0760000000000041E-3</v>
          </cell>
          <cell r="EP78">
            <v>-5.0360000000000049E-3</v>
          </cell>
          <cell r="EQ78">
            <v>-3.805000000000002E-3</v>
          </cell>
          <cell r="ER78">
            <v>-3.6289999999999977E-3</v>
          </cell>
          <cell r="ES78">
            <v>-3.3740000000000003E-3</v>
          </cell>
          <cell r="ET78">
            <v>-2.9529999999999956E-3</v>
          </cell>
          <cell r="EU78">
            <v>-2.5390000000000031E-3</v>
          </cell>
          <cell r="EV78">
            <v>-1.7589999999999975E-3</v>
          </cell>
          <cell r="EW78">
            <v>-4.2500000000000003E-4</v>
          </cell>
          <cell r="EX78">
            <v>3.6000000000000094E-4</v>
          </cell>
          <cell r="EY78">
            <v>7.2600000000000008E-4</v>
          </cell>
          <cell r="EZ78">
            <v>8.5400000000000016E-4</v>
          </cell>
          <cell r="FA78">
            <v>8.6300000000000005E-4</v>
          </cell>
          <cell r="FB78">
            <v>7.8899999999999999E-4</v>
          </cell>
          <cell r="FC78">
            <v>6.5900000000000008E-4</v>
          </cell>
          <cell r="FD78">
            <v>5.4200000000000006E-4</v>
          </cell>
          <cell r="FE78">
            <v>4.4000000000000018E-4</v>
          </cell>
        </row>
        <row r="79">
          <cell r="CV79">
            <v>4</v>
          </cell>
          <cell r="CW79">
            <v>17</v>
          </cell>
          <cell r="CX79">
            <v>8.6930000000000007E-2</v>
          </cell>
          <cell r="CY79">
            <v>8.6419999999999997E-2</v>
          </cell>
          <cell r="CZ79">
            <v>8.4690000000000001E-2</v>
          </cell>
          <cell r="DA79">
            <v>8.1850000000000006E-2</v>
          </cell>
          <cell r="DB79">
            <v>7.9770000000000008E-2</v>
          </cell>
          <cell r="DC79">
            <v>7.5220000000000009E-2</v>
          </cell>
          <cell r="DD79">
            <v>7.1830000000000005E-2</v>
          </cell>
          <cell r="DE79">
            <v>6.4849999999999991E-2</v>
          </cell>
          <cell r="DF79">
            <v>5.2589999999999998E-2</v>
          </cell>
          <cell r="DG79">
            <v>3.107E-2</v>
          </cell>
          <cell r="DH79">
            <v>1.704E-2</v>
          </cell>
          <cell r="DI79">
            <v>9.2300000000000004E-3</v>
          </cell>
          <cell r="DJ79">
            <v>5.0699999999999999E-3</v>
          </cell>
          <cell r="DK79">
            <v>2.9000000000000002E-3</v>
          </cell>
          <cell r="DL79">
            <v>1.73E-3</v>
          </cell>
          <cell r="DM79">
            <v>6.600000000000001E-4</v>
          </cell>
          <cell r="DN79">
            <v>3.0999999999999995E-4</v>
          </cell>
          <cell r="DO79">
            <v>1.4999999999999996E-4</v>
          </cell>
          <cell r="DQ79">
            <v>4</v>
          </cell>
          <cell r="DR79">
            <v>17</v>
          </cell>
          <cell r="DS79">
            <v>-3.1589999999999977E-3</v>
          </cell>
          <cell r="DT79">
            <v>-1.9299999999999977E-3</v>
          </cell>
          <cell r="DU79">
            <v>-1.0350000000000003E-3</v>
          </cell>
          <cell r="DV79">
            <v>-2.4590000000000011E-3</v>
          </cell>
          <cell r="DW79">
            <v>-2.2799999999999643E-4</v>
          </cell>
          <cell r="DX79">
            <v>2.1160000000000007E-3</v>
          </cell>
          <cell r="DY79">
            <v>2.6849999999999964E-3</v>
          </cell>
          <cell r="DZ79">
            <v>4.971999999999999E-3</v>
          </cell>
          <cell r="EA79">
            <v>8.5269999999999999E-3</v>
          </cell>
          <cell r="EB79">
            <v>1.3048000000000001E-2</v>
          </cell>
          <cell r="EC79">
            <v>1.3310000000000001E-2</v>
          </cell>
          <cell r="ED79">
            <v>1.1474E-2</v>
          </cell>
          <cell r="EE79">
            <v>9.1339999999999998E-3</v>
          </cell>
          <cell r="EF79">
            <v>7.0669999999999995E-3</v>
          </cell>
          <cell r="EG79">
            <v>5.4199999999999995E-3</v>
          </cell>
          <cell r="EH79">
            <v>3.2009999999999999E-3</v>
          </cell>
          <cell r="EI79">
            <v>1.9620000000000002E-3</v>
          </cell>
          <cell r="EJ79">
            <v>1.2449999999999998E-3</v>
          </cell>
          <cell r="EL79">
            <v>4</v>
          </cell>
          <cell r="EM79">
            <v>17</v>
          </cell>
          <cell r="EN79">
            <v>-3.1589999999999977E-3</v>
          </cell>
          <cell r="EO79">
            <v>-4.0920000000000002E-3</v>
          </cell>
          <cell r="EP79">
            <v>-5.1260000000000012E-3</v>
          </cell>
          <cell r="EQ79">
            <v>-3.7880000000000014E-3</v>
          </cell>
          <cell r="ER79">
            <v>-3.0779999999999983E-3</v>
          </cell>
          <cell r="ES79">
            <v>-3.1130000000000012E-3</v>
          </cell>
          <cell r="ET79">
            <v>-2.9380000000000031E-3</v>
          </cell>
          <cell r="EU79">
            <v>-2.5820000000000027E-3</v>
          </cell>
          <cell r="EV79">
            <v>-1.9060000000000001E-3</v>
          </cell>
          <cell r="EW79">
            <v>-1.1240000000000009E-3</v>
          </cell>
          <cell r="EX79">
            <v>-4.0700000000000024E-4</v>
          </cell>
          <cell r="EY79">
            <v>3.199999999999991E-5</v>
          </cell>
          <cell r="EZ79">
            <v>2.580000000000002E-4</v>
          </cell>
          <cell r="FA79">
            <v>4.010000000000001E-4</v>
          </cell>
          <cell r="FB79">
            <v>4.6700000000000018E-4</v>
          </cell>
          <cell r="FC79">
            <v>4.5899999999999999E-4</v>
          </cell>
          <cell r="FD79">
            <v>4.0400000000000006E-4</v>
          </cell>
          <cell r="FE79">
            <v>3.6000000000000013E-4</v>
          </cell>
        </row>
        <row r="80">
          <cell r="CV80">
            <v>5</v>
          </cell>
          <cell r="CW80">
            <v>18</v>
          </cell>
          <cell r="CX80">
            <v>5.7139999999999996E-2</v>
          </cell>
          <cell r="CY80">
            <v>5.6980000000000003E-2</v>
          </cell>
          <cell r="CZ80">
            <v>5.5469999999999998E-2</v>
          </cell>
          <cell r="DA80">
            <v>5.432E-2</v>
          </cell>
          <cell r="DB80">
            <v>5.3510000000000002E-2</v>
          </cell>
          <cell r="DC80">
            <v>5.219E-2</v>
          </cell>
          <cell r="DD80">
            <v>5.1049999999999998E-2</v>
          </cell>
          <cell r="DE80">
            <v>4.6449999999999998E-2</v>
          </cell>
          <cell r="DF80">
            <v>4.0470000000000006E-2</v>
          </cell>
          <cell r="DG80">
            <v>2.7709999999999999E-2</v>
          </cell>
          <cell r="DH80">
            <v>1.7590000000000001E-2</v>
          </cell>
          <cell r="DI80">
            <v>1.0790000000000001E-2</v>
          </cell>
          <cell r="DJ80">
            <v>6.5900000000000004E-3</v>
          </cell>
          <cell r="DK80">
            <v>4.0699999999999998E-3</v>
          </cell>
          <cell r="DL80">
            <v>2.5500000000000002E-3</v>
          </cell>
          <cell r="DM80">
            <v>1.0899999999999998E-3</v>
          </cell>
          <cell r="DN80">
            <v>5.1999999999999995E-4</v>
          </cell>
          <cell r="DO80">
            <v>2.6000000000000003E-4</v>
          </cell>
          <cell r="DQ80">
            <v>5</v>
          </cell>
          <cell r="DR80">
            <v>18</v>
          </cell>
          <cell r="DS80">
            <v>-2.3529999999999996E-3</v>
          </cell>
          <cell r="DT80">
            <v>-1.5010000000000015E-3</v>
          </cell>
          <cell r="DU80">
            <v>-1.3250000000000002E-3</v>
          </cell>
          <cell r="DV80">
            <v>-8.7399999999999934E-4</v>
          </cell>
          <cell r="DW80">
            <v>-3.8300000000000139E-4</v>
          </cell>
          <cell r="DX80">
            <v>-1.1999999999999815E-4</v>
          </cell>
          <cell r="DY80">
            <v>2.0450000000000021E-3</v>
          </cell>
          <cell r="DZ80">
            <v>3.4750000000000015E-3</v>
          </cell>
          <cell r="EA80">
            <v>3.7209999999999995E-3</v>
          </cell>
          <cell r="EB80">
            <v>7.2379999999999988E-3</v>
          </cell>
          <cell r="EC80">
            <v>6.1939999999999999E-3</v>
          </cell>
          <cell r="ED80">
            <v>8.633E-3</v>
          </cell>
          <cell r="EE80">
            <v>7.6920000000000001E-3</v>
          </cell>
          <cell r="EF80">
            <v>6.4679999999999998E-3</v>
          </cell>
          <cell r="EG80">
            <v>5.2979999999999989E-3</v>
          </cell>
          <cell r="EH80">
            <v>3.4649999999999998E-3</v>
          </cell>
          <cell r="EI80">
            <v>2.264E-3</v>
          </cell>
          <cell r="EJ80">
            <v>1.516E-3</v>
          </cell>
          <cell r="EL80">
            <v>5</v>
          </cell>
          <cell r="EM80">
            <v>18</v>
          </cell>
          <cell r="EN80">
            <v>-2.3529999999999996E-3</v>
          </cell>
          <cell r="EO80">
            <v>-3.1529999999999996E-3</v>
          </cell>
          <cell r="EP80">
            <v>-3.6799999999999988E-3</v>
          </cell>
          <cell r="EQ80">
            <v>-3.1989999999999992E-3</v>
          </cell>
          <cell r="ER80">
            <v>-2.9880000000000006E-3</v>
          </cell>
          <cell r="ES80">
            <v>-2.5279999999999981E-3</v>
          </cell>
          <cell r="ET80">
            <v>-1.7779999999999996E-3</v>
          </cell>
          <cell r="EU80">
            <v>-1.2519999999999992E-3</v>
          </cell>
          <cell r="EV80">
            <v>-1.7200000000000006E-3</v>
          </cell>
          <cell r="EW80">
            <v>-1.2350000000000009E-3</v>
          </cell>
          <cell r="EX80">
            <v>-7.2800000000000078E-4</v>
          </cell>
          <cell r="EY80">
            <v>-3.0699999999999955E-4</v>
          </cell>
          <cell r="EZ80">
            <v>-5.5999999999999843E-5</v>
          </cell>
          <cell r="FA80">
            <v>1.1300000000000004E-4</v>
          </cell>
          <cell r="FB80">
            <v>1.879999999999998E-4</v>
          </cell>
          <cell r="FC80">
            <v>2.7799999999999993E-4</v>
          </cell>
          <cell r="FD80">
            <v>2.9E-4</v>
          </cell>
          <cell r="FE80">
            <v>2.5900000000000012E-4</v>
          </cell>
        </row>
        <row r="81">
          <cell r="CV81">
            <v>6</v>
          </cell>
          <cell r="CW81">
            <v>19</v>
          </cell>
          <cell r="CX81">
            <v>4.027E-2</v>
          </cell>
          <cell r="CY81">
            <v>3.9820000000000001E-2</v>
          </cell>
          <cell r="CZ81">
            <v>3.9210000000000002E-2</v>
          </cell>
          <cell r="DA81">
            <v>3.8429999999999999E-2</v>
          </cell>
          <cell r="DB81">
            <v>3.8150000000000003E-2</v>
          </cell>
          <cell r="DC81">
            <v>3.7749999999999999E-2</v>
          </cell>
          <cell r="DD81">
            <v>3.7010000000000001E-2</v>
          </cell>
          <cell r="DE81">
            <v>3.4509999999999999E-2</v>
          </cell>
          <cell r="DF81">
            <v>3.1359999999999999E-2</v>
          </cell>
          <cell r="DG81">
            <v>2.3629999999999998E-2</v>
          </cell>
          <cell r="DH81">
            <v>1.6620000000000003E-2</v>
          </cell>
          <cell r="DI81">
            <v>1.124E-2</v>
          </cell>
          <cell r="DJ81">
            <v>7.4599999999999996E-3</v>
          </cell>
          <cell r="DK81">
            <v>4.9399999999999999E-3</v>
          </cell>
          <cell r="DL81">
            <v>3.2699999999999999E-3</v>
          </cell>
          <cell r="DM81">
            <v>1.5100000000000001E-3</v>
          </cell>
          <cell r="DN81">
            <v>7.7000000000000007E-4</v>
          </cell>
          <cell r="DO81">
            <v>3.9000000000000005E-4</v>
          </cell>
          <cell r="DQ81">
            <v>6</v>
          </cell>
          <cell r="DR81">
            <v>19</v>
          </cell>
          <cell r="DS81">
            <v>-1.7630000000000007E-3</v>
          </cell>
          <cell r="DT81">
            <v>-1.4780000000000006E-3</v>
          </cell>
          <cell r="DU81">
            <v>-1.0720000000000009E-3</v>
          </cell>
          <cell r="DV81">
            <v>-7.3600000000000011E-4</v>
          </cell>
          <cell r="DW81">
            <v>-3.8799999999999946E-4</v>
          </cell>
          <cell r="DX81">
            <v>-6.00000000000123E-6</v>
          </cell>
          <cell r="DY81">
            <v>8.8999999999999973E-4</v>
          </cell>
          <cell r="DZ81">
            <v>1.4340000000000012E-3</v>
          </cell>
          <cell r="EA81">
            <v>1.6000000000000003E-3</v>
          </cell>
          <cell r="EB81">
            <v>4.0580000000000008E-3</v>
          </cell>
          <cell r="EC81">
            <v>5.6089999999999994E-3</v>
          </cell>
          <cell r="ED81">
            <v>6.1960000000000001E-3</v>
          </cell>
          <cell r="EE81">
            <v>6.0479999999999996E-3</v>
          </cell>
          <cell r="EF81">
            <v>5.4979999999999994E-3</v>
          </cell>
          <cell r="EG81">
            <v>4.7829999999999999E-3</v>
          </cell>
          <cell r="EH81">
            <v>3.4269999999999999E-3</v>
          </cell>
          <cell r="EI81">
            <v>2.4000000000000002E-3</v>
          </cell>
          <cell r="EJ81">
            <v>1.6779999999999998E-3</v>
          </cell>
          <cell r="EL81">
            <v>6</v>
          </cell>
          <cell r="EM81">
            <v>19</v>
          </cell>
          <cell r="EN81">
            <v>-1.7630000000000007E-3</v>
          </cell>
          <cell r="EO81">
            <v>-3.7250000000000017E-3</v>
          </cell>
          <cell r="EP81">
            <v>-5.3659999999999992E-3</v>
          </cell>
          <cell r="EQ81">
            <v>-4.1370000000000001E-3</v>
          </cell>
          <cell r="ER81">
            <v>-3.3660000000000009E-3</v>
          </cell>
          <cell r="ES81">
            <v>-2.4650000000000002E-3</v>
          </cell>
          <cell r="ET81">
            <v>-1.8755000000000004E-3</v>
          </cell>
          <cell r="EU81">
            <v>-1.4129999999999998E-3</v>
          </cell>
          <cell r="EV81">
            <v>-1.4270000000000008E-3</v>
          </cell>
          <cell r="EW81">
            <v>-1.1569999999999992E-3</v>
          </cell>
          <cell r="EX81">
            <v>-7.6399999999999992E-4</v>
          </cell>
          <cell r="EY81">
            <v>-4.8300000000000036E-4</v>
          </cell>
          <cell r="EZ81">
            <v>-2.2400000000000002E-4</v>
          </cell>
          <cell r="FA81">
            <v>-5.9999999999999941E-5</v>
          </cell>
          <cell r="FB81">
            <v>9.9999999999998094E-6</v>
          </cell>
          <cell r="FC81">
            <v>1.3899999999999991E-4</v>
          </cell>
          <cell r="FD81">
            <v>2.0400000000000008E-4</v>
          </cell>
          <cell r="FE81">
            <v>1.9000000000000006E-4</v>
          </cell>
        </row>
        <row r="82">
          <cell r="CV82">
            <v>7</v>
          </cell>
          <cell r="CW82">
            <v>20</v>
          </cell>
          <cell r="CX82">
            <v>2.9850000000000002E-2</v>
          </cell>
          <cell r="CY82">
            <v>2.9510000000000002E-2</v>
          </cell>
          <cell r="CZ82">
            <v>2.9020000000000001E-2</v>
          </cell>
          <cell r="DA82">
            <v>2.8549999999999999E-2</v>
          </cell>
          <cell r="DB82">
            <v>2.8459999999999999E-2</v>
          </cell>
          <cell r="DC82">
            <v>2.844E-2</v>
          </cell>
          <cell r="DD82">
            <v>2.785E-2</v>
          </cell>
          <cell r="DE82">
            <v>2.6190000000000001E-2</v>
          </cell>
          <cell r="DF82">
            <v>2.4709999999999999E-2</v>
          </cell>
          <cell r="DG82">
            <v>1.9880000000000002E-2</v>
          </cell>
          <cell r="DH82">
            <v>1.5030000000000002E-2</v>
          </cell>
          <cell r="DI82">
            <v>1.095E-2</v>
          </cell>
          <cell r="DJ82">
            <v>7.77E-3</v>
          </cell>
          <cell r="DK82">
            <v>5.45E-3</v>
          </cell>
          <cell r="DL82">
            <v>3.8399999999999997E-3</v>
          </cell>
          <cell r="DM82">
            <v>1.91E-3</v>
          </cell>
          <cell r="DN82">
            <v>1.01E-3</v>
          </cell>
          <cell r="DO82">
            <v>5.4000000000000001E-4</v>
          </cell>
          <cell r="DQ82">
            <v>7</v>
          </cell>
          <cell r="DR82">
            <v>20</v>
          </cell>
          <cell r="DS82">
            <v>-1.3560000000000011E-3</v>
          </cell>
          <cell r="DT82">
            <v>-1.2030000000000009E-3</v>
          </cell>
          <cell r="DU82">
            <v>-1.0469999999999998E-3</v>
          </cell>
          <cell r="DV82">
            <v>-9.1799999999999955E-4</v>
          </cell>
          <cell r="DW82">
            <v>-7.720000000000012E-4</v>
          </cell>
          <cell r="DX82">
            <v>-7.3900000000000051E-4</v>
          </cell>
          <cell r="DY82">
            <v>3.3500000000000023E-4</v>
          </cell>
          <cell r="DZ82">
            <v>5.5099999999999962E-4</v>
          </cell>
          <cell r="EA82">
            <v>7.6200000000000031E-4</v>
          </cell>
          <cell r="EB82">
            <v>2.3559999999999996E-3</v>
          </cell>
          <cell r="EC82">
            <v>3.601E-3</v>
          </cell>
          <cell r="ED82">
            <v>4.3299999999999996E-3</v>
          </cell>
          <cell r="EE82">
            <v>4.5869999999999999E-3</v>
          </cell>
          <cell r="EF82">
            <v>4.4520000000000002E-3</v>
          </cell>
          <cell r="EG82">
            <v>4.1180000000000001E-3</v>
          </cell>
          <cell r="EH82">
            <v>3.2209999999999999E-3</v>
          </cell>
          <cell r="EI82">
            <v>2.3970000000000003E-3</v>
          </cell>
          <cell r="EJ82">
            <v>1.7700000000000001E-3</v>
          </cell>
          <cell r="EL82">
            <v>7</v>
          </cell>
          <cell r="EM82">
            <v>20</v>
          </cell>
          <cell r="EN82">
            <v>-1.3560000000000011E-3</v>
          </cell>
          <cell r="EO82">
            <v>-1.7600000000000014E-3</v>
          </cell>
          <cell r="EP82">
            <v>-2.6549999999999994E-3</v>
          </cell>
          <cell r="EQ82">
            <v>-2.0610000000000012E-3</v>
          </cell>
          <cell r="ER82">
            <v>-1.4330000000000005E-3</v>
          </cell>
          <cell r="ES82">
            <v>-1.3490000000000004E-3</v>
          </cell>
          <cell r="ET82">
            <v>-1.1990000000000006E-3</v>
          </cell>
          <cell r="EU82">
            <v>-1.2500000000000002E-3</v>
          </cell>
          <cell r="EV82">
            <v>-1.3339999999999999E-3</v>
          </cell>
          <cell r="EW82">
            <v>-1.0680000000000002E-3</v>
          </cell>
          <cell r="EX82">
            <v>-7.8099999999999979E-4</v>
          </cell>
          <cell r="EY82">
            <v>-4.7400000000000046E-4</v>
          </cell>
          <cell r="EZ82">
            <v>-3.4500000000000004E-4</v>
          </cell>
          <cell r="FA82">
            <v>-1.9200000000000011E-4</v>
          </cell>
          <cell r="FB82">
            <v>-9.1000000000000044E-5</v>
          </cell>
          <cell r="FC82">
            <v>6.9999999999999967E-5</v>
          </cell>
          <cell r="FD82">
            <v>1.2600000000000003E-4</v>
          </cell>
          <cell r="FE82">
            <v>1.3700000000000002E-4</v>
          </cell>
        </row>
        <row r="83">
          <cell r="CV83">
            <v>8</v>
          </cell>
          <cell r="CW83">
            <v>21</v>
          </cell>
          <cell r="CX83">
            <v>2.298E-2</v>
          </cell>
          <cell r="CY83">
            <v>2.273E-2</v>
          </cell>
          <cell r="CZ83">
            <v>2.2409999999999999E-2</v>
          </cell>
          <cell r="DA83">
            <v>2.2179999999999998E-2</v>
          </cell>
          <cell r="DB83">
            <v>2.2159999999999999E-2</v>
          </cell>
          <cell r="DC83">
            <v>2.214E-2</v>
          </cell>
          <cell r="DD83">
            <v>2.1680000000000001E-2</v>
          </cell>
          <cell r="DE83">
            <v>2.061E-2</v>
          </cell>
          <cell r="DF83">
            <v>1.9819999999999997E-2</v>
          </cell>
          <cell r="DG83">
            <v>1.669E-2</v>
          </cell>
          <cell r="DH83">
            <v>1.333E-2</v>
          </cell>
          <cell r="DI83">
            <v>1.026E-2</v>
          </cell>
          <cell r="DJ83">
            <v>7.7000000000000002E-3</v>
          </cell>
          <cell r="DK83">
            <v>5.6800000000000002E-3</v>
          </cell>
          <cell r="DL83">
            <v>4.1700000000000001E-3</v>
          </cell>
          <cell r="DM83">
            <v>2.2399999999999998E-3</v>
          </cell>
          <cell r="DN83">
            <v>1.2600000000000001E-3</v>
          </cell>
          <cell r="DO83">
            <v>6.8999999999999997E-4</v>
          </cell>
          <cell r="DQ83">
            <v>8</v>
          </cell>
          <cell r="DR83">
            <v>21</v>
          </cell>
          <cell r="DS83">
            <v>-1.0679999999999995E-3</v>
          </cell>
          <cell r="DT83">
            <v>-9.419999999999997E-4</v>
          </cell>
          <cell r="DU83">
            <v>-8.7700000000000018E-4</v>
          </cell>
          <cell r="DV83">
            <v>-7.8100000000000001E-4</v>
          </cell>
          <cell r="DW83">
            <v>-6.8799999999999959E-4</v>
          </cell>
          <cell r="DX83">
            <v>-5.6499999999999975E-4</v>
          </cell>
          <cell r="DY83">
            <v>-1.7499999999999937E-4</v>
          </cell>
          <cell r="DZ83">
            <v>1.9699999999999926E-4</v>
          </cell>
          <cell r="EA83">
            <v>4.5099999999999958E-4</v>
          </cell>
          <cell r="EB83">
            <v>1.387999999999999E-3</v>
          </cell>
          <cell r="EC83">
            <v>2.3149999999999998E-3</v>
          </cell>
          <cell r="ED83">
            <v>3.0560000000000006E-3</v>
          </cell>
          <cell r="EE83">
            <v>3.4509999999999996E-3</v>
          </cell>
          <cell r="EF83">
            <v>3.5299999999999997E-3</v>
          </cell>
          <cell r="EG83">
            <v>3.4159999999999998E-3</v>
          </cell>
          <cell r="EH83">
            <v>2.9019999999999996E-3</v>
          </cell>
          <cell r="EI83">
            <v>2.3079999999999997E-3</v>
          </cell>
          <cell r="EJ83">
            <v>1.7589999999999999E-3</v>
          </cell>
          <cell r="EL83">
            <v>8</v>
          </cell>
          <cell r="EM83">
            <v>21</v>
          </cell>
          <cell r="EN83">
            <v>-1.0679999999999995E-3</v>
          </cell>
          <cell r="EO83">
            <v>-8.0699999999999999E-4</v>
          </cell>
          <cell r="EP83">
            <v>-2.1090000000000011E-3</v>
          </cell>
          <cell r="EQ83">
            <v>-1.4499999999999999E-3</v>
          </cell>
          <cell r="ER83">
            <v>-1.274E-3</v>
          </cell>
          <cell r="ES83">
            <v>-1.1740000000000006E-3</v>
          </cell>
          <cell r="ET83">
            <v>-1.1839999999999995E-3</v>
          </cell>
          <cell r="EU83">
            <v>-1.1700000000000005E-3</v>
          </cell>
          <cell r="EV83">
            <v>-1.287000000000001E-3</v>
          </cell>
          <cell r="EW83">
            <v>-9.3300000000000045E-4</v>
          </cell>
          <cell r="EX83">
            <v>-6.8700000000000022E-4</v>
          </cell>
          <cell r="EY83">
            <v>-5.7499999999999977E-4</v>
          </cell>
          <cell r="EZ83">
            <v>-4.1500000000000022E-4</v>
          </cell>
          <cell r="FA83">
            <v>-2.4600000000000023E-4</v>
          </cell>
          <cell r="FB83">
            <v>-1.3400000000000011E-4</v>
          </cell>
          <cell r="FC83">
            <v>-4.1999999999999937E-5</v>
          </cell>
          <cell r="FD83">
            <v>9.2999999999999984E-5</v>
          </cell>
          <cell r="FE83">
            <v>7.9000000000000023E-5</v>
          </cell>
        </row>
        <row r="84">
          <cell r="CV84">
            <v>9</v>
          </cell>
          <cell r="CW84">
            <v>22</v>
          </cell>
          <cell r="CX84">
            <v>1.8239999999999999E-2</v>
          </cell>
          <cell r="CY84">
            <v>1.8110000000000001E-2</v>
          </cell>
          <cell r="CZ84">
            <v>1.7829999999999999E-2</v>
          </cell>
          <cell r="DA84">
            <v>1.7739999999999999E-2</v>
          </cell>
          <cell r="DB84">
            <v>1.772E-2</v>
          </cell>
          <cell r="DC84">
            <v>1.77E-2</v>
          </cell>
          <cell r="DD84">
            <v>1.7330000000000002E-2</v>
          </cell>
          <cell r="DE84">
            <v>1.6750000000000001E-2</v>
          </cell>
          <cell r="DF84">
            <v>1.6199999999999999E-2</v>
          </cell>
          <cell r="DG84">
            <v>1.4080000000000001E-2</v>
          </cell>
          <cell r="DH84">
            <v>1.171E-2</v>
          </cell>
          <cell r="DI84">
            <v>9.4199999999999996E-3</v>
          </cell>
          <cell r="DJ84">
            <v>7.3900000000000007E-3</v>
          </cell>
          <cell r="DK84">
            <v>5.6600000000000001E-3</v>
          </cell>
          <cell r="DL84">
            <v>4.3400000000000001E-3</v>
          </cell>
          <cell r="DM84">
            <v>2.5000000000000001E-3</v>
          </cell>
          <cell r="DN84">
            <v>1.4500000000000001E-3</v>
          </cell>
          <cell r="DO84">
            <v>8.4000000000000003E-4</v>
          </cell>
          <cell r="DQ84">
            <v>9</v>
          </cell>
          <cell r="DR84">
            <v>22</v>
          </cell>
          <cell r="DS84">
            <v>-6.3699999999999998E-4</v>
          </cell>
          <cell r="DT84">
            <v>-2.8000000000000052E-4</v>
          </cell>
          <cell r="DU84">
            <v>9.9999999999999612E-5</v>
          </cell>
          <cell r="DV84">
            <v>4.7600000000000051E-4</v>
          </cell>
          <cell r="DW84">
            <v>7.4200000000000004E-4</v>
          </cell>
          <cell r="DX84">
            <v>1.0919999999999997E-3</v>
          </cell>
          <cell r="DY84">
            <v>9.9700000000000006E-4</v>
          </cell>
          <cell r="DZ84">
            <v>9.2500000000000004E-4</v>
          </cell>
          <cell r="EA84">
            <v>3.1500000000000061E-4</v>
          </cell>
          <cell r="EB84">
            <v>8.5099999999999954E-4</v>
          </cell>
          <cell r="EC84">
            <v>1.5209999999999998E-3</v>
          </cell>
          <cell r="ED84">
            <v>2.1719999999999995E-3</v>
          </cell>
          <cell r="EE84">
            <v>2.5730000000000002E-3</v>
          </cell>
          <cell r="EF84">
            <v>2.7439999999999999E-3</v>
          </cell>
          <cell r="EG84">
            <v>2.7979999999999997E-3</v>
          </cell>
          <cell r="EH84">
            <v>2.588E-3</v>
          </cell>
          <cell r="EI84">
            <v>2.1360000000000003E-3</v>
          </cell>
          <cell r="EJ84">
            <v>1.7150000000000002E-3</v>
          </cell>
          <cell r="EL84">
            <v>9</v>
          </cell>
          <cell r="EM84">
            <v>22</v>
          </cell>
          <cell r="EN84">
            <v>-8.6800000000000017E-4</v>
          </cell>
          <cell r="EO84">
            <v>-1.353E-3</v>
          </cell>
          <cell r="EP84">
            <v>-3.0270000000000002E-3</v>
          </cell>
          <cell r="EQ84">
            <v>-2.677999999999999E-3</v>
          </cell>
          <cell r="ER84">
            <v>-2.6859999999999996E-3</v>
          </cell>
          <cell r="ES84">
            <v>-2.5789999999999997E-3</v>
          </cell>
          <cell r="ET84">
            <v>-2.1280000000000001E-3</v>
          </cell>
          <cell r="EU84">
            <v>-1.6889999999999995E-3</v>
          </cell>
          <cell r="EV84">
            <v>-1.2229999999999993E-3</v>
          </cell>
          <cell r="EW84">
            <v>-8.7100000000000003E-4</v>
          </cell>
          <cell r="EX84">
            <v>-6.4600000000000042E-4</v>
          </cell>
          <cell r="EY84">
            <v>-5.4900000000000033E-4</v>
          </cell>
          <cell r="EZ84">
            <v>-4.2199999999999963E-4</v>
          </cell>
          <cell r="FA84">
            <v>-2.8700000000000015E-4</v>
          </cell>
          <cell r="FB84">
            <v>-2.2599999999999975E-4</v>
          </cell>
          <cell r="FC84">
            <v>-9.2999999999999984E-5</v>
          </cell>
          <cell r="FD84">
            <v>1.8000000000000004E-5</v>
          </cell>
          <cell r="FE84">
            <v>3.0000000000000024E-5</v>
          </cell>
        </row>
        <row r="85">
          <cell r="CV85">
            <v>10</v>
          </cell>
          <cell r="CW85">
            <v>23</v>
          </cell>
          <cell r="CX85">
            <v>1.515E-2</v>
          </cell>
          <cell r="CY85">
            <v>1.4919999999999999E-2</v>
          </cell>
          <cell r="CZ85">
            <v>1.478E-2</v>
          </cell>
          <cell r="DA85">
            <v>1.4710000000000001E-2</v>
          </cell>
          <cell r="DB85">
            <v>1.4630000000000001E-2</v>
          </cell>
          <cell r="DC85">
            <v>1.4579999999999999E-2</v>
          </cell>
          <cell r="DD85">
            <v>1.435E-2</v>
          </cell>
          <cell r="DE85">
            <v>1.401E-2</v>
          </cell>
          <cell r="DF85">
            <v>1.3439999999999999E-2</v>
          </cell>
          <cell r="DG85">
            <v>1.2019999999999999E-2</v>
          </cell>
          <cell r="DH85">
            <v>1.0279999999999999E-2</v>
          </cell>
          <cell r="DI85">
            <v>8.5299999999999994E-3</v>
          </cell>
          <cell r="DJ85">
            <v>7.0799999999999995E-3</v>
          </cell>
          <cell r="DK85">
            <v>5.5399999999999998E-3</v>
          </cell>
          <cell r="DL85">
            <v>4.3999999999999994E-3</v>
          </cell>
          <cell r="DM85">
            <v>2.7000000000000001E-3</v>
          </cell>
          <cell r="DN85">
            <v>1.65E-3</v>
          </cell>
          <cell r="DO85">
            <v>9.1E-4</v>
          </cell>
          <cell r="DQ85">
            <v>10</v>
          </cell>
          <cell r="DR85">
            <v>23</v>
          </cell>
          <cell r="DS85">
            <v>-2.8899999999999998E-4</v>
          </cell>
          <cell r="DT85">
            <v>-1.699999999999998E-4</v>
          </cell>
          <cell r="DU85">
            <v>-9.9999999999999612E-5</v>
          </cell>
          <cell r="DV85">
            <v>1.199999999999975E-5</v>
          </cell>
          <cell r="DW85">
            <v>1.5400000000000049E-4</v>
          </cell>
          <cell r="DX85">
            <v>1.8099999999999974E-4</v>
          </cell>
          <cell r="DY85">
            <v>1.929999999999997E-4</v>
          </cell>
          <cell r="DZ85">
            <v>3.3000000000000011E-4</v>
          </cell>
          <cell r="EA85">
            <v>2.6299999999999989E-4</v>
          </cell>
          <cell r="EB85">
            <v>5.6500000000000018E-4</v>
          </cell>
          <cell r="EC85">
            <v>9.7699999999999957E-4</v>
          </cell>
          <cell r="ED85">
            <v>1.5410000000000003E-3</v>
          </cell>
          <cell r="EE85">
            <v>2.0299999999999997E-3</v>
          </cell>
          <cell r="EF85">
            <v>2.4870000000000001E-3</v>
          </cell>
          <cell r="EG85">
            <v>2.297E-3</v>
          </cell>
          <cell r="EH85">
            <v>2.2759999999999998E-3</v>
          </cell>
          <cell r="EI85">
            <v>1.804E-3</v>
          </cell>
          <cell r="EJ85">
            <v>1.4620000000000002E-3</v>
          </cell>
          <cell r="EL85">
            <v>10</v>
          </cell>
          <cell r="EM85">
            <v>23</v>
          </cell>
          <cell r="EN85">
            <v>-1.5629999999999997E-3</v>
          </cell>
          <cell r="EO85">
            <v>-1.9550000000000001E-3</v>
          </cell>
          <cell r="EP85">
            <v>-3.1849999999999999E-3</v>
          </cell>
          <cell r="EQ85">
            <v>-2.8230000000000004E-3</v>
          </cell>
          <cell r="ER85">
            <v>-2.4009999999999995E-3</v>
          </cell>
          <cell r="ES85">
            <v>-1.8529999999999998E-3</v>
          </cell>
          <cell r="ET85">
            <v>-1.5990000000000002E-3</v>
          </cell>
          <cell r="EU85">
            <v>-1.4510000000000005E-3</v>
          </cell>
          <cell r="EV85">
            <v>-1.1450000000000006E-3</v>
          </cell>
          <cell r="EW85">
            <v>-7.5899999999999948E-4</v>
          </cell>
          <cell r="EX85">
            <v>-5.380000000000005E-4</v>
          </cell>
          <cell r="EY85">
            <v>-5.669999999999998E-4</v>
          </cell>
          <cell r="EZ85">
            <v>-3.0800000000000033E-4</v>
          </cell>
          <cell r="FA85">
            <v>-3.2600000000000012E-4</v>
          </cell>
          <cell r="FB85">
            <v>-1.9000000000000039E-4</v>
          </cell>
          <cell r="FC85">
            <v>-2.1999999999999884E-5</v>
          </cell>
          <cell r="FD85">
            <v>-7.5000000000000143E-5</v>
          </cell>
          <cell r="FE85">
            <v>-6.6999999999999894E-5</v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18" Type="http://schemas.openxmlformats.org/officeDocument/2006/relationships/image" Target="../media/image8.emf"/><Relationship Id="rId26" Type="http://schemas.openxmlformats.org/officeDocument/2006/relationships/image" Target="../media/image12.emf"/><Relationship Id="rId3" Type="http://schemas.openxmlformats.org/officeDocument/2006/relationships/control" Target="../activeX/activeX1.xml"/><Relationship Id="rId21" Type="http://schemas.openxmlformats.org/officeDocument/2006/relationships/control" Target="../activeX/activeX10.xml"/><Relationship Id="rId7" Type="http://schemas.openxmlformats.org/officeDocument/2006/relationships/control" Target="../activeX/activeX3.xml"/><Relationship Id="rId12" Type="http://schemas.openxmlformats.org/officeDocument/2006/relationships/image" Target="../media/image5.emf"/><Relationship Id="rId17" Type="http://schemas.openxmlformats.org/officeDocument/2006/relationships/control" Target="../activeX/activeX8.xml"/><Relationship Id="rId25" Type="http://schemas.openxmlformats.org/officeDocument/2006/relationships/control" Target="../activeX/activeX12.xml"/><Relationship Id="rId2" Type="http://schemas.openxmlformats.org/officeDocument/2006/relationships/vmlDrawing" Target="../drawings/vmlDrawing1.vml"/><Relationship Id="rId16" Type="http://schemas.openxmlformats.org/officeDocument/2006/relationships/image" Target="../media/image7.emf"/><Relationship Id="rId20" Type="http://schemas.openxmlformats.org/officeDocument/2006/relationships/image" Target="../media/image9.emf"/><Relationship Id="rId29" Type="http://schemas.openxmlformats.org/officeDocument/2006/relationships/control" Target="../activeX/activeX14.x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24" Type="http://schemas.openxmlformats.org/officeDocument/2006/relationships/image" Target="../media/image11.emf"/><Relationship Id="rId5" Type="http://schemas.openxmlformats.org/officeDocument/2006/relationships/control" Target="../activeX/activeX2.xml"/><Relationship Id="rId15" Type="http://schemas.openxmlformats.org/officeDocument/2006/relationships/control" Target="../activeX/activeX7.xml"/><Relationship Id="rId23" Type="http://schemas.openxmlformats.org/officeDocument/2006/relationships/control" Target="../activeX/activeX11.xml"/><Relationship Id="rId28" Type="http://schemas.openxmlformats.org/officeDocument/2006/relationships/image" Target="../media/image13.emf"/><Relationship Id="rId10" Type="http://schemas.openxmlformats.org/officeDocument/2006/relationships/image" Target="../media/image4.emf"/><Relationship Id="rId19" Type="http://schemas.openxmlformats.org/officeDocument/2006/relationships/control" Target="../activeX/activeX9.xml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Relationship Id="rId14" Type="http://schemas.openxmlformats.org/officeDocument/2006/relationships/image" Target="../media/image6.emf"/><Relationship Id="rId22" Type="http://schemas.openxmlformats.org/officeDocument/2006/relationships/image" Target="../media/image10.emf"/><Relationship Id="rId27" Type="http://schemas.openxmlformats.org/officeDocument/2006/relationships/control" Target="../activeX/activeX13.xml"/><Relationship Id="rId30" Type="http://schemas.openxmlformats.org/officeDocument/2006/relationships/image" Target="../media/image14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5.emf"/><Relationship Id="rId13" Type="http://schemas.openxmlformats.org/officeDocument/2006/relationships/control" Target="../activeX/activeX20.xml"/><Relationship Id="rId3" Type="http://schemas.openxmlformats.org/officeDocument/2006/relationships/control" Target="../activeX/activeX15.xml"/><Relationship Id="rId7" Type="http://schemas.openxmlformats.org/officeDocument/2006/relationships/control" Target="../activeX/activeX17.xml"/><Relationship Id="rId12" Type="http://schemas.openxmlformats.org/officeDocument/2006/relationships/image" Target="../media/image27.emf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24.emf"/><Relationship Id="rId11" Type="http://schemas.openxmlformats.org/officeDocument/2006/relationships/control" Target="../activeX/activeX19.xml"/><Relationship Id="rId5" Type="http://schemas.openxmlformats.org/officeDocument/2006/relationships/control" Target="../activeX/activeX16.xml"/><Relationship Id="rId10" Type="http://schemas.openxmlformats.org/officeDocument/2006/relationships/image" Target="../media/image26.emf"/><Relationship Id="rId4" Type="http://schemas.openxmlformats.org/officeDocument/2006/relationships/image" Target="../media/image23.emf"/><Relationship Id="rId9" Type="http://schemas.openxmlformats.org/officeDocument/2006/relationships/control" Target="../activeX/activeX18.xml"/><Relationship Id="rId14" Type="http://schemas.openxmlformats.org/officeDocument/2006/relationships/image" Target="../media/image28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29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2.xml"/><Relationship Id="rId7" Type="http://schemas.openxmlformats.org/officeDocument/2006/relationships/ctrlProp" Target="../ctrlProps/ctrlProp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image" Target="../media/image36.emf"/><Relationship Id="rId5" Type="http://schemas.openxmlformats.org/officeDocument/2006/relationships/control" Target="../activeX/activeX23.xml"/><Relationship Id="rId4" Type="http://schemas.openxmlformats.org/officeDocument/2006/relationships/image" Target="../media/image35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4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5" Type="http://schemas.openxmlformats.org/officeDocument/2006/relationships/ctrlProp" Target="../ctrlProps/ctrlProp2.xml"/><Relationship Id="rId4" Type="http://schemas.openxmlformats.org/officeDocument/2006/relationships/image" Target="../media/image37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9">
    <tabColor rgb="FF0070C0"/>
  </sheetPr>
  <dimension ref="A1:U39"/>
  <sheetViews>
    <sheetView showGridLines="0" showRowColHeaders="0" topLeftCell="C1" zoomScaleNormal="100" workbookViewId="0">
      <selection activeCell="D5" sqref="D5:E6"/>
    </sheetView>
  </sheetViews>
  <sheetFormatPr baseColWidth="10" defaultRowHeight="15" x14ac:dyDescent="0.25"/>
  <cols>
    <col min="1" max="2" width="8" customWidth="1"/>
    <col min="4" max="4" width="12.42578125" customWidth="1"/>
    <col min="5" max="5" width="13" customWidth="1"/>
    <col min="6" max="6" width="15.28515625" customWidth="1"/>
    <col min="7" max="7" width="11.7109375" customWidth="1"/>
    <col min="8" max="8" width="13" customWidth="1"/>
    <col min="9" max="9" width="14" customWidth="1"/>
    <col min="10" max="10" width="14.28515625" customWidth="1"/>
    <col min="11" max="12" width="10.7109375" customWidth="1"/>
    <col min="13" max="13" width="2.7109375" customWidth="1"/>
  </cols>
  <sheetData>
    <row r="1" spans="1:21" x14ac:dyDescent="0.25">
      <c r="A1" s="89"/>
      <c r="B1" s="89"/>
      <c r="C1" s="89"/>
      <c r="D1" s="89"/>
      <c r="E1" s="89"/>
      <c r="F1" s="89"/>
      <c r="G1" s="89"/>
      <c r="H1" s="89"/>
      <c r="I1" s="89"/>
      <c r="J1" s="89"/>
      <c r="K1" s="89"/>
      <c r="L1" s="89"/>
      <c r="M1" s="89"/>
      <c r="N1" s="89"/>
      <c r="O1" s="89"/>
      <c r="P1" s="89"/>
    </row>
    <row r="2" spans="1:21" x14ac:dyDescent="0.25">
      <c r="A2" s="89"/>
      <c r="B2" s="89"/>
      <c r="C2" s="89"/>
      <c r="D2" s="89"/>
      <c r="E2" s="89"/>
      <c r="F2" s="89"/>
      <c r="G2" s="89"/>
      <c r="H2" s="89"/>
      <c r="I2" s="89"/>
      <c r="J2" s="89"/>
      <c r="K2" s="89"/>
      <c r="L2" s="89"/>
      <c r="M2" s="89"/>
      <c r="N2" s="89"/>
      <c r="O2" s="89"/>
      <c r="P2" s="89"/>
    </row>
    <row r="3" spans="1:21" x14ac:dyDescent="0.25">
      <c r="A3" s="89"/>
      <c r="B3" s="89"/>
      <c r="C3" s="89"/>
      <c r="D3" s="89"/>
      <c r="E3" s="89"/>
      <c r="F3" s="89"/>
      <c r="G3" s="89"/>
      <c r="H3" s="89"/>
      <c r="I3" s="89"/>
      <c r="J3" s="89"/>
      <c r="K3" s="89"/>
      <c r="L3" s="89"/>
      <c r="M3" s="89"/>
      <c r="N3" s="89"/>
      <c r="O3" s="89"/>
      <c r="P3" s="89"/>
    </row>
    <row r="4" spans="1:21" ht="19.5" customHeight="1" x14ac:dyDescent="0.25">
      <c r="A4" s="89"/>
      <c r="B4" s="89"/>
      <c r="D4" s="88"/>
      <c r="E4" s="88"/>
      <c r="F4" s="88"/>
      <c r="G4" s="88"/>
      <c r="H4" s="88"/>
      <c r="I4" s="88"/>
      <c r="J4" s="304" t="s">
        <v>37</v>
      </c>
      <c r="K4" s="304"/>
      <c r="L4" s="304"/>
      <c r="M4" s="225"/>
      <c r="T4" s="185" t="s">
        <v>189</v>
      </c>
      <c r="U4" s="185" t="s">
        <v>263</v>
      </c>
    </row>
    <row r="5" spans="1:21" ht="21" customHeight="1" x14ac:dyDescent="0.25">
      <c r="A5" s="89"/>
      <c r="B5" s="89"/>
      <c r="D5" s="305" t="s">
        <v>197</v>
      </c>
      <c r="E5" s="305"/>
      <c r="F5" s="224"/>
      <c r="G5" s="184"/>
      <c r="H5" s="184"/>
      <c r="I5" s="184"/>
      <c r="J5" s="297" t="s">
        <v>4</v>
      </c>
      <c r="K5" s="298">
        <v>78</v>
      </c>
      <c r="L5" s="298"/>
      <c r="N5" s="183"/>
      <c r="T5" s="185" t="s">
        <v>190</v>
      </c>
      <c r="U5" s="185">
        <v>1</v>
      </c>
    </row>
    <row r="6" spans="1:21" ht="15" customHeight="1" x14ac:dyDescent="0.25">
      <c r="A6" s="89"/>
      <c r="B6" s="89"/>
      <c r="D6" s="305"/>
      <c r="E6" s="305"/>
      <c r="F6" s="224"/>
      <c r="G6" s="94"/>
      <c r="H6" s="94"/>
      <c r="J6" s="297"/>
      <c r="K6" s="298"/>
      <c r="L6" s="298"/>
      <c r="N6" s="183"/>
      <c r="T6" s="185" t="s">
        <v>191</v>
      </c>
      <c r="U6" s="185" t="s">
        <v>264</v>
      </c>
    </row>
    <row r="7" spans="1:21" ht="15.75" customHeight="1" x14ac:dyDescent="0.25">
      <c r="A7" s="89"/>
      <c r="B7" s="89"/>
      <c r="G7" s="94"/>
      <c r="H7" s="94"/>
      <c r="J7" s="297" t="s">
        <v>181</v>
      </c>
      <c r="K7" s="298">
        <v>0</v>
      </c>
      <c r="L7" s="298"/>
      <c r="T7" s="185" t="s">
        <v>192</v>
      </c>
      <c r="U7" s="185">
        <v>10</v>
      </c>
    </row>
    <row r="8" spans="1:21" ht="18.75" customHeight="1" x14ac:dyDescent="0.25">
      <c r="A8" s="89"/>
      <c r="B8" s="89"/>
      <c r="D8" s="304" t="s">
        <v>168</v>
      </c>
      <c r="E8" s="304"/>
      <c r="F8" s="304"/>
      <c r="J8" s="297"/>
      <c r="K8" s="298"/>
      <c r="L8" s="298"/>
      <c r="T8" s="185" t="s">
        <v>193</v>
      </c>
      <c r="U8" s="185" t="s">
        <v>262</v>
      </c>
    </row>
    <row r="9" spans="1:21" ht="17.25" customHeight="1" x14ac:dyDescent="0.25">
      <c r="A9" s="89"/>
      <c r="B9" s="89"/>
      <c r="D9" s="304" t="s">
        <v>40</v>
      </c>
      <c r="E9" s="304"/>
      <c r="F9" s="224"/>
      <c r="J9" s="297" t="s">
        <v>143</v>
      </c>
      <c r="K9" s="298">
        <v>0</v>
      </c>
      <c r="L9" s="298"/>
      <c r="T9" s="185" t="s">
        <v>4</v>
      </c>
      <c r="U9" s="185">
        <v>63</v>
      </c>
    </row>
    <row r="10" spans="1:21" ht="21.75" customHeight="1" x14ac:dyDescent="0.25">
      <c r="A10" s="89"/>
      <c r="B10" s="89"/>
      <c r="D10" s="304" t="s">
        <v>41</v>
      </c>
      <c r="E10" s="304"/>
      <c r="F10" s="224"/>
      <c r="J10" s="297"/>
      <c r="K10" s="298"/>
      <c r="L10" s="298"/>
      <c r="T10" s="185" t="s">
        <v>181</v>
      </c>
      <c r="U10" s="185">
        <v>5</v>
      </c>
    </row>
    <row r="11" spans="1:21" ht="15" customHeight="1" x14ac:dyDescent="0.25">
      <c r="A11" s="89"/>
      <c r="B11" s="89"/>
      <c r="J11" s="297" t="s">
        <v>32</v>
      </c>
      <c r="K11" s="298">
        <v>5</v>
      </c>
      <c r="L11" s="298"/>
      <c r="M11" s="87"/>
      <c r="T11" s="185" t="s">
        <v>143</v>
      </c>
      <c r="U11" s="185">
        <v>1</v>
      </c>
    </row>
    <row r="12" spans="1:21" ht="15" customHeight="1" x14ac:dyDescent="0.25">
      <c r="A12" s="89"/>
      <c r="B12" s="89"/>
      <c r="D12" s="304" t="s">
        <v>38</v>
      </c>
      <c r="E12" s="304"/>
      <c r="F12" s="304"/>
      <c r="J12" s="297"/>
      <c r="K12" s="298"/>
      <c r="L12" s="298"/>
      <c r="M12" s="87"/>
      <c r="T12" s="185" t="s">
        <v>32</v>
      </c>
      <c r="U12" s="185">
        <v>9</v>
      </c>
    </row>
    <row r="13" spans="1:21" ht="17.25" customHeight="1" x14ac:dyDescent="0.25">
      <c r="A13" s="89"/>
      <c r="B13" s="89"/>
      <c r="D13" s="304" t="s">
        <v>141</v>
      </c>
      <c r="E13" s="304"/>
      <c r="F13" s="224"/>
      <c r="J13" s="297" t="s">
        <v>33</v>
      </c>
      <c r="K13" s="298">
        <v>5</v>
      </c>
      <c r="L13" s="298"/>
      <c r="T13" s="185" t="s">
        <v>33</v>
      </c>
      <c r="U13" s="185">
        <v>10</v>
      </c>
    </row>
    <row r="14" spans="1:21" ht="21.75" customHeight="1" x14ac:dyDescent="0.25">
      <c r="A14" s="89"/>
      <c r="B14" s="89"/>
      <c r="D14" s="304" t="s">
        <v>39</v>
      </c>
      <c r="E14" s="304"/>
      <c r="F14" s="224"/>
      <c r="J14" s="297"/>
      <c r="K14" s="298"/>
      <c r="L14" s="298"/>
      <c r="T14" s="185" t="s">
        <v>194</v>
      </c>
      <c r="U14" s="185">
        <v>6</v>
      </c>
    </row>
    <row r="15" spans="1:21" ht="18.75" customHeight="1" x14ac:dyDescent="0.25">
      <c r="A15" s="89"/>
      <c r="B15" s="89"/>
      <c r="D15" s="170"/>
      <c r="J15" s="297" t="s">
        <v>34</v>
      </c>
      <c r="K15" s="298">
        <v>7</v>
      </c>
      <c r="L15" s="298"/>
      <c r="T15" s="185" t="s">
        <v>195</v>
      </c>
      <c r="U15" s="185">
        <v>3</v>
      </c>
    </row>
    <row r="16" spans="1:21" ht="15" customHeight="1" x14ac:dyDescent="0.25">
      <c r="A16" s="89"/>
      <c r="B16" s="89"/>
      <c r="J16" s="297"/>
      <c r="K16" s="298"/>
      <c r="L16" s="298"/>
      <c r="T16" s="185" t="s">
        <v>196</v>
      </c>
      <c r="U16" s="185">
        <v>1</v>
      </c>
    </row>
    <row r="17" spans="1:21" ht="15" customHeight="1" x14ac:dyDescent="0.25">
      <c r="A17" s="89"/>
      <c r="B17" s="89"/>
      <c r="D17" s="173"/>
      <c r="E17" s="300" t="s">
        <v>138</v>
      </c>
      <c r="F17" s="301"/>
      <c r="G17" s="301"/>
      <c r="H17" s="301"/>
      <c r="J17" s="297" t="s">
        <v>35</v>
      </c>
      <c r="K17" s="298">
        <v>4</v>
      </c>
      <c r="L17" s="298"/>
      <c r="T17" s="185" t="s">
        <v>199</v>
      </c>
      <c r="U17" s="185">
        <v>2</v>
      </c>
    </row>
    <row r="18" spans="1:21" ht="15" customHeight="1" x14ac:dyDescent="0.25">
      <c r="A18" s="89"/>
      <c r="B18" s="89"/>
      <c r="C18" s="168"/>
      <c r="D18" s="173"/>
      <c r="E18" s="300" t="s">
        <v>139</v>
      </c>
      <c r="F18" s="301"/>
      <c r="G18" s="301" t="s">
        <v>140</v>
      </c>
      <c r="H18" s="301"/>
      <c r="J18" s="297"/>
      <c r="K18" s="298"/>
      <c r="L18" s="298"/>
    </row>
    <row r="19" spans="1:21" ht="18" customHeight="1" x14ac:dyDescent="0.25">
      <c r="A19" s="89"/>
      <c r="B19" s="89"/>
      <c r="C19" s="168"/>
      <c r="D19" s="174"/>
      <c r="E19" s="300"/>
      <c r="F19" s="301"/>
      <c r="G19" s="301"/>
      <c r="H19" s="301"/>
      <c r="J19" s="297" t="s">
        <v>36</v>
      </c>
      <c r="K19" s="298">
        <v>1</v>
      </c>
      <c r="L19" s="298"/>
    </row>
    <row r="20" spans="1:21" ht="18.75" customHeight="1" x14ac:dyDescent="0.25">
      <c r="A20" s="89"/>
      <c r="B20" s="89"/>
      <c r="C20" s="168"/>
      <c r="D20" s="172" t="s">
        <v>29</v>
      </c>
      <c r="E20" s="302">
        <v>42.68292682926829</v>
      </c>
      <c r="F20" s="302"/>
      <c r="G20" s="303">
        <v>91461.014815793344</v>
      </c>
      <c r="H20" s="303"/>
      <c r="J20" s="297"/>
      <c r="K20" s="298"/>
      <c r="L20" s="298"/>
    </row>
    <row r="21" spans="1:21" ht="15" customHeight="1" x14ac:dyDescent="0.25">
      <c r="A21" s="89"/>
      <c r="B21" s="89"/>
      <c r="C21" s="168"/>
      <c r="D21" s="171" t="s">
        <v>31</v>
      </c>
      <c r="E21" s="302">
        <v>17.073170731707318</v>
      </c>
      <c r="F21" s="302"/>
      <c r="G21" s="303">
        <v>36584.40592631734</v>
      </c>
      <c r="H21" s="303"/>
      <c r="I21" s="169"/>
      <c r="J21" s="297" t="s">
        <v>199</v>
      </c>
    </row>
    <row r="22" spans="1:21" ht="18.75" customHeight="1" x14ac:dyDescent="0.25">
      <c r="A22" s="89"/>
      <c r="B22" s="89"/>
      <c r="C22" s="168"/>
      <c r="D22" s="171" t="s">
        <v>10</v>
      </c>
      <c r="E22" s="302">
        <v>36.585365853658537</v>
      </c>
      <c r="F22" s="302"/>
      <c r="G22" s="303">
        <v>78395.155556394297</v>
      </c>
      <c r="H22" s="303"/>
      <c r="I22" s="143"/>
      <c r="J22" s="297"/>
      <c r="K22" s="143"/>
    </row>
    <row r="23" spans="1:21" ht="15.75" customHeight="1" x14ac:dyDescent="0.25">
      <c r="A23" s="89"/>
      <c r="B23" s="89"/>
      <c r="C23" s="168"/>
      <c r="D23" s="171" t="s">
        <v>11</v>
      </c>
      <c r="E23" s="302">
        <v>3.6585365853658534</v>
      </c>
      <c r="F23" s="302"/>
      <c r="G23" s="303">
        <v>7839.5155556394293</v>
      </c>
      <c r="H23" s="303"/>
      <c r="J23" s="226" t="s">
        <v>142</v>
      </c>
      <c r="K23" s="299">
        <v>100</v>
      </c>
      <c r="L23" s="299"/>
    </row>
    <row r="24" spans="1:21" ht="15.75" x14ac:dyDescent="0.25">
      <c r="A24" s="89"/>
      <c r="B24" s="89"/>
      <c r="E24" s="132"/>
      <c r="F24" s="132"/>
      <c r="G24" s="132"/>
      <c r="L24" s="11"/>
    </row>
    <row r="25" spans="1:21" ht="15.75" x14ac:dyDescent="0.25">
      <c r="A25" s="89"/>
      <c r="B25" s="89"/>
      <c r="E25" s="132"/>
      <c r="F25" s="132"/>
      <c r="G25" s="132"/>
      <c r="L25" s="11"/>
    </row>
    <row r="26" spans="1:21" x14ac:dyDescent="0.25">
      <c r="A26" s="89"/>
      <c r="B26" s="89"/>
      <c r="I26" s="11"/>
      <c r="J26" s="11"/>
      <c r="K26" s="11"/>
      <c r="L26" s="11"/>
    </row>
    <row r="27" spans="1:21" x14ac:dyDescent="0.25">
      <c r="A27" s="89"/>
      <c r="B27" s="89"/>
      <c r="F27" s="167"/>
      <c r="G27" s="166"/>
      <c r="I27" s="166"/>
    </row>
    <row r="28" spans="1:21" x14ac:dyDescent="0.25">
      <c r="F28" s="167"/>
      <c r="G28" s="166"/>
      <c r="I28" s="166"/>
    </row>
    <row r="29" spans="1:21" x14ac:dyDescent="0.25">
      <c r="F29" s="167"/>
      <c r="G29" s="166"/>
      <c r="I29" s="166"/>
    </row>
    <row r="30" spans="1:21" x14ac:dyDescent="0.25">
      <c r="F30" s="167"/>
      <c r="G30" s="166"/>
      <c r="I30" s="166"/>
    </row>
    <row r="31" spans="1:21" ht="14.25" customHeight="1" x14ac:dyDescent="0.25"/>
    <row r="32" spans="1:21" ht="14.25" customHeight="1" x14ac:dyDescent="0.25"/>
    <row r="33" ht="14.25" customHeight="1" x14ac:dyDescent="0.25"/>
    <row r="37" ht="15.75" customHeight="1" x14ac:dyDescent="0.25"/>
    <row r="38" ht="15" customHeight="1" x14ac:dyDescent="0.25"/>
    <row r="39" ht="15" customHeight="1" x14ac:dyDescent="0.25"/>
  </sheetData>
  <mergeCells count="37">
    <mergeCell ref="D13:E13"/>
    <mergeCell ref="D14:E14"/>
    <mergeCell ref="D9:E9"/>
    <mergeCell ref="D10:E10"/>
    <mergeCell ref="D12:F12"/>
    <mergeCell ref="J4:L4"/>
    <mergeCell ref="J5:J6"/>
    <mergeCell ref="K5:L6"/>
    <mergeCell ref="D5:E6"/>
    <mergeCell ref="D8:F8"/>
    <mergeCell ref="J7:J8"/>
    <mergeCell ref="K7:L8"/>
    <mergeCell ref="K23:L23"/>
    <mergeCell ref="J17:J18"/>
    <mergeCell ref="K17:L18"/>
    <mergeCell ref="E17:H17"/>
    <mergeCell ref="E20:F20"/>
    <mergeCell ref="E21:F21"/>
    <mergeCell ref="E18:F19"/>
    <mergeCell ref="G18:H19"/>
    <mergeCell ref="J21:J22"/>
    <mergeCell ref="E23:F23"/>
    <mergeCell ref="G20:H20"/>
    <mergeCell ref="G21:H21"/>
    <mergeCell ref="G22:H22"/>
    <mergeCell ref="G23:H23"/>
    <mergeCell ref="E22:F22"/>
    <mergeCell ref="J15:J16"/>
    <mergeCell ref="K15:L16"/>
    <mergeCell ref="J19:J20"/>
    <mergeCell ref="K19:L20"/>
    <mergeCell ref="J9:J10"/>
    <mergeCell ref="K9:L10"/>
    <mergeCell ref="J11:J12"/>
    <mergeCell ref="K11:L12"/>
    <mergeCell ref="J13:J14"/>
    <mergeCell ref="K13:L14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15727" r:id="rId3" name="otros">
          <controlPr defaultSize="0" autoLine="0" autoPict="0" r:id="rId4">
            <anchor moveWithCells="1">
              <from>
                <xdr:col>10</xdr:col>
                <xdr:colOff>114300</xdr:colOff>
                <xdr:row>20</xdr:row>
                <xdr:rowOff>28575</xdr:rowOff>
              </from>
              <to>
                <xdr:col>11</xdr:col>
                <xdr:colOff>581025</xdr:colOff>
                <xdr:row>21</xdr:row>
                <xdr:rowOff>95250</xdr:rowOff>
              </to>
            </anchor>
          </controlPr>
        </control>
      </mc:Choice>
      <mc:Fallback>
        <control shapeId="115727" r:id="rId3" name="otros"/>
      </mc:Fallback>
    </mc:AlternateContent>
    <mc:AlternateContent xmlns:mc="http://schemas.openxmlformats.org/markup-compatibility/2006">
      <mc:Choice Requires="x14">
        <control shapeId="115726" r:id="rId5" name="TDPA1">
          <controlPr defaultSize="0" autoLine="0" autoPict="0" r:id="rId6">
            <anchor moveWithCells="1">
              <from>
                <xdr:col>5</xdr:col>
                <xdr:colOff>123825</xdr:colOff>
                <xdr:row>4</xdr:row>
                <xdr:rowOff>85725</xdr:rowOff>
              </from>
              <to>
                <xdr:col>5</xdr:col>
                <xdr:colOff>962025</xdr:colOff>
                <xdr:row>5</xdr:row>
                <xdr:rowOff>66675</xdr:rowOff>
              </to>
            </anchor>
          </controlPr>
        </control>
      </mc:Choice>
      <mc:Fallback>
        <control shapeId="115726" r:id="rId5" name="TDPA1"/>
      </mc:Fallback>
    </mc:AlternateContent>
    <mc:AlternateContent xmlns:mc="http://schemas.openxmlformats.org/markup-compatibility/2006">
      <mc:Choice Requires="x14">
        <control shapeId="115725" r:id="rId7" name="VehiculoT3S2R4">
          <controlPr defaultSize="0" autoLine="0" r:id="rId8">
            <anchor moveWithCells="1">
              <from>
                <xdr:col>10</xdr:col>
                <xdr:colOff>114300</xdr:colOff>
                <xdr:row>18</xdr:row>
                <xdr:rowOff>47625</xdr:rowOff>
              </from>
              <to>
                <xdr:col>11</xdr:col>
                <xdr:colOff>561975</xdr:colOff>
                <xdr:row>19</xdr:row>
                <xdr:rowOff>85725</xdr:rowOff>
              </to>
            </anchor>
          </controlPr>
        </control>
      </mc:Choice>
      <mc:Fallback>
        <control shapeId="115725" r:id="rId7" name="VehiculoT3S2R4"/>
      </mc:Fallback>
    </mc:AlternateContent>
    <mc:AlternateContent xmlns:mc="http://schemas.openxmlformats.org/markup-compatibility/2006">
      <mc:Choice Requires="x14">
        <control shapeId="115724" r:id="rId9" name="VehiculoT3S3">
          <controlPr defaultSize="0" autoLine="0" r:id="rId10">
            <anchor moveWithCells="1">
              <from>
                <xdr:col>10</xdr:col>
                <xdr:colOff>114300</xdr:colOff>
                <xdr:row>16</xdr:row>
                <xdr:rowOff>28575</xdr:rowOff>
              </from>
              <to>
                <xdr:col>11</xdr:col>
                <xdr:colOff>571500</xdr:colOff>
                <xdr:row>17</xdr:row>
                <xdr:rowOff>76200</xdr:rowOff>
              </to>
            </anchor>
          </controlPr>
        </control>
      </mc:Choice>
      <mc:Fallback>
        <control shapeId="115724" r:id="rId9" name="VehiculoT3S3"/>
      </mc:Fallback>
    </mc:AlternateContent>
    <mc:AlternateContent xmlns:mc="http://schemas.openxmlformats.org/markup-compatibility/2006">
      <mc:Choice Requires="x14">
        <control shapeId="115723" r:id="rId11" name="VehiculoT3S2">
          <controlPr defaultSize="0" autoLine="0" r:id="rId12">
            <anchor moveWithCells="1">
              <from>
                <xdr:col>10</xdr:col>
                <xdr:colOff>114300</xdr:colOff>
                <xdr:row>14</xdr:row>
                <xdr:rowOff>38100</xdr:rowOff>
              </from>
              <to>
                <xdr:col>11</xdr:col>
                <xdr:colOff>581025</xdr:colOff>
                <xdr:row>15</xdr:row>
                <xdr:rowOff>47625</xdr:rowOff>
              </to>
            </anchor>
          </controlPr>
        </control>
      </mc:Choice>
      <mc:Fallback>
        <control shapeId="115723" r:id="rId11" name="VehiculoT3S2"/>
      </mc:Fallback>
    </mc:AlternateContent>
    <mc:AlternateContent xmlns:mc="http://schemas.openxmlformats.org/markup-compatibility/2006">
      <mc:Choice Requires="x14">
        <control shapeId="115722" r:id="rId13" name="vehiculoC3">
          <controlPr defaultSize="0" autoLine="0" r:id="rId14">
            <anchor moveWithCells="1">
              <from>
                <xdr:col>10</xdr:col>
                <xdr:colOff>114300</xdr:colOff>
                <xdr:row>12</xdr:row>
                <xdr:rowOff>66675</xdr:rowOff>
              </from>
              <to>
                <xdr:col>11</xdr:col>
                <xdr:colOff>590550</xdr:colOff>
                <xdr:row>13</xdr:row>
                <xdr:rowOff>95250</xdr:rowOff>
              </to>
            </anchor>
          </controlPr>
        </control>
      </mc:Choice>
      <mc:Fallback>
        <control shapeId="115722" r:id="rId13" name="vehiculoC3"/>
      </mc:Fallback>
    </mc:AlternateContent>
    <mc:AlternateContent xmlns:mc="http://schemas.openxmlformats.org/markup-compatibility/2006">
      <mc:Choice Requires="x14">
        <control shapeId="115721" r:id="rId15" name="VehiculoC2">
          <controlPr defaultSize="0" autoLine="0" r:id="rId16">
            <anchor moveWithCells="1">
              <from>
                <xdr:col>10</xdr:col>
                <xdr:colOff>114300</xdr:colOff>
                <xdr:row>10</xdr:row>
                <xdr:rowOff>38100</xdr:rowOff>
              </from>
              <to>
                <xdr:col>11</xdr:col>
                <xdr:colOff>600075</xdr:colOff>
                <xdr:row>11</xdr:row>
                <xdr:rowOff>104775</xdr:rowOff>
              </to>
            </anchor>
          </controlPr>
        </control>
      </mc:Choice>
      <mc:Fallback>
        <control shapeId="115721" r:id="rId15" name="VehiculoC2"/>
      </mc:Fallback>
    </mc:AlternateContent>
    <mc:AlternateContent xmlns:mc="http://schemas.openxmlformats.org/markup-compatibility/2006">
      <mc:Choice Requires="x14">
        <control shapeId="115720" r:id="rId17" name="VehiculoB3">
          <controlPr defaultSize="0" autoLine="0" r:id="rId18">
            <anchor moveWithCells="1">
              <from>
                <xdr:col>10</xdr:col>
                <xdr:colOff>114300</xdr:colOff>
                <xdr:row>8</xdr:row>
                <xdr:rowOff>38100</xdr:rowOff>
              </from>
              <to>
                <xdr:col>11</xdr:col>
                <xdr:colOff>600075</xdr:colOff>
                <xdr:row>9</xdr:row>
                <xdr:rowOff>85725</xdr:rowOff>
              </to>
            </anchor>
          </controlPr>
        </control>
      </mc:Choice>
      <mc:Fallback>
        <control shapeId="115720" r:id="rId17" name="VehiculoB3"/>
      </mc:Fallback>
    </mc:AlternateContent>
    <mc:AlternateContent xmlns:mc="http://schemas.openxmlformats.org/markup-compatibility/2006">
      <mc:Choice Requires="x14">
        <control shapeId="115719" r:id="rId19" name="VehiculoB2">
          <controlPr defaultSize="0" autoLine="0" autoPict="0" r:id="rId20">
            <anchor moveWithCells="1">
              <from>
                <xdr:col>10</xdr:col>
                <xdr:colOff>114300</xdr:colOff>
                <xdr:row>6</xdr:row>
                <xdr:rowOff>47625</xdr:rowOff>
              </from>
              <to>
                <xdr:col>11</xdr:col>
                <xdr:colOff>600075</xdr:colOff>
                <xdr:row>7</xdr:row>
                <xdr:rowOff>171450</xdr:rowOff>
              </to>
            </anchor>
          </controlPr>
        </control>
      </mc:Choice>
      <mc:Fallback>
        <control shapeId="115719" r:id="rId19" name="VehiculoB2"/>
      </mc:Fallback>
    </mc:AlternateContent>
    <mc:AlternateContent xmlns:mc="http://schemas.openxmlformats.org/markup-compatibility/2006">
      <mc:Choice Requires="x14">
        <control shapeId="115718" r:id="rId21" name="vehiculoA">
          <controlPr defaultSize="0" autoLine="0" r:id="rId22">
            <anchor moveWithCells="1">
              <from>
                <xdr:col>10</xdr:col>
                <xdr:colOff>114300</xdr:colOff>
                <xdr:row>4</xdr:row>
                <xdr:rowOff>123825</xdr:rowOff>
              </from>
              <to>
                <xdr:col>11</xdr:col>
                <xdr:colOff>600075</xdr:colOff>
                <xdr:row>5</xdr:row>
                <xdr:rowOff>104775</xdr:rowOff>
              </to>
            </anchor>
          </controlPr>
        </control>
      </mc:Choice>
      <mc:Fallback>
        <control shapeId="115718" r:id="rId21" name="vehiculoA"/>
      </mc:Fallback>
    </mc:AlternateContent>
    <mc:AlternateContent xmlns:mc="http://schemas.openxmlformats.org/markup-compatibility/2006">
      <mc:Choice Requires="x14">
        <control shapeId="115717" r:id="rId23" name="Tasa1">
          <controlPr defaultSize="0" autoLine="0" r:id="rId24">
            <anchor moveWithCells="1">
              <from>
                <xdr:col>4</xdr:col>
                <xdr:colOff>781050</xdr:colOff>
                <xdr:row>13</xdr:row>
                <xdr:rowOff>38100</xdr:rowOff>
              </from>
              <to>
                <xdr:col>5</xdr:col>
                <xdr:colOff>714375</xdr:colOff>
                <xdr:row>13</xdr:row>
                <xdr:rowOff>257175</xdr:rowOff>
              </to>
            </anchor>
          </controlPr>
        </control>
      </mc:Choice>
      <mc:Fallback>
        <control shapeId="115717" r:id="rId23" name="Tasa1"/>
      </mc:Fallback>
    </mc:AlternateContent>
    <mc:AlternateContent xmlns:mc="http://schemas.openxmlformats.org/markup-compatibility/2006">
      <mc:Choice Requires="x14">
        <control shapeId="115716" r:id="rId25" name="años1">
          <controlPr defaultSize="0" autoLine="0" r:id="rId26">
            <anchor moveWithCells="1">
              <from>
                <xdr:col>4</xdr:col>
                <xdr:colOff>781050</xdr:colOff>
                <xdr:row>12</xdr:row>
                <xdr:rowOff>19050</xdr:rowOff>
              </from>
              <to>
                <xdr:col>5</xdr:col>
                <xdr:colOff>723900</xdr:colOff>
                <xdr:row>13</xdr:row>
                <xdr:rowOff>38100</xdr:rowOff>
              </to>
            </anchor>
          </controlPr>
        </control>
      </mc:Choice>
      <mc:Fallback>
        <control shapeId="115716" r:id="rId25" name="años1"/>
      </mc:Fallback>
    </mc:AlternateContent>
    <mc:AlternateContent xmlns:mc="http://schemas.openxmlformats.org/markup-compatibility/2006">
      <mc:Choice Requires="x14">
        <control shapeId="115715" r:id="rId27" name="FDC1">
          <controlPr defaultSize="0" autoLine="0" r:id="rId28">
            <anchor moveWithCells="1">
              <from>
                <xdr:col>4</xdr:col>
                <xdr:colOff>733425</xdr:colOff>
                <xdr:row>9</xdr:row>
                <xdr:rowOff>0</xdr:rowOff>
              </from>
              <to>
                <xdr:col>5</xdr:col>
                <xdr:colOff>666750</xdr:colOff>
                <xdr:row>9</xdr:row>
                <xdr:rowOff>257175</xdr:rowOff>
              </to>
            </anchor>
          </controlPr>
        </control>
      </mc:Choice>
      <mc:Fallback>
        <control shapeId="115715" r:id="rId27" name="FDC1"/>
      </mc:Fallback>
    </mc:AlternateContent>
    <mc:AlternateContent xmlns:mc="http://schemas.openxmlformats.org/markup-compatibility/2006">
      <mc:Choice Requires="x14">
        <control shapeId="115714" r:id="rId29" name="FDS1">
          <controlPr defaultSize="0" autoLine="0" r:id="rId30">
            <anchor moveWithCells="1">
              <from>
                <xdr:col>4</xdr:col>
                <xdr:colOff>733425</xdr:colOff>
                <xdr:row>7</xdr:row>
                <xdr:rowOff>228600</xdr:rowOff>
              </from>
              <to>
                <xdr:col>5</xdr:col>
                <xdr:colOff>666750</xdr:colOff>
                <xdr:row>9</xdr:row>
                <xdr:rowOff>19050</xdr:rowOff>
              </to>
            </anchor>
          </controlPr>
        </control>
      </mc:Choice>
      <mc:Fallback>
        <control shapeId="115714" r:id="rId29" name="FDS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1">
    <tabColor rgb="FF0070C0"/>
  </sheetPr>
  <dimension ref="A1:W53"/>
  <sheetViews>
    <sheetView showGridLines="0" showRowColHeaders="0" zoomScaleNormal="100" workbookViewId="0">
      <selection activeCell="D6" sqref="D6"/>
    </sheetView>
  </sheetViews>
  <sheetFormatPr baseColWidth="10" defaultRowHeight="15" x14ac:dyDescent="0.25"/>
  <cols>
    <col min="1" max="1" width="9.7109375" customWidth="1"/>
    <col min="2" max="2" width="10.7109375" customWidth="1"/>
    <col min="3" max="10" width="13.140625" customWidth="1"/>
    <col min="11" max="11" width="9.28515625" customWidth="1"/>
    <col min="12" max="12" width="23.28515625" customWidth="1"/>
    <col min="13" max="13" width="12.140625" customWidth="1"/>
    <col min="21" max="21" width="14" customWidth="1"/>
  </cols>
  <sheetData>
    <row r="1" spans="1:23" x14ac:dyDescent="0.25">
      <c r="A1" s="89"/>
      <c r="B1" s="89"/>
      <c r="C1" s="89"/>
      <c r="D1" s="89"/>
      <c r="E1" s="89"/>
      <c r="F1" s="89"/>
      <c r="G1" s="89"/>
      <c r="H1" s="89"/>
      <c r="I1" s="89"/>
      <c r="J1" s="89"/>
      <c r="K1" s="89"/>
      <c r="L1" s="89"/>
      <c r="M1" s="89"/>
      <c r="N1" s="89"/>
      <c r="O1" s="89"/>
      <c r="P1" s="89"/>
    </row>
    <row r="2" spans="1:23" x14ac:dyDescent="0.25">
      <c r="A2" s="89"/>
      <c r="B2" s="89"/>
      <c r="C2" s="89"/>
      <c r="D2" s="89"/>
      <c r="E2" s="89"/>
      <c r="F2" s="89"/>
      <c r="G2" s="89"/>
      <c r="H2" s="89"/>
      <c r="I2" s="89"/>
      <c r="J2" s="89"/>
      <c r="K2" s="89"/>
      <c r="L2" s="89"/>
      <c r="M2" s="89"/>
      <c r="N2" s="89"/>
      <c r="O2" s="89"/>
      <c r="P2" s="89"/>
      <c r="T2" t="s">
        <v>188</v>
      </c>
      <c r="U2">
        <v>0</v>
      </c>
    </row>
    <row r="3" spans="1:23" x14ac:dyDescent="0.25">
      <c r="A3" s="89"/>
      <c r="B3" s="89"/>
      <c r="C3" s="89"/>
      <c r="D3" s="89"/>
      <c r="E3" s="89"/>
      <c r="F3" s="89"/>
      <c r="G3" s="89"/>
      <c r="H3" s="89"/>
      <c r="I3" s="89"/>
      <c r="J3" s="89"/>
      <c r="K3" s="89"/>
      <c r="L3" s="89"/>
      <c r="M3" s="89"/>
      <c r="N3" s="89"/>
      <c r="O3" s="89"/>
      <c r="P3" s="89"/>
      <c r="T3" t="s">
        <v>184</v>
      </c>
      <c r="U3" s="180" t="b">
        <v>1</v>
      </c>
      <c r="V3">
        <v>6.5</v>
      </c>
      <c r="W3">
        <v>0</v>
      </c>
    </row>
    <row r="4" spans="1:23" x14ac:dyDescent="0.25">
      <c r="A4" s="89"/>
      <c r="B4" s="89"/>
      <c r="C4" s="89"/>
      <c r="D4" s="89"/>
      <c r="E4" s="89"/>
      <c r="F4" s="89"/>
      <c r="G4" s="89"/>
      <c r="H4" s="89"/>
      <c r="I4" s="89"/>
      <c r="J4" s="89"/>
      <c r="K4" s="89"/>
      <c r="L4" s="89"/>
      <c r="M4" s="89"/>
      <c r="N4" s="89"/>
      <c r="O4" s="89"/>
      <c r="P4" s="89"/>
      <c r="T4" t="s">
        <v>187</v>
      </c>
      <c r="U4" s="181" t="b">
        <v>1</v>
      </c>
      <c r="V4">
        <v>6.5</v>
      </c>
      <c r="W4">
        <v>25</v>
      </c>
    </row>
    <row r="5" spans="1:23" x14ac:dyDescent="0.25">
      <c r="A5" s="89"/>
      <c r="B5" s="89"/>
      <c r="T5" t="s">
        <v>185</v>
      </c>
      <c r="U5" s="181" t="b">
        <v>1</v>
      </c>
      <c r="V5">
        <v>11</v>
      </c>
      <c r="W5">
        <v>0</v>
      </c>
    </row>
    <row r="6" spans="1:23" x14ac:dyDescent="0.25">
      <c r="A6" s="89"/>
      <c r="B6" s="89"/>
      <c r="D6" s="223" t="s">
        <v>209</v>
      </c>
      <c r="T6" t="s">
        <v>186</v>
      </c>
      <c r="U6" s="182" t="b">
        <v>1</v>
      </c>
      <c r="V6">
        <v>11</v>
      </c>
      <c r="W6">
        <v>25</v>
      </c>
    </row>
    <row r="7" spans="1:23" ht="15.75" x14ac:dyDescent="0.25">
      <c r="A7" s="89"/>
      <c r="B7" s="89"/>
      <c r="L7" s="227"/>
      <c r="V7">
        <v>18</v>
      </c>
      <c r="W7">
        <v>0</v>
      </c>
    </row>
    <row r="8" spans="1:23" ht="18.75" x14ac:dyDescent="0.25">
      <c r="A8" s="89"/>
      <c r="B8" s="89"/>
      <c r="L8" s="228" t="s">
        <v>77</v>
      </c>
      <c r="T8">
        <v>4</v>
      </c>
      <c r="U8">
        <v>4</v>
      </c>
      <c r="V8">
        <v>18</v>
      </c>
      <c r="W8">
        <v>25</v>
      </c>
    </row>
    <row r="9" spans="1:23" ht="15.75" customHeight="1" x14ac:dyDescent="0.25">
      <c r="A9" s="89"/>
      <c r="B9" s="89"/>
      <c r="L9" s="227"/>
      <c r="T9">
        <v>3</v>
      </c>
      <c r="V9">
        <v>23</v>
      </c>
      <c r="W9">
        <v>0</v>
      </c>
    </row>
    <row r="10" spans="1:23" ht="15.75" customHeight="1" x14ac:dyDescent="0.25">
      <c r="A10" s="89"/>
      <c r="B10" s="89"/>
      <c r="L10" s="179"/>
      <c r="T10">
        <v>2</v>
      </c>
      <c r="V10">
        <v>23</v>
      </c>
      <c r="W10">
        <v>25</v>
      </c>
    </row>
    <row r="11" spans="1:23" ht="18.75" x14ac:dyDescent="0.3">
      <c r="A11" s="89"/>
      <c r="B11" s="89"/>
      <c r="E11" t="s">
        <v>78</v>
      </c>
      <c r="L11" s="128"/>
      <c r="T11">
        <v>1</v>
      </c>
    </row>
    <row r="12" spans="1:23" ht="18.75" x14ac:dyDescent="0.3">
      <c r="A12" s="89"/>
      <c r="B12" s="89"/>
      <c r="L12" s="128"/>
    </row>
    <row r="13" spans="1:23" ht="18.75" x14ac:dyDescent="0.3">
      <c r="A13" s="89"/>
      <c r="B13" s="89"/>
      <c r="L13" s="128"/>
    </row>
    <row r="14" spans="1:23" ht="18.75" x14ac:dyDescent="0.3">
      <c r="A14" s="89"/>
      <c r="B14" s="89"/>
      <c r="L14" s="128"/>
    </row>
    <row r="15" spans="1:23" ht="16.5" customHeight="1" x14ac:dyDescent="0.3">
      <c r="A15" s="89"/>
      <c r="B15" s="89"/>
      <c r="L15" s="128"/>
    </row>
    <row r="16" spans="1:23" ht="19.5" customHeight="1" x14ac:dyDescent="0.25">
      <c r="A16" s="89"/>
      <c r="B16" s="89"/>
    </row>
    <row r="17" spans="1:11" x14ac:dyDescent="0.25">
      <c r="A17" s="89"/>
      <c r="B17" s="89"/>
    </row>
    <row r="18" spans="1:11" x14ac:dyDescent="0.25">
      <c r="A18" s="89"/>
      <c r="B18" s="89"/>
    </row>
    <row r="19" spans="1:11" x14ac:dyDescent="0.25">
      <c r="A19" s="89"/>
      <c r="B19" s="89"/>
    </row>
    <row r="20" spans="1:11" x14ac:dyDescent="0.25">
      <c r="A20" s="89"/>
      <c r="B20" s="89"/>
    </row>
    <row r="21" spans="1:11" x14ac:dyDescent="0.25">
      <c r="A21" s="89"/>
      <c r="B21" s="89"/>
    </row>
    <row r="22" spans="1:11" x14ac:dyDescent="0.25">
      <c r="A22" s="89"/>
      <c r="B22" s="89"/>
    </row>
    <row r="23" spans="1:11" x14ac:dyDescent="0.25">
      <c r="A23" s="89"/>
      <c r="B23" s="89"/>
    </row>
    <row r="24" spans="1:11" x14ac:dyDescent="0.25">
      <c r="A24" s="89"/>
      <c r="B24" s="89"/>
    </row>
    <row r="25" spans="1:11" x14ac:dyDescent="0.25">
      <c r="A25" s="89"/>
      <c r="B25" s="89"/>
    </row>
    <row r="26" spans="1:11" x14ac:dyDescent="0.25">
      <c r="A26" s="89"/>
      <c r="B26" s="89"/>
    </row>
    <row r="27" spans="1:11" x14ac:dyDescent="0.25">
      <c r="A27" s="187"/>
      <c r="B27" s="187"/>
      <c r="C27" s="187"/>
      <c r="D27" s="187"/>
      <c r="E27" s="187"/>
      <c r="F27" s="187"/>
      <c r="G27" s="187"/>
      <c r="H27" s="187"/>
      <c r="I27" s="187"/>
      <c r="J27" s="187"/>
      <c r="K27" s="187"/>
    </row>
    <row r="28" spans="1:11" x14ac:dyDescent="0.25">
      <c r="A28" s="195"/>
      <c r="B28" s="307" t="s">
        <v>70</v>
      </c>
      <c r="C28" s="308"/>
      <c r="D28" s="308"/>
      <c r="E28" s="308"/>
      <c r="F28" s="308"/>
      <c r="G28" s="308"/>
      <c r="H28" s="308"/>
      <c r="I28" s="308"/>
      <c r="J28" s="308"/>
      <c r="K28" s="308"/>
    </row>
    <row r="29" spans="1:11" ht="15.95" customHeight="1" x14ac:dyDescent="0.25">
      <c r="A29" s="306" t="s">
        <v>81</v>
      </c>
      <c r="B29" s="196" t="s">
        <v>69</v>
      </c>
      <c r="C29" s="197" t="s">
        <v>53</v>
      </c>
      <c r="D29" s="197" t="s">
        <v>54</v>
      </c>
      <c r="E29" s="197" t="s">
        <v>55</v>
      </c>
      <c r="F29" s="198" t="s">
        <v>128</v>
      </c>
      <c r="G29" s="198" t="s">
        <v>129</v>
      </c>
      <c r="H29" s="198" t="s">
        <v>130</v>
      </c>
      <c r="I29" s="198" t="s">
        <v>131</v>
      </c>
      <c r="J29" s="198" t="s">
        <v>132</v>
      </c>
      <c r="K29" s="198" t="s">
        <v>133</v>
      </c>
    </row>
    <row r="30" spans="1:11" ht="15.95" customHeight="1" x14ac:dyDescent="0.25">
      <c r="A30" s="306"/>
      <c r="B30" s="196" t="s">
        <v>29</v>
      </c>
      <c r="C30" s="199">
        <v>1</v>
      </c>
      <c r="D30" s="199">
        <v>0</v>
      </c>
      <c r="E30" s="199">
        <v>0</v>
      </c>
      <c r="F30" s="199">
        <v>1.2</v>
      </c>
      <c r="G30" s="199">
        <v>0</v>
      </c>
      <c r="H30" s="199">
        <v>0</v>
      </c>
      <c r="I30" s="199">
        <v>0.35</v>
      </c>
      <c r="J30" s="199">
        <v>1E-8</v>
      </c>
      <c r="K30" s="199">
        <v>1E-8</v>
      </c>
    </row>
    <row r="31" spans="1:11" ht="15.95" customHeight="1" x14ac:dyDescent="0.25">
      <c r="A31" s="306"/>
      <c r="B31" s="196" t="s">
        <v>31</v>
      </c>
      <c r="C31" s="199">
        <v>1</v>
      </c>
      <c r="D31" s="199">
        <v>0</v>
      </c>
      <c r="E31" s="199">
        <v>0</v>
      </c>
      <c r="F31" s="199">
        <v>1.504</v>
      </c>
      <c r="G31" s="199">
        <v>0</v>
      </c>
      <c r="H31" s="199">
        <v>0</v>
      </c>
      <c r="I31" s="199">
        <v>0.5</v>
      </c>
      <c r="J31" s="199">
        <v>1E-8</v>
      </c>
      <c r="K31" s="199">
        <v>1E-8</v>
      </c>
    </row>
    <row r="32" spans="1:11" ht="15.95" customHeight="1" x14ac:dyDescent="0.25">
      <c r="A32" s="306"/>
      <c r="B32" s="196" t="s">
        <v>10</v>
      </c>
      <c r="C32" s="199">
        <v>0.3</v>
      </c>
      <c r="D32" s="199">
        <v>0.25</v>
      </c>
      <c r="E32" s="199">
        <v>0.45</v>
      </c>
      <c r="F32" s="199">
        <v>2</v>
      </c>
      <c r="G32" s="199">
        <v>2.2000000000000002</v>
      </c>
      <c r="H32" s="199">
        <v>2.7</v>
      </c>
      <c r="I32" s="199">
        <v>0.1</v>
      </c>
      <c r="J32" s="199">
        <v>0.2</v>
      </c>
      <c r="K32" s="199">
        <v>0.1</v>
      </c>
    </row>
    <row r="33" spans="1:11" ht="15.95" customHeight="1" x14ac:dyDescent="0.25">
      <c r="A33" s="306"/>
      <c r="B33" s="196" t="s">
        <v>11</v>
      </c>
      <c r="C33" s="199">
        <v>0.6</v>
      </c>
      <c r="D33" s="199">
        <v>0.4</v>
      </c>
      <c r="E33" s="199">
        <v>0</v>
      </c>
      <c r="F33" s="199">
        <v>1.946</v>
      </c>
      <c r="G33" s="199">
        <v>2.6</v>
      </c>
      <c r="H33" s="199">
        <v>0</v>
      </c>
      <c r="I33" s="199">
        <v>0.27</v>
      </c>
      <c r="J33" s="199">
        <v>0.17</v>
      </c>
      <c r="K33" s="199">
        <v>1E-10</v>
      </c>
    </row>
    <row r="34" spans="1:11" ht="15.95" customHeight="1" x14ac:dyDescent="0.25">
      <c r="A34" s="306" t="s">
        <v>79</v>
      </c>
      <c r="B34" s="196" t="s">
        <v>69</v>
      </c>
      <c r="C34" s="197" t="s">
        <v>53</v>
      </c>
      <c r="D34" s="197" t="s">
        <v>54</v>
      </c>
      <c r="E34" s="197" t="s">
        <v>55</v>
      </c>
      <c r="F34" s="198" t="s">
        <v>128</v>
      </c>
      <c r="G34" s="198" t="s">
        <v>129</v>
      </c>
      <c r="H34" s="198" t="s">
        <v>130</v>
      </c>
      <c r="I34" s="198" t="s">
        <v>131</v>
      </c>
      <c r="J34" s="198" t="s">
        <v>132</v>
      </c>
      <c r="K34" s="198" t="s">
        <v>133</v>
      </c>
    </row>
    <row r="35" spans="1:11" ht="15.95" customHeight="1" x14ac:dyDescent="0.25">
      <c r="A35" s="306"/>
      <c r="B35" s="196" t="s">
        <v>29</v>
      </c>
      <c r="C35" s="199">
        <v>1</v>
      </c>
      <c r="D35" s="199">
        <v>0</v>
      </c>
      <c r="E35" s="199">
        <v>0</v>
      </c>
      <c r="F35" s="199">
        <v>1.2</v>
      </c>
      <c r="G35" s="199">
        <v>0</v>
      </c>
      <c r="H35" s="199">
        <v>0</v>
      </c>
      <c r="I35" s="199">
        <v>0.35</v>
      </c>
      <c r="J35" s="199">
        <v>9.9999999999999994E-12</v>
      </c>
      <c r="K35" s="199">
        <v>1E-10</v>
      </c>
    </row>
    <row r="36" spans="1:11" ht="15.95" customHeight="1" x14ac:dyDescent="0.25">
      <c r="A36" s="306"/>
      <c r="B36" s="196" t="s">
        <v>31</v>
      </c>
      <c r="C36" s="199">
        <v>1</v>
      </c>
      <c r="D36" s="199">
        <v>0</v>
      </c>
      <c r="E36" s="199">
        <v>0</v>
      </c>
      <c r="F36" s="199">
        <v>1.7</v>
      </c>
      <c r="G36" s="199">
        <v>0</v>
      </c>
      <c r="H36" s="199">
        <v>0</v>
      </c>
      <c r="I36" s="199">
        <v>0.4</v>
      </c>
      <c r="J36" s="199">
        <v>9.9999999999999994E-12</v>
      </c>
      <c r="K36" s="199">
        <v>1E-10</v>
      </c>
    </row>
    <row r="37" spans="1:11" ht="15.95" customHeight="1" x14ac:dyDescent="0.25">
      <c r="A37" s="306"/>
      <c r="B37" s="196" t="s">
        <v>10</v>
      </c>
      <c r="C37" s="199">
        <v>0.4</v>
      </c>
      <c r="D37" s="199">
        <v>0.3</v>
      </c>
      <c r="E37" s="199">
        <v>0.30000000000000004</v>
      </c>
      <c r="F37" s="199">
        <v>2.2000000000000002</v>
      </c>
      <c r="G37" s="199">
        <v>2.7719999999999998</v>
      </c>
      <c r="H37" s="199">
        <v>2.8</v>
      </c>
      <c r="I37" s="199">
        <v>0.1</v>
      </c>
      <c r="J37" s="199">
        <v>0.2</v>
      </c>
      <c r="K37" s="199">
        <v>0.1</v>
      </c>
    </row>
    <row r="38" spans="1:11" ht="15.95" customHeight="1" x14ac:dyDescent="0.25">
      <c r="A38" s="306"/>
      <c r="B38" s="196" t="s">
        <v>11</v>
      </c>
      <c r="C38" s="199">
        <v>0.5</v>
      </c>
      <c r="D38" s="199">
        <v>0.5</v>
      </c>
      <c r="E38" s="199">
        <v>0</v>
      </c>
      <c r="F38" s="199">
        <v>1.946</v>
      </c>
      <c r="G38" s="199">
        <v>2.8</v>
      </c>
      <c r="H38" s="199">
        <v>0</v>
      </c>
      <c r="I38" s="199">
        <v>0.25</v>
      </c>
      <c r="J38" s="199">
        <v>0.2</v>
      </c>
      <c r="K38" s="199">
        <v>1E-10</v>
      </c>
    </row>
    <row r="39" spans="1:11" ht="15.95" customHeight="1" x14ac:dyDescent="0.25">
      <c r="A39" s="306" t="s">
        <v>134</v>
      </c>
      <c r="B39" s="196" t="s">
        <v>69</v>
      </c>
      <c r="C39" s="197" t="s">
        <v>53</v>
      </c>
      <c r="D39" s="197" t="s">
        <v>54</v>
      </c>
      <c r="E39" s="197" t="s">
        <v>55</v>
      </c>
      <c r="F39" s="198" t="s">
        <v>128</v>
      </c>
      <c r="G39" s="198" t="s">
        <v>129</v>
      </c>
      <c r="H39" s="198" t="s">
        <v>130</v>
      </c>
      <c r="I39" s="198" t="s">
        <v>131</v>
      </c>
      <c r="J39" s="198" t="s">
        <v>132</v>
      </c>
      <c r="K39" s="198" t="s">
        <v>133</v>
      </c>
    </row>
    <row r="40" spans="1:11" ht="15.95" customHeight="1" x14ac:dyDescent="0.25">
      <c r="A40" s="306"/>
      <c r="B40" s="196" t="s">
        <v>29</v>
      </c>
      <c r="C40" s="199">
        <v>1</v>
      </c>
      <c r="D40" s="199">
        <v>0</v>
      </c>
      <c r="E40" s="199">
        <v>0</v>
      </c>
      <c r="F40" s="199">
        <v>1.2</v>
      </c>
      <c r="G40" s="199">
        <v>0</v>
      </c>
      <c r="H40" s="199">
        <v>0</v>
      </c>
      <c r="I40" s="199">
        <v>0.35</v>
      </c>
      <c r="J40" s="199">
        <v>9.9999999999999994E-12</v>
      </c>
      <c r="K40" s="199">
        <v>1E-10</v>
      </c>
    </row>
    <row r="41" spans="1:11" ht="15.95" customHeight="1" x14ac:dyDescent="0.25">
      <c r="A41" s="306"/>
      <c r="B41" s="196" t="s">
        <v>31</v>
      </c>
      <c r="C41" s="199">
        <v>1</v>
      </c>
      <c r="D41" s="199">
        <v>0</v>
      </c>
      <c r="E41" s="199">
        <v>0</v>
      </c>
      <c r="F41" s="199">
        <v>1.8</v>
      </c>
      <c r="G41" s="199">
        <v>0</v>
      </c>
      <c r="H41" s="199">
        <v>0</v>
      </c>
      <c r="I41" s="199">
        <v>0.36</v>
      </c>
      <c r="J41" s="199">
        <v>9.9999999999999994E-12</v>
      </c>
      <c r="K41" s="199">
        <v>1E-10</v>
      </c>
    </row>
    <row r="42" spans="1:11" ht="15.95" customHeight="1" x14ac:dyDescent="0.25">
      <c r="A42" s="306"/>
      <c r="B42" s="196" t="s">
        <v>10</v>
      </c>
      <c r="C42" s="199">
        <v>0.4</v>
      </c>
      <c r="D42" s="199">
        <v>0.3</v>
      </c>
      <c r="E42" s="199">
        <v>0.30000000000000004</v>
      </c>
      <c r="F42" s="199">
        <v>2.3460000000000001</v>
      </c>
      <c r="G42" s="199">
        <v>2.7719999999999998</v>
      </c>
      <c r="H42" s="199">
        <v>3.218</v>
      </c>
      <c r="I42" s="199">
        <v>0.1</v>
      </c>
      <c r="J42" s="199">
        <v>0.3</v>
      </c>
      <c r="K42" s="199">
        <v>0.12</v>
      </c>
    </row>
    <row r="43" spans="1:11" ht="15.95" customHeight="1" x14ac:dyDescent="0.25">
      <c r="A43" s="306"/>
      <c r="B43" s="196" t="s">
        <v>11</v>
      </c>
      <c r="C43" s="199">
        <v>0.5</v>
      </c>
      <c r="D43" s="199">
        <v>0.5</v>
      </c>
      <c r="E43" s="199">
        <v>0</v>
      </c>
      <c r="F43" s="199">
        <v>2.1</v>
      </c>
      <c r="G43" s="199">
        <v>3.05</v>
      </c>
      <c r="H43" s="199">
        <v>0</v>
      </c>
      <c r="I43" s="199">
        <v>0.27</v>
      </c>
      <c r="J43" s="199">
        <v>0.27</v>
      </c>
      <c r="K43" s="199">
        <v>1E-10</v>
      </c>
    </row>
    <row r="44" spans="1:11" ht="15.95" customHeight="1" x14ac:dyDescent="0.25">
      <c r="A44" s="306" t="s">
        <v>135</v>
      </c>
      <c r="B44" s="196" t="s">
        <v>69</v>
      </c>
      <c r="C44" s="197" t="s">
        <v>53</v>
      </c>
      <c r="D44" s="197" t="s">
        <v>54</v>
      </c>
      <c r="E44" s="197" t="s">
        <v>55</v>
      </c>
      <c r="F44" s="198" t="s">
        <v>128</v>
      </c>
      <c r="G44" s="198" t="s">
        <v>129</v>
      </c>
      <c r="H44" s="198" t="s">
        <v>130</v>
      </c>
      <c r="I44" s="198" t="s">
        <v>131</v>
      </c>
      <c r="J44" s="198" t="s">
        <v>132</v>
      </c>
      <c r="K44" s="198" t="s">
        <v>133</v>
      </c>
    </row>
    <row r="45" spans="1:11" ht="15.95" customHeight="1" x14ac:dyDescent="0.25">
      <c r="A45" s="306"/>
      <c r="B45" s="196" t="s">
        <v>29</v>
      </c>
      <c r="C45" s="199">
        <v>1</v>
      </c>
      <c r="D45" s="199">
        <v>0</v>
      </c>
      <c r="E45" s="199">
        <v>0</v>
      </c>
      <c r="F45" s="199">
        <v>1.2</v>
      </c>
      <c r="G45" s="199">
        <v>0</v>
      </c>
      <c r="H45" s="199">
        <v>0</v>
      </c>
      <c r="I45" s="199">
        <v>0.35</v>
      </c>
      <c r="J45" s="199">
        <v>9.9999999999999994E-12</v>
      </c>
      <c r="K45" s="199">
        <v>1E-10</v>
      </c>
    </row>
    <row r="46" spans="1:11" ht="15.95" customHeight="1" x14ac:dyDescent="0.25">
      <c r="A46" s="306"/>
      <c r="B46" s="196" t="s">
        <v>31</v>
      </c>
      <c r="C46" s="199">
        <v>1</v>
      </c>
      <c r="D46" s="199">
        <v>0</v>
      </c>
      <c r="E46" s="199">
        <v>0</v>
      </c>
      <c r="F46" s="199">
        <v>2.12</v>
      </c>
      <c r="G46" s="199">
        <v>0</v>
      </c>
      <c r="H46" s="199">
        <v>0</v>
      </c>
      <c r="I46" s="199">
        <v>0.32</v>
      </c>
      <c r="J46" s="199">
        <v>9.9999999999999994E-12</v>
      </c>
      <c r="K46" s="199">
        <v>1E-10</v>
      </c>
    </row>
    <row r="47" spans="1:11" ht="15.95" customHeight="1" x14ac:dyDescent="0.25">
      <c r="A47" s="306"/>
      <c r="B47" s="196" t="s">
        <v>10</v>
      </c>
      <c r="C47" s="199">
        <v>0.4</v>
      </c>
      <c r="D47" s="199">
        <v>0.2</v>
      </c>
      <c r="E47" s="199">
        <v>0.39999999999999991</v>
      </c>
      <c r="F47" s="199">
        <v>2.7</v>
      </c>
      <c r="G47" s="199">
        <v>3</v>
      </c>
      <c r="H47" s="199">
        <v>3.4</v>
      </c>
      <c r="I47" s="199">
        <v>0.1</v>
      </c>
      <c r="J47" s="199">
        <v>0.3</v>
      </c>
      <c r="K47" s="199">
        <v>0.12</v>
      </c>
    </row>
    <row r="48" spans="1:11" ht="15.95" customHeight="1" x14ac:dyDescent="0.25">
      <c r="A48" s="306"/>
      <c r="B48" s="196" t="s">
        <v>11</v>
      </c>
      <c r="C48" s="199">
        <v>0.5</v>
      </c>
      <c r="D48" s="199">
        <v>0.5</v>
      </c>
      <c r="E48" s="199">
        <v>0</v>
      </c>
      <c r="F48" s="199">
        <v>2.2999999999999998</v>
      </c>
      <c r="G48" s="199">
        <v>3.3</v>
      </c>
      <c r="H48" s="199">
        <v>0</v>
      </c>
      <c r="I48" s="199">
        <v>0.28000000000000003</v>
      </c>
      <c r="J48" s="199">
        <v>0.28000000000000003</v>
      </c>
      <c r="K48" s="199">
        <v>1E-10</v>
      </c>
    </row>
    <row r="49" spans="1:11" ht="15.95" customHeight="1" x14ac:dyDescent="0.25">
      <c r="A49" s="306" t="s">
        <v>65</v>
      </c>
      <c r="B49" s="196" t="s">
        <v>69</v>
      </c>
      <c r="C49" s="197" t="s">
        <v>53</v>
      </c>
      <c r="D49" s="197" t="s">
        <v>54</v>
      </c>
      <c r="E49" s="197" t="s">
        <v>55</v>
      </c>
      <c r="F49" s="198" t="s">
        <v>128</v>
      </c>
      <c r="G49" s="198" t="s">
        <v>129</v>
      </c>
      <c r="H49" s="198" t="s">
        <v>130</v>
      </c>
      <c r="I49" s="198" t="s">
        <v>131</v>
      </c>
      <c r="J49" s="198" t="s">
        <v>132</v>
      </c>
      <c r="K49" s="198" t="s">
        <v>133</v>
      </c>
    </row>
    <row r="50" spans="1:11" ht="15.95" customHeight="1" x14ac:dyDescent="0.25">
      <c r="A50" s="306"/>
      <c r="B50" s="196" t="s">
        <v>29</v>
      </c>
      <c r="C50" s="199" t="s">
        <v>212</v>
      </c>
      <c r="D50" s="199" t="s">
        <v>227</v>
      </c>
      <c r="E50" s="199" t="s">
        <v>228</v>
      </c>
      <c r="F50" s="199" t="s">
        <v>229</v>
      </c>
      <c r="G50" s="199" t="s">
        <v>230</v>
      </c>
      <c r="H50" s="199" t="s">
        <v>231</v>
      </c>
      <c r="I50" s="199" t="s">
        <v>232</v>
      </c>
      <c r="J50" s="199" t="s">
        <v>233</v>
      </c>
      <c r="K50" s="199" t="s">
        <v>234</v>
      </c>
    </row>
    <row r="51" spans="1:11" ht="15.95" customHeight="1" x14ac:dyDescent="0.25">
      <c r="A51" s="306"/>
      <c r="B51" s="196" t="s">
        <v>31</v>
      </c>
      <c r="C51" s="199" t="s">
        <v>198</v>
      </c>
      <c r="D51" s="199" t="s">
        <v>214</v>
      </c>
      <c r="E51" s="199" t="s">
        <v>213</v>
      </c>
      <c r="F51" s="199" t="s">
        <v>235</v>
      </c>
      <c r="G51" s="199" t="s">
        <v>236</v>
      </c>
      <c r="H51" s="199" t="s">
        <v>237</v>
      </c>
      <c r="I51" s="199" t="s">
        <v>238</v>
      </c>
      <c r="J51" s="199" t="s">
        <v>239</v>
      </c>
      <c r="K51" s="199" t="s">
        <v>240</v>
      </c>
    </row>
    <row r="52" spans="1:11" ht="15.95" customHeight="1" x14ac:dyDescent="0.25">
      <c r="A52" s="306"/>
      <c r="B52" s="196" t="s">
        <v>10</v>
      </c>
      <c r="C52" s="199" t="s">
        <v>241</v>
      </c>
      <c r="D52" s="199" t="s">
        <v>215</v>
      </c>
      <c r="E52" s="199" t="s">
        <v>242</v>
      </c>
      <c r="F52" s="199" t="s">
        <v>243</v>
      </c>
      <c r="G52" s="199" t="s">
        <v>244</v>
      </c>
      <c r="H52" s="199" t="s">
        <v>216</v>
      </c>
      <c r="I52" s="199" t="s">
        <v>245</v>
      </c>
      <c r="J52" s="199" t="s">
        <v>246</v>
      </c>
      <c r="K52" s="199" t="s">
        <v>217</v>
      </c>
    </row>
    <row r="53" spans="1:11" ht="15.95" customHeight="1" x14ac:dyDescent="0.25">
      <c r="A53" s="306"/>
      <c r="B53" s="196" t="s">
        <v>11</v>
      </c>
      <c r="C53" s="199" t="s">
        <v>218</v>
      </c>
      <c r="D53" s="199" t="s">
        <v>219</v>
      </c>
      <c r="E53" s="199" t="s">
        <v>226</v>
      </c>
      <c r="F53" s="199" t="s">
        <v>220</v>
      </c>
      <c r="G53" s="199" t="s">
        <v>221</v>
      </c>
      <c r="H53" s="199" t="s">
        <v>222</v>
      </c>
      <c r="I53" s="199" t="s">
        <v>223</v>
      </c>
      <c r="J53" s="199" t="s">
        <v>224</v>
      </c>
      <c r="K53" s="199" t="s">
        <v>225</v>
      </c>
    </row>
  </sheetData>
  <mergeCells count="6">
    <mergeCell ref="A49:A53"/>
    <mergeCell ref="B28:K28"/>
    <mergeCell ref="A29:A33"/>
    <mergeCell ref="A34:A38"/>
    <mergeCell ref="A39:A43"/>
    <mergeCell ref="A44:A48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91151" r:id="rId3" name="Legal">
          <controlPr defaultSize="0" autoLine="0" r:id="rId4">
            <anchor moveWithCells="1">
              <from>
                <xdr:col>11</xdr:col>
                <xdr:colOff>142875</xdr:colOff>
                <xdr:row>20</xdr:row>
                <xdr:rowOff>0</xdr:rowOff>
              </from>
              <to>
                <xdr:col>12</xdr:col>
                <xdr:colOff>114300</xdr:colOff>
                <xdr:row>21</xdr:row>
                <xdr:rowOff>95250</xdr:rowOff>
              </to>
            </anchor>
          </controlPr>
        </control>
      </mc:Choice>
      <mc:Fallback>
        <control shapeId="91151" r:id="rId3" name="Legal"/>
      </mc:Fallback>
    </mc:AlternateContent>
    <mc:AlternateContent xmlns:mc="http://schemas.openxmlformats.org/markup-compatibility/2006">
      <mc:Choice Requires="x14">
        <control shapeId="91144" r:id="rId5" name="Sencillo">
          <controlPr defaultSize="0" autoLine="0" r:id="rId6">
            <anchor moveWithCells="1">
              <from>
                <xdr:col>11</xdr:col>
                <xdr:colOff>104775</xdr:colOff>
                <xdr:row>12</xdr:row>
                <xdr:rowOff>219075</xdr:rowOff>
              </from>
              <to>
                <xdr:col>12</xdr:col>
                <xdr:colOff>133350</xdr:colOff>
                <xdr:row>14</xdr:row>
                <xdr:rowOff>28575</xdr:rowOff>
              </to>
            </anchor>
          </controlPr>
        </control>
      </mc:Choice>
      <mc:Fallback>
        <control shapeId="91144" r:id="rId5" name="Sencillo"/>
      </mc:Fallback>
    </mc:AlternateContent>
    <mc:AlternateContent xmlns:mc="http://schemas.openxmlformats.org/markup-compatibility/2006">
      <mc:Choice Requires="x14">
        <control shapeId="91145" r:id="rId7" name="Sencillodual">
          <controlPr defaultSize="0" autoLine="0" r:id="rId8">
            <anchor moveWithCells="1">
              <from>
                <xdr:col>11</xdr:col>
                <xdr:colOff>95250</xdr:colOff>
                <xdr:row>14</xdr:row>
                <xdr:rowOff>19050</xdr:rowOff>
              </from>
              <to>
                <xdr:col>12</xdr:col>
                <xdr:colOff>190500</xdr:colOff>
                <xdr:row>15</xdr:row>
                <xdr:rowOff>66675</xdr:rowOff>
              </to>
            </anchor>
          </controlPr>
        </control>
      </mc:Choice>
      <mc:Fallback>
        <control shapeId="91145" r:id="rId7" name="Sencillodual"/>
      </mc:Fallback>
    </mc:AlternateContent>
    <mc:AlternateContent xmlns:mc="http://schemas.openxmlformats.org/markup-compatibility/2006">
      <mc:Choice Requires="x14">
        <control shapeId="91146" r:id="rId9" name="Tandem">
          <controlPr defaultSize="0" autoLine="0" r:id="rId10">
            <anchor moveWithCells="1">
              <from>
                <xdr:col>11</xdr:col>
                <xdr:colOff>123825</xdr:colOff>
                <xdr:row>15</xdr:row>
                <xdr:rowOff>66675</xdr:rowOff>
              </from>
              <to>
                <xdr:col>12</xdr:col>
                <xdr:colOff>523875</xdr:colOff>
                <xdr:row>16</xdr:row>
                <xdr:rowOff>104775</xdr:rowOff>
              </to>
            </anchor>
          </controlPr>
        </control>
      </mc:Choice>
      <mc:Fallback>
        <control shapeId="91146" r:id="rId9" name="Tandem"/>
      </mc:Fallback>
    </mc:AlternateContent>
    <mc:AlternateContent xmlns:mc="http://schemas.openxmlformats.org/markup-compatibility/2006">
      <mc:Choice Requires="x14">
        <control shapeId="91147" r:id="rId11" name="Tridem">
          <controlPr defaultSize="0" autoLine="0" r:id="rId12">
            <anchor moveWithCells="1">
              <from>
                <xdr:col>11</xdr:col>
                <xdr:colOff>123825</xdr:colOff>
                <xdr:row>16</xdr:row>
                <xdr:rowOff>114300</xdr:rowOff>
              </from>
              <to>
                <xdr:col>12</xdr:col>
                <xdr:colOff>219075</xdr:colOff>
                <xdr:row>17</xdr:row>
                <xdr:rowOff>171450</xdr:rowOff>
              </to>
            </anchor>
          </controlPr>
        </control>
      </mc:Choice>
      <mc:Fallback>
        <control shapeId="91147" r:id="rId11" name="Tridem"/>
      </mc:Fallback>
    </mc:AlternateContent>
    <mc:AlternateContent xmlns:mc="http://schemas.openxmlformats.org/markup-compatibility/2006">
      <mc:Choice Requires="x14">
        <control shapeId="91154" r:id="rId13" name="ComboBox2">
          <controlPr defaultSize="0" autoLine="0" r:id="rId14">
            <anchor moveWithCells="1">
              <from>
                <xdr:col>11</xdr:col>
                <xdr:colOff>0</xdr:colOff>
                <xdr:row>10</xdr:row>
                <xdr:rowOff>9525</xdr:rowOff>
              </from>
              <to>
                <xdr:col>12</xdr:col>
                <xdr:colOff>381000</xdr:colOff>
                <xdr:row>11</xdr:row>
                <xdr:rowOff>47625</xdr:rowOff>
              </to>
            </anchor>
          </controlPr>
        </control>
      </mc:Choice>
      <mc:Fallback>
        <control shapeId="91154" r:id="rId13" name="ComboBox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7">
    <tabColor rgb="FF00CC00"/>
  </sheetPr>
  <dimension ref="A1:AW30"/>
  <sheetViews>
    <sheetView showGridLines="0" topLeftCell="D6" zoomScaleNormal="100" workbookViewId="0">
      <selection activeCell="J13" sqref="J13"/>
    </sheetView>
  </sheetViews>
  <sheetFormatPr baseColWidth="10" defaultRowHeight="15" x14ac:dyDescent="0.25"/>
  <cols>
    <col min="1" max="1" width="7.85546875" customWidth="1"/>
    <col min="2" max="2" width="4" customWidth="1"/>
    <col min="4" max="4" width="15.28515625" customWidth="1"/>
    <col min="6" max="6" width="17.85546875" customWidth="1"/>
    <col min="8" max="8" width="4.7109375" customWidth="1"/>
    <col min="9" max="26" width="4.140625" customWidth="1"/>
    <col min="27" max="27" width="2.5703125" customWidth="1"/>
    <col min="28" max="28" width="6.42578125" customWidth="1"/>
    <col min="29" max="29" width="4.140625" customWidth="1"/>
    <col min="30" max="30" width="3.42578125" customWidth="1"/>
    <col min="31" max="45" width="4.140625" customWidth="1"/>
    <col min="47" max="47" width="13.42578125" customWidth="1"/>
  </cols>
  <sheetData>
    <row r="1" spans="1:49" x14ac:dyDescent="0.25">
      <c r="A1" s="91"/>
      <c r="B1" s="91"/>
      <c r="C1" s="91"/>
      <c r="D1" s="91"/>
      <c r="E1" s="91"/>
      <c r="F1" s="91"/>
      <c r="G1" s="91"/>
      <c r="H1" s="91"/>
      <c r="I1" s="91"/>
      <c r="J1" s="91"/>
      <c r="K1" s="91"/>
      <c r="L1" s="91"/>
      <c r="M1" s="91"/>
      <c r="N1" s="91"/>
      <c r="O1" s="91"/>
      <c r="P1" s="91"/>
      <c r="Q1" s="91"/>
      <c r="R1" s="91"/>
      <c r="S1" s="91"/>
      <c r="T1" s="91"/>
      <c r="U1" s="91"/>
      <c r="V1" s="91"/>
      <c r="W1" s="91"/>
      <c r="X1" s="91"/>
      <c r="Y1" s="91"/>
      <c r="Z1" s="91"/>
      <c r="AA1" s="91"/>
      <c r="AB1" s="91"/>
      <c r="AC1" s="91"/>
      <c r="AD1" s="91"/>
      <c r="AE1" s="91"/>
    </row>
    <row r="2" spans="1:49" x14ac:dyDescent="0.25">
      <c r="L2" s="22"/>
      <c r="P2" s="91"/>
    </row>
    <row r="3" spans="1:49" x14ac:dyDescent="0.25">
      <c r="L3" s="22"/>
      <c r="P3" s="91"/>
      <c r="AU3" s="187"/>
      <c r="AV3" s="187"/>
      <c r="AW3" s="187"/>
    </row>
    <row r="4" spans="1:49" x14ac:dyDescent="0.25">
      <c r="AU4" s="187"/>
      <c r="AV4" s="187"/>
      <c r="AW4" s="187"/>
    </row>
    <row r="5" spans="1:49" x14ac:dyDescent="0.25">
      <c r="AU5" s="91" t="s">
        <v>29</v>
      </c>
      <c r="AV5" s="191" t="s">
        <v>174</v>
      </c>
      <c r="AW5" s="187"/>
    </row>
    <row r="6" spans="1:49" ht="18.75" x14ac:dyDescent="0.25">
      <c r="C6" s="317" t="s">
        <v>75</v>
      </c>
      <c r="D6" s="317"/>
      <c r="E6" s="317"/>
      <c r="F6" s="317"/>
      <c r="G6" s="91"/>
      <c r="H6" s="314" t="s">
        <v>171</v>
      </c>
      <c r="I6" s="314"/>
      <c r="J6" s="314"/>
      <c r="K6" s="314"/>
      <c r="L6" s="91"/>
      <c r="M6" s="91"/>
      <c r="N6" s="91"/>
      <c r="O6" s="91"/>
      <c r="P6" s="91"/>
      <c r="Q6" s="91"/>
      <c r="R6" s="91"/>
      <c r="S6" s="91"/>
      <c r="T6" s="91"/>
      <c r="U6" s="91"/>
      <c r="V6" s="91"/>
      <c r="W6" s="91"/>
      <c r="X6" s="91"/>
      <c r="Y6" s="91"/>
      <c r="Z6" s="91"/>
      <c r="AA6" s="91"/>
      <c r="AB6" s="91"/>
      <c r="AU6" s="91" t="s">
        <v>119</v>
      </c>
      <c r="AV6" s="191" t="s">
        <v>173</v>
      </c>
      <c r="AW6" s="187"/>
    </row>
    <row r="7" spans="1:49" ht="18" x14ac:dyDescent="0.25">
      <c r="C7" s="318" t="s">
        <v>26</v>
      </c>
      <c r="D7" s="318"/>
      <c r="E7" s="318"/>
      <c r="F7" s="201">
        <v>10.09</v>
      </c>
      <c r="G7" s="91"/>
      <c r="H7" s="315" t="s">
        <v>24</v>
      </c>
      <c r="I7" s="315"/>
      <c r="J7" s="315">
        <v>122</v>
      </c>
      <c r="K7" s="315"/>
      <c r="L7" s="93"/>
      <c r="M7" s="91"/>
      <c r="N7" s="91"/>
      <c r="O7" s="91"/>
      <c r="P7" s="91"/>
      <c r="Q7" s="91"/>
      <c r="R7" s="91"/>
      <c r="S7" s="91"/>
      <c r="T7" s="91"/>
      <c r="U7" s="91"/>
      <c r="V7" s="91"/>
      <c r="W7" s="91"/>
      <c r="X7" s="91"/>
      <c r="Y7" s="91"/>
      <c r="Z7" s="91"/>
      <c r="AA7" s="91"/>
      <c r="AB7" s="91"/>
      <c r="AU7" s="91" t="s">
        <v>10</v>
      </c>
      <c r="AV7" s="192" t="s">
        <v>203</v>
      </c>
      <c r="AW7" s="187"/>
    </row>
    <row r="8" spans="1:49" ht="20.25" customHeight="1" x14ac:dyDescent="0.25">
      <c r="C8" s="318" t="s">
        <v>25</v>
      </c>
      <c r="D8" s="318"/>
      <c r="E8" s="318"/>
      <c r="F8" s="201" t="s">
        <v>11</v>
      </c>
      <c r="G8" s="91"/>
      <c r="H8" s="315" t="s">
        <v>23</v>
      </c>
      <c r="I8" s="315"/>
      <c r="J8" s="315">
        <v>36</v>
      </c>
      <c r="K8" s="315"/>
      <c r="L8" s="202"/>
      <c r="M8" s="91"/>
      <c r="N8" s="91"/>
      <c r="O8" s="91"/>
      <c r="P8" s="91"/>
      <c r="Q8" s="91"/>
      <c r="R8" s="91"/>
      <c r="S8" s="91"/>
      <c r="T8" s="91"/>
      <c r="U8" s="91"/>
      <c r="V8" s="91"/>
      <c r="W8" s="91"/>
      <c r="X8" s="91"/>
      <c r="Y8" s="91"/>
      <c r="Z8" s="91"/>
      <c r="AA8" s="91"/>
      <c r="AB8" s="91"/>
      <c r="AU8" s="91" t="s">
        <v>11</v>
      </c>
      <c r="AV8" s="192" t="s">
        <v>204</v>
      </c>
      <c r="AW8" s="187"/>
    </row>
    <row r="9" spans="1:49" ht="15.75" x14ac:dyDescent="0.25">
      <c r="C9" s="318"/>
      <c r="D9" s="318"/>
      <c r="E9" s="318"/>
      <c r="F9" s="201"/>
      <c r="G9" s="91"/>
      <c r="H9" s="314" t="s">
        <v>172</v>
      </c>
      <c r="I9" s="314"/>
      <c r="J9" s="314"/>
      <c r="K9" s="314"/>
      <c r="L9" s="203"/>
      <c r="M9" s="91"/>
      <c r="N9" s="91"/>
      <c r="O9" s="91"/>
      <c r="P9" s="91"/>
      <c r="Q9" s="91"/>
      <c r="R9" s="91"/>
      <c r="S9" s="91"/>
      <c r="T9" s="91"/>
      <c r="U9" s="91"/>
      <c r="V9" s="91"/>
      <c r="W9" s="91"/>
      <c r="X9" s="91"/>
      <c r="Y9" s="91"/>
      <c r="Z9" s="91"/>
      <c r="AA9" s="91"/>
      <c r="AB9" s="91"/>
      <c r="AU9" s="91"/>
      <c r="AV9" s="191" t="s">
        <v>179</v>
      </c>
      <c r="AW9" s="187"/>
    </row>
    <row r="10" spans="1:49" ht="18" x14ac:dyDescent="0.35">
      <c r="C10" s="318" t="s">
        <v>94</v>
      </c>
      <c r="D10" s="318"/>
      <c r="E10" s="318"/>
      <c r="F10" s="201">
        <v>3</v>
      </c>
      <c r="G10" s="91"/>
      <c r="H10" s="316" t="s">
        <v>21</v>
      </c>
      <c r="I10" s="316"/>
      <c r="J10" s="312">
        <v>0</v>
      </c>
      <c r="K10" s="312"/>
      <c r="L10" s="91"/>
      <c r="M10" s="91"/>
      <c r="N10" s="91"/>
      <c r="O10" s="91"/>
      <c r="P10" s="91"/>
      <c r="Q10" s="91"/>
      <c r="R10" s="91"/>
      <c r="S10" s="91"/>
      <c r="T10" s="91"/>
      <c r="U10" s="91"/>
      <c r="V10" s="91"/>
      <c r="W10" s="91"/>
      <c r="X10" s="91"/>
      <c r="Y10" s="91"/>
      <c r="Z10" s="91"/>
      <c r="AA10" s="91"/>
      <c r="AB10" s="91"/>
      <c r="AU10" s="91"/>
      <c r="AV10" s="193" t="s">
        <v>205</v>
      </c>
      <c r="AW10" s="187"/>
    </row>
    <row r="11" spans="1:49" ht="18" x14ac:dyDescent="0.35">
      <c r="C11" s="318"/>
      <c r="D11" s="318"/>
      <c r="E11" s="318"/>
      <c r="F11" s="201"/>
      <c r="G11" s="91"/>
      <c r="H11" s="316" t="s">
        <v>22</v>
      </c>
      <c r="I11" s="316"/>
      <c r="J11" s="312">
        <v>0</v>
      </c>
      <c r="K11" s="312"/>
      <c r="L11" s="91"/>
      <c r="M11" s="91"/>
      <c r="N11" s="91"/>
      <c r="O11" s="91"/>
      <c r="P11" s="91"/>
      <c r="Q11" s="91"/>
      <c r="R11" s="91"/>
      <c r="S11" s="91"/>
      <c r="T11" s="91"/>
      <c r="U11" s="91"/>
      <c r="V11" s="91"/>
      <c r="W11" s="91"/>
      <c r="X11" s="91"/>
      <c r="Y11" s="91"/>
      <c r="Z11" s="91"/>
      <c r="AA11" s="91"/>
      <c r="AB11" s="91"/>
      <c r="AU11" s="91"/>
      <c r="AV11" s="193" t="s">
        <v>206</v>
      </c>
    </row>
    <row r="12" spans="1:49" ht="15.75" customHeight="1" x14ac:dyDescent="0.25">
      <c r="C12" s="317" t="s">
        <v>1</v>
      </c>
      <c r="D12" s="317"/>
      <c r="E12" s="317"/>
      <c r="F12" s="317"/>
      <c r="G12" s="210"/>
      <c r="H12" s="91"/>
      <c r="I12" s="91"/>
      <c r="J12" s="91"/>
      <c r="K12" s="91"/>
      <c r="L12" s="91"/>
      <c r="M12" s="91"/>
      <c r="N12" s="91"/>
      <c r="O12" s="91"/>
      <c r="P12" s="91"/>
      <c r="Q12" s="91"/>
      <c r="R12" s="91"/>
      <c r="S12" s="91"/>
      <c r="T12" s="91"/>
      <c r="U12" s="91"/>
      <c r="V12" s="91"/>
      <c r="W12" s="91"/>
      <c r="X12" s="91"/>
      <c r="Y12" s="91"/>
      <c r="Z12" s="91"/>
      <c r="AA12" s="91"/>
      <c r="AB12" s="91"/>
    </row>
    <row r="13" spans="1:49" ht="30" x14ac:dyDescent="0.25">
      <c r="C13" s="202" t="s">
        <v>152</v>
      </c>
      <c r="D13" s="202" t="s">
        <v>153</v>
      </c>
      <c r="E13" s="202" t="s">
        <v>80</v>
      </c>
      <c r="F13" s="202" t="s">
        <v>183</v>
      </c>
      <c r="G13" s="91"/>
      <c r="H13" s="202"/>
      <c r="I13" s="91"/>
      <c r="J13" s="91"/>
      <c r="K13" s="91"/>
      <c r="L13" s="203"/>
      <c r="M13" s="91"/>
      <c r="N13" s="91"/>
      <c r="O13" s="91"/>
      <c r="P13" s="91"/>
      <c r="Q13" s="91"/>
      <c r="R13" s="91"/>
      <c r="S13" s="91"/>
      <c r="T13" s="91"/>
      <c r="U13" s="91"/>
      <c r="V13" s="91"/>
      <c r="W13" s="91"/>
      <c r="X13" s="91"/>
      <c r="Y13" s="91"/>
      <c r="Z13" s="91"/>
      <c r="AA13" s="91"/>
      <c r="AB13" s="91"/>
    </row>
    <row r="14" spans="1:49" ht="15.75" thickBot="1" x14ac:dyDescent="0.3">
      <c r="C14" s="200">
        <v>1</v>
      </c>
      <c r="D14" s="201" t="s">
        <v>175</v>
      </c>
      <c r="E14" s="201">
        <v>15</v>
      </c>
      <c r="F14" s="201">
        <v>3000</v>
      </c>
      <c r="G14" s="91"/>
      <c r="H14" s="204"/>
      <c r="I14" s="91"/>
      <c r="J14" s="91"/>
      <c r="K14" s="91"/>
      <c r="L14" s="91"/>
      <c r="M14" s="91"/>
      <c r="N14" s="91"/>
      <c r="O14" s="91"/>
      <c r="P14" s="91"/>
      <c r="Q14" s="91"/>
      <c r="R14" s="283" t="s">
        <v>179</v>
      </c>
      <c r="S14" s="284"/>
      <c r="T14" s="284"/>
      <c r="U14" s="284"/>
      <c r="V14" s="284"/>
      <c r="W14" s="284"/>
      <c r="X14" s="284"/>
      <c r="Y14" s="91" t="s">
        <v>170</v>
      </c>
      <c r="Z14" s="91"/>
      <c r="AA14" s="91"/>
      <c r="AB14" s="275"/>
    </row>
    <row r="15" spans="1:49" ht="15" customHeight="1" x14ac:dyDescent="0.25">
      <c r="C15" s="200">
        <v>2</v>
      </c>
      <c r="D15" s="201" t="s">
        <v>176</v>
      </c>
      <c r="E15" s="201">
        <v>30</v>
      </c>
      <c r="F15" s="201">
        <v>300</v>
      </c>
      <c r="G15" s="91"/>
      <c r="H15" s="204"/>
      <c r="I15" s="91"/>
      <c r="J15" s="91"/>
      <c r="K15" s="91"/>
      <c r="L15" s="91"/>
      <c r="M15" s="91"/>
      <c r="N15" s="91"/>
      <c r="O15" s="91"/>
      <c r="P15" s="285"/>
      <c r="Q15" s="285"/>
      <c r="R15" s="286"/>
      <c r="S15" s="285"/>
      <c r="T15" s="285"/>
      <c r="U15" s="313" t="s">
        <v>175</v>
      </c>
      <c r="V15" s="313"/>
      <c r="W15" s="313"/>
      <c r="X15" s="313"/>
      <c r="Y15" s="311"/>
      <c r="Z15" s="311"/>
      <c r="AA15" s="311"/>
      <c r="AB15" s="274"/>
    </row>
    <row r="16" spans="1:49" ht="15" customHeight="1" thickBot="1" x14ac:dyDescent="0.3">
      <c r="C16" s="200">
        <v>3</v>
      </c>
      <c r="D16" s="201" t="s">
        <v>177</v>
      </c>
      <c r="E16" s="201"/>
      <c r="F16" s="201">
        <v>50</v>
      </c>
      <c r="G16" s="91"/>
      <c r="H16" s="91"/>
      <c r="I16" s="278" t="s">
        <v>200</v>
      </c>
      <c r="J16" s="279"/>
      <c r="K16" s="279"/>
      <c r="L16" s="294"/>
      <c r="M16" s="294"/>
      <c r="N16" s="294"/>
      <c r="O16" s="284"/>
      <c r="P16" s="295"/>
      <c r="Q16" s="295"/>
      <c r="R16" s="287" t="s">
        <v>174</v>
      </c>
      <c r="S16" s="285"/>
      <c r="T16" s="285"/>
      <c r="U16" s="313"/>
      <c r="V16" s="313"/>
      <c r="W16" s="313"/>
      <c r="X16" s="313"/>
      <c r="Y16" s="91"/>
      <c r="Z16" s="91"/>
      <c r="AA16" s="91"/>
      <c r="AB16" s="276"/>
    </row>
    <row r="17" spans="3:28" ht="15" customHeight="1" x14ac:dyDescent="0.25">
      <c r="C17" s="200">
        <v>4</v>
      </c>
      <c r="D17" s="201" t="s">
        <v>178</v>
      </c>
      <c r="E17" s="201"/>
      <c r="F17" s="201"/>
      <c r="G17" s="91"/>
      <c r="H17" s="91"/>
      <c r="I17" s="205"/>
      <c r="J17" s="280"/>
      <c r="K17" s="280"/>
      <c r="L17" s="280"/>
      <c r="M17" s="309"/>
      <c r="N17" s="309"/>
      <c r="O17" s="309"/>
      <c r="P17" s="288"/>
      <c r="Q17" s="288"/>
      <c r="R17" s="289"/>
      <c r="S17" s="288"/>
      <c r="T17" s="288"/>
      <c r="U17" s="313" t="s">
        <v>176</v>
      </c>
      <c r="V17" s="313"/>
      <c r="W17" s="313"/>
      <c r="X17" s="313"/>
      <c r="Y17" s="281" t="s">
        <v>207</v>
      </c>
      <c r="Z17" s="91"/>
      <c r="AA17" s="91"/>
      <c r="AB17" s="277"/>
    </row>
    <row r="18" spans="3:28" ht="15" customHeight="1" thickBot="1" x14ac:dyDescent="0.3">
      <c r="C18" s="200">
        <v>5</v>
      </c>
      <c r="D18" s="201"/>
      <c r="E18" s="201"/>
      <c r="F18" s="201"/>
      <c r="G18" s="91"/>
      <c r="H18" s="202"/>
      <c r="I18" s="278" t="s">
        <v>201</v>
      </c>
      <c r="J18" s="91"/>
      <c r="K18" s="91"/>
      <c r="L18" s="284"/>
      <c r="M18" s="284"/>
      <c r="N18" s="284"/>
      <c r="O18" s="284"/>
      <c r="P18" s="296"/>
      <c r="Q18" s="296"/>
      <c r="R18" s="290" t="s">
        <v>173</v>
      </c>
      <c r="S18" s="288"/>
      <c r="T18" s="288"/>
      <c r="U18" s="313"/>
      <c r="V18" s="313"/>
      <c r="W18" s="313"/>
      <c r="X18" s="313"/>
      <c r="Y18" s="205"/>
      <c r="Z18" s="91"/>
      <c r="AA18" s="91"/>
      <c r="AB18" s="277"/>
    </row>
    <row r="19" spans="3:28" ht="15" customHeight="1" x14ac:dyDescent="0.25">
      <c r="C19" s="200">
        <v>6</v>
      </c>
      <c r="D19" s="201"/>
      <c r="E19" s="201"/>
      <c r="F19" s="201"/>
      <c r="G19" s="91"/>
      <c r="H19" s="206"/>
      <c r="I19" s="282"/>
      <c r="J19" s="279"/>
      <c r="K19" s="279"/>
      <c r="L19" s="91"/>
      <c r="M19" s="309"/>
      <c r="N19" s="309"/>
      <c r="O19" s="309"/>
      <c r="P19" s="291"/>
      <c r="Q19" s="291"/>
      <c r="R19" s="292"/>
      <c r="S19" s="291"/>
      <c r="T19" s="291"/>
      <c r="U19" s="313" t="s">
        <v>177</v>
      </c>
      <c r="V19" s="313"/>
      <c r="W19" s="313"/>
      <c r="X19" s="313"/>
      <c r="Y19" s="205" t="s">
        <v>208</v>
      </c>
      <c r="Z19" s="91"/>
      <c r="AA19" s="91"/>
      <c r="AB19" s="277"/>
    </row>
    <row r="20" spans="3:28" ht="15" customHeight="1" x14ac:dyDescent="0.25">
      <c r="C20" s="200">
        <v>7</v>
      </c>
      <c r="D20" s="201"/>
      <c r="E20" s="201"/>
      <c r="F20" s="201"/>
      <c r="G20" s="91"/>
      <c r="H20" s="207"/>
      <c r="I20" s="205"/>
      <c r="J20" s="279"/>
      <c r="K20" s="279"/>
      <c r="L20" s="279"/>
      <c r="M20" s="279"/>
      <c r="N20" s="279"/>
      <c r="O20" s="91"/>
      <c r="P20" s="291"/>
      <c r="Q20" s="291"/>
      <c r="R20" s="293"/>
      <c r="S20" s="291"/>
      <c r="T20" s="291"/>
      <c r="U20" s="313"/>
      <c r="V20" s="313"/>
      <c r="W20" s="313"/>
      <c r="X20" s="313"/>
      <c r="Y20" s="205"/>
      <c r="Z20" s="91"/>
      <c r="AA20" s="91"/>
      <c r="AB20" s="276"/>
    </row>
    <row r="21" spans="3:28" ht="15" customHeight="1" x14ac:dyDescent="0.25">
      <c r="C21" s="200">
        <v>8</v>
      </c>
      <c r="D21" s="201"/>
      <c r="E21" s="201"/>
      <c r="F21" s="201"/>
      <c r="G21" s="91"/>
      <c r="H21" s="91"/>
      <c r="I21" s="205"/>
      <c r="J21" s="203"/>
      <c r="K21" s="203"/>
      <c r="L21" s="203"/>
      <c r="M21" s="309"/>
      <c r="N21" s="309"/>
      <c r="O21" s="309"/>
      <c r="P21" s="291"/>
      <c r="Q21" s="291"/>
      <c r="R21" s="292"/>
      <c r="S21" s="291"/>
      <c r="T21" s="291"/>
      <c r="U21" s="313"/>
      <c r="V21" s="313"/>
      <c r="W21" s="313"/>
      <c r="X21" s="313"/>
      <c r="Y21" s="205"/>
      <c r="Z21" s="91"/>
      <c r="AA21" s="91"/>
      <c r="AB21" s="277"/>
    </row>
    <row r="22" spans="3:28" ht="15" customHeight="1" x14ac:dyDescent="0.25">
      <c r="C22" s="200">
        <v>9</v>
      </c>
      <c r="D22" s="201"/>
      <c r="E22" s="201"/>
      <c r="F22" s="201"/>
      <c r="G22" s="91"/>
      <c r="H22" s="91"/>
      <c r="I22" s="205"/>
      <c r="J22" s="91"/>
      <c r="K22" s="91"/>
      <c r="L22" s="91"/>
      <c r="M22" s="91"/>
      <c r="N22" s="91"/>
      <c r="O22" s="91"/>
      <c r="P22" s="291"/>
      <c r="Q22" s="291"/>
      <c r="R22" s="292"/>
      <c r="S22" s="291"/>
      <c r="T22" s="291"/>
      <c r="U22" s="313"/>
      <c r="V22" s="313"/>
      <c r="W22" s="313"/>
      <c r="X22" s="313"/>
      <c r="Y22" s="205"/>
      <c r="Z22" s="91"/>
      <c r="AA22" s="91"/>
      <c r="AB22" s="276"/>
    </row>
    <row r="23" spans="3:28" ht="15" customHeight="1" x14ac:dyDescent="0.25">
      <c r="C23" s="200">
        <v>10</v>
      </c>
      <c r="D23" s="201"/>
      <c r="E23" s="201"/>
      <c r="F23" s="201"/>
      <c r="G23" s="91"/>
      <c r="H23" s="91"/>
      <c r="I23" s="205"/>
      <c r="J23" s="91"/>
      <c r="K23" s="91"/>
      <c r="L23" s="91"/>
      <c r="M23" s="309"/>
      <c r="N23" s="309"/>
      <c r="O23" s="309"/>
      <c r="P23" s="291"/>
      <c r="Q23" s="291"/>
      <c r="R23" s="292"/>
      <c r="S23" s="291"/>
      <c r="T23" s="291"/>
      <c r="U23" s="312"/>
      <c r="V23" s="312"/>
      <c r="W23" s="312"/>
      <c r="X23" s="312"/>
      <c r="Y23" s="205"/>
      <c r="Z23" s="91"/>
      <c r="AA23" s="91"/>
      <c r="AB23" s="276"/>
    </row>
    <row r="24" spans="3:28" ht="15" customHeight="1" x14ac:dyDescent="0.25">
      <c r="C24" s="91"/>
      <c r="D24" s="91"/>
      <c r="E24" s="91"/>
      <c r="F24" s="91"/>
      <c r="G24" s="91"/>
      <c r="H24" s="91"/>
      <c r="I24" s="205"/>
      <c r="J24" s="91"/>
      <c r="K24" s="91"/>
      <c r="L24" s="91"/>
      <c r="M24" s="91"/>
      <c r="N24" s="91"/>
      <c r="O24" s="91"/>
      <c r="P24" s="291"/>
      <c r="Q24" s="291"/>
      <c r="R24" s="292"/>
      <c r="S24" s="291"/>
      <c r="T24" s="291"/>
      <c r="U24" s="312"/>
      <c r="V24" s="312"/>
      <c r="W24" s="312"/>
      <c r="X24" s="312"/>
      <c r="Y24" s="205"/>
      <c r="Z24" s="91"/>
      <c r="AA24" s="91"/>
      <c r="AB24" s="276"/>
    </row>
    <row r="25" spans="3:28" ht="15" customHeight="1" x14ac:dyDescent="0.25">
      <c r="C25" s="91"/>
      <c r="D25" s="91"/>
      <c r="E25" s="208"/>
      <c r="F25" s="208"/>
      <c r="G25" s="208"/>
      <c r="H25" s="91"/>
      <c r="I25" s="205"/>
      <c r="J25" s="91"/>
      <c r="K25" s="91"/>
      <c r="L25" s="91"/>
      <c r="M25" s="310"/>
      <c r="N25" s="310"/>
      <c r="O25" s="310"/>
      <c r="P25" s="291"/>
      <c r="Q25" s="291"/>
      <c r="R25" s="292"/>
      <c r="S25" s="291"/>
      <c r="T25" s="291"/>
      <c r="U25" s="312"/>
      <c r="V25" s="312"/>
      <c r="W25" s="312"/>
      <c r="X25" s="312"/>
      <c r="Y25" s="205"/>
      <c r="Z25" s="91"/>
      <c r="AA25" s="91"/>
      <c r="AB25" s="276"/>
    </row>
    <row r="26" spans="3:28" ht="15" customHeight="1" x14ac:dyDescent="0.25">
      <c r="C26" s="91"/>
      <c r="D26" s="91"/>
      <c r="E26" s="91"/>
      <c r="F26" s="91"/>
      <c r="G26" s="91"/>
      <c r="H26" s="91"/>
      <c r="I26" s="205"/>
      <c r="J26" s="91"/>
      <c r="K26" s="91"/>
      <c r="L26" s="91"/>
      <c r="M26" s="91"/>
      <c r="N26" s="91"/>
      <c r="O26" s="91"/>
      <c r="P26" s="291"/>
      <c r="Q26" s="291"/>
      <c r="R26" s="292"/>
      <c r="S26" s="291"/>
      <c r="T26" s="291"/>
      <c r="U26" s="279"/>
      <c r="V26" s="279"/>
      <c r="W26" s="279"/>
      <c r="X26" s="279"/>
      <c r="Y26" s="205"/>
      <c r="Z26" s="91"/>
      <c r="AA26" s="91"/>
      <c r="AB26" s="276"/>
    </row>
    <row r="27" spans="3:28" ht="15" customHeight="1" x14ac:dyDescent="0.25">
      <c r="C27" s="91"/>
      <c r="D27" s="91"/>
      <c r="E27" s="91"/>
      <c r="F27" s="209"/>
      <c r="G27" s="91"/>
      <c r="H27" s="91"/>
      <c r="I27" s="205"/>
      <c r="J27" s="91"/>
      <c r="K27" s="91"/>
      <c r="L27" s="91"/>
      <c r="M27" s="91"/>
      <c r="N27" s="91"/>
      <c r="O27" s="91"/>
      <c r="P27" s="291"/>
      <c r="Q27" s="291"/>
      <c r="R27" s="292"/>
      <c r="S27" s="291"/>
      <c r="T27" s="291"/>
      <c r="U27" s="279"/>
      <c r="V27" s="279"/>
      <c r="W27" s="279"/>
      <c r="X27" s="279"/>
      <c r="Y27" s="205"/>
      <c r="Z27" s="91"/>
      <c r="AA27" s="91"/>
      <c r="AB27" s="276"/>
    </row>
    <row r="28" spans="3:28" ht="17.25" x14ac:dyDescent="0.25">
      <c r="C28" s="91"/>
      <c r="D28" s="91"/>
      <c r="E28" s="91"/>
      <c r="F28" s="209"/>
      <c r="G28" s="91"/>
      <c r="H28" s="91"/>
      <c r="I28" s="205"/>
      <c r="J28" s="91"/>
      <c r="K28" s="91"/>
      <c r="L28" s="91"/>
      <c r="M28" s="91"/>
      <c r="N28" s="91"/>
      <c r="O28" s="91"/>
      <c r="P28" s="91"/>
      <c r="Q28" s="91"/>
      <c r="R28" s="91"/>
      <c r="S28" s="91"/>
      <c r="T28" s="91"/>
      <c r="U28" s="91"/>
      <c r="V28" s="91"/>
      <c r="W28" s="91"/>
      <c r="X28" s="91"/>
      <c r="Y28" s="91"/>
      <c r="Z28" s="91"/>
      <c r="AA28" s="91"/>
      <c r="AB28" s="91"/>
    </row>
    <row r="29" spans="3:28" ht="17.25" x14ac:dyDescent="0.25">
      <c r="F29" s="98"/>
    </row>
    <row r="30" spans="3:28" ht="15.75" x14ac:dyDescent="0.25">
      <c r="G30" s="144"/>
      <c r="H30" s="144"/>
      <c r="I30" s="144"/>
      <c r="J30" s="144"/>
    </row>
  </sheetData>
  <mergeCells count="29">
    <mergeCell ref="C12:F12"/>
    <mergeCell ref="C6:F6"/>
    <mergeCell ref="C7:E7"/>
    <mergeCell ref="C8:E8"/>
    <mergeCell ref="C9:E9"/>
    <mergeCell ref="C10:E10"/>
    <mergeCell ref="C11:E11"/>
    <mergeCell ref="H11:I11"/>
    <mergeCell ref="J11:K11"/>
    <mergeCell ref="U15:X16"/>
    <mergeCell ref="H7:I7"/>
    <mergeCell ref="J7:K7"/>
    <mergeCell ref="H6:K6"/>
    <mergeCell ref="H8:I8"/>
    <mergeCell ref="J8:K8"/>
    <mergeCell ref="H9:K9"/>
    <mergeCell ref="H10:I10"/>
    <mergeCell ref="J10:K10"/>
    <mergeCell ref="M23:O23"/>
    <mergeCell ref="M25:O25"/>
    <mergeCell ref="M17:O17"/>
    <mergeCell ref="M21:O21"/>
    <mergeCell ref="Y15:AA15"/>
    <mergeCell ref="M19:O19"/>
    <mergeCell ref="U25:X25"/>
    <mergeCell ref="U17:X18"/>
    <mergeCell ref="U19:X20"/>
    <mergeCell ref="U21:X22"/>
    <mergeCell ref="U23:X24"/>
  </mergeCells>
  <dataValidations count="1">
    <dataValidation type="list" allowBlank="1" showInputMessage="1" showErrorMessage="1" sqref="F8" xr:uid="{00000000-0002-0000-0200-000000000000}">
      <formula1>$AU$5:$AU$8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6506" r:id="rId3" name="ComboBox1">
          <controlPr defaultSize="0" autoLine="0" r:id="rId4">
            <anchor moveWithCells="1">
              <from>
                <xdr:col>5</xdr:col>
                <xdr:colOff>0</xdr:colOff>
                <xdr:row>7</xdr:row>
                <xdr:rowOff>0</xdr:rowOff>
              </from>
              <to>
                <xdr:col>6</xdr:col>
                <xdr:colOff>19050</xdr:colOff>
                <xdr:row>8</xdr:row>
                <xdr:rowOff>19050</xdr:rowOff>
              </to>
            </anchor>
          </controlPr>
        </control>
      </mc:Choice>
      <mc:Fallback>
        <control shapeId="106506" r:id="rId3" name="ComboBox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8">
    <tabColor rgb="FF0070C0"/>
  </sheetPr>
  <dimension ref="A1:AE32"/>
  <sheetViews>
    <sheetView showGridLines="0" showRowColHeaders="0" zoomScaleNormal="100" workbookViewId="0">
      <selection activeCell="N13" sqref="N13"/>
    </sheetView>
  </sheetViews>
  <sheetFormatPr baseColWidth="10" defaultRowHeight="15" x14ac:dyDescent="0.25"/>
  <cols>
    <col min="1" max="1" width="7.85546875" style="247" customWidth="1"/>
    <col min="2" max="2" width="5.85546875" style="247" customWidth="1"/>
    <col min="3" max="3" width="11.42578125" style="247"/>
    <col min="4" max="4" width="14.85546875" style="247" customWidth="1"/>
    <col min="5" max="5" width="11.42578125" style="247"/>
    <col min="6" max="6" width="19.7109375" style="247" customWidth="1"/>
    <col min="7" max="7" width="11.42578125" style="247"/>
    <col min="8" max="11" width="14.28515625" style="247" customWidth="1"/>
    <col min="12" max="12" width="14.42578125" style="247" customWidth="1"/>
    <col min="13" max="16384" width="11.42578125" style="247"/>
  </cols>
  <sheetData>
    <row r="1" spans="1:31" x14ac:dyDescent="0.25">
      <c r="A1" s="245"/>
      <c r="B1" s="245"/>
      <c r="C1" s="245"/>
      <c r="D1" s="245"/>
      <c r="E1" s="245"/>
      <c r="F1" s="245"/>
      <c r="G1" s="245"/>
      <c r="H1" s="245"/>
      <c r="I1" s="245"/>
      <c r="J1" s="245"/>
      <c r="K1" s="245"/>
      <c r="L1" s="245"/>
      <c r="M1" s="245"/>
      <c r="N1" s="245"/>
      <c r="O1" s="246"/>
    </row>
    <row r="2" spans="1:31" x14ac:dyDescent="0.25">
      <c r="A2" s="246"/>
      <c r="B2" s="246"/>
      <c r="C2" s="246"/>
      <c r="D2" s="246"/>
      <c r="E2" s="246"/>
      <c r="F2" s="246"/>
      <c r="G2" s="246"/>
      <c r="H2" s="246"/>
      <c r="I2" s="246"/>
      <c r="J2" s="246"/>
      <c r="K2" s="246"/>
      <c r="L2" s="249"/>
      <c r="M2" s="245"/>
      <c r="N2" s="246"/>
      <c r="O2" s="246"/>
    </row>
    <row r="3" spans="1:31" x14ac:dyDescent="0.25">
      <c r="A3" s="246"/>
      <c r="B3" s="246"/>
      <c r="C3" s="246"/>
      <c r="D3" s="246"/>
      <c r="E3" s="246"/>
      <c r="F3" s="246"/>
      <c r="G3" s="246"/>
      <c r="H3" s="246"/>
      <c r="I3" s="246"/>
      <c r="J3" s="246"/>
      <c r="K3" s="246"/>
      <c r="L3" s="249"/>
      <c r="M3" s="245"/>
      <c r="N3" s="246"/>
      <c r="O3" s="246"/>
    </row>
    <row r="4" spans="1:31" x14ac:dyDescent="0.25">
      <c r="A4" s="246"/>
      <c r="B4" s="246"/>
      <c r="C4" s="246"/>
      <c r="D4" s="246"/>
      <c r="E4" s="246"/>
      <c r="F4" s="246"/>
      <c r="G4" s="246"/>
      <c r="H4" s="246"/>
      <c r="I4" s="246"/>
      <c r="J4" s="246"/>
      <c r="K4" s="246"/>
      <c r="L4" s="246"/>
      <c r="M4" s="246"/>
      <c r="N4" s="246"/>
      <c r="O4" s="246"/>
      <c r="Z4" s="319"/>
      <c r="AA4" s="319"/>
      <c r="AB4" s="319"/>
      <c r="AC4" s="319"/>
      <c r="AD4" s="319"/>
      <c r="AE4" s="319"/>
    </row>
    <row r="5" spans="1:31" x14ac:dyDescent="0.25">
      <c r="A5" s="246"/>
      <c r="B5"/>
      <c r="C5"/>
      <c r="D5"/>
      <c r="E5"/>
      <c r="F5"/>
      <c r="G5"/>
      <c r="H5"/>
      <c r="I5"/>
      <c r="J5"/>
      <c r="K5"/>
      <c r="L5"/>
      <c r="M5"/>
      <c r="N5"/>
      <c r="O5"/>
    </row>
    <row r="6" spans="1:31" ht="15.75" x14ac:dyDescent="0.25">
      <c r="A6" s="246"/>
      <c r="B6"/>
      <c r="C6"/>
      <c r="D6"/>
      <c r="E6"/>
      <c r="F6"/>
      <c r="G6"/>
      <c r="H6"/>
      <c r="I6" s="320" t="s">
        <v>42</v>
      </c>
      <c r="J6" s="321"/>
      <c r="K6" s="321"/>
      <c r="L6" s="322"/>
      <c r="M6"/>
      <c r="N6"/>
      <c r="O6"/>
    </row>
    <row r="7" spans="1:31" ht="18" customHeight="1" x14ac:dyDescent="0.25">
      <c r="A7" s="246"/>
      <c r="B7"/>
      <c r="C7" s="328" t="s">
        <v>94</v>
      </c>
      <c r="D7" s="328"/>
      <c r="E7" s="328"/>
      <c r="F7" s="232">
        <v>3</v>
      </c>
      <c r="G7"/>
      <c r="H7"/>
      <c r="I7" s="324" t="s">
        <v>44</v>
      </c>
      <c r="J7" s="324"/>
      <c r="K7" s="323" t="s">
        <v>43</v>
      </c>
      <c r="L7" s="323"/>
      <c r="M7"/>
      <c r="N7"/>
      <c r="O7"/>
    </row>
    <row r="8" spans="1:31" ht="18" customHeight="1" x14ac:dyDescent="0.25">
      <c r="A8" s="246"/>
      <c r="B8"/>
      <c r="C8"/>
      <c r="D8"/>
      <c r="E8"/>
      <c r="F8" s="229"/>
      <c r="G8"/>
      <c r="H8"/>
      <c r="I8" s="324" t="s">
        <v>45</v>
      </c>
      <c r="J8" s="324"/>
      <c r="K8" s="323" t="s">
        <v>43</v>
      </c>
      <c r="L8" s="323"/>
      <c r="M8"/>
      <c r="N8"/>
      <c r="O8"/>
    </row>
    <row r="9" spans="1:31" x14ac:dyDescent="0.25">
      <c r="A9" s="246"/>
      <c r="B9"/>
      <c r="C9"/>
      <c r="D9"/>
      <c r="E9"/>
      <c r="F9"/>
      <c r="G9"/>
      <c r="H9"/>
      <c r="I9"/>
      <c r="J9"/>
      <c r="K9"/>
      <c r="L9"/>
      <c r="M9"/>
      <c r="N9"/>
      <c r="O9"/>
    </row>
    <row r="10" spans="1:31" x14ac:dyDescent="0.25">
      <c r="A10" s="246"/>
      <c r="B10"/>
      <c r="C10" s="230"/>
      <c r="D10" s="230"/>
      <c r="E10" s="230"/>
      <c r="F10" s="201"/>
      <c r="G10"/>
      <c r="H10"/>
      <c r="I10"/>
      <c r="J10"/>
      <c r="K10"/>
      <c r="L10"/>
      <c r="M10"/>
      <c r="N10"/>
      <c r="O10"/>
    </row>
    <row r="11" spans="1:31" ht="18.75" x14ac:dyDescent="0.25">
      <c r="A11" s="246"/>
      <c r="B11"/>
      <c r="C11" s="325" t="s">
        <v>1</v>
      </c>
      <c r="D11" s="326"/>
      <c r="E11" s="326"/>
      <c r="F11" s="327"/>
      <c r="G11"/>
      <c r="H11"/>
      <c r="I11"/>
      <c r="J11"/>
      <c r="K11"/>
      <c r="L11"/>
      <c r="M11"/>
      <c r="N11"/>
      <c r="O11"/>
    </row>
    <row r="12" spans="1:31" ht="30" x14ac:dyDescent="0.25">
      <c r="A12" s="246"/>
      <c r="B12"/>
      <c r="C12" s="231" t="s">
        <v>152</v>
      </c>
      <c r="D12" s="231" t="s">
        <v>153</v>
      </c>
      <c r="E12" s="231" t="s">
        <v>80</v>
      </c>
      <c r="F12" s="231" t="s">
        <v>183</v>
      </c>
      <c r="G12"/>
      <c r="H12"/>
      <c r="I12"/>
      <c r="J12"/>
      <c r="K12"/>
      <c r="L12"/>
      <c r="M12" s="91"/>
      <c r="N12"/>
      <c r="O12"/>
    </row>
    <row r="13" spans="1:31" x14ac:dyDescent="0.25">
      <c r="A13" s="246"/>
      <c r="B13"/>
      <c r="C13" s="119">
        <v>1</v>
      </c>
      <c r="D13" s="232" t="s">
        <v>247</v>
      </c>
      <c r="E13" s="232">
        <v>10</v>
      </c>
      <c r="F13" s="232">
        <v>4032</v>
      </c>
      <c r="G13"/>
      <c r="H13"/>
      <c r="I13"/>
      <c r="J13"/>
      <c r="K13"/>
      <c r="L13"/>
      <c r="M13"/>
      <c r="N13"/>
      <c r="O13"/>
    </row>
    <row r="14" spans="1:31" ht="15.75" customHeight="1" x14ac:dyDescent="0.25">
      <c r="A14" s="246"/>
      <c r="B14"/>
      <c r="C14" s="119">
        <v>2</v>
      </c>
      <c r="D14" s="232" t="s">
        <v>202</v>
      </c>
      <c r="E14" s="232">
        <v>40</v>
      </c>
      <c r="F14" s="232">
        <v>691.2</v>
      </c>
      <c r="G14"/>
      <c r="H14"/>
      <c r="I14"/>
      <c r="J14"/>
      <c r="K14"/>
      <c r="L14" s="143"/>
      <c r="M14" s="143"/>
      <c r="N14" s="143"/>
      <c r="O14" s="143"/>
    </row>
    <row r="15" spans="1:31" ht="15.75" customHeight="1" x14ac:dyDescent="0.25">
      <c r="A15" s="246"/>
      <c r="B15"/>
      <c r="C15" s="119">
        <v>3</v>
      </c>
      <c r="D15" s="232" t="s">
        <v>211</v>
      </c>
      <c r="E15" s="232"/>
      <c r="F15" s="232">
        <v>115.2</v>
      </c>
      <c r="G15"/>
      <c r="H15"/>
      <c r="I15" s="328" t="s">
        <v>155</v>
      </c>
      <c r="J15" s="328"/>
      <c r="K15" s="328"/>
      <c r="L15" s="262" t="s">
        <v>267</v>
      </c>
      <c r="M15" s="143"/>
      <c r="N15" s="143"/>
      <c r="O15" s="143"/>
    </row>
    <row r="16" spans="1:31" ht="15.75" customHeight="1" x14ac:dyDescent="0.25">
      <c r="A16" s="246"/>
      <c r="B16"/>
      <c r="C16" s="119">
        <v>4</v>
      </c>
      <c r="D16" s="232"/>
      <c r="E16" s="232"/>
      <c r="F16" s="232"/>
      <c r="G16"/>
      <c r="H16"/>
      <c r="I16" s="328" t="s">
        <v>156</v>
      </c>
      <c r="J16" s="328"/>
      <c r="K16" s="328"/>
      <c r="L16" s="262" t="s">
        <v>267</v>
      </c>
      <c r="M16" s="143"/>
      <c r="N16" s="143"/>
      <c r="O16" s="143"/>
    </row>
    <row r="17" spans="1:26" ht="17.25" x14ac:dyDescent="0.3">
      <c r="A17" s="246"/>
      <c r="B17"/>
      <c r="C17" s="119">
        <v>5</v>
      </c>
      <c r="D17" s="232"/>
      <c r="E17" s="232"/>
      <c r="F17" s="232"/>
      <c r="G17"/>
      <c r="H17"/>
      <c r="I17"/>
      <c r="J17"/>
      <c r="K17"/>
      <c r="L17"/>
      <c r="M17"/>
      <c r="N17"/>
      <c r="O17"/>
      <c r="P17" s="267"/>
      <c r="Q17" s="268"/>
      <c r="R17" s="267"/>
    </row>
    <row r="18" spans="1:26" ht="17.25" x14ac:dyDescent="0.3">
      <c r="A18" s="246"/>
      <c r="B18"/>
      <c r="C18" s="119">
        <v>6</v>
      </c>
      <c r="D18" s="232"/>
      <c r="E18" s="232"/>
      <c r="F18" s="232"/>
      <c r="G18"/>
      <c r="H18"/>
      <c r="I18"/>
      <c r="J18"/>
      <c r="K18"/>
      <c r="L18"/>
      <c r="M18"/>
      <c r="N18"/>
      <c r="O18"/>
      <c r="P18" s="267"/>
      <c r="Q18" s="268"/>
      <c r="R18" s="267"/>
    </row>
    <row r="19" spans="1:26" ht="17.25" x14ac:dyDescent="0.3">
      <c r="A19" s="246"/>
      <c r="B19"/>
      <c r="C19" s="119">
        <v>7</v>
      </c>
      <c r="D19" s="232"/>
      <c r="E19" s="232"/>
      <c r="F19" s="232"/>
      <c r="G19"/>
      <c r="H19"/>
      <c r="I19"/>
      <c r="J19"/>
      <c r="K19"/>
      <c r="L19"/>
      <c r="M19"/>
      <c r="N19"/>
      <c r="O19"/>
      <c r="P19" s="267"/>
      <c r="Q19" s="268"/>
      <c r="R19" s="267"/>
    </row>
    <row r="20" spans="1:26" x14ac:dyDescent="0.25">
      <c r="A20" s="246"/>
      <c r="B20"/>
      <c r="C20" s="119">
        <v>8</v>
      </c>
      <c r="D20" s="232"/>
      <c r="E20" s="232"/>
      <c r="F20" s="232"/>
      <c r="G20"/>
      <c r="H20"/>
      <c r="I20"/>
      <c r="J20"/>
      <c r="K20"/>
      <c r="L20"/>
      <c r="M20"/>
      <c r="N20"/>
      <c r="O20"/>
    </row>
    <row r="21" spans="1:26" x14ac:dyDescent="0.25">
      <c r="A21" s="246"/>
      <c r="B21"/>
      <c r="C21" s="119">
        <v>9</v>
      </c>
      <c r="D21" s="232"/>
      <c r="E21" s="232"/>
      <c r="F21" s="232"/>
      <c r="G21"/>
      <c r="H21" s="177"/>
      <c r="I21"/>
      <c r="J21"/>
      <c r="K21"/>
      <c r="L21"/>
      <c r="M21"/>
      <c r="N21"/>
      <c r="O21"/>
    </row>
    <row r="22" spans="1:26" ht="15.75" customHeight="1" x14ac:dyDescent="0.25">
      <c r="A22" s="246"/>
      <c r="B22"/>
      <c r="C22" s="119">
        <v>10</v>
      </c>
      <c r="D22" s="232"/>
      <c r="E22" s="232"/>
      <c r="F22" s="232"/>
      <c r="G22"/>
      <c r="H22"/>
      <c r="I22"/>
      <c r="J22"/>
      <c r="K22"/>
      <c r="L22"/>
      <c r="M22"/>
      <c r="N22"/>
      <c r="O22"/>
    </row>
    <row r="23" spans="1:26" ht="15.75" customHeight="1" x14ac:dyDescent="0.25">
      <c r="A23" s="246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Z23" s="269"/>
    </row>
    <row r="24" spans="1:26" ht="18.75" x14ac:dyDescent="0.25">
      <c r="A24" s="246"/>
      <c r="E24" s="270"/>
      <c r="F24" s="270"/>
      <c r="Z24" s="271"/>
    </row>
    <row r="25" spans="1:26" ht="18.75" x14ac:dyDescent="0.25">
      <c r="A25" s="246"/>
      <c r="G25" s="270"/>
      <c r="Z25" s="271"/>
    </row>
    <row r="26" spans="1:26" ht="17.25" x14ac:dyDescent="0.25">
      <c r="A26" s="246"/>
      <c r="F26" s="272"/>
      <c r="Z26" s="271" t="s">
        <v>265</v>
      </c>
    </row>
    <row r="27" spans="1:26" ht="17.25" x14ac:dyDescent="0.25">
      <c r="A27" s="246"/>
      <c r="F27" s="272"/>
      <c r="Z27" s="271" t="s">
        <v>266</v>
      </c>
    </row>
    <row r="28" spans="1:26" ht="17.25" x14ac:dyDescent="0.25">
      <c r="A28" s="246"/>
      <c r="F28" s="272"/>
      <c r="Z28" s="271">
        <v>6.1799999999999998E-8</v>
      </c>
    </row>
    <row r="29" spans="1:26" x14ac:dyDescent="0.25">
      <c r="Z29" s="271">
        <v>3.95</v>
      </c>
    </row>
    <row r="30" spans="1:26" x14ac:dyDescent="0.25">
      <c r="Z30" s="271">
        <v>1.1358E-3</v>
      </c>
    </row>
    <row r="31" spans="1:26" x14ac:dyDescent="0.25">
      <c r="Z31" s="273">
        <v>3.2909999999999999</v>
      </c>
    </row>
    <row r="32" spans="1:26" x14ac:dyDescent="0.25">
      <c r="Z32" s="271">
        <v>0.85399999999999998</v>
      </c>
    </row>
  </sheetData>
  <sheetProtection password="8FE7" sheet="1" objects="1" scenarios="1"/>
  <mergeCells count="11">
    <mergeCell ref="C11:F11"/>
    <mergeCell ref="I15:K15"/>
    <mergeCell ref="I16:K16"/>
    <mergeCell ref="C7:E7"/>
    <mergeCell ref="Z4:AB4"/>
    <mergeCell ref="AC4:AE4"/>
    <mergeCell ref="I6:L6"/>
    <mergeCell ref="K7:L7"/>
    <mergeCell ref="K8:L8"/>
    <mergeCell ref="I7:J7"/>
    <mergeCell ref="I8:J8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8556" r:id="rId3" name="ComboBoxFatiga">
          <controlPr defaultSize="0" autoLine="0" r:id="rId4">
            <anchor moveWithCells="1">
              <from>
                <xdr:col>10</xdr:col>
                <xdr:colOff>0</xdr:colOff>
                <xdr:row>5</xdr:row>
                <xdr:rowOff>190500</xdr:rowOff>
              </from>
              <to>
                <xdr:col>12</xdr:col>
                <xdr:colOff>28575</xdr:colOff>
                <xdr:row>7</xdr:row>
                <xdr:rowOff>9525</xdr:rowOff>
              </to>
            </anchor>
          </controlPr>
        </control>
      </mc:Choice>
      <mc:Fallback>
        <control shapeId="108556" r:id="rId3" name="ComboBoxFatiga"/>
      </mc:Fallback>
    </mc:AlternateContent>
    <mc:AlternateContent xmlns:mc="http://schemas.openxmlformats.org/markup-compatibility/2006">
      <mc:Choice Requires="x14">
        <control shapeId="108558" r:id="rId5" name="ComboBoxDeformacion">
          <controlPr defaultSize="0" autoLine="0" r:id="rId6">
            <anchor moveWithCells="1">
              <from>
                <xdr:col>10</xdr:col>
                <xdr:colOff>0</xdr:colOff>
                <xdr:row>7</xdr:row>
                <xdr:rowOff>0</xdr:rowOff>
              </from>
              <to>
                <xdr:col>12</xdr:col>
                <xdr:colOff>28575</xdr:colOff>
                <xdr:row>8</xdr:row>
                <xdr:rowOff>19050</xdr:rowOff>
              </to>
            </anchor>
          </controlPr>
        </control>
      </mc:Choice>
      <mc:Fallback>
        <control shapeId="108558" r:id="rId5" name="ComboBoxDeformacion"/>
      </mc:Fallback>
    </mc:AlternateContent>
    <mc:AlternateContent xmlns:mc="http://schemas.openxmlformats.org/markup-compatibility/2006">
      <mc:Choice Requires="x14">
        <control shapeId="108546" r:id="rId7" name="Button 2">
          <controlPr defaultSize="0" print="0" autoFill="0" autoPict="0" macro="[0]!IniciaAnalisisEspectral">
            <anchor moveWithCells="1" sizeWithCells="1">
              <from>
                <xdr:col>8</xdr:col>
                <xdr:colOff>685800</xdr:colOff>
                <xdr:row>10</xdr:row>
                <xdr:rowOff>142875</xdr:rowOff>
              </from>
              <to>
                <xdr:col>11</xdr:col>
                <xdr:colOff>276225</xdr:colOff>
                <xdr:row>12</xdr:row>
                <xdr:rowOff>85725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1">
    <tabColor rgb="FF00CC00"/>
  </sheetPr>
  <dimension ref="A1:AB29"/>
  <sheetViews>
    <sheetView showGridLines="0" zoomScale="55" zoomScaleNormal="55" workbookViewId="0">
      <selection activeCell="H25" sqref="H25"/>
    </sheetView>
  </sheetViews>
  <sheetFormatPr baseColWidth="10" defaultRowHeight="15" x14ac:dyDescent="0.25"/>
  <cols>
    <col min="1" max="1" width="7.85546875" customWidth="1"/>
    <col min="2" max="2" width="4" customWidth="1"/>
    <col min="6" max="6" width="19.7109375" customWidth="1"/>
    <col min="7" max="7" width="12.85546875" customWidth="1"/>
    <col min="9" max="14" width="14.28515625" customWidth="1"/>
  </cols>
  <sheetData>
    <row r="1" spans="1:28" x14ac:dyDescent="0.25">
      <c r="A1" s="92">
        <v>1</v>
      </c>
      <c r="B1" s="92">
        <v>2</v>
      </c>
      <c r="C1" s="92">
        <v>3</v>
      </c>
      <c r="D1" s="92">
        <v>4</v>
      </c>
      <c r="E1" s="92">
        <v>5</v>
      </c>
      <c r="F1" s="92">
        <v>6</v>
      </c>
      <c r="G1" s="92">
        <v>7</v>
      </c>
      <c r="H1" s="92">
        <v>8</v>
      </c>
      <c r="I1" s="92">
        <v>9</v>
      </c>
      <c r="J1" s="92">
        <v>10</v>
      </c>
      <c r="K1" s="92">
        <v>11</v>
      </c>
      <c r="L1" s="92">
        <v>12</v>
      </c>
      <c r="M1" s="92">
        <v>13</v>
      </c>
      <c r="N1" s="92">
        <v>14</v>
      </c>
      <c r="O1" s="92">
        <v>15</v>
      </c>
      <c r="P1" s="92">
        <v>16</v>
      </c>
      <c r="Q1" s="91">
        <v>16</v>
      </c>
    </row>
    <row r="2" spans="1:28" x14ac:dyDescent="0.25">
      <c r="A2" s="89"/>
      <c r="B2" s="89"/>
      <c r="C2" s="89"/>
      <c r="D2" s="89"/>
      <c r="E2" s="89"/>
      <c r="F2" s="89"/>
      <c r="G2" s="89"/>
      <c r="H2" s="89"/>
      <c r="I2" s="89"/>
      <c r="J2" s="89"/>
      <c r="K2" s="89"/>
      <c r="L2" s="89"/>
      <c r="M2" s="90"/>
      <c r="N2" s="89"/>
      <c r="O2" s="89"/>
      <c r="P2" s="92"/>
    </row>
    <row r="3" spans="1:28" x14ac:dyDescent="0.25">
      <c r="A3" s="89"/>
      <c r="B3" s="89"/>
      <c r="C3" s="89"/>
      <c r="D3" s="89"/>
      <c r="E3" s="89"/>
      <c r="F3" s="89"/>
      <c r="G3" s="89"/>
      <c r="H3" s="89"/>
      <c r="I3" s="89"/>
      <c r="J3" s="89"/>
      <c r="K3" s="89"/>
      <c r="L3" s="89"/>
      <c r="M3" s="90"/>
      <c r="N3" s="89"/>
      <c r="O3" s="89"/>
      <c r="P3" s="92"/>
    </row>
    <row r="4" spans="1:28" x14ac:dyDescent="0.25">
      <c r="A4" s="89"/>
      <c r="B4" s="89"/>
      <c r="C4" s="89"/>
      <c r="D4" s="89"/>
      <c r="E4" s="89"/>
      <c r="F4" s="89"/>
      <c r="G4" s="89"/>
      <c r="H4" s="89"/>
      <c r="I4" s="89"/>
      <c r="J4" s="89"/>
      <c r="K4" s="89"/>
      <c r="L4" s="89"/>
      <c r="M4" s="89"/>
      <c r="N4" s="89"/>
      <c r="O4" s="89"/>
      <c r="P4" s="89"/>
    </row>
    <row r="5" spans="1:28" x14ac:dyDescent="0.25">
      <c r="A5" s="89"/>
      <c r="AB5" t="s">
        <v>29</v>
      </c>
    </row>
    <row r="6" spans="1:28" ht="18.75" x14ac:dyDescent="0.25">
      <c r="A6" s="89"/>
      <c r="C6" s="329" t="s">
        <v>75</v>
      </c>
      <c r="D6" s="330"/>
      <c r="E6" s="330"/>
      <c r="F6" s="331"/>
      <c r="G6" s="94"/>
      <c r="AB6" t="s">
        <v>119</v>
      </c>
    </row>
    <row r="7" spans="1:28" ht="15.75" x14ac:dyDescent="0.25">
      <c r="A7" s="89"/>
      <c r="C7" s="333" t="s">
        <v>26</v>
      </c>
      <c r="D7" s="333"/>
      <c r="E7" s="333"/>
      <c r="F7" s="142">
        <v>50</v>
      </c>
      <c r="M7" s="93"/>
      <c r="AB7" t="s">
        <v>10</v>
      </c>
    </row>
    <row r="8" spans="1:28" x14ac:dyDescent="0.25">
      <c r="A8" s="89"/>
      <c r="C8" s="333" t="s">
        <v>25</v>
      </c>
      <c r="D8" s="333"/>
      <c r="E8" s="333"/>
      <c r="F8" s="142" t="s">
        <v>261</v>
      </c>
      <c r="AB8" t="s">
        <v>11</v>
      </c>
    </row>
    <row r="9" spans="1:28" x14ac:dyDescent="0.25">
      <c r="A9" s="89"/>
      <c r="C9" s="334" t="s">
        <v>76</v>
      </c>
      <c r="D9" s="334"/>
      <c r="E9" s="334"/>
      <c r="F9" s="120">
        <v>90</v>
      </c>
    </row>
    <row r="10" spans="1:28" x14ac:dyDescent="0.25">
      <c r="A10" s="89"/>
      <c r="C10" s="333" t="s">
        <v>94</v>
      </c>
      <c r="D10" s="333"/>
      <c r="E10" s="333"/>
      <c r="F10" s="142">
        <v>3</v>
      </c>
    </row>
    <row r="11" spans="1:28" x14ac:dyDescent="0.25">
      <c r="A11" s="89"/>
      <c r="C11" s="334" t="s">
        <v>118</v>
      </c>
      <c r="D11" s="334"/>
      <c r="E11" s="334"/>
      <c r="F11" s="120">
        <v>0.35</v>
      </c>
    </row>
    <row r="12" spans="1:28" ht="18.75" x14ac:dyDescent="0.25">
      <c r="A12" s="89"/>
      <c r="C12" s="329" t="s">
        <v>1</v>
      </c>
      <c r="D12" s="330"/>
      <c r="E12" s="330"/>
      <c r="F12" s="331"/>
      <c r="G12" s="94"/>
      <c r="H12" s="161"/>
    </row>
    <row r="13" spans="1:28" ht="30" x14ac:dyDescent="0.25">
      <c r="A13" s="89"/>
      <c r="C13" s="118" t="s">
        <v>152</v>
      </c>
      <c r="D13" s="118" t="s">
        <v>153</v>
      </c>
      <c r="E13" s="118" t="s">
        <v>80</v>
      </c>
      <c r="F13" s="118" t="s">
        <v>169</v>
      </c>
      <c r="G13" s="146"/>
      <c r="I13" s="139"/>
      <c r="J13" s="139"/>
      <c r="K13" s="139"/>
      <c r="L13" s="139"/>
      <c r="M13" s="139"/>
      <c r="N13" s="139"/>
    </row>
    <row r="14" spans="1:28" x14ac:dyDescent="0.25">
      <c r="A14" s="89"/>
      <c r="C14" s="119">
        <v>1</v>
      </c>
      <c r="D14" s="120" t="s">
        <v>247</v>
      </c>
      <c r="E14" s="120">
        <v>10</v>
      </c>
      <c r="F14" s="120">
        <v>4032000</v>
      </c>
      <c r="G14" s="147"/>
      <c r="I14" s="140"/>
      <c r="J14" s="141"/>
      <c r="K14" s="140"/>
      <c r="L14" s="145"/>
      <c r="M14" s="145"/>
      <c r="N14" s="116"/>
    </row>
    <row r="15" spans="1:28" x14ac:dyDescent="0.25">
      <c r="A15" s="89"/>
      <c r="C15" s="119">
        <v>2</v>
      </c>
      <c r="D15" s="120" t="s">
        <v>202</v>
      </c>
      <c r="E15" s="120">
        <v>40</v>
      </c>
      <c r="F15" s="120">
        <v>691200</v>
      </c>
      <c r="G15" s="147"/>
      <c r="I15" s="140"/>
      <c r="J15" s="141"/>
      <c r="K15" s="140"/>
      <c r="L15" s="145"/>
      <c r="M15" s="145"/>
      <c r="N15" s="176"/>
    </row>
    <row r="16" spans="1:28" x14ac:dyDescent="0.25">
      <c r="A16" s="89"/>
      <c r="C16" s="119">
        <v>3</v>
      </c>
      <c r="D16" s="120" t="s">
        <v>211</v>
      </c>
      <c r="E16" s="120"/>
      <c r="F16" s="120">
        <v>115200</v>
      </c>
      <c r="G16" s="147"/>
    </row>
    <row r="17" spans="1:21" ht="17.25" x14ac:dyDescent="0.3">
      <c r="A17" s="89"/>
      <c r="C17" s="119">
        <v>4</v>
      </c>
      <c r="D17" s="120"/>
      <c r="E17" s="120"/>
      <c r="F17" s="120">
        <v>0</v>
      </c>
      <c r="G17" s="147"/>
      <c r="S17" s="164"/>
      <c r="T17" s="165"/>
      <c r="U17" s="164"/>
    </row>
    <row r="18" spans="1:21" ht="17.25" x14ac:dyDescent="0.3">
      <c r="A18" s="89"/>
      <c r="C18" s="119">
        <v>5</v>
      </c>
      <c r="D18" s="120"/>
      <c r="E18" s="120"/>
      <c r="F18" s="120">
        <v>0</v>
      </c>
      <c r="G18" s="148"/>
      <c r="S18" s="164"/>
      <c r="T18" s="165"/>
      <c r="U18" s="164"/>
    </row>
    <row r="19" spans="1:21" ht="17.25" x14ac:dyDescent="0.3">
      <c r="A19" s="89"/>
      <c r="C19" s="119">
        <v>6</v>
      </c>
      <c r="D19" s="120"/>
      <c r="E19" s="120"/>
      <c r="F19" s="120">
        <v>0</v>
      </c>
      <c r="G19" s="148"/>
      <c r="S19" s="164"/>
      <c r="T19" s="165"/>
      <c r="U19" s="164"/>
    </row>
    <row r="20" spans="1:21" x14ac:dyDescent="0.25">
      <c r="A20" s="89"/>
      <c r="C20" s="119">
        <v>7</v>
      </c>
      <c r="D20" s="120"/>
      <c r="E20" s="120"/>
      <c r="F20" s="120">
        <v>0</v>
      </c>
      <c r="G20" s="148"/>
    </row>
    <row r="21" spans="1:21" x14ac:dyDescent="0.25">
      <c r="A21" s="89"/>
      <c r="C21" s="119">
        <v>8</v>
      </c>
      <c r="D21" s="120"/>
      <c r="E21" s="120"/>
      <c r="F21" s="120">
        <v>0</v>
      </c>
      <c r="G21" s="148"/>
      <c r="I21" s="177"/>
      <c r="J21" s="177"/>
      <c r="K21" s="177"/>
      <c r="L21" s="178"/>
    </row>
    <row r="22" spans="1:21" ht="15.75" customHeight="1" x14ac:dyDescent="0.25">
      <c r="A22" s="89"/>
      <c r="C22" s="119">
        <v>9</v>
      </c>
      <c r="D22" s="120"/>
      <c r="E22" s="120"/>
      <c r="F22" s="120">
        <v>0</v>
      </c>
      <c r="G22" s="148"/>
      <c r="I22" s="332"/>
      <c r="J22" s="332"/>
      <c r="K22" s="332"/>
      <c r="L22" s="145"/>
    </row>
    <row r="23" spans="1:21" ht="15.75" customHeight="1" x14ac:dyDescent="0.25">
      <c r="A23" s="89"/>
      <c r="C23" s="119">
        <v>10</v>
      </c>
      <c r="D23" s="120"/>
      <c r="E23" s="120"/>
      <c r="F23" s="120">
        <v>0</v>
      </c>
      <c r="G23" s="148"/>
      <c r="I23" s="332"/>
      <c r="J23" s="332"/>
      <c r="K23" s="332"/>
      <c r="L23" s="145"/>
    </row>
    <row r="24" spans="1:21" x14ac:dyDescent="0.25">
      <c r="A24" s="89"/>
    </row>
    <row r="25" spans="1:21" ht="18.75" x14ac:dyDescent="0.25">
      <c r="A25" s="89"/>
      <c r="E25" s="94"/>
      <c r="F25" s="94"/>
      <c r="G25" s="94"/>
      <c r="H25" s="94"/>
    </row>
    <row r="27" spans="1:21" ht="17.25" x14ac:dyDescent="0.25">
      <c r="F27" s="98"/>
    </row>
    <row r="28" spans="1:21" ht="17.25" x14ac:dyDescent="0.25">
      <c r="F28" s="98"/>
    </row>
    <row r="29" spans="1:21" ht="17.25" x14ac:dyDescent="0.25">
      <c r="F29" s="98"/>
    </row>
  </sheetData>
  <mergeCells count="9">
    <mergeCell ref="C6:F6"/>
    <mergeCell ref="C12:F12"/>
    <mergeCell ref="I23:K23"/>
    <mergeCell ref="C10:E10"/>
    <mergeCell ref="C11:E11"/>
    <mergeCell ref="C7:E7"/>
    <mergeCell ref="C8:E8"/>
    <mergeCell ref="C9:E9"/>
    <mergeCell ref="I22:K22"/>
  </mergeCells>
  <dataValidations count="1">
    <dataValidation type="list" allowBlank="1" showInputMessage="1" showErrorMessage="1" sqref="F8" xr:uid="{00000000-0002-0000-0400-000000000000}">
      <formula1>$AB$5:$AB$8</formula1>
    </dataValidation>
  </dataValidation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14"/>
  <dimension ref="A1:U26"/>
  <sheetViews>
    <sheetView workbookViewId="0">
      <selection activeCell="G34" sqref="G34"/>
    </sheetView>
  </sheetViews>
  <sheetFormatPr baseColWidth="10" defaultRowHeight="15" x14ac:dyDescent="0.25"/>
  <cols>
    <col min="1" max="1" width="26.5703125" customWidth="1"/>
    <col min="2" max="4" width="13.5703125" customWidth="1"/>
  </cols>
  <sheetData>
    <row r="1" spans="1:21" ht="15" customHeight="1" x14ac:dyDescent="0.25"/>
    <row r="2" spans="1:21" ht="15" customHeight="1" x14ac:dyDescent="0.25">
      <c r="A2" s="136" t="s">
        <v>166</v>
      </c>
      <c r="B2" s="137">
        <v>90</v>
      </c>
      <c r="D2" s="162"/>
    </row>
    <row r="3" spans="1:21" ht="15" customHeight="1" x14ac:dyDescent="0.25">
      <c r="A3" s="136" t="s">
        <v>180</v>
      </c>
      <c r="B3" s="152">
        <v>0.35</v>
      </c>
      <c r="D3" s="163" t="s">
        <v>210</v>
      </c>
      <c r="P3" s="335" t="s">
        <v>157</v>
      </c>
      <c r="Q3" s="335"/>
      <c r="R3" s="335"/>
      <c r="S3" s="335" t="s">
        <v>158</v>
      </c>
      <c r="T3" s="335"/>
      <c r="U3" s="335"/>
    </row>
    <row r="4" spans="1:21" ht="15" customHeight="1" x14ac:dyDescent="0.25">
      <c r="P4" t="s">
        <v>159</v>
      </c>
      <c r="S4" t="s">
        <v>159</v>
      </c>
    </row>
    <row r="5" spans="1:21" ht="15" customHeight="1" x14ac:dyDescent="0.25">
      <c r="A5" s="143"/>
      <c r="B5" s="143"/>
      <c r="C5" s="143"/>
      <c r="D5" s="143"/>
      <c r="P5" t="s">
        <v>160</v>
      </c>
      <c r="S5" t="s">
        <v>161</v>
      </c>
    </row>
    <row r="6" spans="1:21" ht="15" customHeight="1" x14ac:dyDescent="0.25">
      <c r="A6" s="143"/>
      <c r="B6" s="143"/>
      <c r="C6" s="143"/>
      <c r="D6" s="143"/>
      <c r="P6" t="s">
        <v>162</v>
      </c>
      <c r="S6" t="s">
        <v>163</v>
      </c>
    </row>
    <row r="7" spans="1:21" ht="15" customHeight="1" x14ac:dyDescent="0.25">
      <c r="A7" s="143"/>
      <c r="B7" s="143"/>
      <c r="C7" s="143"/>
      <c r="D7" s="143"/>
      <c r="P7" t="s">
        <v>43</v>
      </c>
      <c r="S7" t="s">
        <v>164</v>
      </c>
    </row>
    <row r="8" spans="1:21" ht="15" customHeight="1" x14ac:dyDescent="0.25">
      <c r="A8" s="143"/>
      <c r="B8" s="143"/>
      <c r="C8" s="143"/>
      <c r="D8" s="143"/>
      <c r="P8" t="s">
        <v>165</v>
      </c>
      <c r="S8" t="s">
        <v>43</v>
      </c>
    </row>
    <row r="9" spans="1:21" ht="15" customHeight="1" x14ac:dyDescent="0.25">
      <c r="A9" s="143"/>
      <c r="B9" s="143"/>
      <c r="C9" s="143"/>
      <c r="D9" s="143"/>
      <c r="P9" t="s">
        <v>65</v>
      </c>
      <c r="S9" t="s">
        <v>165</v>
      </c>
    </row>
    <row r="10" spans="1:21" ht="15" customHeight="1" x14ac:dyDescent="0.25">
      <c r="A10" s="143"/>
      <c r="B10" s="143"/>
      <c r="C10" s="143"/>
      <c r="D10" s="143"/>
      <c r="S10" t="s">
        <v>65</v>
      </c>
    </row>
    <row r="11" spans="1:21" ht="15" customHeight="1" x14ac:dyDescent="0.25">
      <c r="A11" s="143"/>
      <c r="B11" s="143"/>
      <c r="C11" s="143"/>
      <c r="D11" s="143"/>
    </row>
    <row r="12" spans="1:21" ht="15" customHeight="1" x14ac:dyDescent="0.25">
      <c r="A12" s="153"/>
      <c r="B12" s="153"/>
      <c r="C12" s="153"/>
      <c r="D12" s="153"/>
      <c r="E12" s="154"/>
    </row>
    <row r="13" spans="1:21" ht="15" customHeight="1" x14ac:dyDescent="0.25">
      <c r="A13" s="153"/>
      <c r="B13" s="153"/>
      <c r="C13" s="153"/>
      <c r="D13" s="153"/>
      <c r="E13" s="154"/>
    </row>
    <row r="14" spans="1:21" ht="15" customHeight="1" x14ac:dyDescent="0.25">
      <c r="A14" s="153"/>
      <c r="B14" s="153"/>
      <c r="C14" s="153"/>
      <c r="D14" s="153"/>
      <c r="E14" s="154"/>
    </row>
    <row r="15" spans="1:21" ht="15" customHeight="1" x14ac:dyDescent="0.25">
      <c r="A15" s="153"/>
      <c r="B15" s="153"/>
      <c r="C15" s="153"/>
      <c r="D15" s="153"/>
      <c r="E15" s="154"/>
    </row>
    <row r="16" spans="1:21" ht="15" customHeight="1" x14ac:dyDescent="0.25">
      <c r="A16" s="157"/>
      <c r="B16" s="157"/>
      <c r="C16" s="157"/>
      <c r="D16" s="157"/>
      <c r="E16" s="154"/>
    </row>
    <row r="17" spans="1:6" ht="15" customHeight="1" x14ac:dyDescent="0.25">
      <c r="A17" s="158" t="s">
        <v>21</v>
      </c>
      <c r="B17" s="159">
        <v>0</v>
      </c>
      <c r="C17" s="158" t="s">
        <v>23</v>
      </c>
      <c r="D17" s="159">
        <v>36</v>
      </c>
      <c r="E17" s="154"/>
    </row>
    <row r="18" spans="1:6" ht="15" customHeight="1" x14ac:dyDescent="0.25">
      <c r="A18" s="158" t="s">
        <v>22</v>
      </c>
      <c r="B18" s="159">
        <v>18</v>
      </c>
      <c r="C18" s="158" t="s">
        <v>24</v>
      </c>
      <c r="D18" s="159">
        <v>122</v>
      </c>
      <c r="E18" s="154"/>
    </row>
    <row r="19" spans="1:6" ht="15" customHeight="1" x14ac:dyDescent="0.25">
      <c r="A19" s="160"/>
      <c r="B19" s="160"/>
      <c r="C19" s="160"/>
      <c r="D19" s="160"/>
      <c r="E19" s="154"/>
    </row>
    <row r="20" spans="1:6" ht="15" customHeight="1" x14ac:dyDescent="0.25">
      <c r="A20" s="160"/>
      <c r="B20" s="160"/>
      <c r="C20" s="160"/>
      <c r="D20" s="160"/>
      <c r="E20" s="154"/>
    </row>
    <row r="21" spans="1:6" ht="15" customHeight="1" x14ac:dyDescent="0.25">
      <c r="A21" s="153"/>
      <c r="B21" s="153"/>
      <c r="C21" s="153"/>
      <c r="D21" s="153"/>
      <c r="E21" s="153"/>
      <c r="F21" s="143"/>
    </row>
    <row r="22" spans="1:6" ht="15" customHeight="1" x14ac:dyDescent="0.25">
      <c r="A22" s="155"/>
      <c r="B22" s="155"/>
      <c r="C22" s="156"/>
      <c r="D22" s="156"/>
      <c r="E22" s="156"/>
      <c r="F22" s="151"/>
    </row>
    <row r="23" spans="1:6" x14ac:dyDescent="0.25">
      <c r="A23" s="150"/>
      <c r="B23" s="150"/>
      <c r="C23" s="151"/>
      <c r="D23" s="151"/>
      <c r="E23" s="151"/>
      <c r="F23" s="151"/>
    </row>
    <row r="24" spans="1:6" ht="15.75" x14ac:dyDescent="0.25">
      <c r="A24" s="143"/>
      <c r="B24" s="143"/>
      <c r="C24" s="143"/>
      <c r="D24" s="143"/>
      <c r="E24" s="143"/>
      <c r="F24" s="143"/>
    </row>
    <row r="25" spans="1:6" ht="15.75" x14ac:dyDescent="0.25">
      <c r="A25" s="123"/>
      <c r="B25" s="123"/>
      <c r="C25" s="144"/>
      <c r="D25" s="149"/>
      <c r="E25" s="144"/>
      <c r="F25" s="62"/>
    </row>
    <row r="26" spans="1:6" ht="15.75" x14ac:dyDescent="0.25">
      <c r="A26" s="123"/>
      <c r="B26" s="123"/>
      <c r="C26" s="144"/>
      <c r="D26" s="145"/>
      <c r="E26" s="144"/>
      <c r="F26" s="62"/>
    </row>
  </sheetData>
  <mergeCells count="2">
    <mergeCell ref="P3:R3"/>
    <mergeCell ref="S3:U3"/>
  </mergeCells>
  <dataValidations count="2">
    <dataValidation type="list" allowBlank="1" showInputMessage="1" showErrorMessage="1" sqref="C23:F23" xr:uid="{00000000-0002-0000-0500-000000000000}">
      <formula1>$S$4:$S$10</formula1>
    </dataValidation>
    <dataValidation type="list" allowBlank="1" showInputMessage="1" showErrorMessage="1" sqref="C22:F22" xr:uid="{00000000-0002-0000-0500-000001000000}">
      <formula1>$P$4:$P$9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3">
    <tabColor rgb="FF0070C0"/>
  </sheetPr>
  <dimension ref="A1:CC84"/>
  <sheetViews>
    <sheetView showGridLines="0" showRowColHeaders="0" zoomScaleNormal="100" workbookViewId="0">
      <selection activeCell="H9" sqref="H9"/>
    </sheetView>
  </sheetViews>
  <sheetFormatPr baseColWidth="10" defaultRowHeight="15" x14ac:dyDescent="0.25"/>
  <cols>
    <col min="1" max="1" width="7.85546875" style="247" customWidth="1"/>
    <col min="2" max="2" width="5.7109375" style="247" customWidth="1"/>
    <col min="3" max="3" width="11.140625" style="247" customWidth="1"/>
    <col min="4" max="4" width="14" style="247" customWidth="1"/>
    <col min="5" max="5" width="11.140625" style="247" customWidth="1"/>
    <col min="6" max="6" width="18" style="247" customWidth="1"/>
    <col min="7" max="7" width="12.85546875" style="247" customWidth="1"/>
    <col min="8" max="8" width="16.5703125" style="247" customWidth="1"/>
    <col min="9" max="10" width="11.42578125" style="247"/>
    <col min="11" max="11" width="9.42578125" style="247" customWidth="1"/>
    <col min="12" max="12" width="9.28515625" style="247" customWidth="1"/>
    <col min="13" max="81" width="9.140625" style="247" customWidth="1"/>
    <col min="82" max="16384" width="11.42578125" style="247"/>
  </cols>
  <sheetData>
    <row r="1" spans="1:81" x14ac:dyDescent="0.25">
      <c r="A1" s="245"/>
      <c r="B1" s="245"/>
      <c r="C1" s="245"/>
      <c r="D1" s="245"/>
      <c r="E1" s="245"/>
      <c r="F1" s="245"/>
      <c r="G1" s="245"/>
      <c r="H1" s="245"/>
      <c r="I1" s="245"/>
      <c r="J1" s="245"/>
      <c r="K1" s="245"/>
      <c r="L1" s="245"/>
      <c r="M1" s="245"/>
      <c r="N1" s="245"/>
      <c r="O1" s="245"/>
      <c r="P1" s="246"/>
      <c r="Q1" s="246"/>
      <c r="R1" s="246"/>
      <c r="S1" s="246"/>
      <c r="T1" s="246"/>
      <c r="U1" s="246"/>
      <c r="V1" s="246"/>
      <c r="W1" s="246"/>
      <c r="X1" s="246"/>
      <c r="Y1" s="246"/>
      <c r="Z1" s="246"/>
      <c r="AA1" s="246"/>
      <c r="AB1" s="246"/>
      <c r="AC1" s="246"/>
      <c r="AD1" s="246"/>
      <c r="AE1" s="246"/>
      <c r="AF1" s="246"/>
      <c r="AG1" s="246"/>
      <c r="AH1" s="246"/>
      <c r="AI1" s="246"/>
      <c r="AJ1" s="246"/>
      <c r="AK1" s="246"/>
      <c r="AL1" s="246"/>
      <c r="AM1" s="246"/>
      <c r="AN1" s="246"/>
      <c r="AO1" s="246"/>
      <c r="AP1" s="246"/>
      <c r="AQ1" s="246"/>
      <c r="AR1" s="246"/>
      <c r="AS1" s="246"/>
      <c r="AT1" s="246"/>
      <c r="AU1" s="246"/>
      <c r="AV1" s="246"/>
      <c r="AW1" s="246"/>
      <c r="AX1" s="246"/>
      <c r="AY1" s="246"/>
      <c r="AZ1" s="246"/>
      <c r="BA1" s="246"/>
      <c r="BB1" s="246"/>
      <c r="BC1" s="246"/>
      <c r="BD1" s="246"/>
      <c r="BE1" s="246"/>
      <c r="BF1" s="246"/>
      <c r="BG1" s="246"/>
      <c r="BH1" s="246"/>
      <c r="BI1" s="246"/>
      <c r="BJ1" s="246"/>
      <c r="BK1" s="246"/>
      <c r="BL1" s="246"/>
      <c r="BM1" s="246"/>
      <c r="BN1" s="246"/>
      <c r="BO1" s="246"/>
      <c r="BP1" s="246"/>
      <c r="BQ1" s="246"/>
      <c r="BR1" s="246"/>
      <c r="BS1" s="246"/>
      <c r="BT1" s="246"/>
      <c r="BU1" s="246"/>
      <c r="BV1" s="246"/>
      <c r="BW1" s="246"/>
      <c r="BX1" s="246"/>
      <c r="BY1" s="246"/>
      <c r="BZ1" s="246"/>
      <c r="CA1" s="246"/>
      <c r="CB1" s="246"/>
      <c r="CC1" s="246"/>
    </row>
    <row r="2" spans="1:81" x14ac:dyDescent="0.25">
      <c r="A2" s="246"/>
      <c r="B2" s="246"/>
      <c r="C2" s="246"/>
      <c r="D2" s="246"/>
      <c r="E2" s="246"/>
      <c r="F2" s="246"/>
      <c r="G2" s="246"/>
      <c r="H2" s="246"/>
      <c r="I2" s="246"/>
      <c r="J2" s="248"/>
      <c r="K2" s="248"/>
      <c r="L2" s="248"/>
      <c r="M2" s="249"/>
      <c r="N2" s="248"/>
      <c r="O2" s="248"/>
      <c r="P2" s="246"/>
      <c r="Q2" s="246"/>
      <c r="R2" s="246"/>
      <c r="S2" s="246"/>
      <c r="T2" s="246"/>
      <c r="U2" s="246"/>
      <c r="V2" s="246"/>
      <c r="W2" s="246"/>
      <c r="X2" s="246"/>
      <c r="Y2" s="246"/>
      <c r="Z2" s="246"/>
      <c r="AA2" s="246"/>
      <c r="AB2" s="246"/>
      <c r="AC2" s="246"/>
      <c r="AD2" s="246"/>
      <c r="AE2" s="246"/>
      <c r="AF2" s="246"/>
      <c r="AG2" s="246"/>
      <c r="AH2" s="246"/>
      <c r="AI2" s="246"/>
      <c r="AJ2" s="246"/>
      <c r="AK2" s="246"/>
      <c r="AL2" s="246"/>
      <c r="AM2" s="246"/>
      <c r="AN2" s="246"/>
      <c r="AO2" s="246"/>
      <c r="AP2" s="246"/>
      <c r="AQ2" s="246"/>
      <c r="AR2" s="246"/>
      <c r="AS2" s="246"/>
      <c r="AT2" s="246"/>
      <c r="AU2" s="246"/>
      <c r="AV2" s="246"/>
      <c r="AW2" s="246"/>
      <c r="AX2" s="246"/>
      <c r="AY2" s="246"/>
      <c r="AZ2" s="246"/>
      <c r="BA2" s="246"/>
      <c r="BB2" s="246"/>
      <c r="BC2" s="246"/>
      <c r="BD2" s="246"/>
      <c r="BE2" s="246"/>
      <c r="BF2" s="246"/>
      <c r="BG2" s="246"/>
      <c r="BH2" s="246"/>
      <c r="BI2" s="246"/>
      <c r="BJ2" s="246"/>
      <c r="BK2" s="246"/>
      <c r="BL2" s="246"/>
      <c r="BM2" s="246"/>
      <c r="BN2" s="246"/>
      <c r="BO2" s="246"/>
      <c r="BP2" s="246"/>
      <c r="BQ2" s="246"/>
      <c r="BR2" s="246"/>
      <c r="BS2" s="246"/>
      <c r="BT2" s="246"/>
      <c r="BU2" s="246"/>
      <c r="BV2" s="246"/>
      <c r="BW2" s="246"/>
      <c r="BX2" s="246"/>
      <c r="BY2" s="246"/>
      <c r="BZ2" s="246"/>
      <c r="CA2" s="246"/>
      <c r="CB2" s="246"/>
      <c r="CC2" s="246"/>
    </row>
    <row r="3" spans="1:81" ht="15.75" x14ac:dyDescent="0.25">
      <c r="A3" s="246"/>
      <c r="B3" s="246"/>
      <c r="C3" s="246"/>
      <c r="D3" s="246"/>
      <c r="E3" s="246"/>
      <c r="F3" s="246"/>
      <c r="G3" s="246"/>
      <c r="H3" s="246"/>
      <c r="I3" s="246"/>
      <c r="J3" s="246"/>
      <c r="K3" s="246"/>
      <c r="L3" s="250"/>
      <c r="M3" s="251"/>
      <c r="N3" s="252"/>
      <c r="O3" s="253"/>
      <c r="P3" s="254"/>
      <c r="Q3" s="254"/>
      <c r="R3" s="254"/>
      <c r="S3" s="254"/>
      <c r="T3" s="254"/>
      <c r="U3" s="254"/>
      <c r="V3" s="254"/>
      <c r="W3" s="254"/>
      <c r="X3" s="254"/>
      <c r="Y3" s="254"/>
      <c r="Z3" s="254"/>
      <c r="AA3" s="254"/>
      <c r="AB3" s="254"/>
      <c r="AC3" s="254"/>
      <c r="AD3" s="254"/>
      <c r="AE3" s="254"/>
      <c r="AF3" s="254"/>
      <c r="AG3" s="254"/>
      <c r="AH3" s="254"/>
      <c r="AI3" s="254"/>
      <c r="AJ3" s="254"/>
      <c r="AK3" s="255"/>
      <c r="AL3" s="253"/>
      <c r="AM3" s="253"/>
      <c r="AN3" s="254"/>
      <c r="AO3" s="254"/>
      <c r="AP3" s="254"/>
      <c r="AQ3" s="254"/>
      <c r="AR3" s="254"/>
      <c r="AS3" s="254"/>
      <c r="AT3" s="254"/>
      <c r="AU3" s="254"/>
      <c r="AV3" s="254"/>
      <c r="AW3" s="254"/>
      <c r="AX3" s="254"/>
      <c r="AY3" s="254"/>
      <c r="AZ3" s="254"/>
      <c r="BA3" s="254"/>
      <c r="BB3" s="254"/>
      <c r="BC3" s="254"/>
      <c r="BD3" s="254"/>
      <c r="BE3" s="254"/>
      <c r="BF3" s="254"/>
      <c r="BG3" s="254"/>
      <c r="BH3" s="254"/>
      <c r="BI3" s="254"/>
      <c r="BJ3" s="254"/>
      <c r="BK3" s="254"/>
      <c r="BL3" s="254"/>
      <c r="BM3" s="254"/>
      <c r="BN3" s="254"/>
      <c r="BO3" s="254"/>
      <c r="BP3" s="254"/>
      <c r="BQ3" s="254"/>
      <c r="BR3" s="254"/>
      <c r="BS3" s="254"/>
      <c r="BT3" s="254"/>
      <c r="BU3" s="254"/>
      <c r="BV3" s="254"/>
      <c r="BW3" s="254"/>
      <c r="BX3" s="254"/>
      <c r="BY3" s="254"/>
      <c r="BZ3" s="256"/>
      <c r="CA3" s="246"/>
      <c r="CB3" s="246"/>
      <c r="CC3" s="246"/>
    </row>
    <row r="4" spans="1:81" x14ac:dyDescent="0.25">
      <c r="A4" s="246"/>
      <c r="B4" s="246"/>
      <c r="C4" s="246"/>
      <c r="D4" s="246"/>
      <c r="E4" s="246"/>
      <c r="F4" s="246"/>
      <c r="G4" s="246"/>
      <c r="H4" s="246"/>
      <c r="I4" s="246"/>
      <c r="J4" s="246"/>
      <c r="K4" s="246"/>
      <c r="L4" s="246"/>
      <c r="M4" s="257"/>
      <c r="N4" s="246"/>
      <c r="O4" s="246"/>
      <c r="P4" s="246"/>
      <c r="Q4" s="246"/>
      <c r="R4" s="246"/>
      <c r="S4" s="246"/>
      <c r="T4" s="246"/>
      <c r="U4" s="246"/>
      <c r="V4" s="246"/>
      <c r="W4" s="246"/>
      <c r="X4" s="246"/>
      <c r="Y4" s="246"/>
      <c r="Z4" s="246"/>
      <c r="AA4" s="246"/>
      <c r="AB4" s="246"/>
      <c r="AC4" s="246"/>
      <c r="AD4" s="246"/>
      <c r="AE4" s="246"/>
      <c r="AF4" s="246"/>
      <c r="AG4" s="246"/>
      <c r="AH4" s="246"/>
      <c r="AI4" s="246"/>
      <c r="AJ4" s="246"/>
      <c r="AK4" s="246"/>
      <c r="AL4" s="246"/>
      <c r="AM4" s="246"/>
      <c r="AN4" s="246"/>
      <c r="AO4" s="246"/>
      <c r="AP4" s="246"/>
      <c r="AQ4" s="246"/>
      <c r="AR4" s="246"/>
      <c r="AS4" s="246"/>
      <c r="AT4" s="246"/>
      <c r="AU4" s="246"/>
      <c r="AV4" s="246"/>
      <c r="AW4" s="246"/>
      <c r="AX4" s="246"/>
      <c r="AY4" s="246"/>
      <c r="AZ4" s="246"/>
      <c r="BA4" s="246"/>
      <c r="BB4" s="246"/>
      <c r="BC4" s="246"/>
      <c r="BD4" s="246"/>
      <c r="BE4" s="246"/>
      <c r="BF4" s="246"/>
      <c r="BG4" s="246"/>
      <c r="BH4" s="246"/>
      <c r="BI4" s="246"/>
      <c r="BJ4" s="246"/>
      <c r="BK4" s="246"/>
      <c r="BL4" s="246"/>
      <c r="BM4" s="246"/>
      <c r="BN4" s="246"/>
      <c r="BO4" s="246"/>
      <c r="BP4" s="246"/>
      <c r="BQ4" s="246"/>
      <c r="BR4" s="246"/>
      <c r="BS4" s="246"/>
      <c r="BT4" s="246"/>
      <c r="BU4" s="246"/>
      <c r="BV4" s="246"/>
      <c r="BW4" s="246"/>
      <c r="BX4" s="246"/>
      <c r="BY4" s="246"/>
      <c r="BZ4" s="246"/>
      <c r="CA4" s="246"/>
      <c r="CB4" s="246"/>
      <c r="CC4" s="246"/>
    </row>
    <row r="5" spans="1:81" ht="15.75" customHeight="1" x14ac:dyDescent="0.25">
      <c r="A5" s="246"/>
      <c r="B5"/>
      <c r="C5"/>
      <c r="D5"/>
      <c r="E5"/>
      <c r="F5"/>
      <c r="G5"/>
      <c r="H5"/>
      <c r="I5"/>
      <c r="J5"/>
      <c r="K5"/>
      <c r="L5"/>
      <c r="M5" s="233"/>
      <c r="N5" s="234"/>
      <c r="O5" s="233"/>
      <c r="P5" s="11"/>
      <c r="Q5" s="11"/>
      <c r="R5" s="235"/>
      <c r="S5" s="235"/>
      <c r="T5" s="258"/>
    </row>
    <row r="6" spans="1:81" ht="15" customHeight="1" x14ac:dyDescent="0.25">
      <c r="A6" s="246"/>
      <c r="B6"/>
      <c r="C6"/>
      <c r="D6"/>
      <c r="E6"/>
      <c r="F6"/>
      <c r="G6"/>
      <c r="H6"/>
      <c r="I6" s="336" t="s">
        <v>260</v>
      </c>
      <c r="J6" s="336"/>
      <c r="K6" s="336"/>
      <c r="L6" s="336"/>
      <c r="M6" s="234"/>
      <c r="N6" s="234"/>
      <c r="O6" s="233"/>
      <c r="P6" s="139"/>
      <c r="Q6" s="236"/>
      <c r="R6" s="127"/>
      <c r="S6" s="127"/>
      <c r="T6" s="259"/>
      <c r="U6" s="259"/>
      <c r="V6" s="259"/>
      <c r="Z6" s="260"/>
    </row>
    <row r="7" spans="1:81" ht="19.5" customHeight="1" x14ac:dyDescent="0.25">
      <c r="A7" s="246"/>
      <c r="B7"/>
      <c r="C7" s="337" t="s">
        <v>94</v>
      </c>
      <c r="D7" s="337"/>
      <c r="E7" s="337"/>
      <c r="F7" s="237">
        <f>'Análisis Espectral'!F7</f>
        <v>3</v>
      </c>
      <c r="G7"/>
      <c r="H7"/>
      <c r="I7" s="324" t="s">
        <v>259</v>
      </c>
      <c r="J7" s="324"/>
      <c r="K7" s="323" t="s">
        <v>43</v>
      </c>
      <c r="L7" s="323"/>
      <c r="M7" s="238"/>
      <c r="N7" s="238"/>
      <c r="O7" s="233"/>
      <c r="P7" s="139"/>
      <c r="Q7" s="236"/>
      <c r="R7" s="127"/>
      <c r="S7" s="127"/>
      <c r="T7" s="261"/>
      <c r="U7" s="259"/>
      <c r="V7" s="259"/>
      <c r="Z7" s="260"/>
    </row>
    <row r="8" spans="1:81" ht="27.75" customHeight="1" x14ac:dyDescent="0.25">
      <c r="A8" s="246"/>
      <c r="B8"/>
      <c r="C8"/>
      <c r="D8"/>
      <c r="E8"/>
      <c r="F8" s="229"/>
      <c r="G8"/>
      <c r="H8"/>
      <c r="I8"/>
      <c r="J8"/>
      <c r="K8" s="239"/>
      <c r="L8" s="239"/>
      <c r="M8" s="139"/>
      <c r="N8" s="139"/>
      <c r="O8" s="233"/>
      <c r="P8" s="11"/>
      <c r="Q8" s="11"/>
      <c r="R8" s="127"/>
      <c r="S8" s="127"/>
      <c r="T8" s="259"/>
      <c r="U8" s="259"/>
      <c r="V8" s="259"/>
      <c r="Z8" s="260"/>
    </row>
    <row r="9" spans="1:81" ht="15" customHeight="1" x14ac:dyDescent="0.25">
      <c r="A9" s="246"/>
      <c r="B9"/>
      <c r="C9"/>
      <c r="D9"/>
      <c r="E9"/>
      <c r="F9"/>
      <c r="G9"/>
      <c r="H9"/>
      <c r="I9"/>
      <c r="J9"/>
      <c r="K9"/>
      <c r="L9"/>
      <c r="M9" s="234"/>
      <c r="N9" s="234"/>
      <c r="O9" s="233"/>
      <c r="P9" s="139"/>
      <c r="Q9" s="11"/>
      <c r="R9" s="127"/>
      <c r="S9" s="127"/>
      <c r="T9" s="259"/>
      <c r="U9" s="259"/>
      <c r="V9" s="259"/>
      <c r="Z9" s="260"/>
    </row>
    <row r="10" spans="1:81" ht="15" customHeight="1" x14ac:dyDescent="0.25">
      <c r="A10" s="246"/>
      <c r="B10"/>
      <c r="C10" s="230"/>
      <c r="D10" s="230"/>
      <c r="E10" s="230"/>
      <c r="F10" s="201"/>
      <c r="G10"/>
      <c r="H10"/>
      <c r="I10"/>
      <c r="J10"/>
      <c r="K10"/>
      <c r="L10"/>
      <c r="M10" s="234"/>
      <c r="N10" s="234"/>
      <c r="O10" s="11"/>
      <c r="P10" s="240"/>
      <c r="Q10" s="11"/>
      <c r="R10" s="127"/>
      <c r="S10" s="127"/>
      <c r="T10" s="259"/>
      <c r="U10" s="259"/>
      <c r="V10" s="259"/>
    </row>
    <row r="11" spans="1:81" ht="15" customHeight="1" x14ac:dyDescent="0.25">
      <c r="A11" s="246"/>
      <c r="B11"/>
      <c r="C11" s="338" t="s">
        <v>1</v>
      </c>
      <c r="D11" s="339"/>
      <c r="E11" s="339"/>
      <c r="F11" s="340"/>
      <c r="G11" s="341" t="s">
        <v>258</v>
      </c>
      <c r="H11"/>
      <c r="I11"/>
      <c r="J11"/>
      <c r="K11"/>
      <c r="L11"/>
      <c r="M11" s="234"/>
      <c r="N11" s="234"/>
      <c r="O11" s="11"/>
      <c r="P11" s="11"/>
      <c r="Q11" s="11"/>
      <c r="R11" s="127"/>
      <c r="S11" s="127"/>
      <c r="T11" s="259"/>
      <c r="U11" s="259"/>
      <c r="V11" s="259"/>
    </row>
    <row r="12" spans="1:81" ht="15" customHeight="1" x14ac:dyDescent="0.25">
      <c r="A12" s="246"/>
      <c r="B12"/>
      <c r="C12" s="241" t="s">
        <v>152</v>
      </c>
      <c r="D12" s="241" t="s">
        <v>153</v>
      </c>
      <c r="E12" s="241" t="s">
        <v>80</v>
      </c>
      <c r="F12" s="241" t="s">
        <v>183</v>
      </c>
      <c r="G12" s="342"/>
      <c r="H12"/>
      <c r="I12"/>
      <c r="J12"/>
      <c r="K12"/>
      <c r="L12"/>
      <c r="M12" s="234"/>
      <c r="N12" s="234"/>
      <c r="O12" s="233"/>
      <c r="P12" s="11"/>
      <c r="Q12" s="11"/>
      <c r="R12" s="127"/>
      <c r="S12" s="127"/>
      <c r="T12" s="259"/>
      <c r="U12" s="259"/>
      <c r="V12" s="259"/>
    </row>
    <row r="13" spans="1:81" ht="15" customHeight="1" x14ac:dyDescent="0.25">
      <c r="A13" s="246"/>
      <c r="B13"/>
      <c r="C13" s="242">
        <v>1</v>
      </c>
      <c r="D13" s="237" t="str">
        <f>IF('Análisis Espectral'!D13&lt;&gt;"",'Análisis Espectral'!D13,"")</f>
        <v>carpeta</v>
      </c>
      <c r="E13" s="237">
        <f>IF('Análisis Espectral'!E13&lt;&gt;"",'Análisis Espectral'!E13,"")</f>
        <v>10</v>
      </c>
      <c r="F13" s="237">
        <f>IF('Análisis Espectral'!F13&lt;&gt;"",'Análisis Espectral'!F13,"")</f>
        <v>4032</v>
      </c>
      <c r="G13" s="232">
        <v>20</v>
      </c>
      <c r="H13"/>
      <c r="I13"/>
      <c r="J13"/>
      <c r="K13"/>
      <c r="L13"/>
      <c r="M13" s="234"/>
      <c r="N13" s="234"/>
      <c r="O13" s="233"/>
      <c r="P13" s="139"/>
      <c r="Q13" s="11"/>
      <c r="R13" s="127"/>
      <c r="S13" s="127"/>
      <c r="T13" s="259"/>
      <c r="U13" s="259"/>
      <c r="V13" s="259"/>
    </row>
    <row r="14" spans="1:81" ht="15.75" x14ac:dyDescent="0.25">
      <c r="A14" s="246"/>
      <c r="B14"/>
      <c r="C14" s="242">
        <v>2</v>
      </c>
      <c r="D14" s="237" t="str">
        <f>IF('Análisis Espectral'!D14&lt;&gt;"",'Análisis Espectral'!D14,"")</f>
        <v>base</v>
      </c>
      <c r="E14" s="237">
        <f>IF('Análisis Espectral'!E14&lt;&gt;"",'Análisis Espectral'!E14,"")</f>
        <v>40</v>
      </c>
      <c r="F14" s="237">
        <f>IF('Análisis Espectral'!F14&lt;&gt;"",'Análisis Espectral'!F14,"")</f>
        <v>691.2</v>
      </c>
      <c r="G14" s="232">
        <v>20</v>
      </c>
      <c r="H14"/>
      <c r="I14"/>
      <c r="J14"/>
      <c r="K14"/>
      <c r="L14" s="143"/>
      <c r="M14" s="234"/>
      <c r="N14" s="234"/>
      <c r="O14" s="11"/>
      <c r="P14" s="139"/>
      <c r="Q14" s="11"/>
      <c r="R14" s="127"/>
      <c r="S14" s="127"/>
      <c r="T14" s="259"/>
    </row>
    <row r="15" spans="1:81" ht="15" customHeight="1" x14ac:dyDescent="0.25">
      <c r="A15" s="246"/>
      <c r="B15"/>
      <c r="C15" s="242">
        <v>3</v>
      </c>
      <c r="D15" s="237" t="str">
        <f>IF('Análisis Espectral'!D15&lt;&gt;"",'Análisis Espectral'!D15,"")</f>
        <v>Subbase</v>
      </c>
      <c r="E15" s="237" t="str">
        <f>IF('Análisis Espectral'!E15&lt;&gt;"",'Análisis Espectral'!E15,"")</f>
        <v/>
      </c>
      <c r="F15" s="237">
        <f>IF('Análisis Espectral'!F15&lt;&gt;"",'Análisis Espectral'!F15,"")</f>
        <v>115.2</v>
      </c>
      <c r="G15" s="232">
        <v>20</v>
      </c>
      <c r="H15"/>
      <c r="I15" s="337" t="s">
        <v>155</v>
      </c>
      <c r="J15" s="337"/>
      <c r="K15" s="337"/>
      <c r="L15" s="262">
        <v>4.2401884423173604</v>
      </c>
      <c r="M15" s="11"/>
      <c r="N15" s="11"/>
      <c r="O15" s="11"/>
      <c r="P15" s="11"/>
      <c r="Q15" s="243"/>
      <c r="R15" s="127"/>
      <c r="S15" s="127"/>
      <c r="T15" s="259"/>
    </row>
    <row r="16" spans="1:81" ht="15" customHeight="1" x14ac:dyDescent="0.25">
      <c r="A16" s="246"/>
      <c r="B16"/>
      <c r="C16" s="242">
        <v>4</v>
      </c>
      <c r="D16" s="237" t="str">
        <f>IF('Análisis Espectral'!D16&lt;&gt;"",'Análisis Espectral'!D16,"")</f>
        <v/>
      </c>
      <c r="E16" s="237" t="str">
        <f>IF('Análisis Espectral'!E16&lt;&gt;"",'Análisis Espectral'!E16,"")</f>
        <v/>
      </c>
      <c r="F16" s="237" t="str">
        <f>IF('Análisis Espectral'!F16&lt;&gt;"",'Análisis Espectral'!F16,"")</f>
        <v/>
      </c>
      <c r="G16" s="232"/>
      <c r="H16"/>
      <c r="I16" s="337" t="s">
        <v>156</v>
      </c>
      <c r="J16" s="337"/>
      <c r="K16" s="337"/>
      <c r="L16" s="262">
        <v>2.7980388138657011</v>
      </c>
      <c r="M16"/>
      <c r="N16"/>
      <c r="O16"/>
      <c r="P16"/>
      <c r="Q16" s="127"/>
      <c r="R16" s="127"/>
      <c r="S16" s="127"/>
      <c r="T16" s="259"/>
    </row>
    <row r="17" spans="1:20" x14ac:dyDescent="0.25">
      <c r="A17" s="246"/>
      <c r="B17"/>
      <c r="C17" s="242">
        <v>5</v>
      </c>
      <c r="D17" s="237" t="str">
        <f>IF('Análisis Espectral'!D17&lt;&gt;"",'Análisis Espectral'!D17,"")</f>
        <v/>
      </c>
      <c r="E17" s="237" t="str">
        <f>IF('Análisis Espectral'!E17&lt;&gt;"",'Análisis Espectral'!E17,"")</f>
        <v/>
      </c>
      <c r="F17" s="237" t="str">
        <f>IF('Análisis Espectral'!F17&lt;&gt;"",'Análisis Espectral'!F17,"")</f>
        <v/>
      </c>
      <c r="G17" s="232"/>
      <c r="H17"/>
      <c r="I17"/>
      <c r="J17" s="244"/>
      <c r="K17"/>
      <c r="L17"/>
      <c r="M17"/>
      <c r="N17"/>
      <c r="O17"/>
      <c r="P17"/>
      <c r="Q17" s="127"/>
      <c r="R17" s="127"/>
      <c r="S17" s="127"/>
      <c r="T17" s="259"/>
    </row>
    <row r="18" spans="1:20" x14ac:dyDescent="0.25">
      <c r="A18" s="246"/>
      <c r="B18"/>
      <c r="C18" s="242">
        <v>6</v>
      </c>
      <c r="D18" s="237" t="str">
        <f>IF('Análisis Espectral'!D18&lt;&gt;"",'Análisis Espectral'!D18,"")</f>
        <v/>
      </c>
      <c r="E18" s="237" t="str">
        <f>IF('Análisis Espectral'!E18&lt;&gt;"",'Análisis Espectral'!E18,"")</f>
        <v/>
      </c>
      <c r="F18" s="237" t="str">
        <f>IF('Análisis Espectral'!F18&lt;&gt;"",'Análisis Espectral'!F18,"")</f>
        <v/>
      </c>
      <c r="G18" s="232"/>
      <c r="H18"/>
      <c r="I18"/>
      <c r="J18" s="244"/>
      <c r="K18"/>
      <c r="L18"/>
      <c r="M18"/>
      <c r="N18"/>
      <c r="O18"/>
      <c r="P18"/>
      <c r="Q18" s="127"/>
      <c r="R18" s="127"/>
      <c r="S18" s="127"/>
      <c r="T18" s="259"/>
    </row>
    <row r="19" spans="1:20" x14ac:dyDescent="0.25">
      <c r="A19" s="246"/>
      <c r="B19"/>
      <c r="C19"/>
      <c r="D19"/>
      <c r="E19"/>
      <c r="F19"/>
      <c r="G19"/>
      <c r="H19"/>
      <c r="I19"/>
      <c r="J19" s="244"/>
      <c r="K19"/>
      <c r="L19"/>
      <c r="M19"/>
      <c r="N19"/>
      <c r="O19"/>
      <c r="P19"/>
      <c r="Q19" s="127"/>
      <c r="R19" s="127"/>
      <c r="S19" s="127"/>
      <c r="T19" s="259"/>
    </row>
    <row r="20" spans="1:20" x14ac:dyDescent="0.25">
      <c r="A20" s="246"/>
      <c r="B20"/>
      <c r="C20"/>
      <c r="D20"/>
      <c r="E20"/>
      <c r="F20"/>
      <c r="G20"/>
      <c r="H20"/>
      <c r="I20"/>
      <c r="J20" s="244"/>
      <c r="K20"/>
      <c r="L20"/>
      <c r="M20"/>
      <c r="N20"/>
      <c r="O20"/>
      <c r="P20"/>
      <c r="Q20" s="127"/>
      <c r="R20" s="127"/>
      <c r="S20" s="127"/>
      <c r="T20" s="259"/>
    </row>
    <row r="21" spans="1:20" x14ac:dyDescent="0.25">
      <c r="A21" s="246"/>
      <c r="B21"/>
      <c r="C21"/>
      <c r="D21"/>
      <c r="E21"/>
      <c r="F21"/>
      <c r="G21"/>
      <c r="H21"/>
      <c r="I21"/>
      <c r="J21" s="244"/>
      <c r="K21"/>
      <c r="L21"/>
      <c r="M21"/>
      <c r="N21"/>
      <c r="O21"/>
      <c r="P21"/>
      <c r="Q21" s="127"/>
      <c r="R21" s="127"/>
      <c r="S21" s="127"/>
      <c r="T21" s="259"/>
    </row>
    <row r="22" spans="1:20" x14ac:dyDescent="0.25">
      <c r="A22" s="246"/>
      <c r="B22"/>
      <c r="C22"/>
      <c r="D22"/>
      <c r="E22"/>
      <c r="F22"/>
      <c r="G22"/>
      <c r="H22"/>
      <c r="I22"/>
      <c r="J22" s="244"/>
      <c r="K22"/>
      <c r="L22"/>
      <c r="M22"/>
      <c r="N22"/>
      <c r="O22"/>
      <c r="P22"/>
      <c r="Q22" s="127"/>
      <c r="R22" s="127"/>
      <c r="S22" s="127"/>
      <c r="T22" s="259"/>
    </row>
    <row r="23" spans="1:20" x14ac:dyDescent="0.25">
      <c r="A23" s="246"/>
      <c r="B23"/>
      <c r="C23"/>
      <c r="D23"/>
      <c r="E23"/>
      <c r="F23"/>
      <c r="G23"/>
      <c r="H23"/>
      <c r="I23"/>
      <c r="J23" s="244"/>
      <c r="K23"/>
      <c r="L23"/>
      <c r="M23"/>
      <c r="N23"/>
      <c r="O23"/>
      <c r="P23"/>
      <c r="Q23" s="127"/>
      <c r="R23" s="127"/>
      <c r="S23" s="127"/>
      <c r="T23" s="259"/>
    </row>
    <row r="24" spans="1:20" x14ac:dyDescent="0.25">
      <c r="A24" s="246"/>
      <c r="B24"/>
      <c r="C24"/>
      <c r="D24"/>
      <c r="E24"/>
      <c r="F24"/>
      <c r="G24"/>
      <c r="H24"/>
      <c r="I24"/>
      <c r="J24" s="244"/>
      <c r="K24"/>
      <c r="L24"/>
      <c r="M24"/>
      <c r="N24"/>
      <c r="O24"/>
      <c r="P24"/>
      <c r="Q24" s="127"/>
      <c r="R24" s="127"/>
      <c r="S24" s="127"/>
      <c r="T24" s="259"/>
    </row>
    <row r="25" spans="1:20" x14ac:dyDescent="0.25">
      <c r="A25" s="246"/>
      <c r="J25" s="263"/>
      <c r="Q25" s="259"/>
      <c r="R25" s="259"/>
      <c r="S25" s="259"/>
      <c r="T25" s="259"/>
    </row>
    <row r="26" spans="1:20" x14ac:dyDescent="0.25">
      <c r="A26" s="246"/>
      <c r="J26" s="263"/>
      <c r="Q26" s="259"/>
      <c r="R26" s="259"/>
      <c r="S26" s="259"/>
      <c r="T26" s="259"/>
    </row>
    <row r="27" spans="1:20" x14ac:dyDescent="0.25">
      <c r="A27" s="246"/>
      <c r="J27" s="263"/>
      <c r="Q27" s="259"/>
      <c r="R27" s="259"/>
      <c r="S27" s="259"/>
      <c r="T27" s="259"/>
    </row>
    <row r="28" spans="1:20" x14ac:dyDescent="0.25">
      <c r="A28" s="246"/>
      <c r="J28" s="263"/>
      <c r="Q28" s="259"/>
      <c r="R28" s="259"/>
      <c r="S28" s="259"/>
      <c r="T28" s="259"/>
    </row>
    <row r="29" spans="1:20" x14ac:dyDescent="0.25">
      <c r="A29" s="246"/>
      <c r="J29" s="263"/>
      <c r="Q29" s="259"/>
      <c r="R29" s="259"/>
      <c r="S29" s="259"/>
      <c r="T29" s="259"/>
    </row>
    <row r="30" spans="1:20" x14ac:dyDescent="0.25">
      <c r="A30" s="246"/>
      <c r="J30" s="263"/>
      <c r="Q30" s="259"/>
      <c r="R30" s="259"/>
      <c r="S30" s="259"/>
      <c r="T30" s="259"/>
    </row>
    <row r="31" spans="1:20" x14ac:dyDescent="0.25">
      <c r="A31" s="246"/>
      <c r="J31" s="263"/>
      <c r="Q31" s="259"/>
      <c r="R31" s="259"/>
      <c r="S31" s="259"/>
      <c r="T31" s="259"/>
    </row>
    <row r="32" spans="1:20" x14ac:dyDescent="0.25">
      <c r="A32" s="246"/>
      <c r="J32" s="263"/>
      <c r="Q32" s="259"/>
      <c r="R32" s="259"/>
      <c r="S32" s="259"/>
      <c r="T32" s="259"/>
    </row>
    <row r="33" spans="1:20" x14ac:dyDescent="0.25">
      <c r="A33" s="246"/>
      <c r="J33" s="263"/>
      <c r="Q33" s="259"/>
      <c r="R33" s="259"/>
      <c r="S33" s="259"/>
      <c r="T33" s="259"/>
    </row>
    <row r="34" spans="1:20" x14ac:dyDescent="0.25">
      <c r="A34" s="246"/>
      <c r="J34" s="263"/>
      <c r="Q34" s="259"/>
      <c r="R34" s="259"/>
      <c r="S34" s="259"/>
      <c r="T34" s="259"/>
    </row>
    <row r="35" spans="1:20" x14ac:dyDescent="0.25">
      <c r="A35" s="246"/>
      <c r="J35" s="263"/>
      <c r="Q35" s="259"/>
      <c r="R35" s="259"/>
      <c r="S35" s="259"/>
      <c r="T35" s="259"/>
    </row>
    <row r="36" spans="1:20" x14ac:dyDescent="0.25">
      <c r="A36" s="246"/>
      <c r="J36" s="263"/>
      <c r="Q36" s="259"/>
      <c r="R36" s="259"/>
      <c r="S36" s="259"/>
      <c r="T36" s="259"/>
    </row>
    <row r="37" spans="1:20" x14ac:dyDescent="0.25">
      <c r="A37" s="246"/>
      <c r="J37" s="263"/>
      <c r="Q37" s="259"/>
      <c r="R37" s="259"/>
      <c r="S37" s="259"/>
      <c r="T37" s="259"/>
    </row>
    <row r="38" spans="1:20" x14ac:dyDescent="0.25">
      <c r="A38" s="246"/>
      <c r="J38" s="263"/>
      <c r="Q38" s="259"/>
      <c r="R38" s="259"/>
      <c r="S38" s="259"/>
      <c r="T38" s="259"/>
    </row>
    <row r="39" spans="1:20" x14ac:dyDescent="0.25">
      <c r="A39" s="246"/>
      <c r="J39" s="263"/>
      <c r="Q39" s="259"/>
      <c r="R39" s="259"/>
      <c r="S39" s="259"/>
      <c r="T39" s="259"/>
    </row>
    <row r="40" spans="1:20" x14ac:dyDescent="0.25">
      <c r="J40" s="263"/>
      <c r="Q40" s="259"/>
      <c r="R40" s="259"/>
      <c r="S40" s="259"/>
      <c r="T40" s="259"/>
    </row>
    <row r="41" spans="1:20" x14ac:dyDescent="0.25">
      <c r="J41" s="263"/>
      <c r="Q41" s="259"/>
      <c r="R41" s="259"/>
      <c r="S41" s="259"/>
      <c r="T41" s="259"/>
    </row>
    <row r="42" spans="1:20" x14ac:dyDescent="0.25">
      <c r="J42" s="263"/>
      <c r="Q42" s="259"/>
      <c r="R42" s="259"/>
      <c r="S42" s="259"/>
      <c r="T42" s="259"/>
    </row>
    <row r="43" spans="1:20" x14ac:dyDescent="0.25">
      <c r="J43" s="263"/>
      <c r="Q43" s="259"/>
      <c r="R43" s="259"/>
      <c r="S43" s="259"/>
      <c r="T43" s="259"/>
    </row>
    <row r="44" spans="1:20" x14ac:dyDescent="0.25">
      <c r="J44" s="263"/>
      <c r="Q44" s="259"/>
      <c r="R44" s="259"/>
      <c r="S44" s="259"/>
      <c r="T44" s="259"/>
    </row>
    <row r="45" spans="1:20" x14ac:dyDescent="0.25">
      <c r="J45" s="263"/>
      <c r="Q45" s="259"/>
      <c r="R45" s="259"/>
      <c r="S45" s="259"/>
      <c r="T45" s="259"/>
    </row>
    <row r="46" spans="1:20" x14ac:dyDescent="0.25">
      <c r="J46" s="263"/>
      <c r="Q46" s="259"/>
      <c r="R46" s="259"/>
      <c r="S46" s="259"/>
      <c r="T46" s="259"/>
    </row>
    <row r="47" spans="1:20" x14ac:dyDescent="0.25">
      <c r="J47" s="263"/>
      <c r="Q47" s="259"/>
      <c r="R47" s="259"/>
      <c r="S47" s="259"/>
      <c r="T47" s="259"/>
    </row>
    <row r="48" spans="1:20" x14ac:dyDescent="0.25">
      <c r="J48" s="263"/>
      <c r="Q48" s="259"/>
      <c r="R48" s="259"/>
      <c r="S48" s="259"/>
      <c r="T48" s="259"/>
    </row>
    <row r="49" spans="10:20" x14ac:dyDescent="0.25">
      <c r="J49" s="263"/>
      <c r="Q49" s="259"/>
      <c r="R49" s="259"/>
      <c r="S49" s="259"/>
      <c r="T49" s="259"/>
    </row>
    <row r="50" spans="10:20" x14ac:dyDescent="0.25">
      <c r="J50" s="263"/>
      <c r="Q50" s="259"/>
      <c r="R50" s="259"/>
      <c r="S50" s="259"/>
      <c r="T50" s="259"/>
    </row>
    <row r="51" spans="10:20" x14ac:dyDescent="0.25">
      <c r="J51" s="263"/>
      <c r="Q51" s="259"/>
      <c r="R51" s="259"/>
      <c r="S51" s="259"/>
      <c r="T51" s="259"/>
    </row>
    <row r="52" spans="10:20" x14ac:dyDescent="0.25">
      <c r="J52" s="263"/>
      <c r="Q52" s="259"/>
      <c r="R52" s="259"/>
      <c r="S52" s="259"/>
      <c r="T52" s="259"/>
    </row>
    <row r="53" spans="10:20" x14ac:dyDescent="0.25">
      <c r="J53" s="263"/>
      <c r="Q53" s="259"/>
      <c r="R53" s="259"/>
      <c r="S53" s="259"/>
      <c r="T53" s="259"/>
    </row>
    <row r="54" spans="10:20" x14ac:dyDescent="0.25">
      <c r="J54" s="263"/>
      <c r="Q54" s="259"/>
      <c r="R54" s="259"/>
      <c r="S54" s="259"/>
      <c r="T54" s="259"/>
    </row>
    <row r="55" spans="10:20" x14ac:dyDescent="0.25">
      <c r="J55" s="263"/>
      <c r="Q55" s="259"/>
      <c r="R55" s="259"/>
      <c r="S55" s="259"/>
      <c r="T55" s="259"/>
    </row>
    <row r="56" spans="10:20" x14ac:dyDescent="0.25">
      <c r="J56" s="263"/>
      <c r="Q56" s="259"/>
      <c r="R56" s="259"/>
      <c r="S56" s="259"/>
      <c r="T56" s="259"/>
    </row>
    <row r="57" spans="10:20" x14ac:dyDescent="0.25">
      <c r="J57" s="263"/>
      <c r="Q57" s="259"/>
      <c r="R57" s="259"/>
      <c r="S57" s="259"/>
      <c r="T57" s="259"/>
    </row>
    <row r="58" spans="10:20" x14ac:dyDescent="0.25">
      <c r="J58" s="263"/>
      <c r="Q58" s="259"/>
      <c r="R58" s="259"/>
      <c r="S58" s="259"/>
      <c r="T58" s="259"/>
    </row>
    <row r="59" spans="10:20" x14ac:dyDescent="0.25">
      <c r="J59" s="263"/>
      <c r="Q59" s="259"/>
      <c r="R59" s="259"/>
      <c r="S59" s="259"/>
      <c r="T59" s="259"/>
    </row>
    <row r="60" spans="10:20" x14ac:dyDescent="0.25">
      <c r="J60" s="263"/>
      <c r="Q60" s="259"/>
      <c r="R60" s="259"/>
      <c r="S60" s="259"/>
      <c r="T60" s="259"/>
    </row>
    <row r="61" spans="10:20" x14ac:dyDescent="0.25">
      <c r="J61" s="263"/>
      <c r="Q61" s="259"/>
      <c r="R61" s="259"/>
      <c r="S61" s="259"/>
      <c r="T61" s="259"/>
    </row>
    <row r="62" spans="10:20" x14ac:dyDescent="0.25">
      <c r="J62" s="263"/>
      <c r="Q62" s="259"/>
      <c r="R62" s="259"/>
      <c r="S62" s="259"/>
      <c r="T62" s="259"/>
    </row>
    <row r="63" spans="10:20" x14ac:dyDescent="0.25">
      <c r="J63" s="263"/>
      <c r="Q63" s="259"/>
      <c r="R63" s="259"/>
      <c r="S63" s="259"/>
      <c r="T63" s="259"/>
    </row>
    <row r="64" spans="10:20" x14ac:dyDescent="0.25">
      <c r="J64" s="263"/>
      <c r="Q64" s="259"/>
      <c r="R64" s="259"/>
      <c r="S64" s="259"/>
      <c r="T64" s="259"/>
    </row>
    <row r="65" spans="10:20" x14ac:dyDescent="0.25">
      <c r="J65" s="263"/>
      <c r="Q65" s="259"/>
      <c r="R65" s="259"/>
      <c r="S65" s="259"/>
      <c r="T65" s="259"/>
    </row>
    <row r="66" spans="10:20" x14ac:dyDescent="0.25">
      <c r="J66" s="263"/>
      <c r="Q66" s="259"/>
      <c r="R66" s="259"/>
      <c r="S66" s="259"/>
      <c r="T66" s="259"/>
    </row>
    <row r="67" spans="10:20" x14ac:dyDescent="0.25">
      <c r="J67" s="263"/>
      <c r="Q67" s="259"/>
      <c r="R67" s="259"/>
      <c r="S67" s="259"/>
      <c r="T67" s="259"/>
    </row>
    <row r="68" spans="10:20" x14ac:dyDescent="0.25">
      <c r="J68" s="263"/>
      <c r="Q68" s="259"/>
      <c r="R68" s="259"/>
      <c r="S68" s="259"/>
      <c r="T68" s="259"/>
    </row>
    <row r="69" spans="10:20" x14ac:dyDescent="0.25">
      <c r="J69" s="263"/>
      <c r="Q69" s="259"/>
      <c r="R69" s="259"/>
      <c r="S69" s="259"/>
      <c r="T69" s="259"/>
    </row>
    <row r="71" spans="10:20" x14ac:dyDescent="0.25">
      <c r="Q71" s="259"/>
      <c r="R71" s="259"/>
      <c r="S71" s="259"/>
      <c r="T71" s="259"/>
    </row>
    <row r="74" spans="10:20" x14ac:dyDescent="0.25">
      <c r="Q74" s="264"/>
      <c r="R74" s="264"/>
      <c r="S74" s="264"/>
      <c r="T74" s="264"/>
    </row>
    <row r="75" spans="10:20" x14ac:dyDescent="0.25">
      <c r="Q75" s="260"/>
      <c r="R75" s="260"/>
      <c r="S75" s="260"/>
      <c r="T75" s="260"/>
    </row>
    <row r="77" spans="10:20" x14ac:dyDescent="0.25">
      <c r="Q77" s="264"/>
      <c r="R77" s="264"/>
    </row>
    <row r="78" spans="10:20" x14ac:dyDescent="0.25">
      <c r="Q78" s="260"/>
      <c r="R78" s="260"/>
    </row>
    <row r="81" spans="17:18" x14ac:dyDescent="0.25">
      <c r="Q81" s="265"/>
      <c r="R81" s="266"/>
    </row>
    <row r="83" spans="17:18" x14ac:dyDescent="0.25">
      <c r="Q83" s="264"/>
      <c r="R83" s="259"/>
    </row>
    <row r="84" spans="17:18" x14ac:dyDescent="0.25">
      <c r="Q84" s="264"/>
      <c r="R84" s="259"/>
    </row>
  </sheetData>
  <sheetProtection password="8FE7" sheet="1" objects="1" scenarios="1"/>
  <mergeCells count="8">
    <mergeCell ref="C7:E7"/>
    <mergeCell ref="C11:F11"/>
    <mergeCell ref="G11:G12"/>
    <mergeCell ref="I6:L6"/>
    <mergeCell ref="I7:J7"/>
    <mergeCell ref="K7:L7"/>
    <mergeCell ref="I15:K15"/>
    <mergeCell ref="I16:K16"/>
  </mergeCells>
  <pageMargins left="0.7" right="0.7" top="0.75" bottom="0.75" header="0.3" footer="0.3"/>
  <ignoredErrors>
    <ignoredError sqref="F7 D13:F18" unlockedFormula="1"/>
  </ignoredErrors>
  <drawing r:id="rId1"/>
  <legacyDrawing r:id="rId2"/>
  <controls>
    <mc:AlternateContent xmlns:mc="http://schemas.openxmlformats.org/markup-compatibility/2006">
      <mc:Choice Requires="x14">
        <control shapeId="128003" r:id="rId3" name="ComboBoxConfiabilidad">
          <controlPr defaultSize="0" autoLine="0" r:id="rId4">
            <anchor moveWithCells="1">
              <from>
                <xdr:col>10</xdr:col>
                <xdr:colOff>0</xdr:colOff>
                <xdr:row>6</xdr:row>
                <xdr:rowOff>0</xdr:rowOff>
              </from>
              <to>
                <xdr:col>12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28003" r:id="rId3" name="ComboBoxConfiabilidad"/>
      </mc:Fallback>
    </mc:AlternateContent>
    <mc:AlternateContent xmlns:mc="http://schemas.openxmlformats.org/markup-compatibility/2006">
      <mc:Choice Requires="x14">
        <control shapeId="128004" r:id="rId5" name="Button 4">
          <controlPr defaultSize="0" print="0" autoFill="0" autoPict="0" macro="[0]!analisisprobabilista">
            <anchor moveWithCells="1" sizeWithCells="1">
              <from>
                <xdr:col>8</xdr:col>
                <xdr:colOff>428625</xdr:colOff>
                <xdr:row>8</xdr:row>
                <xdr:rowOff>152400</xdr:rowOff>
              </from>
              <to>
                <xdr:col>11</xdr:col>
                <xdr:colOff>352425</xdr:colOff>
                <xdr:row>11</xdr:row>
                <xdr:rowOff>152400</xdr:rowOff>
              </to>
            </anchor>
          </controlPr>
        </control>
      </mc:Choice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13530A-9F87-4059-8692-7EE63425F3CF}">
  <sheetPr codeName="Hoja6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9265" r:id="rId3" name="Button 1">
              <controlPr defaultSize="0" print="0" autoFill="0" autoPict="0">
                <anchor moveWithCells="1" sizeWithCells="1">
                  <from>
                    <xdr:col>4</xdr:col>
                    <xdr:colOff>209550</xdr:colOff>
                    <xdr:row>8</xdr:row>
                    <xdr:rowOff>171450</xdr:rowOff>
                  </from>
                  <to>
                    <xdr:col>9</xdr:col>
                    <xdr:colOff>514350</xdr:colOff>
                    <xdr:row>16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15"/>
  <dimension ref="A1:CS1027"/>
  <sheetViews>
    <sheetView tabSelected="1" zoomScale="85" zoomScaleNormal="85" workbookViewId="0">
      <selection activeCell="BM4" sqref="BM4:BV8"/>
    </sheetView>
  </sheetViews>
  <sheetFormatPr baseColWidth="10" defaultRowHeight="15" x14ac:dyDescent="0.25"/>
  <cols>
    <col min="1" max="1" width="9.7109375" customWidth="1"/>
    <col min="2" max="2" width="20.140625" customWidth="1"/>
    <col min="3" max="5" width="10.85546875" customWidth="1"/>
    <col min="6" max="6" width="13.42578125" customWidth="1"/>
    <col min="7" max="7" width="14.28515625" customWidth="1"/>
    <col min="8" max="8" width="14.7109375" customWidth="1"/>
    <col min="9" max="9" width="16.28515625" customWidth="1"/>
    <col min="10" max="10" width="11.7109375" bestFit="1" customWidth="1"/>
    <col min="11" max="11" width="12.5703125" customWidth="1"/>
    <col min="12" max="13" width="11.85546875" bestFit="1" customWidth="1"/>
    <col min="14" max="15" width="11.7109375" bestFit="1" customWidth="1"/>
    <col min="17" max="17" width="11.85546875" bestFit="1" customWidth="1"/>
    <col min="18" max="20" width="11.7109375" bestFit="1" customWidth="1"/>
    <col min="22" max="22" width="11.85546875" bestFit="1" customWidth="1"/>
    <col min="23" max="24" width="11.7109375" bestFit="1" customWidth="1"/>
    <col min="25" max="25" width="13" customWidth="1"/>
    <col min="26" max="26" width="14.42578125" customWidth="1"/>
    <col min="28" max="34" width="14.5703125" customWidth="1"/>
    <col min="35" max="35" width="12.28515625" customWidth="1"/>
    <col min="37" max="38" width="11.7109375" bestFit="1" customWidth="1"/>
    <col min="39" max="40" width="16.42578125" bestFit="1" customWidth="1"/>
    <col min="42" max="42" width="12.85546875" customWidth="1"/>
    <col min="43" max="43" width="12.28515625" customWidth="1"/>
    <col min="44" max="44" width="13.42578125" customWidth="1"/>
    <col min="45" max="45" width="11.85546875" customWidth="1"/>
    <col min="46" max="46" width="13.42578125" customWidth="1"/>
    <col min="47" max="47" width="11.28515625" customWidth="1"/>
    <col min="48" max="48" width="13.42578125" customWidth="1"/>
    <col min="49" max="49" width="12" customWidth="1"/>
    <col min="50" max="50" width="4.85546875" customWidth="1"/>
    <col min="51" max="51" width="18.42578125" customWidth="1"/>
    <col min="52" max="52" width="17.28515625" customWidth="1"/>
    <col min="53" max="53" width="4" customWidth="1"/>
    <col min="54" max="63" width="9.5703125" customWidth="1"/>
    <col min="65" max="74" width="10.7109375" customWidth="1"/>
  </cols>
  <sheetData>
    <row r="1" spans="1:97" ht="15" customHeight="1" x14ac:dyDescent="0.25">
      <c r="A1" s="62"/>
      <c r="B1" s="353"/>
      <c r="C1" s="353"/>
      <c r="D1" s="353"/>
      <c r="E1" s="353"/>
      <c r="F1" s="354"/>
      <c r="T1" s="123"/>
      <c r="AB1" s="343" t="s">
        <v>68</v>
      </c>
      <c r="AC1" s="344"/>
      <c r="AD1" s="344"/>
      <c r="AE1" s="344"/>
      <c r="AF1" s="344"/>
      <c r="AG1" s="344"/>
      <c r="AH1" s="344"/>
      <c r="AI1" s="352"/>
      <c r="AP1" s="343" t="s">
        <v>49</v>
      </c>
      <c r="AQ1" s="344"/>
      <c r="AR1" s="344"/>
      <c r="AS1" s="344"/>
      <c r="AT1" s="344"/>
      <c r="AU1" s="344"/>
      <c r="AV1" s="344"/>
      <c r="AW1" s="352"/>
      <c r="AY1" s="355" t="s">
        <v>62</v>
      </c>
      <c r="AZ1" s="356"/>
      <c r="BB1" s="343" t="s">
        <v>154</v>
      </c>
      <c r="BC1" s="344"/>
      <c r="BD1" s="344"/>
      <c r="BE1" s="344"/>
      <c r="BF1" s="344"/>
      <c r="BG1" s="344"/>
      <c r="BH1" s="344"/>
      <c r="BI1" s="344"/>
      <c r="BJ1" s="344"/>
      <c r="BK1" s="344"/>
      <c r="BM1" s="343" t="s">
        <v>182</v>
      </c>
      <c r="BN1" s="344"/>
      <c r="BO1" s="344"/>
      <c r="BP1" s="344"/>
      <c r="BQ1" s="344"/>
      <c r="BR1" s="344"/>
      <c r="BS1" s="344"/>
      <c r="BT1" s="344"/>
      <c r="BU1" s="344"/>
      <c r="BV1" s="344"/>
      <c r="CA1" s="140" t="e">
        <v>#DIV/0!</v>
      </c>
      <c r="CB1">
        <v>85</v>
      </c>
    </row>
    <row r="2" spans="1:97" ht="15" customHeight="1" x14ac:dyDescent="0.25">
      <c r="B2" s="100"/>
      <c r="C2" s="130"/>
      <c r="D2" s="130"/>
      <c r="E2" s="130"/>
      <c r="F2" s="101"/>
      <c r="G2" s="359" t="s">
        <v>67</v>
      </c>
      <c r="H2" s="359"/>
      <c r="I2" s="359"/>
      <c r="J2" s="359"/>
      <c r="K2" s="351"/>
      <c r="L2" s="343" t="s">
        <v>50</v>
      </c>
      <c r="M2" s="344"/>
      <c r="N2" s="344"/>
      <c r="O2" s="344"/>
      <c r="P2" s="352"/>
      <c r="Q2" s="360" t="s">
        <v>51</v>
      </c>
      <c r="R2" s="361"/>
      <c r="S2" s="361"/>
      <c r="T2" s="361"/>
      <c r="U2" s="362"/>
      <c r="V2" s="343" t="s">
        <v>52</v>
      </c>
      <c r="W2" s="344"/>
      <c r="X2" s="344"/>
      <c r="Y2" s="344"/>
      <c r="Z2" s="352"/>
      <c r="AB2" s="343" t="s">
        <v>0</v>
      </c>
      <c r="AC2" s="352"/>
      <c r="AD2" s="360" t="s">
        <v>31</v>
      </c>
      <c r="AE2" s="362"/>
      <c r="AF2" s="343" t="s">
        <v>10</v>
      </c>
      <c r="AG2" s="352"/>
      <c r="AH2" s="360" t="s">
        <v>11</v>
      </c>
      <c r="AI2" s="362"/>
      <c r="AK2" s="343" t="s">
        <v>61</v>
      </c>
      <c r="AL2" s="344"/>
      <c r="AM2" s="344"/>
      <c r="AN2" s="352"/>
      <c r="AP2" s="343" t="s">
        <v>0</v>
      </c>
      <c r="AQ2" s="352"/>
      <c r="AR2" s="350" t="s">
        <v>31</v>
      </c>
      <c r="AS2" s="351"/>
      <c r="AT2" s="343" t="s">
        <v>10</v>
      </c>
      <c r="AU2" s="352"/>
      <c r="AV2" s="350" t="s">
        <v>11</v>
      </c>
      <c r="AW2" s="351"/>
      <c r="AY2" s="357"/>
      <c r="AZ2" s="358"/>
      <c r="BB2" s="345" t="s">
        <v>63</v>
      </c>
      <c r="BC2" s="346"/>
      <c r="BD2" s="346"/>
      <c r="BE2" s="346"/>
      <c r="BF2" s="347"/>
      <c r="BG2" s="348" t="s">
        <v>64</v>
      </c>
      <c r="BH2" s="349"/>
      <c r="BI2" s="349"/>
      <c r="BJ2" s="349"/>
      <c r="BK2" s="349"/>
      <c r="BM2" s="345" t="s">
        <v>63</v>
      </c>
      <c r="BN2" s="346"/>
      <c r="BO2" s="346"/>
      <c r="BP2" s="346"/>
      <c r="BQ2" s="347"/>
      <c r="BR2" s="348" t="s">
        <v>64</v>
      </c>
      <c r="BS2" s="349"/>
      <c r="BT2" s="349"/>
      <c r="BU2" s="349"/>
      <c r="BV2" s="349"/>
      <c r="CA2" s="140" t="e">
        <v>#DIV/0!</v>
      </c>
      <c r="CB2">
        <v>3</v>
      </c>
    </row>
    <row r="3" spans="1:97" ht="42" customHeight="1" x14ac:dyDescent="0.25">
      <c r="A3" s="122" t="s">
        <v>167</v>
      </c>
      <c r="B3" s="129" t="s">
        <v>30</v>
      </c>
      <c r="C3" s="16" t="s">
        <v>0</v>
      </c>
      <c r="D3" s="16" t="s">
        <v>31</v>
      </c>
      <c r="E3" s="16" t="s">
        <v>10</v>
      </c>
      <c r="F3" s="17" t="s">
        <v>11</v>
      </c>
      <c r="G3" s="124" t="s">
        <v>136</v>
      </c>
      <c r="H3" s="124" t="s">
        <v>124</v>
      </c>
      <c r="I3" s="125" t="s">
        <v>125</v>
      </c>
      <c r="J3" s="125" t="s">
        <v>137</v>
      </c>
      <c r="K3" s="125" t="s">
        <v>127</v>
      </c>
      <c r="L3" s="122" t="s">
        <v>123</v>
      </c>
      <c r="M3" s="122" t="s">
        <v>124</v>
      </c>
      <c r="N3" s="122" t="s">
        <v>125</v>
      </c>
      <c r="O3" s="122" t="s">
        <v>126</v>
      </c>
      <c r="P3" s="122" t="s">
        <v>127</v>
      </c>
      <c r="Q3" s="124" t="s">
        <v>123</v>
      </c>
      <c r="R3" s="124" t="s">
        <v>124</v>
      </c>
      <c r="S3" s="124" t="s">
        <v>125</v>
      </c>
      <c r="T3" s="124" t="s">
        <v>126</v>
      </c>
      <c r="U3" s="124" t="s">
        <v>127</v>
      </c>
      <c r="V3" s="122" t="s">
        <v>123</v>
      </c>
      <c r="W3" s="122" t="s">
        <v>124</v>
      </c>
      <c r="X3" s="122" t="s">
        <v>125</v>
      </c>
      <c r="Y3" s="122" t="s">
        <v>126</v>
      </c>
      <c r="Z3" s="122" t="s">
        <v>127</v>
      </c>
      <c r="AB3" s="122" t="s">
        <v>146</v>
      </c>
      <c r="AC3" s="122" t="s">
        <v>147</v>
      </c>
      <c r="AD3" s="124" t="s">
        <v>146</v>
      </c>
      <c r="AE3" s="124" t="s">
        <v>147</v>
      </c>
      <c r="AF3" s="122" t="s">
        <v>146</v>
      </c>
      <c r="AG3" s="122" t="s">
        <v>147</v>
      </c>
      <c r="AH3" s="124" t="s">
        <v>146</v>
      </c>
      <c r="AI3" s="124" t="s">
        <v>147</v>
      </c>
      <c r="AK3" s="126" t="s">
        <v>66</v>
      </c>
      <c r="AL3" s="126" t="s">
        <v>46</v>
      </c>
      <c r="AM3" s="126" t="s">
        <v>47</v>
      </c>
      <c r="AN3" s="126" t="s">
        <v>48</v>
      </c>
      <c r="AP3" s="122" t="s">
        <v>144</v>
      </c>
      <c r="AQ3" s="122" t="s">
        <v>145</v>
      </c>
      <c r="AR3" s="125" t="s">
        <v>144</v>
      </c>
      <c r="AS3" s="125" t="s">
        <v>145</v>
      </c>
      <c r="AT3" s="122" t="s">
        <v>144</v>
      </c>
      <c r="AU3" s="122" t="s">
        <v>145</v>
      </c>
      <c r="AV3" s="125" t="s">
        <v>144</v>
      </c>
      <c r="AW3" s="125" t="s">
        <v>145</v>
      </c>
      <c r="AY3" s="122" t="s">
        <v>148</v>
      </c>
      <c r="AZ3" s="122" t="s">
        <v>149</v>
      </c>
      <c r="BB3" s="17" t="s">
        <v>0</v>
      </c>
      <c r="BC3" s="17" t="s">
        <v>31</v>
      </c>
      <c r="BD3" s="17" t="s">
        <v>10</v>
      </c>
      <c r="BE3" s="17" t="s">
        <v>11</v>
      </c>
      <c r="BF3" s="17" t="s">
        <v>74</v>
      </c>
      <c r="BG3" s="133" t="s">
        <v>0</v>
      </c>
      <c r="BH3" s="133" t="s">
        <v>31</v>
      </c>
      <c r="BI3" s="133" t="s">
        <v>10</v>
      </c>
      <c r="BJ3" s="133" t="s">
        <v>11</v>
      </c>
      <c r="BK3" s="133" t="s">
        <v>74</v>
      </c>
      <c r="BM3" s="17" t="s">
        <v>0</v>
      </c>
      <c r="BN3" s="17" t="s">
        <v>31</v>
      </c>
      <c r="BO3" s="17" t="s">
        <v>10</v>
      </c>
      <c r="BP3" s="17" t="s">
        <v>11</v>
      </c>
      <c r="BQ3" s="17" t="s">
        <v>74</v>
      </c>
      <c r="BR3" s="133" t="s">
        <v>0</v>
      </c>
      <c r="BS3" s="133" t="s">
        <v>31</v>
      </c>
      <c r="BT3" s="133" t="s">
        <v>10</v>
      </c>
      <c r="BU3" s="133" t="s">
        <v>11</v>
      </c>
      <c r="BV3" s="133" t="s">
        <v>74</v>
      </c>
      <c r="CA3" s="140">
        <v>10.165117271416666</v>
      </c>
      <c r="CD3" s="133" t="s">
        <v>248</v>
      </c>
      <c r="CE3" s="133" t="s">
        <v>249</v>
      </c>
      <c r="CF3" s="133" t="s">
        <v>250</v>
      </c>
      <c r="CG3" s="133" t="s">
        <v>251</v>
      </c>
      <c r="CH3" s="133" t="s">
        <v>252</v>
      </c>
      <c r="CI3" s="133" t="s">
        <v>253</v>
      </c>
      <c r="CJ3" s="133" t="s">
        <v>254</v>
      </c>
      <c r="CK3" s="133" t="s">
        <v>256</v>
      </c>
      <c r="CL3" s="133" t="s">
        <v>255</v>
      </c>
      <c r="CM3" s="133" t="s">
        <v>257</v>
      </c>
    </row>
    <row r="4" spans="1:97" x14ac:dyDescent="0.25">
      <c r="A4">
        <v>1</v>
      </c>
      <c r="B4" s="127">
        <v>0.5</v>
      </c>
      <c r="C4" s="20">
        <v>1.0110045112736447E-4</v>
      </c>
      <c r="D4" s="20">
        <v>1.0230462885613235E-2</v>
      </c>
      <c r="E4" s="20">
        <v>3.6237480807441398E-44</v>
      </c>
      <c r="F4" s="20">
        <v>3.1753350949166831E-19</v>
      </c>
      <c r="G4" s="19">
        <v>34.447191849550144</v>
      </c>
      <c r="H4" s="19">
        <v>1.6429286955575166</v>
      </c>
      <c r="I4" s="19">
        <v>1.4756716934778597E-5</v>
      </c>
      <c r="J4" s="19">
        <v>-1.8784192665114089E-5</v>
      </c>
      <c r="K4">
        <v>2.5746972159823248E-2</v>
      </c>
      <c r="L4" s="19">
        <v>6.3870249774190739</v>
      </c>
      <c r="M4" s="19">
        <v>1.4729591738217029</v>
      </c>
      <c r="N4" s="19">
        <v>1.3050061067115761E-5</v>
      </c>
      <c r="O4" s="19">
        <v>-6.2492049081970375E-6</v>
      </c>
      <c r="P4" s="19">
        <v>1.4862122215865314E-2</v>
      </c>
      <c r="Q4" s="19">
        <v>3.194648066689088</v>
      </c>
      <c r="R4" s="19">
        <v>0.78363224833402467</v>
      </c>
      <c r="S4" s="19">
        <v>6.6728562155084825E-6</v>
      </c>
      <c r="T4" s="19">
        <v>-3.1093348733755166E-6</v>
      </c>
      <c r="U4" s="19">
        <v>8.8345874512476396E-3</v>
      </c>
      <c r="V4" s="19">
        <v>2.1297909927772003</v>
      </c>
      <c r="W4" s="19">
        <v>0.52443674538242713</v>
      </c>
      <c r="X4" s="19">
        <v>4.4202785727721676E-6</v>
      </c>
      <c r="Y4" s="19">
        <v>-2.0775447702860735E-6</v>
      </c>
      <c r="Z4">
        <v>6.6074223895825415E-3</v>
      </c>
      <c r="AB4">
        <v>747272457770.6875</v>
      </c>
      <c r="AC4">
        <v>43383475505.028091</v>
      </c>
      <c r="AD4">
        <v>1214280236469.6953</v>
      </c>
      <c r="AE4">
        <v>5036688618067.0615</v>
      </c>
      <c r="AF4">
        <v>17177382867146.826</v>
      </c>
      <c r="AG4">
        <v>102750630988365.53</v>
      </c>
      <c r="AH4">
        <v>87390132257734.922</v>
      </c>
      <c r="AI4">
        <v>586530225006860.5</v>
      </c>
      <c r="AK4">
        <v>4.6233749292216367E-2</v>
      </c>
      <c r="AL4">
        <v>1.871377035106992</v>
      </c>
      <c r="AM4">
        <v>1.4204214724356105E-41</v>
      </c>
      <c r="AN4">
        <v>1.2446544435483572E-17</v>
      </c>
      <c r="AP4" s="134">
        <v>6.1870003117930955E-14</v>
      </c>
      <c r="AQ4" s="134">
        <v>1.0656995262368486E-12</v>
      </c>
      <c r="AR4" s="134">
        <v>1.5411409812183795E-12</v>
      </c>
      <c r="AS4" s="134">
        <v>3.7154908254486728E-13</v>
      </c>
      <c r="AT4" s="134">
        <v>8.2691378740371718E-55</v>
      </c>
      <c r="AU4" s="134">
        <v>1.3823968366641418E-55</v>
      </c>
      <c r="AV4" s="134">
        <v>1.4242505548310262E-31</v>
      </c>
      <c r="AW4" s="134">
        <v>2.1220636047081779E-32</v>
      </c>
      <c r="AY4" s="134">
        <v>1.6030109843363104E-12</v>
      </c>
      <c r="AZ4" s="134">
        <v>1.4372486087817159E-12</v>
      </c>
      <c r="BB4">
        <v>6.1870003117930955E-14</v>
      </c>
      <c r="BC4">
        <v>1.5411409812183795E-12</v>
      </c>
      <c r="BD4">
        <v>8.2691378740371718E-55</v>
      </c>
      <c r="BE4">
        <v>1.4242505548310262E-31</v>
      </c>
      <c r="BF4">
        <v>1.6030109843363104E-12</v>
      </c>
      <c r="BG4">
        <v>1.0656995262368486E-12</v>
      </c>
      <c r="BH4">
        <v>3.7154908254486728E-13</v>
      </c>
      <c r="BI4">
        <v>1.3823968366641418E-55</v>
      </c>
      <c r="BJ4">
        <v>2.1220636047081779E-32</v>
      </c>
      <c r="BK4">
        <v>1.4372486087817159E-12</v>
      </c>
      <c r="BM4" s="175">
        <f>IF((1/BB103)&gt;BM8,"&gt;20",1/BB103)</f>
        <v>1964.0957661516511</v>
      </c>
      <c r="BN4" s="175">
        <f t="shared" ref="BN4:BV4" si="0">1/BC103</f>
        <v>805.07250922811693</v>
      </c>
      <c r="BO4" s="175">
        <f t="shared" si="0"/>
        <v>597.14376746193875</v>
      </c>
      <c r="BP4" s="175">
        <f t="shared" si="0"/>
        <v>43011.801711976157</v>
      </c>
      <c r="BQ4" s="175">
        <f t="shared" si="0"/>
        <v>289.92630912037708</v>
      </c>
      <c r="BR4" s="175">
        <f t="shared" si="0"/>
        <v>365.44499452153508</v>
      </c>
      <c r="BS4" s="175">
        <f t="shared" si="0"/>
        <v>2208.9176239894214</v>
      </c>
      <c r="BT4" s="175">
        <f t="shared" si="0"/>
        <v>1509.8808470060335</v>
      </c>
      <c r="BU4" s="175">
        <f t="shared" si="0"/>
        <v>99548.065906178672</v>
      </c>
      <c r="BV4" s="175">
        <f t="shared" si="0"/>
        <v>258.97009971370301</v>
      </c>
      <c r="CA4" s="140">
        <v>11.229759475135513</v>
      </c>
      <c r="CC4" s="133">
        <v>1</v>
      </c>
      <c r="CD4">
        <v>4838.3999999999996</v>
      </c>
      <c r="CE4">
        <v>829.44</v>
      </c>
      <c r="CF4">
        <v>138.24</v>
      </c>
      <c r="CJ4" s="127">
        <v>22.344743631988795</v>
      </c>
      <c r="CK4" s="127">
        <v>499.28756797930379</v>
      </c>
      <c r="CL4" s="127">
        <v>11.123903564670609</v>
      </c>
      <c r="CM4" s="127">
        <v>123.74123051609149</v>
      </c>
      <c r="CP4" s="127"/>
      <c r="CQ4" s="127"/>
      <c r="CR4" s="127"/>
      <c r="CS4" s="127"/>
    </row>
    <row r="5" spans="1:97" x14ac:dyDescent="0.25">
      <c r="A5">
        <v>2</v>
      </c>
      <c r="B5" s="127">
        <v>1</v>
      </c>
      <c r="C5" s="20">
        <v>0.31934053328052636</v>
      </c>
      <c r="D5" s="20">
        <v>0.86532236371898352</v>
      </c>
      <c r="E5" s="20">
        <v>2.6485240668866928E-25</v>
      </c>
      <c r="F5" s="20">
        <v>4.6516849591301319E-10</v>
      </c>
      <c r="G5" s="19">
        <v>65.821192319949603</v>
      </c>
      <c r="H5" s="19">
        <v>3.2786203880225178</v>
      </c>
      <c r="I5" s="19">
        <v>2.9440519429717865E-5</v>
      </c>
      <c r="J5" s="19">
        <v>-3.5377147257821141E-5</v>
      </c>
      <c r="K5">
        <v>4.5822489945566112E-2</v>
      </c>
      <c r="L5" s="19">
        <v>12.774049954838148</v>
      </c>
      <c r="M5" s="19">
        <v>2.9459183476434059</v>
      </c>
      <c r="N5" s="19">
        <v>2.6100122134231521E-5</v>
      </c>
      <c r="O5" s="19">
        <v>-1.2498409816394075E-5</v>
      </c>
      <c r="P5" s="19">
        <v>2.5746972159823248E-2</v>
      </c>
      <c r="Q5" s="19">
        <v>6.3892961333781759</v>
      </c>
      <c r="R5" s="19">
        <v>1.5672644966680493</v>
      </c>
      <c r="S5" s="19">
        <v>1.3345712431016965E-5</v>
      </c>
      <c r="T5" s="19">
        <v>-6.2186697467510332E-6</v>
      </c>
      <c r="U5" s="19">
        <v>1.4862122215865314E-2</v>
      </c>
      <c r="V5" s="19">
        <v>4.2595819855544006</v>
      </c>
      <c r="W5" s="19">
        <v>1.0488734907648543</v>
      </c>
      <c r="X5" s="19">
        <v>8.8405571455443351E-6</v>
      </c>
      <c r="Y5" s="19">
        <v>-4.155089540572147E-6</v>
      </c>
      <c r="Z5">
        <v>1.0923630408742528E-2</v>
      </c>
      <c r="AB5">
        <v>48826306824.755867</v>
      </c>
      <c r="AC5">
        <v>2815953971.0513682</v>
      </c>
      <c r="AD5">
        <v>78568858533.180557</v>
      </c>
      <c r="AE5">
        <v>252171220920.7514</v>
      </c>
      <c r="AF5">
        <v>1111446372859.4336</v>
      </c>
      <c r="AG5">
        <v>5144402211756.6504</v>
      </c>
      <c r="AH5">
        <v>5654496163518.2393</v>
      </c>
      <c r="AI5">
        <v>29365730971803.695</v>
      </c>
      <c r="AK5">
        <v>146.03604622826785</v>
      </c>
      <c r="AL5">
        <v>158.28652305707854</v>
      </c>
      <c r="AM5">
        <v>1.0381572810921816E-22</v>
      </c>
      <c r="AN5">
        <v>1.8233478298517319E-8</v>
      </c>
      <c r="AP5" s="134">
        <v>2.9909295976943478E-9</v>
      </c>
      <c r="AQ5" s="134">
        <v>5.1860239098206438E-8</v>
      </c>
      <c r="AR5" s="134">
        <v>2.0146216454224325E-9</v>
      </c>
      <c r="AS5" s="134">
        <v>6.2769463731478884E-10</v>
      </c>
      <c r="AT5" s="134">
        <v>9.3405971393950385E-35</v>
      </c>
      <c r="AU5" s="134">
        <v>2.0180328799323874E-35</v>
      </c>
      <c r="AV5" s="134">
        <v>3.2245982261260234E-21</v>
      </c>
      <c r="AW5" s="134">
        <v>6.2091007766926316E-22</v>
      </c>
      <c r="AY5" s="134">
        <v>5.005551243120005E-9</v>
      </c>
      <c r="AZ5" s="134">
        <v>5.2487933735521849E-8</v>
      </c>
      <c r="BB5">
        <v>2.9909914676974658E-9</v>
      </c>
      <c r="BC5">
        <v>2.0161627864036507E-9</v>
      </c>
      <c r="BD5">
        <v>9.3405971393950385E-35</v>
      </c>
      <c r="BE5">
        <v>3.2245982262684485E-21</v>
      </c>
      <c r="BF5">
        <v>5.0071542541043413E-9</v>
      </c>
      <c r="BG5">
        <v>5.1861304797732673E-8</v>
      </c>
      <c r="BH5">
        <v>6.2806618639733372E-10</v>
      </c>
      <c r="BI5">
        <v>2.0180328799323874E-35</v>
      </c>
      <c r="BJ5">
        <v>6.2091007769048385E-22</v>
      </c>
      <c r="BK5">
        <v>5.2489370984130629E-8</v>
      </c>
      <c r="CA5" s="22">
        <v>4032</v>
      </c>
      <c r="CC5" s="133">
        <v>2</v>
      </c>
      <c r="CD5">
        <v>4838.3999999999996</v>
      </c>
      <c r="CE5">
        <v>829.44</v>
      </c>
      <c r="CF5">
        <v>92.16</v>
      </c>
      <c r="CJ5" s="127">
        <v>22.344743631988795</v>
      </c>
      <c r="CK5" s="127">
        <v>499.28756797930379</v>
      </c>
      <c r="CL5" s="127">
        <v>5.3664783212133305</v>
      </c>
      <c r="CM5" s="211">
        <v>28.799089572052644</v>
      </c>
      <c r="CP5" s="127"/>
      <c r="CQ5" s="127"/>
      <c r="CR5" s="127"/>
      <c r="CS5" s="211"/>
    </row>
    <row r="6" spans="1:97" x14ac:dyDescent="0.25">
      <c r="A6">
        <v>3</v>
      </c>
      <c r="B6" s="127">
        <v>1.5</v>
      </c>
      <c r="C6" s="20">
        <v>5.7771608833961974</v>
      </c>
      <c r="D6" s="20">
        <v>4.7605152483056923</v>
      </c>
      <c r="E6" s="20">
        <v>1.0950807514640619E-16</v>
      </c>
      <c r="F6" s="20">
        <v>5.0397948011464576E-6</v>
      </c>
      <c r="G6" s="19">
        <v>94.49260016117023</v>
      </c>
      <c r="H6" s="19">
        <v>4.9071196288854182</v>
      </c>
      <c r="I6" s="19">
        <v>4.4051877225465732E-5</v>
      </c>
      <c r="J6" s="19">
        <v>-5.0069759250925061E-5</v>
      </c>
      <c r="K6">
        <v>6.4882869699649445E-2</v>
      </c>
      <c r="L6" s="19">
        <v>19.161074932257225</v>
      </c>
      <c r="M6" s="19">
        <v>4.4188775214651086</v>
      </c>
      <c r="N6" s="19">
        <v>3.9150183201347284E-5</v>
      </c>
      <c r="O6" s="19">
        <v>-1.8747614724591111E-5</v>
      </c>
      <c r="P6" s="19">
        <v>3.5963598615644174E-2</v>
      </c>
      <c r="Q6" s="19">
        <v>9.5839442000672666</v>
      </c>
      <c r="R6" s="19">
        <v>2.3508967450020735</v>
      </c>
      <c r="S6" s="19">
        <v>2.001856864652544E-5</v>
      </c>
      <c r="T6" s="19">
        <v>-9.3280046201265481E-6</v>
      </c>
      <c r="U6" s="19">
        <v>2.0425622065957973E-2</v>
      </c>
      <c r="V6" s="19">
        <v>6.3893729783316005</v>
      </c>
      <c r="W6" s="19">
        <v>1.5733102361472813</v>
      </c>
      <c r="X6" s="19">
        <v>1.3260835718316502E-5</v>
      </c>
      <c r="Y6" s="19">
        <v>-6.2326343108582184E-6</v>
      </c>
      <c r="Z6">
        <v>1.4862122215865314E-2</v>
      </c>
      <c r="AB6">
        <v>9938687044.2830086</v>
      </c>
      <c r="AC6">
        <v>627974363.23599172</v>
      </c>
      <c r="AD6">
        <v>15837621891.95105</v>
      </c>
      <c r="AE6">
        <v>43750324847.510704</v>
      </c>
      <c r="AF6">
        <v>224041277105.92068</v>
      </c>
      <c r="AG6">
        <v>892525590703.06238</v>
      </c>
      <c r="AH6">
        <v>1139812565680.4612</v>
      </c>
      <c r="AI6">
        <v>5094793389626.2275</v>
      </c>
      <c r="AK6">
        <v>2641.924985747607</v>
      </c>
      <c r="AL6">
        <v>870.80311131219412</v>
      </c>
      <c r="AM6">
        <v>4.2924512928919149E-14</v>
      </c>
      <c r="AN6">
        <v>1.975477487040919E-4</v>
      </c>
      <c r="AP6" s="134">
        <v>2.6582233387329677E-7</v>
      </c>
      <c r="AQ6" s="134">
        <v>4.2070586642002393E-6</v>
      </c>
      <c r="AR6" s="134">
        <v>5.4983198693154252E-8</v>
      </c>
      <c r="AS6" s="134">
        <v>1.9903923327365667E-8</v>
      </c>
      <c r="AT6" s="134">
        <v>1.9159198467086757E-25</v>
      </c>
      <c r="AU6" s="134">
        <v>4.8093313375033372E-26</v>
      </c>
      <c r="AV6" s="134">
        <v>1.7331599479793161E-16</v>
      </c>
      <c r="AW6" s="134">
        <v>3.8774437665387784E-17</v>
      </c>
      <c r="AY6" s="134">
        <v>3.2080553273976704E-7</v>
      </c>
      <c r="AZ6" s="134">
        <v>4.2269625875663799E-6</v>
      </c>
      <c r="BB6">
        <v>2.6881332534099421E-7</v>
      </c>
      <c r="BC6">
        <v>5.69993614795579E-8</v>
      </c>
      <c r="BD6">
        <v>1.9159198476427355E-25</v>
      </c>
      <c r="BE6">
        <v>1.7331921939615788E-16</v>
      </c>
      <c r="BF6">
        <v>3.2581268699387133E-7</v>
      </c>
      <c r="BG6">
        <v>4.2589199689979721E-6</v>
      </c>
      <c r="BH6">
        <v>2.0531989513763001E-8</v>
      </c>
      <c r="BI6">
        <v>4.80933133952137E-26</v>
      </c>
      <c r="BJ6">
        <v>3.8775058575465475E-17</v>
      </c>
      <c r="BK6">
        <v>4.2794519585505103E-6</v>
      </c>
      <c r="BM6" s="194" t="s">
        <v>262</v>
      </c>
      <c r="BN6" s="194" t="str">
        <f>$BM$6</f>
        <v xml:space="preserve">20		</v>
      </c>
      <c r="BO6" s="194" t="str">
        <f t="shared" ref="BO6:BV6" si="1">$BM$6</f>
        <v xml:space="preserve">20		</v>
      </c>
      <c r="BP6" s="194" t="str">
        <f t="shared" si="1"/>
        <v xml:space="preserve">20		</v>
      </c>
      <c r="BQ6" s="194" t="str">
        <f t="shared" si="1"/>
        <v xml:space="preserve">20		</v>
      </c>
      <c r="BR6" s="194" t="str">
        <f t="shared" si="1"/>
        <v xml:space="preserve">20		</v>
      </c>
      <c r="BS6" s="194" t="str">
        <f t="shared" si="1"/>
        <v xml:space="preserve">20		</v>
      </c>
      <c r="BT6" s="194" t="str">
        <f t="shared" si="1"/>
        <v xml:space="preserve">20		</v>
      </c>
      <c r="BU6" s="194" t="str">
        <f t="shared" si="1"/>
        <v xml:space="preserve">20		</v>
      </c>
      <c r="BV6" s="194" t="str">
        <f t="shared" si="1"/>
        <v xml:space="preserve">20		</v>
      </c>
      <c r="CA6" s="22">
        <v>691.2</v>
      </c>
      <c r="CC6" s="133">
        <v>3</v>
      </c>
      <c r="CD6">
        <v>4838.3999999999996</v>
      </c>
      <c r="CE6">
        <v>552.96</v>
      </c>
      <c r="CF6">
        <v>138.24</v>
      </c>
      <c r="CJ6" s="127">
        <v>5.7093375898171317</v>
      </c>
      <c r="CK6" s="127">
        <v>32.596535714498891</v>
      </c>
      <c r="CL6" s="127">
        <v>6.1687294869373446</v>
      </c>
      <c r="CM6" s="127">
        <v>38.053223483010271</v>
      </c>
      <c r="CP6" s="127"/>
      <c r="CQ6" s="127"/>
      <c r="CR6" s="127"/>
      <c r="CS6" s="127"/>
    </row>
    <row r="7" spans="1:97" x14ac:dyDescent="0.25">
      <c r="A7">
        <v>4</v>
      </c>
      <c r="B7" s="127">
        <v>2</v>
      </c>
      <c r="C7" s="20">
        <v>19.972095289182327</v>
      </c>
      <c r="D7" s="20">
        <v>10.710955146851209</v>
      </c>
      <c r="E7" s="20">
        <v>1.1759734859855953E-11</v>
      </c>
      <c r="F7" s="20">
        <v>9.3579365247105253E-4</v>
      </c>
      <c r="G7" s="19">
        <v>120.77647086675722</v>
      </c>
      <c r="H7" s="19">
        <v>6.5284706176330785</v>
      </c>
      <c r="I7" s="19">
        <v>5.8591256259598396E-5</v>
      </c>
      <c r="J7" s="19">
        <v>-6.310710555748798E-5</v>
      </c>
      <c r="K7">
        <v>8.3355080356555505E-2</v>
      </c>
      <c r="L7" s="19">
        <v>25.548099909676296</v>
      </c>
      <c r="M7" s="19">
        <v>5.8918366952868118</v>
      </c>
      <c r="N7" s="19">
        <v>5.2200244268463043E-5</v>
      </c>
      <c r="O7" s="19">
        <v>-2.499681963278815E-5</v>
      </c>
      <c r="P7" s="19">
        <v>4.5822489945566112E-2</v>
      </c>
      <c r="Q7" s="19">
        <v>12.778592266756352</v>
      </c>
      <c r="R7" s="19">
        <v>3.1345289933360987</v>
      </c>
      <c r="S7" s="19">
        <v>2.669142486203393E-5</v>
      </c>
      <c r="T7" s="19">
        <v>-1.2437339493502066E-5</v>
      </c>
      <c r="U7" s="19">
        <v>2.5746972159823248E-2</v>
      </c>
      <c r="V7" s="19">
        <v>8.5191639711088012</v>
      </c>
      <c r="W7" s="19">
        <v>2.0977469815297085</v>
      </c>
      <c r="X7" s="19">
        <v>1.768111429108867E-5</v>
      </c>
      <c r="Y7" s="19">
        <v>-8.3101790811442941E-6</v>
      </c>
      <c r="Z7">
        <v>1.8604433753376823E-2</v>
      </c>
      <c r="AB7">
        <v>3221431315.854526</v>
      </c>
      <c r="AC7">
        <v>231084064.9273051</v>
      </c>
      <c r="AD7">
        <v>5083723959.10357</v>
      </c>
      <c r="AE7">
        <v>12625423067.16324</v>
      </c>
      <c r="AF7">
        <v>71915090284.506042</v>
      </c>
      <c r="AG7">
        <v>257564103127.72998</v>
      </c>
      <c r="AH7">
        <v>365868846255.37946</v>
      </c>
      <c r="AI7">
        <v>1470250157182.0347</v>
      </c>
      <c r="AK7">
        <v>9133.3405157317065</v>
      </c>
      <c r="AL7">
        <v>1959.2696547549128</v>
      </c>
      <c r="AM7">
        <v>4.6095312182018007E-9</v>
      </c>
      <c r="AN7">
        <v>3.6680844477077278E-2</v>
      </c>
      <c r="AP7" s="134">
        <v>2.8351808932822056E-6</v>
      </c>
      <c r="AQ7" s="134">
        <v>3.9523887199253185E-5</v>
      </c>
      <c r="AR7" s="134">
        <v>3.8540048014337848E-7</v>
      </c>
      <c r="AS7" s="134">
        <v>1.5518447535042751E-7</v>
      </c>
      <c r="AT7" s="134">
        <v>6.4096856445091817E-20</v>
      </c>
      <c r="AU7" s="134">
        <v>1.7896636845841299E-20</v>
      </c>
      <c r="AV7" s="134">
        <v>1.0025681293310704E-13</v>
      </c>
      <c r="AW7" s="134">
        <v>2.4948709781049692E-14</v>
      </c>
      <c r="AY7" s="134">
        <v>3.220581473682461E-6</v>
      </c>
      <c r="AZ7" s="134">
        <v>3.9679071699552346E-5</v>
      </c>
      <c r="BB7">
        <v>3.1039942186231997E-6</v>
      </c>
      <c r="BC7">
        <v>4.4239984162293635E-7</v>
      </c>
      <c r="BD7">
        <v>6.4097048037076584E-20</v>
      </c>
      <c r="BE7">
        <v>1.0043013215250319E-13</v>
      </c>
      <c r="BF7">
        <v>3.5463941606763321E-6</v>
      </c>
      <c r="BG7">
        <v>4.3782807168251158E-5</v>
      </c>
      <c r="BH7">
        <v>1.757164648641905E-7</v>
      </c>
      <c r="BI7">
        <v>1.7896684939154695E-20</v>
      </c>
      <c r="BJ7">
        <v>2.4987484839625156E-14</v>
      </c>
      <c r="BK7">
        <v>4.3958523658102857E-5</v>
      </c>
      <c r="CA7" s="22">
        <v>115.2</v>
      </c>
      <c r="CC7" s="133">
        <v>4</v>
      </c>
      <c r="CD7">
        <v>4838.3999999999996</v>
      </c>
      <c r="CE7">
        <v>552.96</v>
      </c>
      <c r="CF7">
        <v>92.16</v>
      </c>
      <c r="CJ7" s="127">
        <v>5.7093375898171317</v>
      </c>
      <c r="CK7" s="127">
        <v>32.596535714498891</v>
      </c>
      <c r="CL7" s="127">
        <v>2.9798516211145651</v>
      </c>
      <c r="CM7" s="127">
        <v>8.8795156838591023</v>
      </c>
      <c r="CP7" s="127"/>
      <c r="CQ7" s="127"/>
      <c r="CR7" s="127"/>
      <c r="CS7" s="127"/>
    </row>
    <row r="8" spans="1:97" x14ac:dyDescent="0.25">
      <c r="A8">
        <v>5</v>
      </c>
      <c r="B8" s="127">
        <v>2.5</v>
      </c>
      <c r="C8" s="20">
        <v>32.826251977169122</v>
      </c>
      <c r="D8" s="20">
        <v>15.995120928826331</v>
      </c>
      <c r="E8" s="20">
        <v>2.2589422048739467E-8</v>
      </c>
      <c r="F8" s="20">
        <v>2.462851738949844E-2</v>
      </c>
      <c r="G8" s="19">
        <v>144.94216271079068</v>
      </c>
      <c r="H8" s="19">
        <v>8.1427172051426577</v>
      </c>
      <c r="I8" s="19">
        <v>7.3059118703851469E-5</v>
      </c>
      <c r="J8" s="19">
        <v>-7.4696817434589816E-5</v>
      </c>
      <c r="K8">
        <v>0.10140136018334092</v>
      </c>
      <c r="L8" s="19">
        <v>34.110615459748551</v>
      </c>
      <c r="M8" s="19">
        <v>7.3647958691085149</v>
      </c>
      <c r="N8" s="19">
        <v>6.5250305335578815E-5</v>
      </c>
      <c r="O8" s="19">
        <v>-3.0704481546940387E-5</v>
      </c>
      <c r="P8" s="19">
        <v>5.5442251475167452E-2</v>
      </c>
      <c r="Q8" s="19">
        <v>15.973240333445441</v>
      </c>
      <c r="R8" s="19">
        <v>3.918161241670123</v>
      </c>
      <c r="S8" s="19">
        <v>3.3364281077542407E-5</v>
      </c>
      <c r="T8" s="19">
        <v>-1.5546674366877583E-5</v>
      </c>
      <c r="U8" s="19">
        <v>3.0911748381250541E-2</v>
      </c>
      <c r="V8" s="19">
        <v>10.648954963885997</v>
      </c>
      <c r="W8" s="19">
        <v>2.6221837269121351</v>
      </c>
      <c r="X8" s="19">
        <v>2.2101392863860832E-5</v>
      </c>
      <c r="Y8" s="19">
        <v>-1.0387723851430365E-5</v>
      </c>
      <c r="Z8">
        <v>2.2220749478272829E-2</v>
      </c>
      <c r="AB8">
        <v>1347331551.5046949</v>
      </c>
      <c r="AC8">
        <v>111543180.24758944</v>
      </c>
      <c r="AD8">
        <v>2105655938.1268506</v>
      </c>
      <c r="AE8">
        <v>5192738440.9085636</v>
      </c>
      <c r="AF8">
        <v>29786911743.571701</v>
      </c>
      <c r="AG8">
        <v>98227723442.353241</v>
      </c>
      <c r="AH8">
        <v>151541254971.89798</v>
      </c>
      <c r="AI8">
        <v>560712164765.96387</v>
      </c>
      <c r="AK8">
        <v>15011.611592154153</v>
      </c>
      <c r="AL8">
        <v>2925.8599845035828</v>
      </c>
      <c r="AM8">
        <v>8.8545062771998679E-6</v>
      </c>
      <c r="AN8">
        <v>0.9653782259365461</v>
      </c>
      <c r="AP8" s="134">
        <v>1.1141735362308736E-5</v>
      </c>
      <c r="AQ8" s="134">
        <v>1.3458116900408681E-4</v>
      </c>
      <c r="AR8" s="134">
        <v>1.3895242482522427E-6</v>
      </c>
      <c r="AS8" s="134">
        <v>5.6345221655178349E-7</v>
      </c>
      <c r="AT8" s="134">
        <v>2.9726164140231003E-16</v>
      </c>
      <c r="AU8" s="134">
        <v>9.014263964283259E-17</v>
      </c>
      <c r="AV8" s="134">
        <v>6.3703987809495649E-12</v>
      </c>
      <c r="AW8" s="134">
        <v>1.7217001638255631E-12</v>
      </c>
      <c r="AY8" s="134">
        <v>1.2531265981257021E-5</v>
      </c>
      <c r="AZ8" s="134">
        <v>1.3514462294242892E-4</v>
      </c>
      <c r="BB8">
        <v>1.4245729580931935E-5</v>
      </c>
      <c r="BC8">
        <v>1.831924089875179E-6</v>
      </c>
      <c r="BD8">
        <v>2.9732573845034711E-16</v>
      </c>
      <c r="BE8">
        <v>6.4708289131020683E-12</v>
      </c>
      <c r="BF8">
        <v>1.6077660141933351E-5</v>
      </c>
      <c r="BG8">
        <v>1.7836397617233796E-4</v>
      </c>
      <c r="BH8">
        <v>7.3916868141597402E-7</v>
      </c>
      <c r="BI8">
        <v>9.0160536327771747E-17</v>
      </c>
      <c r="BJ8">
        <v>1.7466876486651883E-12</v>
      </c>
      <c r="BK8">
        <v>1.7910314660053175E-4</v>
      </c>
      <c r="BM8" s="194">
        <f>IF((1/BB103)&gt;BM6,BM6,1/BB103)</f>
        <v>1964.0957661516511</v>
      </c>
      <c r="BN8" s="194">
        <f t="shared" ref="BN8:BV8" si="2">IF((1/BC103)&gt;BN6,BN6,1/BC103)</f>
        <v>805.07250922811693</v>
      </c>
      <c r="BO8" s="194">
        <f t="shared" si="2"/>
        <v>597.14376746193875</v>
      </c>
      <c r="BP8" s="194">
        <f t="shared" si="2"/>
        <v>43011.801711976157</v>
      </c>
      <c r="BQ8" s="194">
        <f t="shared" si="2"/>
        <v>289.92630912037708</v>
      </c>
      <c r="BR8" s="194">
        <f t="shared" si="2"/>
        <v>365.44499452153508</v>
      </c>
      <c r="BS8" s="194">
        <f t="shared" si="2"/>
        <v>2208.9176239894214</v>
      </c>
      <c r="BT8" s="194">
        <f t="shared" si="2"/>
        <v>1509.8808470060335</v>
      </c>
      <c r="BU8" s="194">
        <f t="shared" si="2"/>
        <v>99548.065906178672</v>
      </c>
      <c r="BV8" s="194">
        <f t="shared" si="2"/>
        <v>258.97009971370301</v>
      </c>
      <c r="CA8" s="22"/>
      <c r="CC8" s="133">
        <v>5</v>
      </c>
      <c r="CD8">
        <v>3225.6</v>
      </c>
      <c r="CE8">
        <v>829.44</v>
      </c>
      <c r="CF8">
        <v>138.24</v>
      </c>
      <c r="CJ8" s="127">
        <v>16.904688884215748</v>
      </c>
      <c r="CK8" s="127">
        <v>285.76850627212747</v>
      </c>
      <c r="CL8" s="127">
        <v>8.5853474014725499</v>
      </c>
      <c r="CM8" s="127">
        <v>73.708190003971467</v>
      </c>
      <c r="CP8" s="127"/>
      <c r="CQ8" s="127"/>
      <c r="CR8" s="127"/>
      <c r="CS8" s="127"/>
    </row>
    <row r="9" spans="1:97" x14ac:dyDescent="0.25">
      <c r="A9">
        <v>6</v>
      </c>
      <c r="B9" s="127">
        <v>3</v>
      </c>
      <c r="C9" s="20">
        <v>36.433346807019589</v>
      </c>
      <c r="D9" s="20">
        <v>19.145891541151848</v>
      </c>
      <c r="E9" s="20">
        <v>4.3192740320749625E-6</v>
      </c>
      <c r="F9" s="20">
        <v>0.21462148420327809</v>
      </c>
      <c r="G9" s="19">
        <v>167.221184543291</v>
      </c>
      <c r="H9" s="19">
        <v>9.7499028970351542</v>
      </c>
      <c r="I9" s="19">
        <v>8.7455923000898404E-5</v>
      </c>
      <c r="J9" s="19">
        <v>-8.5015718849317648E-5</v>
      </c>
      <c r="K9">
        <v>0.1191050206176552</v>
      </c>
      <c r="L9" s="19">
        <v>41.058593046477547</v>
      </c>
      <c r="M9" s="19">
        <v>8.8377550429302172</v>
      </c>
      <c r="N9" s="19">
        <v>7.8300366402694568E-5</v>
      </c>
      <c r="O9" s="19">
        <v>-3.6422668918723029E-5</v>
      </c>
      <c r="P9" s="19">
        <v>6.4882869699649445E-2</v>
      </c>
      <c r="Q9" s="19">
        <v>19.167888400134533</v>
      </c>
      <c r="R9" s="19">
        <v>4.7017934900041469</v>
      </c>
      <c r="S9" s="19">
        <v>4.003713729305088E-5</v>
      </c>
      <c r="T9" s="19">
        <v>-1.8656009240253096E-5</v>
      </c>
      <c r="U9" s="19">
        <v>3.5963598615644174E-2</v>
      </c>
      <c r="V9" s="19">
        <v>12.778745956663201</v>
      </c>
      <c r="W9" s="19">
        <v>3.1466204722945625</v>
      </c>
      <c r="X9" s="19">
        <v>2.6521671436633004E-5</v>
      </c>
      <c r="Y9" s="19">
        <v>-1.2465268621716437E-5</v>
      </c>
      <c r="Z9">
        <v>2.5746972159823248E-2</v>
      </c>
      <c r="AB9">
        <v>662096094.14819574</v>
      </c>
      <c r="AC9">
        <v>63778075.257564388</v>
      </c>
      <c r="AD9">
        <v>1024758401.3624521</v>
      </c>
      <c r="AE9">
        <v>2483030524.0454049</v>
      </c>
      <c r="AF9">
        <v>14496379730.024118</v>
      </c>
      <c r="AG9">
        <v>44685960355.631699</v>
      </c>
      <c r="AH9">
        <v>73750498062.664215</v>
      </c>
      <c r="AI9">
        <v>255080344810.76859</v>
      </c>
      <c r="AK9">
        <v>16661.154360528781</v>
      </c>
      <c r="AL9">
        <v>3502.2053398137232</v>
      </c>
      <c r="AM9">
        <v>1.6930507981760556E-3</v>
      </c>
      <c r="AN9">
        <v>8.4126423199301037</v>
      </c>
      <c r="AP9" s="134">
        <v>2.5164254113239862E-5</v>
      </c>
      <c r="AQ9" s="134">
        <v>2.6123639343526107E-4</v>
      </c>
      <c r="AR9" s="134">
        <v>3.4175912440995053E-6</v>
      </c>
      <c r="AS9" s="134">
        <v>1.4104560157028829E-6</v>
      </c>
      <c r="AT9" s="134">
        <v>1.1679128373475898E-13</v>
      </c>
      <c r="AU9" s="134">
        <v>3.7887756796585958E-14</v>
      </c>
      <c r="AV9" s="134">
        <v>1.1406895601955206E-10</v>
      </c>
      <c r="AW9" s="134">
        <v>3.2980362819295327E-11</v>
      </c>
      <c r="AY9" s="134">
        <v>2.858195954308667E-5</v>
      </c>
      <c r="AZ9" s="134">
        <v>2.6264688246921452E-4</v>
      </c>
      <c r="BB9">
        <v>3.9409983694171795E-5</v>
      </c>
      <c r="BC9">
        <v>5.2495153339746841E-6</v>
      </c>
      <c r="BD9">
        <v>1.1708860947320933E-13</v>
      </c>
      <c r="BE9">
        <v>1.2053978493265414E-10</v>
      </c>
      <c r="BF9">
        <v>4.4659619685020021E-5</v>
      </c>
      <c r="BG9">
        <v>4.3960036960759904E-4</v>
      </c>
      <c r="BH9">
        <v>2.1496246971188568E-6</v>
      </c>
      <c r="BI9">
        <v>3.7977917332913731E-14</v>
      </c>
      <c r="BJ9">
        <v>3.4727050467960515E-11</v>
      </c>
      <c r="BK9">
        <v>4.4175002906974626E-4</v>
      </c>
      <c r="CA9" s="22"/>
      <c r="CC9" s="133">
        <v>6</v>
      </c>
      <c r="CD9">
        <v>3225.6</v>
      </c>
      <c r="CE9">
        <v>829.44</v>
      </c>
      <c r="CF9">
        <v>92.16</v>
      </c>
      <c r="CJ9" s="127">
        <v>16.904688884215748</v>
      </c>
      <c r="CK9" s="127">
        <v>285.76850627212747</v>
      </c>
      <c r="CL9" s="127">
        <v>4.1478011886774633</v>
      </c>
      <c r="CM9" s="127">
        <v>17.204254700794177</v>
      </c>
      <c r="CP9" s="127"/>
      <c r="CQ9" s="127"/>
      <c r="CR9" s="127"/>
      <c r="CS9" s="127"/>
    </row>
    <row r="10" spans="1:97" x14ac:dyDescent="0.25">
      <c r="A10">
        <v>7</v>
      </c>
      <c r="B10" s="127">
        <v>3.5</v>
      </c>
      <c r="C10" s="20">
        <v>32.198756240991251</v>
      </c>
      <c r="D10" s="20">
        <v>20.093085940899698</v>
      </c>
      <c r="E10" s="20">
        <v>1.9178942093744388E-4</v>
      </c>
      <c r="F10" s="20">
        <v>0.93784915714764172</v>
      </c>
      <c r="G10" s="19">
        <v>187.81349909065023</v>
      </c>
      <c r="H10" s="19">
        <v>11.350070856993135</v>
      </c>
      <c r="I10" s="19">
        <v>1.0178212390074343E-4</v>
      </c>
      <c r="J10" s="19">
        <v>-9.421513005309578E-5</v>
      </c>
      <c r="K10">
        <v>0.1365167296434146</v>
      </c>
      <c r="L10" s="19">
        <v>50.753467491315511</v>
      </c>
      <c r="M10" s="19">
        <v>10.31071421675192</v>
      </c>
      <c r="N10" s="19">
        <v>9.1350427469810334E-5</v>
      </c>
      <c r="O10" s="19">
        <v>-4.3058460434494405E-5</v>
      </c>
      <c r="P10" s="19">
        <v>7.4179560009902751E-2</v>
      </c>
      <c r="Q10" s="19">
        <v>22.362536466823613</v>
      </c>
      <c r="R10" s="19">
        <v>5.4854257383381713</v>
      </c>
      <c r="S10" s="19">
        <v>4.670999350855936E-5</v>
      </c>
      <c r="T10" s="19">
        <v>-2.1765344113628609E-5</v>
      </c>
      <c r="U10" s="19">
        <v>4.0928288003150841E-2</v>
      </c>
      <c r="V10" s="19">
        <v>14.908536949440398</v>
      </c>
      <c r="W10" s="19">
        <v>3.6710572176769887</v>
      </c>
      <c r="X10" s="19">
        <v>3.0941950009405162E-5</v>
      </c>
      <c r="Y10" s="19">
        <v>-1.4542813392002513E-5</v>
      </c>
      <c r="Z10">
        <v>2.9204362356658378E-2</v>
      </c>
      <c r="AB10">
        <v>363652028.19287688</v>
      </c>
      <c r="AC10">
        <v>40917290.889405079</v>
      </c>
      <c r="AD10">
        <v>557418872.45437598</v>
      </c>
      <c r="AE10">
        <v>1204967626.4800744</v>
      </c>
      <c r="AF10">
        <v>7885327539.6787529</v>
      </c>
      <c r="AG10">
        <v>22959422746.369526</v>
      </c>
      <c r="AH10">
        <v>40116694255.330734</v>
      </c>
      <c r="AI10">
        <v>131059004308.99094</v>
      </c>
      <c r="AK10">
        <v>14724.654608037097</v>
      </c>
      <c r="AL10">
        <v>3675.4680618712728</v>
      </c>
      <c r="AM10">
        <v>7.5176807442308494E-2</v>
      </c>
      <c r="AN10">
        <v>36.761415281511326</v>
      </c>
      <c r="AP10" s="134">
        <v>4.0491055917409343E-5</v>
      </c>
      <c r="AQ10" s="134">
        <v>3.5986386898967024E-4</v>
      </c>
      <c r="AR10" s="134">
        <v>6.5937273449099177E-6</v>
      </c>
      <c r="AS10" s="134">
        <v>3.0502629125464319E-6</v>
      </c>
      <c r="AT10" s="134">
        <v>9.5337583713575431E-12</v>
      </c>
      <c r="AU10" s="134">
        <v>3.2743335175617983E-12</v>
      </c>
      <c r="AV10" s="134">
        <v>9.163620274276823E-10</v>
      </c>
      <c r="AW10" s="134">
        <v>2.8049515159477989E-10</v>
      </c>
      <c r="AY10" s="134">
        <v>4.7085709158105063E-5</v>
      </c>
      <c r="AZ10" s="134">
        <v>3.6291441567170175E-4</v>
      </c>
      <c r="BB10">
        <v>7.9901039611581138E-5</v>
      </c>
      <c r="BC10">
        <v>1.1843242678884602E-5</v>
      </c>
      <c r="BD10">
        <v>9.650846980830753E-12</v>
      </c>
      <c r="BE10">
        <v>1.0369018123603365E-9</v>
      </c>
      <c r="BF10">
        <v>9.1745328843125077E-5</v>
      </c>
      <c r="BG10">
        <v>7.9946423859726928E-4</v>
      </c>
      <c r="BH10">
        <v>5.1998876096652887E-6</v>
      </c>
      <c r="BI10">
        <v>3.3123114348947119E-12</v>
      </c>
      <c r="BJ10">
        <v>3.152222020627404E-10</v>
      </c>
      <c r="BK10">
        <v>8.0466444474144806E-4</v>
      </c>
      <c r="CA10" s="22"/>
      <c r="CC10" s="133">
        <v>7</v>
      </c>
      <c r="CD10">
        <v>3225.6</v>
      </c>
      <c r="CE10">
        <v>552.96</v>
      </c>
      <c r="CF10">
        <v>138.24</v>
      </c>
      <c r="CJ10" s="127">
        <v>3.8766905635162781</v>
      </c>
      <c r="CK10" s="127">
        <v>15.028729725256158</v>
      </c>
      <c r="CL10" s="127">
        <v>4.6513166160825419</v>
      </c>
      <c r="CM10" s="127">
        <v>21.63474626304555</v>
      </c>
      <c r="CP10" s="127"/>
      <c r="CQ10" s="127"/>
      <c r="CR10" s="127"/>
      <c r="CS10" s="127"/>
    </row>
    <row r="11" spans="1:97" x14ac:dyDescent="0.25">
      <c r="A11">
        <v>8</v>
      </c>
      <c r="B11" s="127">
        <v>4</v>
      </c>
      <c r="C11" s="20">
        <v>24.732148373171594</v>
      </c>
      <c r="D11" s="20">
        <v>19.401982224594843</v>
      </c>
      <c r="E11" s="20">
        <v>3.1722395453638373E-3</v>
      </c>
      <c r="F11" s="20">
        <v>2.5852286884627191</v>
      </c>
      <c r="G11" s="19">
        <v>206.89262217187238</v>
      </c>
      <c r="H11" s="19">
        <v>12.943263910039192</v>
      </c>
      <c r="I11" s="19">
        <v>1.1603817249666374E-4</v>
      </c>
      <c r="J11" s="19">
        <v>-1.0242513513830785E-4</v>
      </c>
      <c r="K11">
        <v>0.15367095683958015</v>
      </c>
      <c r="L11" s="19">
        <v>60.007880036013781</v>
      </c>
      <c r="M11" s="19">
        <v>11.783673390573624</v>
      </c>
      <c r="N11" s="19">
        <v>1.0440048853692609E-4</v>
      </c>
      <c r="O11" s="19">
        <v>-4.953610733337512E-5</v>
      </c>
      <c r="P11" s="19">
        <v>8.3355080356555505E-2</v>
      </c>
      <c r="Q11" s="19">
        <v>25.557184533512704</v>
      </c>
      <c r="R11" s="19">
        <v>6.2690579866721974</v>
      </c>
      <c r="S11" s="19">
        <v>5.338284972406786E-5</v>
      </c>
      <c r="T11" s="19">
        <v>-2.4874678987004133E-5</v>
      </c>
      <c r="U11" s="19">
        <v>4.5822489945566112E-2</v>
      </c>
      <c r="V11" s="19">
        <v>17.038327942217602</v>
      </c>
      <c r="W11" s="19">
        <v>4.195493963059417</v>
      </c>
      <c r="X11" s="19">
        <v>3.536222858217734E-5</v>
      </c>
      <c r="Y11" s="19">
        <v>-1.6620358162288588E-5</v>
      </c>
      <c r="Z11">
        <v>3.2606721860108906E-2</v>
      </c>
      <c r="AB11">
        <v>216678089.40006959</v>
      </c>
      <c r="AC11">
        <v>28520150.367560402</v>
      </c>
      <c r="AD11">
        <v>328937568.58449644</v>
      </c>
      <c r="AE11">
        <v>657726871.06978214</v>
      </c>
      <c r="AF11">
        <v>4653198154.1521835</v>
      </c>
      <c r="AG11">
        <v>12895427785.250713</v>
      </c>
      <c r="AH11">
        <v>23673198953.40675</v>
      </c>
      <c r="AI11">
        <v>73610819589.995926</v>
      </c>
      <c r="AK11">
        <v>11310.136943925232</v>
      </c>
      <c r="AL11">
        <v>3549.0499673988561</v>
      </c>
      <c r="AM11">
        <v>1.2434410631047177</v>
      </c>
      <c r="AN11">
        <v>101.33470259044404</v>
      </c>
      <c r="AP11" s="134">
        <v>5.2197880160565967E-5</v>
      </c>
      <c r="AQ11" s="134">
        <v>3.9656652570772176E-4</v>
      </c>
      <c r="AR11" s="134">
        <v>1.0789433334329482E-5</v>
      </c>
      <c r="AS11" s="134">
        <v>5.395932754923611E-6</v>
      </c>
      <c r="AT11" s="134">
        <v>2.6722289099061024E-10</v>
      </c>
      <c r="AU11" s="134">
        <v>9.6424956489378125E-11</v>
      </c>
      <c r="AV11" s="134">
        <v>4.2805665085605686E-9</v>
      </c>
      <c r="AW11" s="134">
        <v>1.3766278266546557E-9</v>
      </c>
      <c r="AY11" s="134">
        <v>6.2991861284295003E-5</v>
      </c>
      <c r="AZ11" s="134">
        <v>4.0196393151542851E-4</v>
      </c>
      <c r="BB11">
        <v>1.320989197721471E-4</v>
      </c>
      <c r="BC11">
        <v>2.2632676013214085E-5</v>
      </c>
      <c r="BD11">
        <v>2.7687373797144099E-10</v>
      </c>
      <c r="BE11">
        <v>5.3174683209209049E-9</v>
      </c>
      <c r="BF11">
        <v>1.5473719012742005E-4</v>
      </c>
      <c r="BG11">
        <v>1.1960307643049911E-3</v>
      </c>
      <c r="BH11">
        <v>1.0595820364588899E-5</v>
      </c>
      <c r="BI11">
        <v>9.9737267924272839E-11</v>
      </c>
      <c r="BJ11">
        <v>1.6918500287173961E-9</v>
      </c>
      <c r="BK11">
        <v>1.2066283762568767E-3</v>
      </c>
      <c r="CC11" s="133">
        <v>8</v>
      </c>
      <c r="CD11">
        <v>3225.6</v>
      </c>
      <c r="CE11">
        <v>552.96</v>
      </c>
      <c r="CF11">
        <v>92.16</v>
      </c>
      <c r="CJ11" s="127">
        <v>3.8766905635162781</v>
      </c>
      <c r="CK11" s="127">
        <v>15.028729725256158</v>
      </c>
      <c r="CL11" s="127">
        <v>2.2423156185396067</v>
      </c>
      <c r="CM11" s="127">
        <v>5.0279793331466589</v>
      </c>
      <c r="CP11" s="127"/>
      <c r="CQ11" s="127"/>
      <c r="CR11" s="127"/>
      <c r="CS11" s="127"/>
    </row>
    <row r="12" spans="1:97" x14ac:dyDescent="0.25">
      <c r="A12">
        <v>9</v>
      </c>
      <c r="B12" s="127">
        <v>4.5</v>
      </c>
      <c r="C12" s="20">
        <v>17.367074133946065</v>
      </c>
      <c r="D12" s="20">
        <v>17.730767805417603</v>
      </c>
      <c r="E12" s="20">
        <v>2.6150125731252305E-2</v>
      </c>
      <c r="F12" s="20">
        <v>5.1612874234912116</v>
      </c>
      <c r="G12" s="19">
        <v>224.6097756405683</v>
      </c>
      <c r="H12" s="19">
        <v>14.529524545777946</v>
      </c>
      <c r="I12" s="19">
        <v>1.3022451626076438E-4</v>
      </c>
      <c r="J12" s="19">
        <v>-1.0975803900221192E-4</v>
      </c>
      <c r="K12">
        <v>0.17059307996365608</v>
      </c>
      <c r="L12" s="19">
        <v>67.659036655452098</v>
      </c>
      <c r="M12" s="19">
        <v>13.256632564395327</v>
      </c>
      <c r="N12" s="19">
        <v>1.1745054960404185E-4</v>
      </c>
      <c r="O12" s="19">
        <v>-5.5242104658268594E-5</v>
      </c>
      <c r="P12" s="19">
        <v>9.2425183640581915E-2</v>
      </c>
      <c r="Q12" s="19">
        <v>28.751832600201787</v>
      </c>
      <c r="R12" s="19">
        <v>7.0526902350062217</v>
      </c>
      <c r="S12" s="19">
        <v>6.0055705939576334E-5</v>
      </c>
      <c r="T12" s="19">
        <v>-2.7984013860379649E-5</v>
      </c>
      <c r="U12" s="19">
        <v>5.0657705453049151E-2</v>
      </c>
      <c r="V12" s="19">
        <v>19.168118934994805</v>
      </c>
      <c r="W12" s="19">
        <v>4.7199307084418427</v>
      </c>
      <c r="X12" s="19">
        <v>3.9782507154949492E-5</v>
      </c>
      <c r="Y12" s="19">
        <v>-1.869790293257466E-5</v>
      </c>
      <c r="Z12">
        <v>3.5963598615644174E-2</v>
      </c>
      <c r="AB12">
        <v>137389043.91938382</v>
      </c>
      <c r="AC12">
        <v>21155490.698716879</v>
      </c>
      <c r="AD12">
        <v>206567034.24709582</v>
      </c>
      <c r="AE12">
        <v>410677352.42056465</v>
      </c>
      <c r="AF12">
        <v>2922126975.6554689</v>
      </c>
      <c r="AG12">
        <v>7752769227.7631702</v>
      </c>
      <c r="AH12">
        <v>14866354487.844217</v>
      </c>
      <c r="AI12">
        <v>44255041899.461235</v>
      </c>
      <c r="AK12">
        <v>7942.0511233591133</v>
      </c>
      <c r="AL12">
        <v>3243.3480338933823</v>
      </c>
      <c r="AM12">
        <v>10.250215872603968</v>
      </c>
      <c r="AN12">
        <v>202.30996521792753</v>
      </c>
      <c r="AP12" s="134">
        <v>5.7807019372078124E-5</v>
      </c>
      <c r="AQ12" s="134">
        <v>3.7541323131969772E-4</v>
      </c>
      <c r="AR12" s="134">
        <v>1.5701188941957136E-5</v>
      </c>
      <c r="AS12" s="134">
        <v>7.8975575711122945E-6</v>
      </c>
      <c r="AT12" s="134">
        <v>3.507792768075973E-9</v>
      </c>
      <c r="AU12" s="134">
        <v>1.3221360744103254E-9</v>
      </c>
      <c r="AV12" s="134">
        <v>1.3608579385305958E-8</v>
      </c>
      <c r="AW12" s="134">
        <v>4.571455737801267E-9</v>
      </c>
      <c r="AY12" s="134">
        <v>7.3525324686188632E-5</v>
      </c>
      <c r="AZ12" s="134">
        <v>3.8331668248262226E-4</v>
      </c>
      <c r="BB12">
        <v>1.8990593914422523E-4</v>
      </c>
      <c r="BC12">
        <v>3.8333864955171222E-5</v>
      </c>
      <c r="BD12">
        <v>3.7846665060474141E-9</v>
      </c>
      <c r="BE12">
        <v>1.8926047706226864E-8</v>
      </c>
      <c r="BF12">
        <v>2.2826251481360873E-4</v>
      </c>
      <c r="BG12">
        <v>1.5714439956246889E-3</v>
      </c>
      <c r="BH12">
        <v>1.8493377935701195E-5</v>
      </c>
      <c r="BI12">
        <v>1.4218733423345983E-9</v>
      </c>
      <c r="BJ12">
        <v>6.2633057665186631E-9</v>
      </c>
      <c r="BK12">
        <v>1.5899450587394991E-3</v>
      </c>
      <c r="CC12" s="133">
        <v>9</v>
      </c>
      <c r="CJ12" s="127"/>
      <c r="CK12" s="127"/>
      <c r="CL12" s="127"/>
      <c r="CM12" s="127"/>
    </row>
    <row r="13" spans="1:97" x14ac:dyDescent="0.25">
      <c r="A13">
        <v>10</v>
      </c>
      <c r="B13" s="127">
        <v>5</v>
      </c>
      <c r="C13" s="20">
        <v>11.500303185486164</v>
      </c>
      <c r="D13" s="20">
        <v>15.606798399314259</v>
      </c>
      <c r="E13" s="20">
        <v>0.13916471050075616</v>
      </c>
      <c r="F13" s="20">
        <v>8.1530141067954318</v>
      </c>
      <c r="G13" s="19">
        <v>241.09729104053247</v>
      </c>
      <c r="H13" s="19">
        <v>16.108894921601472</v>
      </c>
      <c r="I13" s="19">
        <v>1.443415990791132E-4</v>
      </c>
      <c r="J13" s="19">
        <v>-1.1631118531097986E-4</v>
      </c>
      <c r="K13">
        <v>0.18730288175691334</v>
      </c>
      <c r="L13" s="19">
        <v>74.402780611052677</v>
      </c>
      <c r="M13" s="19">
        <v>14.72959173821703</v>
      </c>
      <c r="N13" s="19">
        <v>1.3050061067115763E-4</v>
      </c>
      <c r="O13" s="19">
        <v>-6.056774688856558E-5</v>
      </c>
      <c r="P13" s="19">
        <v>0.10140136018334092</v>
      </c>
      <c r="Q13" s="19">
        <v>31.946480666890881</v>
      </c>
      <c r="R13" s="19">
        <v>7.8363224833402461</v>
      </c>
      <c r="S13" s="19">
        <v>6.6728562155084814E-5</v>
      </c>
      <c r="T13" s="19">
        <v>-3.1093348733755166E-5</v>
      </c>
      <c r="U13" s="19">
        <v>5.5442251475167452E-2</v>
      </c>
      <c r="V13" s="19">
        <v>21.297909927771993</v>
      </c>
      <c r="W13" s="19">
        <v>5.2443674538242702</v>
      </c>
      <c r="X13" s="19">
        <v>4.4202785727721664E-5</v>
      </c>
      <c r="Y13" s="19">
        <v>-2.0775447702860729E-5</v>
      </c>
      <c r="Z13">
        <v>3.928191428383189E-2</v>
      </c>
      <c r="AB13">
        <v>91493870.800819248</v>
      </c>
      <c r="AC13">
        <v>16467333.749603486</v>
      </c>
      <c r="AD13">
        <v>136244483.40131488</v>
      </c>
      <c r="AE13">
        <v>275946672.25116944</v>
      </c>
      <c r="AF13">
        <v>1927334057.3549116</v>
      </c>
      <c r="AG13">
        <v>4917954399.6170721</v>
      </c>
      <c r="AH13">
        <v>9805334111.7067947</v>
      </c>
      <c r="AI13">
        <v>28073101574.505161</v>
      </c>
      <c r="AK13">
        <v>5259.1470001693278</v>
      </c>
      <c r="AL13">
        <v>2854.8272392535628</v>
      </c>
      <c r="AM13">
        <v>54.549195638336791</v>
      </c>
      <c r="AN13">
        <v>319.5784045778525</v>
      </c>
      <c r="AP13" s="134">
        <v>5.7480866796185838E-5</v>
      </c>
      <c r="AQ13" s="134">
        <v>3.1936845880080388E-4</v>
      </c>
      <c r="AR13" s="134">
        <v>2.095370886206473E-5</v>
      </c>
      <c r="AS13" s="134">
        <v>1.0345575889587355E-5</v>
      </c>
      <c r="AT13" s="134">
        <v>2.8302927263787648E-8</v>
      </c>
      <c r="AU13" s="134">
        <v>1.1091846569903976E-8</v>
      </c>
      <c r="AV13" s="134">
        <v>3.2592301387904884E-8</v>
      </c>
      <c r="AW13" s="134">
        <v>1.1383793975514288E-8</v>
      </c>
      <c r="AY13" s="134">
        <v>7.8495470886902265E-5</v>
      </c>
      <c r="AZ13" s="134">
        <v>3.2973651033093665E-4</v>
      </c>
      <c r="BB13">
        <v>2.4738680594041108E-4</v>
      </c>
      <c r="BC13">
        <v>5.9287573817235952E-5</v>
      </c>
      <c r="BD13">
        <v>3.2087593769835061E-8</v>
      </c>
      <c r="BE13">
        <v>5.1518349094131745E-8</v>
      </c>
      <c r="BF13">
        <v>3.0675798570051096E-4</v>
      </c>
      <c r="BG13">
        <v>1.8908124544254929E-3</v>
      </c>
      <c r="BH13">
        <v>2.8838953825288552E-5</v>
      </c>
      <c r="BI13">
        <v>1.2513719912238574E-8</v>
      </c>
      <c r="BJ13">
        <v>1.7647099742032951E-8</v>
      </c>
      <c r="BK13">
        <v>1.9196815690704356E-3</v>
      </c>
      <c r="CC13" s="133">
        <v>10</v>
      </c>
      <c r="CJ13" s="127"/>
      <c r="CK13" s="127"/>
      <c r="CL13" s="127"/>
      <c r="CM13" s="127"/>
    </row>
    <row r="14" spans="1:97" x14ac:dyDescent="0.25">
      <c r="A14">
        <v>11</v>
      </c>
      <c r="B14" s="127">
        <v>5.5</v>
      </c>
      <c r="C14" s="20">
        <v>7.3259697526529637</v>
      </c>
      <c r="D14" s="20">
        <v>13.383614336839198</v>
      </c>
      <c r="E14" s="20">
        <v>0.70104083165052467</v>
      </c>
      <c r="F14" s="20">
        <v>10.813536964682509</v>
      </c>
      <c r="G14" s="19">
        <v>256.47141574422983</v>
      </c>
      <c r="H14" s="19">
        <v>17.681416865858363</v>
      </c>
      <c r="I14" s="19">
        <v>1.5838986128648356E-4</v>
      </c>
      <c r="J14" s="19">
        <v>-1.2216926716677272E-4</v>
      </c>
      <c r="K14">
        <v>0.20381644271230509</v>
      </c>
      <c r="L14" s="19">
        <v>80.606534555425426</v>
      </c>
      <c r="M14" s="19">
        <v>16.202550912038731</v>
      </c>
      <c r="N14" s="19">
        <v>1.4355067173827337E-4</v>
      </c>
      <c r="O14" s="19">
        <v>-6.5618764324787158E-5</v>
      </c>
      <c r="P14" s="19">
        <v>0.11029234762721271</v>
      </c>
      <c r="Q14" s="19">
        <v>35.141128733579968</v>
      </c>
      <c r="R14" s="19">
        <v>8.6199547316742695</v>
      </c>
      <c r="S14" s="19">
        <v>7.340141837059328E-5</v>
      </c>
      <c r="T14" s="19">
        <v>-3.4202683607130683E-5</v>
      </c>
      <c r="U14" s="19">
        <v>6.0182366582774621E-2</v>
      </c>
      <c r="V14" s="19">
        <v>23.427700920549203</v>
      </c>
      <c r="W14" s="19">
        <v>5.7688041992066976</v>
      </c>
      <c r="X14" s="19">
        <v>4.8623064300493836E-5</v>
      </c>
      <c r="Y14" s="19">
        <v>-2.2852992473146808E-5</v>
      </c>
      <c r="Z14">
        <v>4.2566870539294352E-2</v>
      </c>
      <c r="AB14">
        <v>63396507.033644728</v>
      </c>
      <c r="AC14">
        <v>13317796.761110449</v>
      </c>
      <c r="AD14">
        <v>93501336.816853583</v>
      </c>
      <c r="AE14">
        <v>195230164.95580727</v>
      </c>
      <c r="AF14">
        <v>1322683358.3017237</v>
      </c>
      <c r="AG14">
        <v>3258127666.1782808</v>
      </c>
      <c r="AH14">
        <v>6729166748.5718679</v>
      </c>
      <c r="AI14">
        <v>18598332046.846561</v>
      </c>
      <c r="AK14">
        <v>3350.2031404372333</v>
      </c>
      <c r="AL14">
        <v>2448.1578983010281</v>
      </c>
      <c r="AM14">
        <v>274.79102524313453</v>
      </c>
      <c r="AN14">
        <v>423.86445623055261</v>
      </c>
      <c r="AP14" s="134">
        <v>5.2845232287944034E-5</v>
      </c>
      <c r="AQ14" s="134">
        <v>2.5155836213240802E-4</v>
      </c>
      <c r="AR14" s="134">
        <v>2.6183132580193748E-5</v>
      </c>
      <c r="AS14" s="134">
        <v>1.2539854683087517E-5</v>
      </c>
      <c r="AT14" s="134">
        <v>2.0775268965049653E-7</v>
      </c>
      <c r="AU14" s="134">
        <v>8.4340165087962601E-8</v>
      </c>
      <c r="AV14" s="134">
        <v>6.298914443166525E-8</v>
      </c>
      <c r="AW14" s="134">
        <v>2.2790455357120099E-8</v>
      </c>
      <c r="AY14" s="134">
        <v>7.9299106702219937E-5</v>
      </c>
      <c r="AZ14" s="134">
        <v>2.6420534743594064E-4</v>
      </c>
      <c r="BB14">
        <v>3.002320382283551E-4</v>
      </c>
      <c r="BC14">
        <v>8.5470706397429707E-5</v>
      </c>
      <c r="BD14">
        <v>2.3984028342033161E-7</v>
      </c>
      <c r="BE14">
        <v>1.1450749352579699E-7</v>
      </c>
      <c r="BF14">
        <v>3.860570924027309E-4</v>
      </c>
      <c r="BG14">
        <v>2.1423708165579009E-3</v>
      </c>
      <c r="BH14">
        <v>4.1378808508376069E-5</v>
      </c>
      <c r="BI14">
        <v>9.6853885000201178E-8</v>
      </c>
      <c r="BJ14">
        <v>4.043755509915305E-8</v>
      </c>
      <c r="BK14">
        <v>2.1838869165063763E-3</v>
      </c>
      <c r="CC14" s="133">
        <v>11</v>
      </c>
      <c r="CJ14" s="127"/>
      <c r="CK14" s="127"/>
      <c r="CL14" s="127"/>
      <c r="CM14" s="127"/>
    </row>
    <row r="15" spans="1:97" x14ac:dyDescent="0.25">
      <c r="A15">
        <v>12</v>
      </c>
      <c r="B15" s="127">
        <v>6</v>
      </c>
      <c r="C15" s="20">
        <v>4.5493809445334197</v>
      </c>
      <c r="D15" s="20">
        <v>11.268467517219708</v>
      </c>
      <c r="E15" s="20">
        <v>3.3165624014858528</v>
      </c>
      <c r="F15" s="20">
        <v>12.551316727867659</v>
      </c>
      <c r="G15" s="19">
        <v>270.83463942069346</v>
      </c>
      <c r="H15" s="19">
        <v>19.24713188098703</v>
      </c>
      <c r="I15" s="19">
        <v>1.7236973970069606E-4</v>
      </c>
      <c r="J15" s="19">
        <v>-1.2740623235430449E-4</v>
      </c>
      <c r="K15">
        <v>0.22014724526141316</v>
      </c>
      <c r="L15" s="19">
        <v>86.321210094971079</v>
      </c>
      <c r="M15" s="19">
        <v>17.675510085860434</v>
      </c>
      <c r="N15" s="19">
        <v>1.5660073280538914E-4</v>
      </c>
      <c r="O15" s="19">
        <v>-7.0378804659705426E-5</v>
      </c>
      <c r="P15" s="19">
        <v>0.1191050206176552</v>
      </c>
      <c r="Q15" s="19">
        <v>38.335776800269066</v>
      </c>
      <c r="R15" s="19">
        <v>9.4035869800082938</v>
      </c>
      <c r="S15" s="19">
        <v>8.007427458610176E-5</v>
      </c>
      <c r="T15" s="19">
        <v>-3.7312018480506192E-5</v>
      </c>
      <c r="U15" s="19">
        <v>6.4882869699649445E-2</v>
      </c>
      <c r="V15" s="19">
        <v>25.557491913326402</v>
      </c>
      <c r="W15" s="19">
        <v>6.2932409445891251</v>
      </c>
      <c r="X15" s="19">
        <v>5.3043342873266007E-5</v>
      </c>
      <c r="Y15" s="19">
        <v>-2.4930537243432874E-5</v>
      </c>
      <c r="Z15">
        <v>4.5822489945566112E-2</v>
      </c>
      <c r="AB15">
        <v>45390756.739911288</v>
      </c>
      <c r="AC15">
        <v>11109240.806882968</v>
      </c>
      <c r="AD15">
        <v>66306026.771394417</v>
      </c>
      <c r="AE15">
        <v>144264388.44275677</v>
      </c>
      <c r="AF15">
        <v>937974591.07369411</v>
      </c>
      <c r="AG15">
        <v>2237286049.5037866</v>
      </c>
      <c r="AH15">
        <v>4771956485.0067329</v>
      </c>
      <c r="AI15">
        <v>12771073787.067558</v>
      </c>
      <c r="AK15">
        <v>2080.454989853295</v>
      </c>
      <c r="AL15">
        <v>2061.2509490874354</v>
      </c>
      <c r="AM15">
        <v>1300.0121268848604</v>
      </c>
      <c r="AN15">
        <v>491.98121365937953</v>
      </c>
      <c r="AP15" s="134">
        <v>4.5834331464758061E-5</v>
      </c>
      <c r="AQ15" s="134">
        <v>1.8727247217148308E-4</v>
      </c>
      <c r="AR15" s="134">
        <v>3.1086932055121953E-5</v>
      </c>
      <c r="AS15" s="134">
        <v>1.4288009475778058E-5</v>
      </c>
      <c r="AT15" s="134">
        <v>1.3859779777155201E-6</v>
      </c>
      <c r="AU15" s="134">
        <v>5.8106656820802747E-7</v>
      </c>
      <c r="AV15" s="134">
        <v>1.0309842832916893E-7</v>
      </c>
      <c r="AW15" s="134">
        <v>3.8523089120162872E-8</v>
      </c>
      <c r="AY15" s="134">
        <v>7.8410339925924705E-5</v>
      </c>
      <c r="AZ15" s="134">
        <v>2.0218007130458934E-4</v>
      </c>
      <c r="BB15">
        <v>3.4606636969311316E-4</v>
      </c>
      <c r="BC15">
        <v>1.1655763845255167E-4</v>
      </c>
      <c r="BD15">
        <v>1.6258182611358516E-6</v>
      </c>
      <c r="BE15">
        <v>2.1760592185496591E-7</v>
      </c>
      <c r="BF15">
        <v>4.6446743232865566E-4</v>
      </c>
      <c r="BG15">
        <v>2.3296432887293839E-3</v>
      </c>
      <c r="BH15">
        <v>5.5666817984154131E-5</v>
      </c>
      <c r="BI15">
        <v>6.7792045320822862E-7</v>
      </c>
      <c r="BJ15">
        <v>7.8960644219315922E-8</v>
      </c>
      <c r="BK15">
        <v>2.3860669878109655E-3</v>
      </c>
      <c r="CC15" s="133">
        <v>12</v>
      </c>
      <c r="CJ15" s="127"/>
      <c r="CK15" s="127"/>
      <c r="CL15" s="127"/>
      <c r="CM15" s="127"/>
    </row>
    <row r="16" spans="1:97" x14ac:dyDescent="0.25">
      <c r="A16">
        <v>13</v>
      </c>
      <c r="B16" s="127">
        <v>6.5</v>
      </c>
      <c r="C16" s="20">
        <v>2.7791264220493628</v>
      </c>
      <c r="D16" s="20">
        <v>9.3653787083903257</v>
      </c>
      <c r="E16" s="20">
        <v>10.091504899312715</v>
      </c>
      <c r="F16" s="20">
        <v>13.135149264546408</v>
      </c>
      <c r="G16" s="19">
        <v>284.27763301347346</v>
      </c>
      <c r="H16" s="19">
        <v>20.806081146614606</v>
      </c>
      <c r="I16" s="19">
        <v>1.8628166765657852E-4</v>
      </c>
      <c r="J16" s="19">
        <v>-1.3208686255157897E-4</v>
      </c>
      <c r="K16">
        <v>0.23630685880029187</v>
      </c>
      <c r="L16" s="19">
        <v>92.022265164735174</v>
      </c>
      <c r="M16" s="19">
        <v>19.148469259682138</v>
      </c>
      <c r="N16" s="19">
        <v>1.6965079387250487E-4</v>
      </c>
      <c r="O16" s="19">
        <v>-7.4946362547331861E-5</v>
      </c>
      <c r="P16" s="19">
        <v>0.1278449436433704</v>
      </c>
      <c r="Q16" s="19">
        <v>41.530424866958136</v>
      </c>
      <c r="R16" s="19">
        <v>10.187219228342318</v>
      </c>
      <c r="S16" s="19">
        <v>8.6747130801610254E-5</v>
      </c>
      <c r="T16" s="19">
        <v>-4.0421353353881709E-5</v>
      </c>
      <c r="U16" s="19">
        <v>6.9547574246289545E-2</v>
      </c>
      <c r="V16" s="19">
        <v>27.687282906103601</v>
      </c>
      <c r="W16" s="19">
        <v>6.8176776899715508</v>
      </c>
      <c r="X16" s="19">
        <v>5.7463621446038159E-5</v>
      </c>
      <c r="Y16" s="19">
        <v>-2.7008082013718949E-5</v>
      </c>
      <c r="Z16">
        <v>4.9051956709489031E-2</v>
      </c>
      <c r="AB16">
        <v>33405387.356181383</v>
      </c>
      <c r="AC16">
        <v>9505927.7700963244</v>
      </c>
      <c r="AD16">
        <v>48332881.202582411</v>
      </c>
      <c r="AE16">
        <v>109947578.92230806</v>
      </c>
      <c r="AF16">
        <v>683723888.89638531</v>
      </c>
      <c r="AG16">
        <v>1583248975.1584501</v>
      </c>
      <c r="AH16">
        <v>3478453122.9554305</v>
      </c>
      <c r="AI16">
        <v>9037641605.7894096</v>
      </c>
      <c r="AK16">
        <v>1270.9086143100976</v>
      </c>
      <c r="AL16">
        <v>1713.1340816072063</v>
      </c>
      <c r="AM16">
        <v>3955.6254818986777</v>
      </c>
      <c r="AN16">
        <v>514.86603492528695</v>
      </c>
      <c r="AP16" s="134">
        <v>3.8045019528112931E-5</v>
      </c>
      <c r="AQ16" s="134">
        <v>1.336964308005908E-4</v>
      </c>
      <c r="AR16" s="134">
        <v>3.5444484975492709E-5</v>
      </c>
      <c r="AS16" s="134">
        <v>1.5581371580885407E-5</v>
      </c>
      <c r="AT16" s="134">
        <v>5.7854135947824565E-6</v>
      </c>
      <c r="AU16" s="134">
        <v>2.4984228911329641E-6</v>
      </c>
      <c r="AV16" s="134">
        <v>1.4801580378574616E-7</v>
      </c>
      <c r="AW16" s="134">
        <v>5.6969069739993855E-8</v>
      </c>
      <c r="AY16" s="134">
        <v>7.9422933902173842E-5</v>
      </c>
      <c r="AZ16" s="134">
        <v>1.5183319434234919E-4</v>
      </c>
      <c r="BB16">
        <v>3.8411138922122607E-4</v>
      </c>
      <c r="BC16">
        <v>1.5200212342804438E-4</v>
      </c>
      <c r="BD16">
        <v>7.4112318559183086E-6</v>
      </c>
      <c r="BE16">
        <v>3.656217256407121E-7</v>
      </c>
      <c r="BF16">
        <v>5.4389036623082941E-4</v>
      </c>
      <c r="BG16">
        <v>2.4633397195299748E-3</v>
      </c>
      <c r="BH16">
        <v>7.1248189565039535E-5</v>
      </c>
      <c r="BI16">
        <v>3.1763433443411926E-6</v>
      </c>
      <c r="BJ16">
        <v>1.3592971395930978E-7</v>
      </c>
      <c r="BK16">
        <v>2.5379001821533146E-3</v>
      </c>
      <c r="CC16" s="133">
        <v>13</v>
      </c>
      <c r="CJ16" s="127"/>
      <c r="CK16" s="127"/>
      <c r="CL16" s="127"/>
      <c r="CM16" s="127"/>
    </row>
    <row r="17" spans="1:91" x14ac:dyDescent="0.25">
      <c r="A17">
        <v>14</v>
      </c>
      <c r="B17" s="127">
        <v>7</v>
      </c>
      <c r="C17" s="20">
        <v>1.6806773415264196</v>
      </c>
      <c r="D17" s="20">
        <v>7.7129406692098588</v>
      </c>
      <c r="E17" s="20">
        <v>17.949351244108627</v>
      </c>
      <c r="F17" s="20">
        <v>12.673014304797942</v>
      </c>
      <c r="G17" s="19">
        <v>296.88087283459009</v>
      </c>
      <c r="H17" s="19">
        <v>22.358305522619844</v>
      </c>
      <c r="I17" s="19">
        <v>2.0012607503953008E-4</v>
      </c>
      <c r="J17" s="19">
        <v>-1.3626808879261626E-4</v>
      </c>
      <c r="K17">
        <v>0.2523053873938344</v>
      </c>
      <c r="L17" s="19">
        <v>100.72438399416485</v>
      </c>
      <c r="M17" s="19">
        <v>20.621428433503841</v>
      </c>
      <c r="N17" s="19">
        <v>1.8270085493962067E-4</v>
      </c>
      <c r="O17" s="19">
        <v>-8.0130891358173192E-5</v>
      </c>
      <c r="P17" s="19">
        <v>0.1365167296434146</v>
      </c>
      <c r="Q17" s="19">
        <v>44.725072933647226</v>
      </c>
      <c r="R17" s="19">
        <v>10.970851476676343</v>
      </c>
      <c r="S17" s="19">
        <v>9.341998701711872E-5</v>
      </c>
      <c r="T17" s="19">
        <v>-4.3530688227257219E-5</v>
      </c>
      <c r="U17" s="19">
        <v>7.4179560009902751E-2</v>
      </c>
      <c r="V17" s="19">
        <v>29.817073898880796</v>
      </c>
      <c r="W17" s="19">
        <v>7.3421144353539773</v>
      </c>
      <c r="X17" s="19">
        <v>6.1883900018810324E-5</v>
      </c>
      <c r="Y17" s="19">
        <v>-2.9085626784005025E-5</v>
      </c>
      <c r="Z17">
        <v>5.2257840916847473E-2</v>
      </c>
      <c r="AB17">
        <v>25167434.526248392</v>
      </c>
      <c r="AC17">
        <v>8308551.1138714058</v>
      </c>
      <c r="AD17">
        <v>36067262.908701621</v>
      </c>
      <c r="AE17">
        <v>82355422.847706348</v>
      </c>
      <c r="AF17">
        <v>510212688.42686498</v>
      </c>
      <c r="AG17">
        <v>1149506373.0601635</v>
      </c>
      <c r="AH17">
        <v>2595712901.4382997</v>
      </c>
      <c r="AI17">
        <v>6561713783.6763182</v>
      </c>
      <c r="AK17">
        <v>768.58227616958015</v>
      </c>
      <c r="AL17">
        <v>1410.8667616398759</v>
      </c>
      <c r="AM17">
        <v>7035.7109145912764</v>
      </c>
      <c r="AN17">
        <v>496.75146389652241</v>
      </c>
      <c r="AP17" s="134">
        <v>3.0538761325394002E-5</v>
      </c>
      <c r="AQ17" s="134">
        <v>9.2504970558152571E-5</v>
      </c>
      <c r="AR17" s="134">
        <v>3.911765539878239E-5</v>
      </c>
      <c r="AS17" s="134">
        <v>1.7131437285543237E-5</v>
      </c>
      <c r="AT17" s="134">
        <v>1.3789760768757893E-5</v>
      </c>
      <c r="AU17" s="134">
        <v>6.1206367180558795E-6</v>
      </c>
      <c r="AV17" s="134">
        <v>1.9137380856768463E-7</v>
      </c>
      <c r="AW17" s="134">
        <v>7.5704530900494177E-8</v>
      </c>
      <c r="AY17" s="134">
        <v>8.363755130150198E-5</v>
      </c>
      <c r="AZ17" s="134">
        <v>1.1583274909265219E-4</v>
      </c>
      <c r="BB17">
        <v>4.1465015054662006E-4</v>
      </c>
      <c r="BC17">
        <v>1.9111977882682677E-4</v>
      </c>
      <c r="BD17">
        <v>2.1200992624676201E-5</v>
      </c>
      <c r="BE17">
        <v>5.569955342083967E-7</v>
      </c>
      <c r="BF17">
        <v>6.2752791753233148E-4</v>
      </c>
      <c r="BG17">
        <v>2.5558446900881275E-3</v>
      </c>
      <c r="BH17">
        <v>8.8379626850582769E-5</v>
      </c>
      <c r="BI17">
        <v>9.2969800623970729E-6</v>
      </c>
      <c r="BJ17">
        <v>2.1163424485980397E-7</v>
      </c>
      <c r="BK17">
        <v>2.6537329312459669E-3</v>
      </c>
      <c r="CC17" s="133">
        <v>14</v>
      </c>
      <c r="CJ17" s="127"/>
      <c r="CK17" s="127"/>
      <c r="CL17" s="127"/>
      <c r="CM17" s="127"/>
    </row>
    <row r="18" spans="1:91" x14ac:dyDescent="0.25">
      <c r="A18">
        <v>15</v>
      </c>
      <c r="B18" s="127">
        <v>7.5</v>
      </c>
      <c r="C18" s="20">
        <v>1.0107306444274524</v>
      </c>
      <c r="D18" s="20">
        <v>6.3118702042644177</v>
      </c>
      <c r="E18" s="20">
        <v>20.114248592711633</v>
      </c>
      <c r="F18" s="20">
        <v>11.475317970407644</v>
      </c>
      <c r="G18" s="19">
        <v>308.71600733814137</v>
      </c>
      <c r="H18" s="19">
        <v>23.903845552162682</v>
      </c>
      <c r="I18" s="19">
        <v>2.1390338831871335E-4</v>
      </c>
      <c r="J18" s="19">
        <v>-1.4000009237558899E-4</v>
      </c>
      <c r="K18">
        <v>0.26815177581335986</v>
      </c>
      <c r="L18" s="19">
        <v>109.41925405387082</v>
      </c>
      <c r="M18" s="19">
        <v>22.094387607325544</v>
      </c>
      <c r="N18" s="19">
        <v>1.9575091600673641E-4</v>
      </c>
      <c r="O18" s="19">
        <v>-8.5347097414718823E-5</v>
      </c>
      <c r="P18" s="19">
        <v>0.14512428105994626</v>
      </c>
      <c r="Q18" s="19">
        <v>47.919721000336317</v>
      </c>
      <c r="R18" s="19">
        <v>11.754483725010367</v>
      </c>
      <c r="S18" s="19">
        <v>1.000928432326272E-4</v>
      </c>
      <c r="T18" s="19">
        <v>-4.6640023100632742E-5</v>
      </c>
      <c r="U18" s="19">
        <v>7.8781358066855947E-2</v>
      </c>
      <c r="V18" s="19">
        <v>31.946864891658006</v>
      </c>
      <c r="W18" s="19">
        <v>7.8665511807364057</v>
      </c>
      <c r="X18" s="19">
        <v>6.6304178591582502E-5</v>
      </c>
      <c r="Y18" s="19">
        <v>-3.1163171554291104E-5</v>
      </c>
      <c r="Z18">
        <v>5.5442251475167452E-2</v>
      </c>
      <c r="AB18">
        <v>19347671.374345388</v>
      </c>
      <c r="AC18">
        <v>7393221.8094176715</v>
      </c>
      <c r="AD18">
        <v>27463662.489928734</v>
      </c>
      <c r="AE18">
        <v>62715178.603655517</v>
      </c>
      <c r="AF18">
        <v>388504919.50288683</v>
      </c>
      <c r="AG18">
        <v>853238136.30624139</v>
      </c>
      <c r="AH18">
        <v>1976523231.7824721</v>
      </c>
      <c r="AI18">
        <v>4870529273.2343378</v>
      </c>
      <c r="AK18">
        <v>462.21225222377791</v>
      </c>
      <c r="AL18">
        <v>1154.580108535185</v>
      </c>
      <c r="AM18">
        <v>7884.2982366280676</v>
      </c>
      <c r="AN18">
        <v>449.80466867459711</v>
      </c>
      <c r="AP18" s="134">
        <v>2.3889813057123856E-5</v>
      </c>
      <c r="AQ18" s="134">
        <v>6.2518380232417804E-5</v>
      </c>
      <c r="AR18" s="134">
        <v>4.2040281734403917E-5</v>
      </c>
      <c r="AS18" s="134">
        <v>1.8409899074542178E-5</v>
      </c>
      <c r="AT18" s="134">
        <v>2.0293946976827104E-5</v>
      </c>
      <c r="AU18" s="134">
        <v>9.2404428507614918E-6</v>
      </c>
      <c r="AV18" s="134">
        <v>2.2757368162526144E-7</v>
      </c>
      <c r="AW18" s="134">
        <v>9.2352318083060919E-8</v>
      </c>
      <c r="AY18" s="134">
        <v>8.645161544998014E-5</v>
      </c>
      <c r="AZ18" s="134">
        <v>9.0261074475804533E-5</v>
      </c>
      <c r="BB18">
        <v>4.3853996360374394E-4</v>
      </c>
      <c r="BC18">
        <v>2.331600605612307E-4</v>
      </c>
      <c r="BD18">
        <v>4.1494939601503305E-5</v>
      </c>
      <c r="BE18">
        <v>7.8456921583365819E-7</v>
      </c>
      <c r="BF18">
        <v>7.139795329823115E-4</v>
      </c>
      <c r="BG18">
        <v>2.6183630703205452E-3</v>
      </c>
      <c r="BH18">
        <v>1.0678952592512494E-4</v>
      </c>
      <c r="BI18">
        <v>1.8537422913158563E-5</v>
      </c>
      <c r="BJ18">
        <v>3.0398656294286491E-7</v>
      </c>
      <c r="BK18">
        <v>2.7439940057217716E-3</v>
      </c>
      <c r="CC18" s="133">
        <v>15</v>
      </c>
      <c r="CJ18" s="127"/>
      <c r="CK18" s="127"/>
      <c r="CL18" s="127"/>
      <c r="CM18" s="127"/>
    </row>
    <row r="19" spans="1:91" x14ac:dyDescent="0.25">
      <c r="A19">
        <v>16</v>
      </c>
      <c r="B19" s="127">
        <v>8</v>
      </c>
      <c r="C19" s="20">
        <v>0.60641325785716615</v>
      </c>
      <c r="D19" s="20">
        <v>5.1431789233970866</v>
      </c>
      <c r="E19" s="20">
        <v>16.109804337707189</v>
      </c>
      <c r="F19" s="20">
        <v>9.915675219229442</v>
      </c>
      <c r="G19" s="19">
        <v>319.84701249502922</v>
      </c>
      <c r="H19" s="19">
        <v>25.44274146467972</v>
      </c>
      <c r="I19" s="19">
        <v>2.2761403057987271E-4</v>
      </c>
      <c r="J19" s="19">
        <v>-1.4332723030910922E-4</v>
      </c>
      <c r="K19">
        <v>0.2838540270680262</v>
      </c>
      <c r="L19" s="19">
        <v>118.00175874017357</v>
      </c>
      <c r="M19" s="19">
        <v>23.567346781147247</v>
      </c>
      <c r="N19" s="19">
        <v>2.0880097707385217E-4</v>
      </c>
      <c r="O19" s="19">
        <v>-9.0522281345872745E-5</v>
      </c>
      <c r="P19" s="19">
        <v>0.15367095683958015</v>
      </c>
      <c r="Q19" s="19">
        <v>51.114369067025407</v>
      </c>
      <c r="R19" s="19">
        <v>12.538115973344395</v>
      </c>
      <c r="S19" s="19">
        <v>1.0676569944813572E-4</v>
      </c>
      <c r="T19" s="19">
        <v>-4.9749357974008266E-5</v>
      </c>
      <c r="U19" s="19">
        <v>8.3355080356555505E-2</v>
      </c>
      <c r="V19" s="19">
        <v>34.076655884435205</v>
      </c>
      <c r="W19" s="19">
        <v>8.390987926118834</v>
      </c>
      <c r="X19" s="19">
        <v>7.0724457164354681E-5</v>
      </c>
      <c r="Y19" s="19">
        <v>-3.3240716324577176E-5</v>
      </c>
      <c r="Z19">
        <v>5.8606943607842937E-2</v>
      </c>
      <c r="AB19">
        <v>15137435.626474731</v>
      </c>
      <c r="AC19">
        <v>6679870.870597437</v>
      </c>
      <c r="AD19">
        <v>21283595.430574786</v>
      </c>
      <c r="AE19">
        <v>48632250.676501289</v>
      </c>
      <c r="AF19">
        <v>301080802.0423249</v>
      </c>
      <c r="AG19">
        <v>645633672.33728743</v>
      </c>
      <c r="AH19">
        <v>1531752031.9737759</v>
      </c>
      <c r="AI19">
        <v>3685463139.8893614</v>
      </c>
      <c r="AK19">
        <v>277.31585980683894</v>
      </c>
      <c r="AL19">
        <v>940.80072742619404</v>
      </c>
      <c r="AM19">
        <v>6314.6530851881535</v>
      </c>
      <c r="AN19">
        <v>388.67045062908812</v>
      </c>
      <c r="AP19" s="134">
        <v>1.8319870462195415E-5</v>
      </c>
      <c r="AQ19" s="134">
        <v>4.1515152789478435E-5</v>
      </c>
      <c r="AR19" s="134">
        <v>4.4203092024324708E-5</v>
      </c>
      <c r="AS19" s="134">
        <v>1.9345202295578342E-5</v>
      </c>
      <c r="AT19" s="134">
        <v>2.0973283724348727E-5</v>
      </c>
      <c r="AU19" s="134">
        <v>9.7805510396138337E-6</v>
      </c>
      <c r="AV19" s="134">
        <v>2.5374240902965049E-7</v>
      </c>
      <c r="AW19" s="134">
        <v>1.054604091470458E-7</v>
      </c>
      <c r="AY19" s="134">
        <v>8.3749988619898498E-5</v>
      </c>
      <c r="AZ19" s="134">
        <v>7.0746366533817651E-5</v>
      </c>
      <c r="BB19">
        <v>4.5685983406593936E-4</v>
      </c>
      <c r="BC19">
        <v>2.7736315258555539E-4</v>
      </c>
      <c r="BD19">
        <v>6.2468223325852032E-5</v>
      </c>
      <c r="BE19">
        <v>1.0383116248633088E-6</v>
      </c>
      <c r="BF19">
        <v>7.9772952160221005E-4</v>
      </c>
      <c r="BG19">
        <v>2.6598782231100236E-3</v>
      </c>
      <c r="BH19">
        <v>1.2613472822070327E-4</v>
      </c>
      <c r="BI19">
        <v>2.8317973952772395E-5</v>
      </c>
      <c r="BJ19">
        <v>4.0944697208991073E-7</v>
      </c>
      <c r="BK19">
        <v>2.8147403722555892E-3</v>
      </c>
      <c r="CC19" s="133">
        <v>16</v>
      </c>
      <c r="CJ19" s="127"/>
      <c r="CK19" s="127"/>
      <c r="CL19" s="127"/>
      <c r="CM19" s="127"/>
    </row>
    <row r="20" spans="1:91" x14ac:dyDescent="0.25">
      <c r="A20">
        <v>17</v>
      </c>
      <c r="B20" s="127">
        <v>8.5</v>
      </c>
      <c r="C20" s="20">
        <v>0.3638364884260587</v>
      </c>
      <c r="D20" s="20">
        <v>4.179335828286149</v>
      </c>
      <c r="E20" s="20">
        <v>10.888808907374575</v>
      </c>
      <c r="F20" s="20">
        <v>8.3397785672248848</v>
      </c>
      <c r="G20" s="19">
        <v>330.33117261848764</v>
      </c>
      <c r="H20" s="19">
        <v>26.975033178846001</v>
      </c>
      <c r="I20" s="19">
        <v>2.4125842155777618E-4</v>
      </c>
      <c r="J20" s="19">
        <v>-1.4628881654519534E-4</v>
      </c>
      <c r="K20">
        <v>0.29941936238669181</v>
      </c>
      <c r="L20" s="19">
        <v>126.40695992814044</v>
      </c>
      <c r="M20" s="19">
        <v>25.04030595496895</v>
      </c>
      <c r="N20" s="19">
        <v>2.2185103814096796E-4</v>
      </c>
      <c r="O20" s="19">
        <v>-9.5610533571419227E-5</v>
      </c>
      <c r="P20" s="19">
        <v>0.16215969118728052</v>
      </c>
      <c r="Q20" s="19">
        <v>64.119895478526132</v>
      </c>
      <c r="R20" s="19">
        <v>13.321748221678419</v>
      </c>
      <c r="S20" s="19">
        <v>1.134385556636442E-4</v>
      </c>
      <c r="T20" s="19">
        <v>-5.1730383073569042E-5</v>
      </c>
      <c r="U20" s="19">
        <v>8.7902512792660606E-2</v>
      </c>
      <c r="V20" s="19">
        <v>36.206446877212407</v>
      </c>
      <c r="W20" s="19">
        <v>8.9154246715012615</v>
      </c>
      <c r="X20" s="19">
        <v>7.5144735737126859E-5</v>
      </c>
      <c r="Y20" s="19">
        <v>-3.5318261094863255E-5</v>
      </c>
      <c r="Z20">
        <v>6.1753396356564003E-2</v>
      </c>
      <c r="AB20">
        <v>12027702.314067297</v>
      </c>
      <c r="AC20">
        <v>6114993.8044726998</v>
      </c>
      <c r="AD20">
        <v>16751190.866149846</v>
      </c>
      <c r="AE20">
        <v>38399297.855781153</v>
      </c>
      <c r="AF20">
        <v>236964755.20763373</v>
      </c>
      <c r="AG20">
        <v>545414510.53321445</v>
      </c>
      <c r="AH20">
        <v>1205560908.6773851</v>
      </c>
      <c r="AI20">
        <v>2836292762.0426817</v>
      </c>
      <c r="AK20">
        <v>166.3842722923099</v>
      </c>
      <c r="AL20">
        <v>764.49259222211083</v>
      </c>
      <c r="AM20">
        <v>4268.149340587408</v>
      </c>
      <c r="AN20">
        <v>326.89911904173903</v>
      </c>
      <c r="AP20" s="134">
        <v>1.3833421209445054E-5</v>
      </c>
      <c r="AQ20" s="134">
        <v>2.720922990479748E-5</v>
      </c>
      <c r="AR20" s="134">
        <v>4.5638104080526457E-5</v>
      </c>
      <c r="AS20" s="134">
        <v>1.9909025292425071E-5</v>
      </c>
      <c r="AT20" s="134">
        <v>1.8011747514298325E-5</v>
      </c>
      <c r="AU20" s="134">
        <v>7.8255148298396572E-6</v>
      </c>
      <c r="AV20" s="134">
        <v>2.7115935552387679E-7</v>
      </c>
      <c r="AW20" s="134">
        <v>1.1525577451543054E-7</v>
      </c>
      <c r="AY20" s="134">
        <v>7.775443215979371E-5</v>
      </c>
      <c r="AZ20" s="134">
        <v>5.505902580157764E-5</v>
      </c>
      <c r="BB20">
        <v>4.7069325527538444E-4</v>
      </c>
      <c r="BC20">
        <v>3.2300125666608184E-4</v>
      </c>
      <c r="BD20">
        <v>8.047997084015035E-5</v>
      </c>
      <c r="BE20">
        <v>1.3094709803871856E-6</v>
      </c>
      <c r="BF20">
        <v>8.7548395376200387E-4</v>
      </c>
      <c r="BG20">
        <v>2.6870874530148209E-3</v>
      </c>
      <c r="BH20">
        <v>1.4604375351312836E-4</v>
      </c>
      <c r="BI20">
        <v>3.6143488782612051E-5</v>
      </c>
      <c r="BJ20">
        <v>5.2470274660534124E-7</v>
      </c>
      <c r="BK20">
        <v>2.8697993980571668E-3</v>
      </c>
      <c r="CC20" s="133">
        <v>17</v>
      </c>
      <c r="CJ20" s="127"/>
      <c r="CK20" s="127"/>
      <c r="CL20" s="127"/>
      <c r="CM20" s="127"/>
    </row>
    <row r="21" spans="1:91" x14ac:dyDescent="0.25">
      <c r="A21">
        <v>18</v>
      </c>
      <c r="B21" s="127">
        <v>9</v>
      </c>
      <c r="C21" s="20">
        <v>0.21867287610841205</v>
      </c>
      <c r="D21" s="20">
        <v>3.3906906315406062</v>
      </c>
      <c r="E21" s="20">
        <v>7.4420856341065003</v>
      </c>
      <c r="F21" s="20">
        <v>7.0193662523897649</v>
      </c>
      <c r="G21" s="19">
        <v>340.21991637575536</v>
      </c>
      <c r="H21" s="19">
        <v>28.500760305503832</v>
      </c>
      <c r="I21" s="19">
        <v>2.5483697766829234E-4</v>
      </c>
      <c r="J21" s="19">
        <v>-1.4891978411651048E-4</v>
      </c>
      <c r="K21">
        <v>0.31485434242326743</v>
      </c>
      <c r="L21" s="19">
        <v>134.59597129798539</v>
      </c>
      <c r="M21" s="19">
        <v>26.513265128790653</v>
      </c>
      <c r="N21" s="19">
        <v>2.349010992080837E-4</v>
      </c>
      <c r="O21" s="19">
        <v>-1.0058343303213559E-4</v>
      </c>
      <c r="P21" s="19">
        <v>0.17059307996365608</v>
      </c>
      <c r="Q21" s="19">
        <v>67.706048944350655</v>
      </c>
      <c r="R21" s="19">
        <v>14.105380470012443</v>
      </c>
      <c r="S21" s="19">
        <v>1.2011141187915267E-4</v>
      </c>
      <c r="T21" s="19">
        <v>-5.4541723983068434E-5</v>
      </c>
      <c r="U21" s="19">
        <v>9.2425183640581915E-2</v>
      </c>
      <c r="V21" s="19">
        <v>38.33623786998961</v>
      </c>
      <c r="W21" s="19">
        <v>9.4398614168836854</v>
      </c>
      <c r="X21" s="19">
        <v>7.9565014309898984E-5</v>
      </c>
      <c r="Y21" s="19">
        <v>-3.7395805865149321E-5</v>
      </c>
      <c r="Z21">
        <v>6.4882869699649445E-2</v>
      </c>
      <c r="AB21">
        <v>9688394.4967301358</v>
      </c>
      <c r="AC21">
        <v>5661789.6324082948</v>
      </c>
      <c r="AD21">
        <v>13365725.311122429</v>
      </c>
      <c r="AE21">
        <v>30845641.340314113</v>
      </c>
      <c r="AF21">
        <v>189073472.55667457</v>
      </c>
      <c r="AG21">
        <v>433949715.05966866</v>
      </c>
      <c r="AH21">
        <v>961913459.16606009</v>
      </c>
      <c r="AI21">
        <v>2215711312.3203125</v>
      </c>
      <c r="AK21">
        <v>100.00021580781809</v>
      </c>
      <c r="AL21">
        <v>620.23201217421422</v>
      </c>
      <c r="AM21">
        <v>2917.1173047489319</v>
      </c>
      <c r="AN21">
        <v>275.14215463170007</v>
      </c>
      <c r="AP21" s="134">
        <v>1.0321649871046074E-5</v>
      </c>
      <c r="AQ21" s="134">
        <v>1.7662298018883136E-5</v>
      </c>
      <c r="AR21" s="134">
        <v>4.6404665496011778E-5</v>
      </c>
      <c r="AS21" s="134">
        <v>2.0107606301043055E-5</v>
      </c>
      <c r="AT21" s="134">
        <v>1.5428485367636801E-5</v>
      </c>
      <c r="AU21" s="134">
        <v>6.7222473100318184E-6</v>
      </c>
      <c r="AV21" s="134">
        <v>2.8603628737063014E-7</v>
      </c>
      <c r="AW21" s="134">
        <v>1.2417779929262029E-7</v>
      </c>
      <c r="AY21" s="134">
        <v>7.2440837022065283E-5</v>
      </c>
      <c r="AZ21" s="134">
        <v>4.4616329429250623E-5</v>
      </c>
      <c r="BB21">
        <v>4.810149051464305E-4</v>
      </c>
      <c r="BC21">
        <v>3.694059221620936E-4</v>
      </c>
      <c r="BD21">
        <v>9.5908456207787155E-5</v>
      </c>
      <c r="BE21">
        <v>1.5955072677578158E-6</v>
      </c>
      <c r="BF21">
        <v>9.4792479078406914E-4</v>
      </c>
      <c r="BG21">
        <v>2.7047497510337042E-3</v>
      </c>
      <c r="BH21">
        <v>1.6615135981417142E-4</v>
      </c>
      <c r="BI21">
        <v>4.2865736092643866E-5</v>
      </c>
      <c r="BJ21">
        <v>6.4888054589796153E-7</v>
      </c>
      <c r="BK21">
        <v>2.9144157274864175E-3</v>
      </c>
      <c r="CC21" s="133">
        <v>18</v>
      </c>
      <c r="CJ21" s="127"/>
      <c r="CK21" s="127"/>
      <c r="CL21" s="127"/>
      <c r="CM21" s="127"/>
    </row>
    <row r="22" spans="1:91" x14ac:dyDescent="0.25">
      <c r="A22">
        <v>19</v>
      </c>
      <c r="B22" s="127">
        <v>9.5</v>
      </c>
      <c r="C22" s="20">
        <v>0.13182007004262689</v>
      </c>
      <c r="D22" s="20">
        <v>2.7488893852824234</v>
      </c>
      <c r="E22" s="20">
        <v>5.6161160671101404</v>
      </c>
      <c r="F22" s="20">
        <v>6.1298012073299368</v>
      </c>
      <c r="G22" s="19">
        <v>349.55953210787254</v>
      </c>
      <c r="H22" s="19">
        <v>30.019962150559643</v>
      </c>
      <c r="I22" s="19">
        <v>2.6835011204011649E-4</v>
      </c>
      <c r="J22" s="19">
        <v>-1.5125124847435953E-4</v>
      </c>
      <c r="K22">
        <v>0.3301649614859955</v>
      </c>
      <c r="L22" s="19">
        <v>142.54698721458814</v>
      </c>
      <c r="M22" s="19">
        <v>27.986224302612356</v>
      </c>
      <c r="N22" s="19">
        <v>2.4795116027519947E-4</v>
      </c>
      <c r="O22" s="19">
        <v>-1.0542411861080847E-4</v>
      </c>
      <c r="P22" s="19">
        <v>0.17897344483115221</v>
      </c>
      <c r="Q22" s="19">
        <v>71.146792265677206</v>
      </c>
      <c r="R22" s="19">
        <v>14.889012718346468</v>
      </c>
      <c r="S22" s="19">
        <v>1.2678426809466115E-4</v>
      </c>
      <c r="T22" s="19">
        <v>-5.7293386606639275E-5</v>
      </c>
      <c r="U22" s="19">
        <v>9.6924414688665042E-2</v>
      </c>
      <c r="V22" s="19">
        <v>40.466028862766798</v>
      </c>
      <c r="W22" s="19">
        <v>9.9642981622661164</v>
      </c>
      <c r="X22" s="19">
        <v>8.398529288267119E-5</v>
      </c>
      <c r="Y22" s="19">
        <v>-3.9473350635435393E-5</v>
      </c>
      <c r="Z22">
        <v>6.7996447458530312E-2</v>
      </c>
      <c r="AB22">
        <v>7899806.2572082262</v>
      </c>
      <c r="AC22">
        <v>5294299.985874448</v>
      </c>
      <c r="AD22">
        <v>10795486.105241589</v>
      </c>
      <c r="AE22">
        <v>25177197.085032556</v>
      </c>
      <c r="AF22">
        <v>152714499.08945844</v>
      </c>
      <c r="AG22">
        <v>350829959.61959612</v>
      </c>
      <c r="AH22">
        <v>776936764.83315372</v>
      </c>
      <c r="AI22">
        <v>1754182769.8975155</v>
      </c>
      <c r="AK22">
        <v>60.281986895938076</v>
      </c>
      <c r="AL22">
        <v>502.83242558858558</v>
      </c>
      <c r="AM22">
        <v>2201.3814635193239</v>
      </c>
      <c r="AN22">
        <v>240.27335958920199</v>
      </c>
      <c r="AP22" s="134">
        <v>7.6308183939236996E-6</v>
      </c>
      <c r="AQ22" s="134">
        <v>1.1386205363650438E-5</v>
      </c>
      <c r="AR22" s="134">
        <v>4.6578025360473826E-5</v>
      </c>
      <c r="AS22" s="134">
        <v>1.9971739661501538E-5</v>
      </c>
      <c r="AT22" s="134">
        <v>1.4415012828806644E-5</v>
      </c>
      <c r="AU22" s="134">
        <v>6.2747818513170173E-6</v>
      </c>
      <c r="AV22" s="134">
        <v>3.0925729153877847E-7</v>
      </c>
      <c r="AW22" s="134">
        <v>1.3697167918439848E-7</v>
      </c>
      <c r="AY22" s="134">
        <v>6.8933113874742954E-5</v>
      </c>
      <c r="AZ22" s="134">
        <v>3.776969855565339E-5</v>
      </c>
      <c r="BB22">
        <v>4.8864572354035416E-4</v>
      </c>
      <c r="BC22">
        <v>4.1598394752256744E-4</v>
      </c>
      <c r="BD22">
        <v>1.1032346903659381E-4</v>
      </c>
      <c r="BE22">
        <v>1.9047645592965943E-6</v>
      </c>
      <c r="BF22">
        <v>1.016857904658812E-3</v>
      </c>
      <c r="BG22">
        <v>2.7161359563973547E-3</v>
      </c>
      <c r="BH22">
        <v>1.8612309947567296E-4</v>
      </c>
      <c r="BI22">
        <v>4.914051794396088E-5</v>
      </c>
      <c r="BJ22">
        <v>7.8585222508235996E-7</v>
      </c>
      <c r="BK22">
        <v>2.9521854260420705E-3</v>
      </c>
      <c r="CC22" s="133">
        <v>19</v>
      </c>
      <c r="CJ22" s="127"/>
      <c r="CK22" s="127"/>
      <c r="CL22" s="127"/>
      <c r="CM22" s="127"/>
    </row>
    <row r="23" spans="1:91" x14ac:dyDescent="0.25">
      <c r="A23">
        <v>20</v>
      </c>
      <c r="B23" s="127">
        <v>10</v>
      </c>
      <c r="C23" s="20">
        <v>7.9774834435544395E-2</v>
      </c>
      <c r="D23" s="20">
        <v>2.2284748747851846</v>
      </c>
      <c r="E23" s="20">
        <v>4.5017709266379509</v>
      </c>
      <c r="F23" s="20">
        <v>5.7381890974029472</v>
      </c>
      <c r="G23" s="19">
        <v>358.39178212482227</v>
      </c>
      <c r="H23" s="19">
        <v>31.532677717847974</v>
      </c>
      <c r="I23" s="19">
        <v>2.8179823454612947E-4</v>
      </c>
      <c r="J23" s="19">
        <v>-1.5331098851086174E-4</v>
      </c>
      <c r="K23">
        <v>0.34535672245091309</v>
      </c>
      <c r="L23" s="19">
        <v>150.24947372037127</v>
      </c>
      <c r="M23" s="19">
        <v>29.45918347643406</v>
      </c>
      <c r="N23" s="19">
        <v>2.6100122134231526E-4</v>
      </c>
      <c r="O23" s="19">
        <v>-1.1012343430246143E-4</v>
      </c>
      <c r="P23" s="19">
        <v>0.18730288175691334</v>
      </c>
      <c r="Q23" s="19">
        <v>74.446741923019019</v>
      </c>
      <c r="R23" s="19">
        <v>15.672644966680492</v>
      </c>
      <c r="S23" s="19">
        <v>1.3345712431016963E-4</v>
      </c>
      <c r="T23" s="19">
        <v>-5.997681600639401E-5</v>
      </c>
      <c r="U23" s="19">
        <v>0.10140136018334092</v>
      </c>
      <c r="V23" s="19">
        <v>42.595819855543986</v>
      </c>
      <c r="W23" s="19">
        <v>10.48873490764854</v>
      </c>
      <c r="X23" s="19">
        <v>8.8405571455443327E-5</v>
      </c>
      <c r="Y23" s="19">
        <v>-4.1550895405721445E-5</v>
      </c>
      <c r="Z23">
        <v>7.1095070072807506E-2</v>
      </c>
      <c r="AB23">
        <v>6512268.7781216828</v>
      </c>
      <c r="AC23">
        <v>4993804.1014637016</v>
      </c>
      <c r="AD23">
        <v>8815570.9207668789</v>
      </c>
      <c r="AE23">
        <v>20853914.172804222</v>
      </c>
      <c r="AF23">
        <v>124706334.13152659</v>
      </c>
      <c r="AG23">
        <v>287885486.91599661</v>
      </c>
      <c r="AH23">
        <v>634444904.5247122</v>
      </c>
      <c r="AI23">
        <v>1405532252.6156192</v>
      </c>
      <c r="AK23">
        <v>36.481436571183934</v>
      </c>
      <c r="AL23">
        <v>407.63714707870196</v>
      </c>
      <c r="AM23">
        <v>1764.5851603651772</v>
      </c>
      <c r="AN23">
        <v>224.92311345145492</v>
      </c>
      <c r="AP23" s="134">
        <v>5.601954988980996E-6</v>
      </c>
      <c r="AQ23" s="134">
        <v>7.3053399432490945E-6</v>
      </c>
      <c r="AR23" s="134">
        <v>4.6240583932962223E-5</v>
      </c>
      <c r="AS23" s="134">
        <v>1.9547272694269801E-5</v>
      </c>
      <c r="AT23" s="134">
        <v>1.4149924080873759E-5</v>
      </c>
      <c r="AU23" s="134">
        <v>6.1294689748638608E-6</v>
      </c>
      <c r="AV23" s="134">
        <v>3.545195364441515E-7</v>
      </c>
      <c r="AW23" s="134">
        <v>1.6002700260551491E-7</v>
      </c>
      <c r="AY23" s="134">
        <v>6.6346982539261138E-5</v>
      </c>
      <c r="AZ23" s="134">
        <v>3.3142108614988269E-5</v>
      </c>
      <c r="BB23">
        <v>4.9424767852933511E-4</v>
      </c>
      <c r="BC23">
        <v>4.6222453145552966E-4</v>
      </c>
      <c r="BD23">
        <v>1.2447339311746756E-4</v>
      </c>
      <c r="BE23">
        <v>2.2592840957407457E-6</v>
      </c>
      <c r="BF23">
        <v>1.083204887198073E-3</v>
      </c>
      <c r="BG23">
        <v>2.7234412963406036E-3</v>
      </c>
      <c r="BH23">
        <v>2.0567037216994276E-4</v>
      </c>
      <c r="BI23">
        <v>5.5269986918824742E-5</v>
      </c>
      <c r="BJ23">
        <v>9.4587922768787487E-7</v>
      </c>
      <c r="BK23">
        <v>2.9853275346570589E-3</v>
      </c>
      <c r="CC23" s="133">
        <v>20</v>
      </c>
      <c r="CJ23" s="127"/>
      <c r="CK23" s="127"/>
      <c r="CL23" s="127"/>
      <c r="CM23" s="127"/>
    </row>
    <row r="24" spans="1:91" x14ac:dyDescent="0.25">
      <c r="A24">
        <v>21</v>
      </c>
      <c r="B24" s="127">
        <v>10.5</v>
      </c>
      <c r="C24" s="20">
        <v>4.8499637236258782E-2</v>
      </c>
      <c r="D24" s="20">
        <v>1.8074444170183728</v>
      </c>
      <c r="E24" s="20">
        <v>3.6294453077649758</v>
      </c>
      <c r="F24" s="20">
        <v>5.8035421179720457</v>
      </c>
      <c r="G24" s="19">
        <v>366.75443208837254</v>
      </c>
      <c r="H24" s="19">
        <v>33.038945711963947</v>
      </c>
      <c r="I24" s="19">
        <v>2.9518175183441053E-4</v>
      </c>
      <c r="J24" s="19">
        <v>-1.5512385871626179E-4</v>
      </c>
      <c r="K24">
        <v>0.36043469747954388</v>
      </c>
      <c r="L24" s="19">
        <v>157.70034554421372</v>
      </c>
      <c r="M24" s="19">
        <v>30.932142650255763</v>
      </c>
      <c r="N24" s="19">
        <v>2.74051282409431E-4</v>
      </c>
      <c r="O24" s="19">
        <v>-1.1467738035319359E-4</v>
      </c>
      <c r="P24" s="19">
        <v>0.19558329829972665</v>
      </c>
      <c r="Q24" s="19">
        <v>77.611659132561329</v>
      </c>
      <c r="R24" s="19">
        <v>16.456277215014516</v>
      </c>
      <c r="S24" s="19">
        <v>1.4012998052567811E-4</v>
      </c>
      <c r="T24" s="19">
        <v>-6.2587147839253334E-5</v>
      </c>
      <c r="U24" s="19">
        <v>0.10585703689279108</v>
      </c>
      <c r="V24" s="19">
        <v>50.808445557402088</v>
      </c>
      <c r="W24" s="19">
        <v>11.013171653030964</v>
      </c>
      <c r="X24" s="19">
        <v>9.2825850028215465E-5</v>
      </c>
      <c r="Y24" s="19">
        <v>-4.2079102044070698E-5</v>
      </c>
      <c r="Z24">
        <v>7.4179560009902751E-2</v>
      </c>
      <c r="AB24">
        <v>5421693.0585118467</v>
      </c>
      <c r="AC24">
        <v>4746533.3759405958</v>
      </c>
      <c r="AD24">
        <v>7270306.3693406498</v>
      </c>
      <c r="AE24">
        <v>17505082.004116062</v>
      </c>
      <c r="AF24">
        <v>102846799.54167844</v>
      </c>
      <c r="AG24">
        <v>239492652.23670995</v>
      </c>
      <c r="AH24">
        <v>523234271.7016542</v>
      </c>
      <c r="AI24">
        <v>1330886334.0361874</v>
      </c>
      <c r="AK24">
        <v>22.179130199130338</v>
      </c>
      <c r="AL24">
        <v>330.62140120728071</v>
      </c>
      <c r="AM24">
        <v>1422.6546474283032</v>
      </c>
      <c r="AN24">
        <v>227.48479355825228</v>
      </c>
      <c r="AP24" s="134">
        <v>4.0908125856202739E-6</v>
      </c>
      <c r="AQ24" s="134">
        <v>4.672700778120035E-6</v>
      </c>
      <c r="AR24" s="134">
        <v>4.5475580314129874E-5</v>
      </c>
      <c r="AS24" s="134">
        <v>1.8887166659918529E-5</v>
      </c>
      <c r="AT24" s="134">
        <v>1.3832755649841835E-5</v>
      </c>
      <c r="AU24" s="134">
        <v>5.9402851575679178E-6</v>
      </c>
      <c r="AV24" s="134">
        <v>4.347666157616737E-7</v>
      </c>
      <c r="AW24" s="134">
        <v>1.7092728938643294E-7</v>
      </c>
      <c r="AY24" s="134">
        <v>6.3833915165353665E-5</v>
      </c>
      <c r="AZ24" s="134">
        <v>2.9671079884992916E-5</v>
      </c>
      <c r="BB24">
        <v>4.9833849111495542E-4</v>
      </c>
      <c r="BC24">
        <v>5.0770011176965953E-4</v>
      </c>
      <c r="BD24">
        <v>1.3830614876730938E-4</v>
      </c>
      <c r="BE24">
        <v>2.6940507115024195E-6</v>
      </c>
      <c r="BF24">
        <v>1.1470388023634267E-3</v>
      </c>
      <c r="BG24">
        <v>2.7281139971187234E-3</v>
      </c>
      <c r="BH24">
        <v>2.2455753882986128E-4</v>
      </c>
      <c r="BI24">
        <v>6.1210272076392657E-5</v>
      </c>
      <c r="BJ24">
        <v>1.1168065170743077E-6</v>
      </c>
      <c r="BK24">
        <v>3.0149986145420514E-3</v>
      </c>
      <c r="CC24" s="133">
        <v>21</v>
      </c>
      <c r="CJ24" s="127"/>
      <c r="CK24" s="127"/>
      <c r="CL24" s="127"/>
      <c r="CM24" s="127"/>
    </row>
    <row r="25" spans="1:91" x14ac:dyDescent="0.25">
      <c r="A25">
        <v>22</v>
      </c>
      <c r="B25" s="127">
        <v>11</v>
      </c>
      <c r="C25" s="20">
        <v>2.9635187369113847E-2</v>
      </c>
      <c r="D25" s="20">
        <v>1.4672443402791193</v>
      </c>
      <c r="E25" s="20">
        <v>2.952743704558987</v>
      </c>
      <c r="F25" s="20">
        <v>6.1956102208059454</v>
      </c>
      <c r="G25" s="19">
        <v>374.68170874328888</v>
      </c>
      <c r="H25" s="19">
        <v>34.538804541064458</v>
      </c>
      <c r="I25" s="19">
        <v>3.0850106735890294E-4</v>
      </c>
      <c r="J25" s="19">
        <v>-1.567121434980163E-4</v>
      </c>
      <c r="K25">
        <v>0.37540357805566094</v>
      </c>
      <c r="L25" s="19">
        <v>164.90141642837557</v>
      </c>
      <c r="M25" s="19">
        <v>32.405101824077462</v>
      </c>
      <c r="N25" s="19">
        <v>2.8710134347654674E-4</v>
      </c>
      <c r="O25" s="19">
        <v>-1.1908540418100743E-4</v>
      </c>
      <c r="P25" s="19">
        <v>0.20381644271230509</v>
      </c>
      <c r="Q25" s="19">
        <v>80.647871022421455</v>
      </c>
      <c r="R25" s="19">
        <v>17.239909463348539</v>
      </c>
      <c r="S25" s="19">
        <v>1.4680283674118656E-4</v>
      </c>
      <c r="T25" s="19">
        <v>-6.5122045084309527E-5</v>
      </c>
      <c r="U25" s="19">
        <v>0.11029234762721271</v>
      </c>
      <c r="V25" s="19">
        <v>53.95403156944073</v>
      </c>
      <c r="W25" s="19">
        <v>11.537608398413395</v>
      </c>
      <c r="X25" s="19">
        <v>9.7246128600987671E-5</v>
      </c>
      <c r="Y25" s="19">
        <v>-4.4323224185227601E-5</v>
      </c>
      <c r="Z25">
        <v>7.7250641726295172E-2</v>
      </c>
      <c r="AB25">
        <v>4554331.3535058005</v>
      </c>
      <c r="AC25">
        <v>4542183.0900961291</v>
      </c>
      <c r="AD25">
        <v>6049915.8961729314</v>
      </c>
      <c r="AE25">
        <v>14873021.877547257</v>
      </c>
      <c r="AF25">
        <v>85582980.387405708</v>
      </c>
      <c r="AG25">
        <v>201745100.18683302</v>
      </c>
      <c r="AH25">
        <v>435404393.84226149</v>
      </c>
      <c r="AI25">
        <v>1063311912.7952765</v>
      </c>
      <c r="AK25">
        <v>13.552321555176668</v>
      </c>
      <c r="AL25">
        <v>268.39131268931493</v>
      </c>
      <c r="AM25">
        <v>1157.4040101853288</v>
      </c>
      <c r="AN25">
        <v>242.85291351343426</v>
      </c>
      <c r="AP25" s="134">
        <v>2.9756995052071605E-6</v>
      </c>
      <c r="AQ25" s="134">
        <v>2.9836581411098187E-6</v>
      </c>
      <c r="AR25" s="134">
        <v>4.4362817152399504E-5</v>
      </c>
      <c r="AS25" s="134">
        <v>1.8045513204985345E-5</v>
      </c>
      <c r="AT25" s="134">
        <v>1.3523763778103374E-5</v>
      </c>
      <c r="AU25" s="134">
        <v>5.7369621820479155E-6</v>
      </c>
      <c r="AV25" s="134">
        <v>5.5776403947226849E-7</v>
      </c>
      <c r="AW25" s="134">
        <v>2.2839292082697812E-7</v>
      </c>
      <c r="AY25" s="134">
        <v>6.1420044475182304E-5</v>
      </c>
      <c r="AZ25" s="134">
        <v>2.6994526448970056E-5</v>
      </c>
      <c r="BB25">
        <v>5.0131419062016255E-4</v>
      </c>
      <c r="BC25">
        <v>5.5206292892205904E-4</v>
      </c>
      <c r="BD25">
        <v>1.5182991254541277E-4</v>
      </c>
      <c r="BE25">
        <v>3.2518147509746879E-6</v>
      </c>
      <c r="BF25">
        <v>1.2084588468386089E-3</v>
      </c>
      <c r="BG25">
        <v>2.7310976552598334E-3</v>
      </c>
      <c r="BH25">
        <v>2.4260305203484663E-4</v>
      </c>
      <c r="BI25">
        <v>6.6947234258440575E-5</v>
      </c>
      <c r="BJ25">
        <v>1.3451994379012859E-6</v>
      </c>
      <c r="BK25">
        <v>3.041993140991022E-3</v>
      </c>
      <c r="CC25" s="133">
        <v>22</v>
      </c>
      <c r="CJ25" s="127"/>
      <c r="CK25" s="127"/>
      <c r="CL25" s="127"/>
      <c r="CM25" s="127"/>
    </row>
    <row r="26" spans="1:91" x14ac:dyDescent="0.25">
      <c r="A26">
        <v>23</v>
      </c>
      <c r="B26" s="127">
        <v>11.5</v>
      </c>
      <c r="C26" s="20">
        <v>1.8206222364111842E-2</v>
      </c>
      <c r="D26" s="20">
        <v>1.1924875224863591</v>
      </c>
      <c r="E26" s="20">
        <v>2.6464421890542544</v>
      </c>
      <c r="F26" s="20">
        <v>6.7326123030640259</v>
      </c>
      <c r="G26" s="19">
        <v>382.20469695847231</v>
      </c>
      <c r="H26" s="19">
        <v>36.032292319638664</v>
      </c>
      <c r="I26" s="19">
        <v>3.2175658140973733E-4</v>
      </c>
      <c r="J26" s="19">
        <v>-1.5809586274042123E-4</v>
      </c>
      <c r="K26">
        <v>0.39026771681396483</v>
      </c>
      <c r="L26" s="19">
        <v>172.05381552677915</v>
      </c>
      <c r="M26" s="19">
        <v>33.878060997899169</v>
      </c>
      <c r="N26" s="19">
        <v>3.0015140454366248E-4</v>
      </c>
      <c r="O26" s="19">
        <v>-1.2335647605325815E-4</v>
      </c>
      <c r="P26" s="19">
        <v>0.21200392697468898</v>
      </c>
      <c r="Q26" s="19">
        <v>83.561904547711379</v>
      </c>
      <c r="R26" s="19">
        <v>18.023541711682569</v>
      </c>
      <c r="S26" s="19">
        <v>1.5347569295669509E-4</v>
      </c>
      <c r="T26" s="19">
        <v>-6.7580901088918488E-5</v>
      </c>
      <c r="U26" s="19">
        <v>0.11470809985834203</v>
      </c>
      <c r="V26" s="19">
        <v>57.039264286871521</v>
      </c>
      <c r="W26" s="19">
        <v>12.062045143795823</v>
      </c>
      <c r="X26" s="19">
        <v>1.0166640717375984E-4</v>
      </c>
      <c r="Y26" s="19">
        <v>-4.6534700189678378E-5</v>
      </c>
      <c r="Z26">
        <v>8.0308957535348169E-2</v>
      </c>
      <c r="AB26">
        <v>3857048.421526996</v>
      </c>
      <c r="AC26">
        <v>4372919.7446689643</v>
      </c>
      <c r="AD26">
        <v>5075676.9659246411</v>
      </c>
      <c r="AE26">
        <v>12772868.628656169</v>
      </c>
      <c r="AF26">
        <v>71801256.361650079</v>
      </c>
      <c r="AG26">
        <v>171897081.21194828</v>
      </c>
      <c r="AH26">
        <v>365289714.86786044</v>
      </c>
      <c r="AI26">
        <v>861612106.70151567</v>
      </c>
      <c r="AK26">
        <v>8.3257978669183075</v>
      </c>
      <c r="AL26">
        <v>218.13223792354719</v>
      </c>
      <c r="AM26">
        <v>1037.3412354095647</v>
      </c>
      <c r="AN26">
        <v>263.90209439979918</v>
      </c>
      <c r="AP26" s="134">
        <v>2.1585930372173406E-6</v>
      </c>
      <c r="AQ26" s="134">
        <v>1.9039448133179909E-6</v>
      </c>
      <c r="AR26" s="134">
        <v>4.2975989092286496E-5</v>
      </c>
      <c r="AS26" s="134">
        <v>1.7077779805404358E-5</v>
      </c>
      <c r="AT26" s="134">
        <v>1.4447396716634907E-5</v>
      </c>
      <c r="AU26" s="134">
        <v>6.0346646266234614E-6</v>
      </c>
      <c r="AV26" s="134">
        <v>7.2244600288092662E-7</v>
      </c>
      <c r="AW26" s="134">
        <v>3.0628874913339809E-7</v>
      </c>
      <c r="AY26" s="134">
        <v>6.030442484901967E-5</v>
      </c>
      <c r="AZ26" s="134">
        <v>2.5322677994479209E-5</v>
      </c>
      <c r="BB26">
        <v>5.0347278365737991E-4</v>
      </c>
      <c r="BC26">
        <v>5.9503891801434552E-4</v>
      </c>
      <c r="BD26">
        <v>1.6627730926204769E-4</v>
      </c>
      <c r="BE26">
        <v>3.9742607538556147E-6</v>
      </c>
      <c r="BF26">
        <v>1.2687632716876288E-3</v>
      </c>
      <c r="BG26">
        <v>2.7330016000731514E-3</v>
      </c>
      <c r="BH26">
        <v>2.5968083184025096E-4</v>
      </c>
      <c r="BI26">
        <v>7.2981898885064037E-5</v>
      </c>
      <c r="BJ26">
        <v>1.6514881870346839E-6</v>
      </c>
      <c r="BK26">
        <v>3.0673158189855015E-3</v>
      </c>
      <c r="CC26" s="133">
        <v>23</v>
      </c>
      <c r="CJ26" s="127"/>
      <c r="CK26" s="127"/>
      <c r="CL26" s="127"/>
      <c r="CM26" s="127"/>
    </row>
    <row r="27" spans="1:91" x14ac:dyDescent="0.25">
      <c r="A27">
        <v>24</v>
      </c>
      <c r="B27" s="127">
        <v>12</v>
      </c>
      <c r="C27" s="20">
        <v>1.1247970563587192E-2</v>
      </c>
      <c r="D27" s="20">
        <v>0.97055857021151148</v>
      </c>
      <c r="E27" s="20">
        <v>2.9867785661526822</v>
      </c>
      <c r="F27" s="20">
        <v>7.2282245960984275</v>
      </c>
      <c r="G27" s="19">
        <v>389.35168517707092</v>
      </c>
      <c r="H27" s="19">
        <v>37.519446871247254</v>
      </c>
      <c r="I27" s="19">
        <v>3.3494869114321498E-4</v>
      </c>
      <c r="J27" s="19">
        <v>-1.5929303611098217E-4</v>
      </c>
      <c r="K27">
        <v>0.40503116294028169</v>
      </c>
      <c r="L27" s="19">
        <v>180.87242418205233</v>
      </c>
      <c r="M27" s="19">
        <v>35.351020171720869</v>
      </c>
      <c r="N27" s="19">
        <v>3.1320146561077827E-4</v>
      </c>
      <c r="O27" s="19">
        <v>-1.2760058828333791E-4</v>
      </c>
      <c r="P27" s="19">
        <v>0.22014724526141316</v>
      </c>
      <c r="Q27" s="19">
        <v>86.360257074583842</v>
      </c>
      <c r="R27" s="19">
        <v>18.807173960016588</v>
      </c>
      <c r="S27" s="19">
        <v>1.6014854917220352E-4</v>
      </c>
      <c r="T27" s="19">
        <v>-6.9964287829111507E-5</v>
      </c>
      <c r="U27" s="19">
        <v>0.1191050206176552</v>
      </c>
      <c r="V27" s="19">
        <v>60.058499751909004</v>
      </c>
      <c r="W27" s="19">
        <v>12.58648188917825</v>
      </c>
      <c r="X27" s="19">
        <v>1.0608668574653201E-4</v>
      </c>
      <c r="Y27" s="19">
        <v>-4.8707556509475316E-5</v>
      </c>
      <c r="Z27">
        <v>8.3355080356555505E-2</v>
      </c>
      <c r="AB27">
        <v>3290972.4682808844</v>
      </c>
      <c r="AC27">
        <v>4232704.5537221069</v>
      </c>
      <c r="AD27">
        <v>4290268.9847319983</v>
      </c>
      <c r="AE27">
        <v>11036326.112255035</v>
      </c>
      <c r="AF27">
        <v>60690762.099565946</v>
      </c>
      <c r="AG27">
        <v>147993268.95917118</v>
      </c>
      <c r="AH27">
        <v>308764947.93905395</v>
      </c>
      <c r="AI27">
        <v>707443704.25521207</v>
      </c>
      <c r="AK27">
        <v>5.1437540118192784</v>
      </c>
      <c r="AL27">
        <v>177.53654353942051</v>
      </c>
      <c r="AM27">
        <v>1170.7448515302192</v>
      </c>
      <c r="AN27">
        <v>283.3288958038458</v>
      </c>
      <c r="AP27" s="134">
        <v>1.5629890743225322E-6</v>
      </c>
      <c r="AQ27" s="134">
        <v>1.2152405032134888E-6</v>
      </c>
      <c r="AR27" s="134">
        <v>4.1381215063957287E-5</v>
      </c>
      <c r="AS27" s="134">
        <v>1.6086561934979351E-5</v>
      </c>
      <c r="AT27" s="134">
        <v>1.9290330373666412E-5</v>
      </c>
      <c r="AU27" s="134">
        <v>7.9107979691509331E-6</v>
      </c>
      <c r="AV27" s="134">
        <v>9.1762001384875822E-7</v>
      </c>
      <c r="AW27" s="134">
        <v>4.0049673790246097E-7</v>
      </c>
      <c r="AY27" s="134">
        <v>6.3152154525794986E-5</v>
      </c>
      <c r="AZ27" s="134">
        <v>2.5613097145246234E-5</v>
      </c>
      <c r="BB27">
        <v>5.0503577273170244E-4</v>
      </c>
      <c r="BC27">
        <v>6.3642013307830278E-4</v>
      </c>
      <c r="BD27">
        <v>1.8556763963571411E-4</v>
      </c>
      <c r="BE27">
        <v>4.891880767704373E-6</v>
      </c>
      <c r="BF27">
        <v>1.3319154262134236E-3</v>
      </c>
      <c r="BG27">
        <v>2.7342168405763648E-3</v>
      </c>
      <c r="BH27">
        <v>2.7576739377523031E-4</v>
      </c>
      <c r="BI27">
        <v>8.0892696854214968E-5</v>
      </c>
      <c r="BJ27">
        <v>2.0519849249371449E-6</v>
      </c>
      <c r="BK27">
        <v>3.0929289161307472E-3</v>
      </c>
      <c r="CC27" s="133">
        <v>24</v>
      </c>
      <c r="CJ27" s="127"/>
      <c r="CK27" s="127"/>
      <c r="CL27" s="127"/>
      <c r="CM27" s="127"/>
    </row>
    <row r="28" spans="1:91" x14ac:dyDescent="0.25">
      <c r="A28">
        <v>25</v>
      </c>
      <c r="B28" s="127">
        <v>12.5</v>
      </c>
      <c r="C28" s="20">
        <v>6.9893017855030349E-3</v>
      </c>
      <c r="D28" s="20">
        <v>0.79119671059977792</v>
      </c>
      <c r="E28" s="20">
        <v>4.2048553116447582</v>
      </c>
      <c r="F28" s="20">
        <v>7.5333978820482956</v>
      </c>
      <c r="G28" s="19">
        <v>396.14846685884999</v>
      </c>
      <c r="H28" s="19">
        <v>39.000305731232359</v>
      </c>
      <c r="I28" s="19">
        <v>3.4807779061146407E-4</v>
      </c>
      <c r="J28" s="19">
        <v>-1.6031991234435457E-4</v>
      </c>
      <c r="K28">
        <v>0.41969769245096344</v>
      </c>
      <c r="L28" s="19">
        <v>189.73185913510417</v>
      </c>
      <c r="M28" s="19">
        <v>36.823979345542575</v>
      </c>
      <c r="N28" s="19">
        <v>3.2625152667789406E-4</v>
      </c>
      <c r="O28" s="19">
        <v>-1.3182250816479955E-4</v>
      </c>
      <c r="P28" s="19">
        <v>0.22824778892657405</v>
      </c>
      <c r="Q28" s="19">
        <v>89.050983170846138</v>
      </c>
      <c r="R28" s="19">
        <v>19.590806208350617</v>
      </c>
      <c r="S28" s="19">
        <v>1.6682140538771205E-4</v>
      </c>
      <c r="T28" s="19">
        <v>-7.2248954180822506E-5</v>
      </c>
      <c r="U28" s="19">
        <v>0.12348376853347509</v>
      </c>
      <c r="V28" s="19">
        <v>62.891672149332798</v>
      </c>
      <c r="W28" s="19">
        <v>13.110918634560676</v>
      </c>
      <c r="X28" s="19">
        <v>1.1050696431930417E-4</v>
      </c>
      <c r="Y28" s="19">
        <v>-5.0782221866469847E-5</v>
      </c>
      <c r="Z28">
        <v>8.6389524058742853E-2</v>
      </c>
      <c r="AB28">
        <v>2827268.3804615051</v>
      </c>
      <c r="AC28">
        <v>4116823.3463989841</v>
      </c>
      <c r="AD28">
        <v>3651370.4140152363</v>
      </c>
      <c r="AE28">
        <v>9588554.5408938061</v>
      </c>
      <c r="AF28">
        <v>51652811.029571183</v>
      </c>
      <c r="AG28">
        <v>128811823.23237635</v>
      </c>
      <c r="AH28">
        <v>262784268.25959119</v>
      </c>
      <c r="AI28">
        <v>590790563.98918438</v>
      </c>
      <c r="AK28">
        <v>3.1962431707797201</v>
      </c>
      <c r="AL28">
        <v>144.72730814074649</v>
      </c>
      <c r="AM28">
        <v>1648.2014312426081</v>
      </c>
      <c r="AN28">
        <v>295.29094941569377</v>
      </c>
      <c r="AP28" s="134">
        <v>1.1305057534927002E-6</v>
      </c>
      <c r="AQ28" s="134">
        <v>7.7638579599863027E-7</v>
      </c>
      <c r="AR28" s="134">
        <v>3.9636435565461253E-5</v>
      </c>
      <c r="AS28" s="134">
        <v>1.5093756574414354E-5</v>
      </c>
      <c r="AT28" s="134">
        <v>3.1909230076539582E-5</v>
      </c>
      <c r="AU28" s="134">
        <v>1.2795420403834011E-5</v>
      </c>
      <c r="AV28" s="134">
        <v>1.1237010166985754E-6</v>
      </c>
      <c r="AW28" s="134">
        <v>4.998234017513856E-7</v>
      </c>
      <c r="AY28" s="134">
        <v>7.3799872412192105E-5</v>
      </c>
      <c r="AZ28" s="134">
        <v>2.9165386175998381E-5</v>
      </c>
      <c r="BB28">
        <v>5.0616627848519514E-4</v>
      </c>
      <c r="BC28">
        <v>6.7605656864376399E-4</v>
      </c>
      <c r="BD28">
        <v>2.1747686971225369E-4</v>
      </c>
      <c r="BE28">
        <v>6.0155817844029484E-6</v>
      </c>
      <c r="BF28">
        <v>1.4057152986256159E-3</v>
      </c>
      <c r="BG28">
        <v>2.7349932263723634E-3</v>
      </c>
      <c r="BH28">
        <v>2.9086115034964469E-4</v>
      </c>
      <c r="BI28">
        <v>9.3688117258048975E-5</v>
      </c>
      <c r="BJ28">
        <v>2.5518083266885304E-6</v>
      </c>
      <c r="BK28">
        <v>3.1220943023067453E-3</v>
      </c>
      <c r="CC28" s="133">
        <v>25</v>
      </c>
      <c r="CJ28" s="127"/>
      <c r="CK28" s="127"/>
      <c r="CL28" s="127"/>
      <c r="CM28" s="127"/>
    </row>
    <row r="29" spans="1:91" x14ac:dyDescent="0.25">
      <c r="A29">
        <v>26</v>
      </c>
      <c r="B29" s="127">
        <v>13</v>
      </c>
      <c r="C29" s="20">
        <v>4.3685187415609264E-3</v>
      </c>
      <c r="D29" s="20">
        <v>0.64610218776533646</v>
      </c>
      <c r="E29" s="20">
        <v>6.2737774520790017</v>
      </c>
      <c r="F29" s="20">
        <v>7.5615594205091954</v>
      </c>
      <c r="G29" s="19">
        <v>402.61860425913937</v>
      </c>
      <c r="H29" s="19">
        <v>40.474906149397157</v>
      </c>
      <c r="I29" s="19">
        <v>3.6114427079175505E-4</v>
      </c>
      <c r="J29" s="19">
        <v>-1.6119116869578811E-4</v>
      </c>
      <c r="K29">
        <v>0.43427083433110497</v>
      </c>
      <c r="L29" s="19">
        <v>198.5847577607806</v>
      </c>
      <c r="M29" s="19">
        <v>38.296938519364275</v>
      </c>
      <c r="N29" s="19">
        <v>3.3930158774500975E-4</v>
      </c>
      <c r="O29" s="19">
        <v>-1.3600666056622218E-4</v>
      </c>
      <c r="P29" s="19">
        <v>0.23630685880029187</v>
      </c>
      <c r="Q29" s="19">
        <v>92.065717934374945</v>
      </c>
      <c r="R29" s="19">
        <v>20.374438456684636</v>
      </c>
      <c r="S29" s="19">
        <v>1.7349426160322051E-4</v>
      </c>
      <c r="T29" s="19">
        <v>-7.4513076311018549E-5</v>
      </c>
      <c r="U29" s="19">
        <v>0.1278449436433704</v>
      </c>
      <c r="V29" s="19">
        <v>65.331649934521877</v>
      </c>
      <c r="W29" s="19">
        <v>13.635355379943102</v>
      </c>
      <c r="X29" s="19">
        <v>1.1492724289207632E-4</v>
      </c>
      <c r="Y29" s="19">
        <v>-5.2673400668097315E-5</v>
      </c>
      <c r="Z29">
        <v>8.9412751925608533E-2</v>
      </c>
      <c r="AB29">
        <v>2444272.3401033967</v>
      </c>
      <c r="AC29">
        <v>4021554.0825597201</v>
      </c>
      <c r="AD29">
        <v>3127333.5360766142</v>
      </c>
      <c r="AE29">
        <v>8377763.9968937654</v>
      </c>
      <c r="AF29">
        <v>44239709.985427916</v>
      </c>
      <c r="AG29">
        <v>112736283.76404585</v>
      </c>
      <c r="AH29">
        <v>225070031.71389097</v>
      </c>
      <c r="AI29">
        <v>504467766.58577007</v>
      </c>
      <c r="AK29">
        <v>1.997745786724874</v>
      </c>
      <c r="AL29">
        <v>118.18632353544386</v>
      </c>
      <c r="AM29">
        <v>2459.1687964096623</v>
      </c>
      <c r="AN29">
        <v>296.39481350986858</v>
      </c>
      <c r="AP29" s="134">
        <v>8.1731718432012622E-7</v>
      </c>
      <c r="AQ29" s="134">
        <v>4.9675964706989801E-7</v>
      </c>
      <c r="AR29" s="134">
        <v>3.7791403498238346E-5</v>
      </c>
      <c r="AS29" s="134">
        <v>1.4107144051714032E-5</v>
      </c>
      <c r="AT29" s="134">
        <v>5.5587362512541017E-5</v>
      </c>
      <c r="AU29" s="134">
        <v>2.181346337046766E-5</v>
      </c>
      <c r="AV29" s="134">
        <v>1.3169003943032526E-6</v>
      </c>
      <c r="AW29" s="134">
        <v>5.8753964701424638E-7</v>
      </c>
      <c r="AY29" s="134">
        <v>9.5512983589402745E-5</v>
      </c>
      <c r="AZ29" s="134">
        <v>3.7004906716265838E-5</v>
      </c>
      <c r="BB29">
        <v>5.0698359566951525E-4</v>
      </c>
      <c r="BC29">
        <v>7.138479721420023E-4</v>
      </c>
      <c r="BD29">
        <v>2.7306423222479468E-4</v>
      </c>
      <c r="BE29">
        <v>7.3324821787062011E-6</v>
      </c>
      <c r="BF29">
        <v>1.5012282822150183E-3</v>
      </c>
      <c r="BG29">
        <v>2.7354899860194334E-3</v>
      </c>
      <c r="BH29">
        <v>3.0496829440135873E-4</v>
      </c>
      <c r="BI29">
        <v>1.1550158062851664E-4</v>
      </c>
      <c r="BJ29">
        <v>3.1393479737027769E-6</v>
      </c>
      <c r="BK29">
        <v>3.1590992090230119E-3</v>
      </c>
      <c r="CC29" s="133">
        <v>26</v>
      </c>
      <c r="CJ29" s="127"/>
      <c r="CK29" s="127"/>
      <c r="CL29" s="127"/>
      <c r="CM29" s="127"/>
    </row>
    <row r="30" spans="1:91" x14ac:dyDescent="0.25">
      <c r="A30">
        <v>27</v>
      </c>
      <c r="B30" s="127">
        <v>13.5</v>
      </c>
      <c r="C30" s="20">
        <v>2.746563737673938E-3</v>
      </c>
      <c r="D30" s="20">
        <v>0.52858645474948052</v>
      </c>
      <c r="E30" s="20">
        <v>8.7691853760975125</v>
      </c>
      <c r="F30" s="20">
        <v>7.293427684636268</v>
      </c>
      <c r="G30" s="19">
        <v>408.78365987166495</v>
      </c>
      <c r="H30" s="19">
        <v>41.94328509265614</v>
      </c>
      <c r="I30" s="19">
        <v>3.7414851961549948E-4</v>
      </c>
      <c r="J30" s="19">
        <v>-1.6192008490619841E-4</v>
      </c>
      <c r="K30">
        <v>0.44875389327848514</v>
      </c>
      <c r="L30" s="19">
        <v>207.39468837114981</v>
      </c>
      <c r="M30" s="19">
        <v>39.769897693185982</v>
      </c>
      <c r="N30" s="19">
        <v>3.523516488121256E-4</v>
      </c>
      <c r="O30" s="19">
        <v>-1.4014144214135411E-4</v>
      </c>
      <c r="P30" s="19">
        <v>0.24432567538506519</v>
      </c>
      <c r="Q30" s="19">
        <v>96.411589126841392</v>
      </c>
      <c r="R30" s="19">
        <v>21.158070705018666</v>
      </c>
      <c r="S30" s="19">
        <v>1.8016711781872904E-4</v>
      </c>
      <c r="T30" s="19">
        <v>-7.7082498089570936E-5</v>
      </c>
      <c r="U30" s="19">
        <v>0.13218909545876681</v>
      </c>
      <c r="V30" s="19">
        <v>67.706048944350655</v>
      </c>
      <c r="W30" s="19">
        <v>14.159792125325529</v>
      </c>
      <c r="X30" s="19">
        <v>1.193475214648485E-4</v>
      </c>
      <c r="Y30" s="19">
        <v>-5.4541723983068434E-5</v>
      </c>
      <c r="Z30">
        <v>9.2425183640581915E-2</v>
      </c>
      <c r="AB30">
        <v>2125516.8483858225</v>
      </c>
      <c r="AC30">
        <v>3943927.8842151728</v>
      </c>
      <c r="AD30">
        <v>2694213.8111862889</v>
      </c>
      <c r="AE30">
        <v>7361061.6045003878</v>
      </c>
      <c r="AF30">
        <v>38112736.064330004</v>
      </c>
      <c r="AG30">
        <v>97377610.827395067</v>
      </c>
      <c r="AH30">
        <v>193898981.65081617</v>
      </c>
      <c r="AI30">
        <v>433949715.05966866</v>
      </c>
      <c r="AK30">
        <v>1.256017533519584</v>
      </c>
      <c r="AL30">
        <v>96.69010713853983</v>
      </c>
      <c r="AM30">
        <v>3437.3082583101127</v>
      </c>
      <c r="AN30">
        <v>285.88469893818649</v>
      </c>
      <c r="AP30" s="134">
        <v>5.9092334858386989E-7</v>
      </c>
      <c r="AQ30" s="134">
        <v>3.1846868664778509E-7</v>
      </c>
      <c r="AR30" s="134">
        <v>3.5888060085315283E-5</v>
      </c>
      <c r="AS30" s="134">
        <v>1.3135348178505349E-5</v>
      </c>
      <c r="AT30" s="134">
        <v>9.0187916514530036E-5</v>
      </c>
      <c r="AU30" s="134">
        <v>3.5298753266835144E-5</v>
      </c>
      <c r="AV30" s="134">
        <v>1.4744002083158085E-6</v>
      </c>
      <c r="AW30" s="134">
        <v>6.5879683524824291E-7</v>
      </c>
      <c r="AY30" s="134">
        <v>1.2814130015674502E-4</v>
      </c>
      <c r="AZ30" s="134">
        <v>4.9411366967236517E-5</v>
      </c>
      <c r="BB30">
        <v>5.0757451901809912E-4</v>
      </c>
      <c r="BC30">
        <v>7.4973603222731758E-4</v>
      </c>
      <c r="BD30">
        <v>3.6325214873932473E-4</v>
      </c>
      <c r="BE30">
        <v>8.8068823870220094E-6</v>
      </c>
      <c r="BF30">
        <v>1.6293695823717635E-3</v>
      </c>
      <c r="BG30">
        <v>2.7358084547060811E-3</v>
      </c>
      <c r="BH30">
        <v>3.1810364257986407E-4</v>
      </c>
      <c r="BI30">
        <v>1.5080033389535178E-4</v>
      </c>
      <c r="BJ30">
        <v>3.7981448089510198E-6</v>
      </c>
      <c r="BK30">
        <v>3.208510575990248E-3</v>
      </c>
      <c r="CC30" s="133">
        <v>27</v>
      </c>
      <c r="CJ30" s="127"/>
      <c r="CK30" s="127"/>
      <c r="CL30" s="127"/>
      <c r="CM30" s="127"/>
    </row>
    <row r="31" spans="1:91" x14ac:dyDescent="0.25">
      <c r="A31">
        <v>28</v>
      </c>
      <c r="B31" s="127">
        <v>14</v>
      </c>
      <c r="C31" s="20">
        <v>1.7369936243790973E-3</v>
      </c>
      <c r="D31" s="20">
        <v>0.4332723437499667</v>
      </c>
      <c r="E31" s="20">
        <v>10.969943483875491</v>
      </c>
      <c r="F31" s="20">
        <v>6.7651322128130857</v>
      </c>
      <c r="G31" s="19">
        <v>414.66340002440239</v>
      </c>
      <c r="H31" s="19">
        <v>43.405479247656992</v>
      </c>
      <c r="I31" s="19">
        <v>3.870909219969324E-4</v>
      </c>
      <c r="J31" s="19">
        <v>-1.6251869532304657E-4</v>
      </c>
      <c r="K31">
        <v>0.46314996963207666</v>
      </c>
      <c r="L31" s="19">
        <v>216.13371307595855</v>
      </c>
      <c r="M31" s="19">
        <v>41.242856867007681</v>
      </c>
      <c r="N31" s="19">
        <v>3.6540170987924133E-4</v>
      </c>
      <c r="O31" s="19">
        <v>-1.4421830577820201E-4</v>
      </c>
      <c r="P31" s="19">
        <v>0.2523053873938344</v>
      </c>
      <c r="Q31" s="19">
        <v>100.77265264281812</v>
      </c>
      <c r="R31" s="19">
        <v>21.941702953352685</v>
      </c>
      <c r="S31" s="19">
        <v>1.8683997403423744E-4</v>
      </c>
      <c r="T31" s="19">
        <v>-7.9672532012200562E-5</v>
      </c>
      <c r="U31" s="19">
        <v>0.1365167296434146</v>
      </c>
      <c r="V31" s="19">
        <v>70.015780123704943</v>
      </c>
      <c r="W31" s="19">
        <v>14.684228870707955</v>
      </c>
      <c r="X31" s="19">
        <v>1.2376780003762065E-4</v>
      </c>
      <c r="Y31" s="19">
        <v>-5.6383414325651206E-5</v>
      </c>
      <c r="Z31">
        <v>9.5427201092841155E-2</v>
      </c>
      <c r="AB31">
        <v>1858348.5738645738</v>
      </c>
      <c r="AC31">
        <v>3881554.7333216486</v>
      </c>
      <c r="AD31">
        <v>2333698.2617714955</v>
      </c>
      <c r="AE31">
        <v>6503393.1037306972</v>
      </c>
      <c r="AF31">
        <v>33012831.251696423</v>
      </c>
      <c r="AG31">
        <v>84421847.555408224</v>
      </c>
      <c r="AH31">
        <v>167953157.45135009</v>
      </c>
      <c r="AI31">
        <v>375953527.636585</v>
      </c>
      <c r="AK31">
        <v>0.794335998071376</v>
      </c>
      <c r="AL31">
        <v>79.25505650197843</v>
      </c>
      <c r="AM31">
        <v>4299.9521293163662</v>
      </c>
      <c r="AN31">
        <v>265.17679609152793</v>
      </c>
      <c r="AP31" s="134">
        <v>4.2744187459917453E-7</v>
      </c>
      <c r="AQ31" s="134">
        <v>2.0464377102615821E-7</v>
      </c>
      <c r="AR31" s="134">
        <v>3.3961141335305454E-5</v>
      </c>
      <c r="AS31" s="134">
        <v>1.2186723951303736E-5</v>
      </c>
      <c r="AT31" s="134">
        <v>1.3025093475117818E-4</v>
      </c>
      <c r="AU31" s="134">
        <v>5.0934115443211513E-5</v>
      </c>
      <c r="AV31" s="134">
        <v>1.5788735390005394E-6</v>
      </c>
      <c r="AW31" s="134">
        <v>7.0534461468828341E-7</v>
      </c>
      <c r="AY31" s="134">
        <v>1.6621839150008334E-4</v>
      </c>
      <c r="AZ31" s="134">
        <v>6.4030827780229692E-5</v>
      </c>
      <c r="BB31">
        <v>5.0800196089269831E-4</v>
      </c>
      <c r="BC31">
        <v>7.8369717356262302E-4</v>
      </c>
      <c r="BD31">
        <v>4.9350308349050288E-4</v>
      </c>
      <c r="BE31">
        <v>1.0385755926022549E-5</v>
      </c>
      <c r="BF31">
        <v>1.7955879738718468E-3</v>
      </c>
      <c r="BG31">
        <v>2.7360130984771074E-3</v>
      </c>
      <c r="BH31">
        <v>3.3029036653116779E-4</v>
      </c>
      <c r="BI31">
        <v>2.0173444933856328E-4</v>
      </c>
      <c r="BJ31">
        <v>4.5034894236393036E-6</v>
      </c>
      <c r="BK31">
        <v>3.2725414037704775E-3</v>
      </c>
      <c r="CC31" s="133">
        <v>28</v>
      </c>
      <c r="CJ31" s="127"/>
      <c r="CK31" s="127"/>
      <c r="CL31" s="127"/>
      <c r="CM31" s="127"/>
    </row>
    <row r="32" spans="1:91" x14ac:dyDescent="0.25">
      <c r="A32">
        <v>29</v>
      </c>
      <c r="B32" s="127">
        <v>14.5</v>
      </c>
      <c r="C32" s="20">
        <v>1.1049569374177457E-3</v>
      </c>
      <c r="D32" s="20">
        <v>0.35584304165053393</v>
      </c>
      <c r="E32" s="20">
        <v>12.181108218103253</v>
      </c>
      <c r="F32" s="20">
        <v>6.0473725192963688</v>
      </c>
      <c r="G32" s="19">
        <v>420.27597442412679</v>
      </c>
      <c r="H32" s="19">
        <v>44.861525023372138</v>
      </c>
      <c r="I32" s="19">
        <v>3.9997185986145921E-4</v>
      </c>
      <c r="J32" s="19">
        <v>-1.6299792224577677E-4</v>
      </c>
      <c r="K32">
        <v>0.47746197694040715</v>
      </c>
      <c r="L32" s="19">
        <v>224.78052957031667</v>
      </c>
      <c r="M32" s="19">
        <v>42.715816040829388</v>
      </c>
      <c r="N32" s="19">
        <v>3.7845177094635707E-4</v>
      </c>
      <c r="O32" s="19">
        <v>-1.4823106623160562E-4</v>
      </c>
      <c r="P32" s="19">
        <v>0.2602470789652187</v>
      </c>
      <c r="Q32" s="19">
        <v>105.13063719961413</v>
      </c>
      <c r="R32" s="19">
        <v>22.725335201686715</v>
      </c>
      <c r="S32" s="19">
        <v>1.9351283024974597E-4</v>
      </c>
      <c r="T32" s="19">
        <v>-8.2270575942942274E-5</v>
      </c>
      <c r="U32" s="19">
        <v>0.14082831358291747</v>
      </c>
      <c r="V32" s="19">
        <v>72.262151590428743</v>
      </c>
      <c r="W32" s="19">
        <v>15.208665616090387</v>
      </c>
      <c r="X32" s="19">
        <v>1.2818807861039285E-4</v>
      </c>
      <c r="Y32" s="19">
        <v>-5.8195747618143677E-5</v>
      </c>
      <c r="Z32">
        <v>9.8419153236527196E-2</v>
      </c>
      <c r="AB32">
        <v>1632947.4053302</v>
      </c>
      <c r="AC32">
        <v>3832494.6070313123</v>
      </c>
      <c r="AD32">
        <v>2031640.3741054316</v>
      </c>
      <c r="AE32">
        <v>5776311.4748899061</v>
      </c>
      <c r="AF32">
        <v>28739876.929746419</v>
      </c>
      <c r="AG32">
        <v>73493966.226605773</v>
      </c>
      <c r="AH32">
        <v>146214453.35337856</v>
      </c>
      <c r="AI32">
        <v>327927531.90212464</v>
      </c>
      <c r="AK32">
        <v>0.50530241411989041</v>
      </c>
      <c r="AL32">
        <v>65.091531408992907</v>
      </c>
      <c r="AM32">
        <v>4774.6993680373871</v>
      </c>
      <c r="AN32">
        <v>237.04235467885147</v>
      </c>
      <c r="AP32" s="134">
        <v>3.0944194067151395E-7</v>
      </c>
      <c r="AQ32" s="134">
        <v>1.318468689278346E-7</v>
      </c>
      <c r="AR32" s="134">
        <v>3.2038904246355067E-5</v>
      </c>
      <c r="AS32" s="134">
        <v>1.1268701781742738E-5</v>
      </c>
      <c r="AT32" s="134">
        <v>1.6613499701856641E-4</v>
      </c>
      <c r="AU32" s="134">
        <v>6.4967229463646546E-5</v>
      </c>
      <c r="AV32" s="134">
        <v>1.6211964634300234E-6</v>
      </c>
      <c r="AW32" s="134">
        <v>7.2284981167607676E-7</v>
      </c>
      <c r="AY32" s="134">
        <v>2.0010453966902301E-4</v>
      </c>
      <c r="AZ32" s="134">
        <v>7.7090627925993193E-5</v>
      </c>
      <c r="BB32">
        <v>5.0831140283336986E-4</v>
      </c>
      <c r="BC32">
        <v>8.1573607780897808E-4</v>
      </c>
      <c r="BD32">
        <v>6.5963808050906929E-4</v>
      </c>
      <c r="BE32">
        <v>1.2006952389452572E-5</v>
      </c>
      <c r="BF32">
        <v>1.9956925135408699E-3</v>
      </c>
      <c r="BG32">
        <v>2.7361449453460352E-3</v>
      </c>
      <c r="BH32">
        <v>3.4155906831291052E-4</v>
      </c>
      <c r="BI32">
        <v>2.667016788022098E-4</v>
      </c>
      <c r="BJ32">
        <v>5.2263392353153804E-6</v>
      </c>
      <c r="BK32">
        <v>3.3496320316964705E-3</v>
      </c>
      <c r="CC32" s="133">
        <v>29</v>
      </c>
      <c r="CJ32" s="127"/>
      <c r="CK32" s="127"/>
      <c r="CL32" s="127"/>
      <c r="CM32" s="127"/>
    </row>
    <row r="33" spans="1:91" x14ac:dyDescent="0.25">
      <c r="A33">
        <v>30</v>
      </c>
      <c r="B33" s="127">
        <v>15</v>
      </c>
      <c r="C33" s="20">
        <v>7.0697991766523974E-4</v>
      </c>
      <c r="D33" s="20">
        <v>0.29283524223680374</v>
      </c>
      <c r="E33" s="20">
        <v>12.061529535115145</v>
      </c>
      <c r="F33" s="20">
        <v>5.2234866364913293</v>
      </c>
      <c r="G33" s="19">
        <v>425.63807486945291</v>
      </c>
      <c r="H33" s="19">
        <v>46.311458553664487</v>
      </c>
      <c r="I33" s="19">
        <v>4.1279171217371472E-4</v>
      </c>
      <c r="J33" s="19">
        <v>-1.6336769308837712E-4</v>
      </c>
      <c r="K33">
        <v>0.4916926575327728</v>
      </c>
      <c r="L33" s="19">
        <v>233.31904317587828</v>
      </c>
      <c r="M33" s="19">
        <v>44.188775214651088</v>
      </c>
      <c r="N33" s="19">
        <v>3.9150183201347281E-4</v>
      </c>
      <c r="O33" s="19">
        <v>-1.521753695509831E-4</v>
      </c>
      <c r="P33" s="19">
        <v>0.26815177581335986</v>
      </c>
      <c r="Q33" s="19">
        <v>109.47108816826491</v>
      </c>
      <c r="R33" s="19">
        <v>23.508967450020734</v>
      </c>
      <c r="S33" s="19">
        <v>2.001856864652544E-4</v>
      </c>
      <c r="T33" s="19">
        <v>-8.4866573521296559E-5</v>
      </c>
      <c r="U33" s="19">
        <v>0.14512428105994626</v>
      </c>
      <c r="V33" s="19">
        <v>74.446741923019019</v>
      </c>
      <c r="W33" s="19">
        <v>15.733102361472811</v>
      </c>
      <c r="X33" s="19">
        <v>1.32608357183165E-4</v>
      </c>
      <c r="Y33" s="19">
        <v>-5.997681600639401E-5</v>
      </c>
      <c r="Z33">
        <v>0.10140136018334092</v>
      </c>
      <c r="AB33">
        <v>1441621.1556558236</v>
      </c>
      <c r="AC33">
        <v>3795161.0124031585</v>
      </c>
      <c r="AD33">
        <v>1777010.4035025854</v>
      </c>
      <c r="AE33">
        <v>5156801.6941740746</v>
      </c>
      <c r="AF33">
        <v>25137844.743822291</v>
      </c>
      <c r="AG33">
        <v>64263693.487670615</v>
      </c>
      <c r="AH33">
        <v>127889073.31387463</v>
      </c>
      <c r="AI33">
        <v>287885486.91599661</v>
      </c>
      <c r="AK33">
        <v>0.32330550362024429</v>
      </c>
      <c r="AL33">
        <v>53.566016857613484</v>
      </c>
      <c r="AM33">
        <v>4727.8274207669801</v>
      </c>
      <c r="AN33">
        <v>204.74802370724231</v>
      </c>
      <c r="AP33" s="134">
        <v>2.2426523247930963E-7</v>
      </c>
      <c r="AQ33" s="134">
        <v>8.5188876720548399E-8</v>
      </c>
      <c r="AR33" s="134">
        <v>3.0143896035741779E-5</v>
      </c>
      <c r="AS33" s="134">
        <v>1.0387449437532179E-5</v>
      </c>
      <c r="AT33" s="134">
        <v>1.8807608484131718E-4</v>
      </c>
      <c r="AU33" s="134">
        <v>7.3569182911561765E-5</v>
      </c>
      <c r="AV33" s="134">
        <v>1.6009813692584578E-6</v>
      </c>
      <c r="AW33" s="134">
        <v>7.112134269102167E-7</v>
      </c>
      <c r="AY33" s="134">
        <v>2.2004522747879674E-4</v>
      </c>
      <c r="AZ33" s="134">
        <v>8.4753034652724707E-5</v>
      </c>
      <c r="BB33">
        <v>5.0853566806584912E-4</v>
      </c>
      <c r="BC33">
        <v>8.4587997384471983E-4</v>
      </c>
      <c r="BD33">
        <v>8.4771416535038644E-4</v>
      </c>
      <c r="BE33">
        <v>1.3607933758711029E-5</v>
      </c>
      <c r="BF33">
        <v>2.2157377410196664E-3</v>
      </c>
      <c r="BG33">
        <v>2.7362301342227558E-3</v>
      </c>
      <c r="BH33">
        <v>3.5194651775044268E-4</v>
      </c>
      <c r="BI33">
        <v>3.4027086171377157E-4</v>
      </c>
      <c r="BJ33">
        <v>5.9375526622255972E-6</v>
      </c>
      <c r="BK33">
        <v>3.4343850663491955E-3</v>
      </c>
      <c r="CC33" s="133">
        <v>30</v>
      </c>
      <c r="CJ33" s="127"/>
      <c r="CK33" s="127"/>
      <c r="CL33" s="127"/>
      <c r="CM33" s="127"/>
    </row>
    <row r="34" spans="1:91" x14ac:dyDescent="0.25">
      <c r="A34">
        <v>31</v>
      </c>
      <c r="B34" s="127">
        <v>15.5</v>
      </c>
      <c r="C34" s="20">
        <v>4.5493799292717623E-4</v>
      </c>
      <c r="D34" s="20">
        <v>0.24147056915994058</v>
      </c>
      <c r="E34" s="20">
        <v>10.738564313742675</v>
      </c>
      <c r="F34" s="20">
        <v>4.3719004119118967</v>
      </c>
      <c r="G34" s="19">
        <v>430.76507587222386</v>
      </c>
      <c r="H34" s="19">
        <v>47.75531569982315</v>
      </c>
      <c r="I34" s="19">
        <v>4.2555085496529053E-4</v>
      </c>
      <c r="J34" s="19">
        <v>-1.6363704355616966E-4</v>
      </c>
      <c r="K34">
        <v>0.50584459638631885</v>
      </c>
      <c r="L34" s="19">
        <v>241.73726165858633</v>
      </c>
      <c r="M34" s="19">
        <v>45.661734388472794</v>
      </c>
      <c r="N34" s="19">
        <v>4.0455189308058866E-4</v>
      </c>
      <c r="O34" s="19">
        <v>-1.5604828492788884E-4</v>
      </c>
      <c r="P34" s="19">
        <v>0.27602045051188023</v>
      </c>
      <c r="Q34" s="19">
        <v>113.78259731024866</v>
      </c>
      <c r="R34" s="19">
        <v>24.292599698354763</v>
      </c>
      <c r="S34" s="19">
        <v>2.0685854268076293E-4</v>
      </c>
      <c r="T34" s="19">
        <v>-8.7452506581199327E-5</v>
      </c>
      <c r="U34" s="19">
        <v>0.14940503620281792</v>
      </c>
      <c r="V34" s="19">
        <v>76.571306692479908</v>
      </c>
      <c r="W34" s="19">
        <v>16.257539106855237</v>
      </c>
      <c r="X34" s="19">
        <v>1.3702863575593716E-4</v>
      </c>
      <c r="Y34" s="19">
        <v>-6.1725345453441294E-5</v>
      </c>
      <c r="Z34">
        <v>0.10437411666975166</v>
      </c>
      <c r="AB34">
        <v>1278292.3177650417</v>
      </c>
      <c r="AC34">
        <v>3768247.9396129292</v>
      </c>
      <c r="AD34">
        <v>1561134.1924540587</v>
      </c>
      <c r="AE34">
        <v>4626251.1780400407</v>
      </c>
      <c r="AF34">
        <v>22084028.81425529</v>
      </c>
      <c r="AG34">
        <v>56448436.439624205</v>
      </c>
      <c r="AH34">
        <v>112352749.76332651</v>
      </c>
      <c r="AI34">
        <v>254276158.65321302</v>
      </c>
      <c r="AK34">
        <v>0.20804545255689877</v>
      </c>
      <c r="AL34">
        <v>44.170286607030754</v>
      </c>
      <c r="AM34">
        <v>4209.2570991410075</v>
      </c>
      <c r="AN34">
        <v>171.36790643444874</v>
      </c>
      <c r="AP34" s="134">
        <v>1.627526424633797E-7</v>
      </c>
      <c r="AQ34" s="134">
        <v>5.5210128391463804E-8</v>
      </c>
      <c r="AR34" s="134">
        <v>2.8293715441333277E-5</v>
      </c>
      <c r="AS34" s="134">
        <v>9.5477493346446341E-6</v>
      </c>
      <c r="AT34" s="134">
        <v>1.9060186592511247E-4</v>
      </c>
      <c r="AU34" s="134">
        <v>7.4568178759798259E-5</v>
      </c>
      <c r="AV34" s="134">
        <v>1.525266687245652E-6</v>
      </c>
      <c r="AW34" s="134">
        <v>6.7394405886146709E-7</v>
      </c>
      <c r="AY34" s="134">
        <v>2.2058360069615479E-4</v>
      </c>
      <c r="AZ34" s="134">
        <v>8.4845082281695825E-5</v>
      </c>
      <c r="BB34">
        <v>5.0869842070831251E-4</v>
      </c>
      <c r="BC34">
        <v>8.7417368928605316E-4</v>
      </c>
      <c r="BD34">
        <v>1.038316031275499E-3</v>
      </c>
      <c r="BE34">
        <v>1.5133200445956681E-5</v>
      </c>
      <c r="BF34">
        <v>2.4363213417158214E-3</v>
      </c>
      <c r="BG34">
        <v>2.7362853443511472E-3</v>
      </c>
      <c r="BH34">
        <v>3.614942670850873E-4</v>
      </c>
      <c r="BI34">
        <v>4.1483904047356983E-4</v>
      </c>
      <c r="BJ34">
        <v>6.6114967210870644E-6</v>
      </c>
      <c r="BK34">
        <v>3.5192301486308914E-3</v>
      </c>
      <c r="CC34" s="133">
        <v>31</v>
      </c>
      <c r="CJ34" s="127"/>
      <c r="CK34" s="127"/>
      <c r="CL34" s="127"/>
      <c r="CM34" s="127"/>
    </row>
    <row r="35" spans="1:91" x14ac:dyDescent="0.25">
      <c r="A35">
        <v>32</v>
      </c>
      <c r="B35" s="127">
        <v>16</v>
      </c>
      <c r="C35" s="20">
        <v>2.9440430919613192E-4</v>
      </c>
      <c r="D35" s="20">
        <v>0.1995192449710754</v>
      </c>
      <c r="E35" s="20">
        <v>8.6732886194945049</v>
      </c>
      <c r="F35" s="20">
        <v>3.5553064107499073</v>
      </c>
      <c r="G35" s="19">
        <v>435.67115952574289</v>
      </c>
      <c r="H35" s="19">
        <v>49.193132053072347</v>
      </c>
      <c r="I35" s="19">
        <v>4.3824966136217432E-4</v>
      </c>
      <c r="J35" s="19">
        <v>-1.6381420870438548E-4</v>
      </c>
      <c r="K35">
        <v>0.51992023352817518</v>
      </c>
      <c r="L35" s="19">
        <v>250.02643429759047</v>
      </c>
      <c r="M35" s="19">
        <v>47.134693562294494</v>
      </c>
      <c r="N35" s="19">
        <v>4.1760195414770434E-4</v>
      </c>
      <c r="O35" s="19">
        <v>-1.5984798881727046E-4</v>
      </c>
      <c r="P35" s="19">
        <v>0.2838540270680262</v>
      </c>
      <c r="Q35" s="19">
        <v>118.05619853201691</v>
      </c>
      <c r="R35" s="19">
        <v>25.07623194668879</v>
      </c>
      <c r="S35" s="19">
        <v>2.1353139889627144E-4</v>
      </c>
      <c r="T35" s="19">
        <v>-9.0021996279268608E-5</v>
      </c>
      <c r="U35" s="19">
        <v>0.15367095683958015</v>
      </c>
      <c r="V35" s="19">
        <v>78.637709478190601</v>
      </c>
      <c r="W35" s="19">
        <v>16.781975852237668</v>
      </c>
      <c r="X35" s="19">
        <v>1.4144891432870936E-4</v>
      </c>
      <c r="Y35" s="19">
        <v>-6.3440554617221428E-5</v>
      </c>
      <c r="Z35">
        <v>0.10733769501047701</v>
      </c>
      <c r="AB35">
        <v>1138120.3737378044</v>
      </c>
      <c r="AC35">
        <v>3750673.9563619755</v>
      </c>
      <c r="AD35">
        <v>1377134.9876565435</v>
      </c>
      <c r="AE35">
        <v>4169587.4410468866</v>
      </c>
      <c r="AF35">
        <v>19481149.599778015</v>
      </c>
      <c r="AG35">
        <v>49810622.108597189</v>
      </c>
      <c r="AH35">
        <v>99110571.920325369</v>
      </c>
      <c r="AI35">
        <v>225882597.42128992</v>
      </c>
      <c r="AK35">
        <v>0.13463258442610415</v>
      </c>
      <c r="AL35">
        <v>36.496465240670858</v>
      </c>
      <c r="AM35">
        <v>3399.7190525538804</v>
      </c>
      <c r="AN35">
        <v>139.35939956069242</v>
      </c>
      <c r="AP35" s="134">
        <v>1.1829380049137076E-7</v>
      </c>
      <c r="AQ35" s="134">
        <v>3.5895571300655819E-8</v>
      </c>
      <c r="AR35" s="134">
        <v>2.6501734084017805E-5</v>
      </c>
      <c r="AS35" s="134">
        <v>8.7530159174470859E-6</v>
      </c>
      <c r="AT35" s="134">
        <v>1.745132665370333E-4</v>
      </c>
      <c r="AU35" s="134">
        <v>6.8252892829601846E-5</v>
      </c>
      <c r="AV35" s="134">
        <v>1.4061002460234306E-6</v>
      </c>
      <c r="AW35" s="134">
        <v>6.1695500738720251E-7</v>
      </c>
      <c r="AY35" s="134">
        <v>2.0253939466756591E-4</v>
      </c>
      <c r="AZ35" s="134">
        <v>7.765875932573679E-5</v>
      </c>
      <c r="BB35">
        <v>5.0881671450880384E-4</v>
      </c>
      <c r="BC35">
        <v>9.0067542337007097E-4</v>
      </c>
      <c r="BD35">
        <v>1.2128292978125324E-3</v>
      </c>
      <c r="BE35">
        <v>1.6539300691980113E-5</v>
      </c>
      <c r="BF35">
        <v>2.6388607363833872E-3</v>
      </c>
      <c r="BG35">
        <v>2.7363212399224477E-3</v>
      </c>
      <c r="BH35">
        <v>3.7024728300253437E-4</v>
      </c>
      <c r="BI35">
        <v>4.8309193330317167E-4</v>
      </c>
      <c r="BJ35">
        <v>7.228451728474267E-6</v>
      </c>
      <c r="BK35">
        <v>3.5968889079566282E-3</v>
      </c>
      <c r="CC35" s="133">
        <v>32</v>
      </c>
      <c r="CJ35" s="127"/>
      <c r="CK35" s="127"/>
      <c r="CL35" s="127"/>
      <c r="CM35" s="127"/>
    </row>
    <row r="36" spans="1:91" x14ac:dyDescent="0.25">
      <c r="A36">
        <v>33</v>
      </c>
      <c r="B36" s="127">
        <v>16.5</v>
      </c>
      <c r="C36" s="20">
        <v>1.9157657203389543E-4</v>
      </c>
      <c r="D36" s="20">
        <v>0.16519043047129084</v>
      </c>
      <c r="E36" s="20">
        <v>6.4094457194503542</v>
      </c>
      <c r="F36" s="20">
        <v>2.8163799556415423</v>
      </c>
      <c r="G36" s="19">
        <v>440.36942662157412</v>
      </c>
      <c r="H36" s="19">
        <v>50.624942937052992</v>
      </c>
      <c r="I36" s="19">
        <v>4.5088850161187219E-4</v>
      </c>
      <c r="J36" s="19">
        <v>-1.639067034705481E-4</v>
      </c>
      <c r="K36">
        <v>0.53392187516988687</v>
      </c>
      <c r="L36" s="19">
        <v>258.18037726548704</v>
      </c>
      <c r="M36" s="19">
        <v>48.607652736116194</v>
      </c>
      <c r="N36" s="19">
        <v>4.3065201521482008E-4</v>
      </c>
      <c r="O36" s="19">
        <v>-1.635735191531394E-4</v>
      </c>
      <c r="P36" s="19">
        <v>0.29165338491017079</v>
      </c>
      <c r="Q36" s="19">
        <v>122.28489086736485</v>
      </c>
      <c r="R36" s="19">
        <v>25.859864195022809</v>
      </c>
      <c r="S36" s="19">
        <v>2.2020425511177987E-4</v>
      </c>
      <c r="T36" s="19">
        <v>-9.2569987632056596E-5</v>
      </c>
      <c r="U36" s="19">
        <v>0.15792239736255001</v>
      </c>
      <c r="V36" s="19">
        <v>80.647871022421455</v>
      </c>
      <c r="W36" s="19">
        <v>17.306412597620088</v>
      </c>
      <c r="X36" s="19">
        <v>1.4586919290148146E-4</v>
      </c>
      <c r="Y36" s="19">
        <v>-6.5122045084309527E-5</v>
      </c>
      <c r="Z36">
        <v>0.11029234762721271</v>
      </c>
      <c r="AB36">
        <v>1017220.940937306</v>
      </c>
      <c r="AC36">
        <v>3741538.9961554403</v>
      </c>
      <c r="AD36">
        <v>1219519.8228726559</v>
      </c>
      <c r="AE36">
        <v>3774573.9628327615</v>
      </c>
      <c r="AF36">
        <v>17251502.809978832</v>
      </c>
      <c r="AG36">
        <v>44152652.517075941</v>
      </c>
      <c r="AH36">
        <v>87767218.316602156</v>
      </c>
      <c r="AI36">
        <v>201745100.18683302</v>
      </c>
      <c r="AK36">
        <v>8.7608938465755057E-2</v>
      </c>
      <c r="AL36">
        <v>30.216968817524023</v>
      </c>
      <c r="AM36">
        <v>2512.3474710328805</v>
      </c>
      <c r="AN36">
        <v>110.39527236421479</v>
      </c>
      <c r="AP36" s="134">
        <v>8.6125771639176888E-8</v>
      </c>
      <c r="AQ36" s="134">
        <v>2.3415214583030205E-8</v>
      </c>
      <c r="AR36" s="134">
        <v>2.4777759451540562E-5</v>
      </c>
      <c r="AS36" s="134">
        <v>8.0053985204853789E-6</v>
      </c>
      <c r="AT36" s="134">
        <v>1.4563064439694244E-4</v>
      </c>
      <c r="AU36" s="134">
        <v>5.6901393864416995E-5</v>
      </c>
      <c r="AV36" s="134">
        <v>1.2578189725232784E-6</v>
      </c>
      <c r="AW36" s="134">
        <v>5.4720175241916371E-7</v>
      </c>
      <c r="AY36" s="134">
        <v>1.7175234859264545E-4</v>
      </c>
      <c r="AZ36" s="134">
        <v>6.547740935190457E-5</v>
      </c>
      <c r="BB36">
        <v>5.0890284028044298E-4</v>
      </c>
      <c r="BC36">
        <v>9.2545318282161149E-4</v>
      </c>
      <c r="BD36">
        <v>1.3584599422094747E-3</v>
      </c>
      <c r="BE36">
        <v>1.7797119664503393E-5</v>
      </c>
      <c r="BF36">
        <v>2.8106130849760327E-3</v>
      </c>
      <c r="BG36">
        <v>2.7363446551370309E-3</v>
      </c>
      <c r="BH36">
        <v>3.7825268152301975E-4</v>
      </c>
      <c r="BI36">
        <v>5.3999332716758871E-4</v>
      </c>
      <c r="BJ36">
        <v>7.7756534808934306E-6</v>
      </c>
      <c r="BK36">
        <v>3.662366317308533E-3</v>
      </c>
      <c r="CC36" s="133">
        <v>33</v>
      </c>
      <c r="CJ36" s="127"/>
      <c r="CK36" s="127"/>
      <c r="CL36" s="127"/>
      <c r="CM36" s="127"/>
    </row>
    <row r="37" spans="1:91" x14ac:dyDescent="0.25">
      <c r="A37">
        <v>34</v>
      </c>
      <c r="B37" s="127">
        <v>17</v>
      </c>
      <c r="C37" s="20">
        <v>1.2534399286555335E-4</v>
      </c>
      <c r="D37" s="20">
        <v>0.13704434234827553</v>
      </c>
      <c r="E37" s="20">
        <v>4.3679208045867854</v>
      </c>
      <c r="F37" s="20">
        <v>2.1784022795305926</v>
      </c>
      <c r="G37" s="19">
        <v>444.87199573318298</v>
      </c>
      <c r="H37" s="19">
        <v>52.050783410277646</v>
      </c>
      <c r="I37" s="19">
        <v>4.6346774311025227E-4</v>
      </c>
      <c r="J37" s="19">
        <v>-1.6392139404159382E-4</v>
      </c>
      <c r="K37">
        <v>0.54785170373830594</v>
      </c>
      <c r="L37" s="19">
        <v>266.19494217694677</v>
      </c>
      <c r="M37" s="19">
        <v>50.0806119099379</v>
      </c>
      <c r="N37" s="19">
        <v>4.4370207628193593E-4</v>
      </c>
      <c r="O37" s="19">
        <v>-1.6722458319296573E-4</v>
      </c>
      <c r="P37" s="19">
        <v>0.29941936238669181</v>
      </c>
      <c r="Q37" s="19">
        <v>126.46347642609726</v>
      </c>
      <c r="R37" s="19">
        <v>26.643496443356838</v>
      </c>
      <c r="S37" s="19">
        <v>2.268771113272884E-4</v>
      </c>
      <c r="T37" s="19">
        <v>-9.5077526890838344E-5</v>
      </c>
      <c r="U37" s="19">
        <v>0.16215969118728052</v>
      </c>
      <c r="V37" s="19">
        <v>82.603731889906769</v>
      </c>
      <c r="W37" s="19">
        <v>17.830849343002523</v>
      </c>
      <c r="X37" s="19">
        <v>1.5028947147425372E-4</v>
      </c>
      <c r="Y37" s="19">
        <v>-6.6769715589459498E-5</v>
      </c>
      <c r="Z37">
        <v>0.11323830922407199</v>
      </c>
      <c r="AB37">
        <v>912454.88048435631</v>
      </c>
      <c r="AC37">
        <v>3740090.649728809</v>
      </c>
      <c r="AD37">
        <v>1083870.0210185624</v>
      </c>
      <c r="AE37">
        <v>3431243.6680963752</v>
      </c>
      <c r="AF37">
        <v>15332581.203320097</v>
      </c>
      <c r="AG37">
        <v>39337944.324892178</v>
      </c>
      <c r="AH37">
        <v>78004682.644252181</v>
      </c>
      <c r="AI37">
        <v>181102537.03006956</v>
      </c>
      <c r="AK37">
        <v>5.7320443942735354E-2</v>
      </c>
      <c r="AL37">
        <v>25.068429251872569</v>
      </c>
      <c r="AM37">
        <v>1712.1191546679599</v>
      </c>
      <c r="AN37">
        <v>85.388092784102369</v>
      </c>
      <c r="AP37" s="134">
        <v>6.2820031070805465E-8</v>
      </c>
      <c r="AQ37" s="134">
        <v>1.532595044103854E-8</v>
      </c>
      <c r="AR37" s="134">
        <v>2.3128630523717794E-5</v>
      </c>
      <c r="AS37" s="134">
        <v>7.3059309325531868E-6</v>
      </c>
      <c r="AT37" s="134">
        <v>1.1166542227718447E-4</v>
      </c>
      <c r="AU37" s="134">
        <v>4.3523350903330478E-5</v>
      </c>
      <c r="AV37" s="134">
        <v>1.0946534219429228E-6</v>
      </c>
      <c r="AW37" s="134">
        <v>4.7149031805073424E-7</v>
      </c>
      <c r="AY37" s="134">
        <v>1.35951526253916E-4</v>
      </c>
      <c r="AZ37" s="134">
        <v>5.1316098104375441E-5</v>
      </c>
      <c r="BB37">
        <v>5.089656603115138E-4</v>
      </c>
      <c r="BC37">
        <v>9.4858181334532934E-4</v>
      </c>
      <c r="BD37">
        <v>1.4701253644866592E-3</v>
      </c>
      <c r="BE37">
        <v>1.8891773086446316E-5</v>
      </c>
      <c r="BF37">
        <v>2.9465646112299491E-3</v>
      </c>
      <c r="BG37">
        <v>2.736359981087472E-3</v>
      </c>
      <c r="BH37">
        <v>3.8555861245557295E-4</v>
      </c>
      <c r="BI37">
        <v>5.8351667807091914E-4</v>
      </c>
      <c r="BJ37">
        <v>8.2471437989441648E-6</v>
      </c>
      <c r="BK37">
        <v>3.7136824154129079E-3</v>
      </c>
      <c r="CC37" s="133">
        <v>34</v>
      </c>
      <c r="CJ37" s="127"/>
      <c r="CK37" s="127"/>
      <c r="CL37" s="127"/>
      <c r="CM37" s="127"/>
    </row>
    <row r="38" spans="1:91" x14ac:dyDescent="0.25">
      <c r="A38">
        <v>35</v>
      </c>
      <c r="B38" s="127">
        <v>17.5</v>
      </c>
      <c r="C38" s="20">
        <v>8.2448393330531008E-5</v>
      </c>
      <c r="D38" s="20">
        <v>0.11392199564721488</v>
      </c>
      <c r="E38" s="20">
        <v>2.764756226648895</v>
      </c>
      <c r="F38" s="20">
        <v>1.6487503246071948</v>
      </c>
      <c r="G38" s="19">
        <v>449.19009174533818</v>
      </c>
      <c r="H38" s="19">
        <v>53.470688268558519</v>
      </c>
      <c r="I38" s="19">
        <v>4.7598775042807719E-4</v>
      </c>
      <c r="J38" s="19">
        <v>-1.6386456122222248E-4</v>
      </c>
      <c r="K38">
        <v>0.561711786940713</v>
      </c>
      <c r="L38" s="19">
        <v>274.06759540692309</v>
      </c>
      <c r="M38" s="19">
        <v>51.553571083759607</v>
      </c>
      <c r="N38" s="19">
        <v>4.5675213734905167E-4</v>
      </c>
      <c r="O38" s="19">
        <v>-1.7080140666410218E-4</v>
      </c>
      <c r="P38" s="19">
        <v>0.30715275985485724</v>
      </c>
      <c r="Q38" s="19">
        <v>130.5878287707566</v>
      </c>
      <c r="R38" s="19">
        <v>27.427128691690861</v>
      </c>
      <c r="S38" s="19">
        <v>2.3354996754279685E-4</v>
      </c>
      <c r="T38" s="19">
        <v>-9.7538753934343111E-5</v>
      </c>
      <c r="U38" s="19">
        <v>0.16638315287361161</v>
      </c>
      <c r="V38" s="19">
        <v>84.507225223904058</v>
      </c>
      <c r="W38" s="19">
        <v>18.35528608838494</v>
      </c>
      <c r="X38" s="19">
        <v>1.5470975004702579E-4</v>
      </c>
      <c r="Y38" s="19">
        <v>-6.8383694703741364E-5</v>
      </c>
      <c r="Z38">
        <v>0.11617579866749626</v>
      </c>
      <c r="AB38">
        <v>821268.48707814084</v>
      </c>
      <c r="AC38">
        <v>3745697.6434578816</v>
      </c>
      <c r="AD38">
        <v>966607.47952214885</v>
      </c>
      <c r="AE38">
        <v>3131446.9158625137</v>
      </c>
      <c r="AF38">
        <v>13673768.42620145</v>
      </c>
      <c r="AG38">
        <v>35225938.331537023</v>
      </c>
      <c r="AH38">
        <v>69565453.624069363</v>
      </c>
      <c r="AI38">
        <v>163347699.29271778</v>
      </c>
      <c r="AK38">
        <v>3.770406861971027E-2</v>
      </c>
      <c r="AL38">
        <v>20.838842663469329</v>
      </c>
      <c r="AM38">
        <v>1083.7174723182493</v>
      </c>
      <c r="AN38">
        <v>64.627019085618315</v>
      </c>
      <c r="AP38" s="134">
        <v>4.5909552372880535E-8</v>
      </c>
      <c r="AQ38" s="134">
        <v>1.0065966932905814E-8</v>
      </c>
      <c r="AR38" s="134">
        <v>2.1558743445448198E-5</v>
      </c>
      <c r="AS38" s="134">
        <v>6.6547009173008947E-6</v>
      </c>
      <c r="AT38" s="134">
        <v>7.9255216158381599E-5</v>
      </c>
      <c r="AU38" s="134">
        <v>3.0764758119956751E-5</v>
      </c>
      <c r="AV38" s="134">
        <v>9.2901024458004299E-7</v>
      </c>
      <c r="AW38" s="134">
        <v>3.9564082852374435E-7</v>
      </c>
      <c r="AY38" s="134">
        <v>1.0178887940078271E-4</v>
      </c>
      <c r="AZ38" s="134">
        <v>3.7825165832714292E-5</v>
      </c>
      <c r="BB38">
        <v>5.0901156986388673E-4</v>
      </c>
      <c r="BC38">
        <v>9.7014055679077752E-4</v>
      </c>
      <c r="BD38">
        <v>1.5493805806450409E-3</v>
      </c>
      <c r="BE38">
        <v>1.9820783331026359E-5</v>
      </c>
      <c r="BF38">
        <v>3.0483534906307315E-3</v>
      </c>
      <c r="BG38">
        <v>2.7363700470544048E-3</v>
      </c>
      <c r="BH38">
        <v>3.9221331337287385E-4</v>
      </c>
      <c r="BI38">
        <v>6.142814361908759E-4</v>
      </c>
      <c r="BJ38">
        <v>8.6427846274679085E-6</v>
      </c>
      <c r="BK38">
        <v>3.7515075812456222E-3</v>
      </c>
      <c r="CC38" s="133">
        <f t="shared" ref="CC38:CC67" si="3">CC37+1</f>
        <v>35</v>
      </c>
      <c r="CJ38" s="127"/>
      <c r="CK38" s="127"/>
      <c r="CL38" s="127"/>
      <c r="CM38" s="127"/>
    </row>
    <row r="39" spans="1:91" x14ac:dyDescent="0.25">
      <c r="A39">
        <v>36</v>
      </c>
      <c r="B39" s="127">
        <v>18</v>
      </c>
      <c r="C39" s="20">
        <v>5.4516982097750608E-5</v>
      </c>
      <c r="D39" s="20">
        <v>9.4889120018841158E-2</v>
      </c>
      <c r="E39" s="20">
        <v>1.6360023538969699</v>
      </c>
      <c r="F39" s="20">
        <v>1.2234729111923055</v>
      </c>
      <c r="G39" s="19">
        <v>453.33412510552938</v>
      </c>
      <c r="H39" s="19">
        <v>54.884692047409274</v>
      </c>
      <c r="I39" s="19">
        <v>4.8844888533725896E-4</v>
      </c>
      <c r="J39" s="19">
        <v>-1.6374195680691971E-4</v>
      </c>
      <c r="K39">
        <v>0.57550408598067138</v>
      </c>
      <c r="L39" s="19">
        <v>282.0350144267839</v>
      </c>
      <c r="M39" s="19">
        <v>53.026530257581307</v>
      </c>
      <c r="N39" s="19">
        <v>4.6980219841616741E-4</v>
      </c>
      <c r="O39" s="19">
        <v>-1.742476953857332E-4</v>
      </c>
      <c r="P39" s="19">
        <v>0.31485434242326743</v>
      </c>
      <c r="Q39" s="19">
        <v>134.65451928931046</v>
      </c>
      <c r="R39" s="19">
        <v>28.210760940024887</v>
      </c>
      <c r="S39" s="19">
        <v>2.4022282375830533E-4</v>
      </c>
      <c r="T39" s="19">
        <v>-9.9974032566511664E-5</v>
      </c>
      <c r="U39" s="19">
        <v>0.17059307996365608</v>
      </c>
      <c r="V39" s="19">
        <v>86.360257074583842</v>
      </c>
      <c r="W39" s="19">
        <v>18.879722833767371</v>
      </c>
      <c r="X39" s="19">
        <v>1.5913002861979797E-4</v>
      </c>
      <c r="Y39" s="19">
        <v>-6.9964287829111507E-5</v>
      </c>
      <c r="Z39">
        <v>0.1191050206176552</v>
      </c>
      <c r="AB39">
        <v>741571.34477530234</v>
      </c>
      <c r="AC39">
        <v>3757828.8049188415</v>
      </c>
      <c r="AD39">
        <v>864816.66226899566</v>
      </c>
      <c r="AE39">
        <v>2872542.5017568246</v>
      </c>
      <c r="AF39">
        <v>12233820.885425653</v>
      </c>
      <c r="AG39">
        <v>31666155.484366663</v>
      </c>
      <c r="AH39">
        <v>62239704.002846695</v>
      </c>
      <c r="AI39">
        <v>147993268.95917118</v>
      </c>
      <c r="AK39">
        <v>2.4930892536773545E-2</v>
      </c>
      <c r="AL39">
        <v>17.35731042380165</v>
      </c>
      <c r="AM39">
        <v>641.2732951219009</v>
      </c>
      <c r="AN39">
        <v>47.957174595977691</v>
      </c>
      <c r="AP39" s="134">
        <v>3.3619007412331526E-8</v>
      </c>
      <c r="AQ39" s="134">
        <v>6.6343875229600791E-9</v>
      </c>
      <c r="AR39" s="134">
        <v>2.0070508792304894E-5</v>
      </c>
      <c r="AS39" s="134">
        <v>6.0424903767954884E-6</v>
      </c>
      <c r="AT39" s="134">
        <v>5.2418071273698313E-5</v>
      </c>
      <c r="AU39" s="134">
        <v>2.0251062540209295E-5</v>
      </c>
      <c r="AV39" s="134">
        <v>7.7052382180005617E-7</v>
      </c>
      <c r="AW39" s="134">
        <v>3.2404970126856415E-7</v>
      </c>
      <c r="AY39" s="134">
        <v>7.3292722895215601E-5</v>
      </c>
      <c r="AZ39" s="134">
        <v>2.662423700579631E-5</v>
      </c>
      <c r="BB39">
        <v>5.090451888712991E-4</v>
      </c>
      <c r="BC39">
        <v>9.9021106558308232E-4</v>
      </c>
      <c r="BD39">
        <v>1.6017986519187392E-3</v>
      </c>
      <c r="BE39">
        <v>2.0591307152826417E-5</v>
      </c>
      <c r="BF39">
        <v>3.121646213525947E-3</v>
      </c>
      <c r="BG39">
        <v>2.7363766814419276E-3</v>
      </c>
      <c r="BH39">
        <v>3.9825580374966933E-4</v>
      </c>
      <c r="BI39">
        <v>6.3453249873108523E-4</v>
      </c>
      <c r="BJ39">
        <v>8.9668343287364734E-6</v>
      </c>
      <c r="BK39">
        <v>3.7781318182514186E-3</v>
      </c>
      <c r="CC39" s="133">
        <f t="shared" si="3"/>
        <v>36</v>
      </c>
      <c r="CJ39" s="127"/>
      <c r="CK39" s="127"/>
      <c r="CL39" s="127"/>
      <c r="CM39" s="127"/>
    </row>
    <row r="40" spans="1:91" x14ac:dyDescent="0.25">
      <c r="A40">
        <v>37</v>
      </c>
      <c r="B40" s="127">
        <v>18.5</v>
      </c>
      <c r="C40" s="20">
        <v>3.6233062091893961E-5</v>
      </c>
      <c r="D40" s="20">
        <v>7.9191424341782057E-2</v>
      </c>
      <c r="E40" s="20">
        <v>0.91034851380487358</v>
      </c>
      <c r="F40" s="20">
        <v>0.89172360756128721</v>
      </c>
      <c r="G40" s="19">
        <v>457.31376290151894</v>
      </c>
      <c r="H40" s="19">
        <v>56.292829024420975</v>
      </c>
      <c r="I40" s="19">
        <v>5.0085150683681294E-4</v>
      </c>
      <c r="J40" s="19">
        <v>-1.6355885381925231E-4</v>
      </c>
      <c r="K40">
        <v>0.58923046302381299</v>
      </c>
      <c r="L40" s="19">
        <v>290.79638757934225</v>
      </c>
      <c r="M40" s="19">
        <v>54.499489431403006</v>
      </c>
      <c r="N40" s="19">
        <v>4.8285225948328315E-4</v>
      </c>
      <c r="O40" s="19">
        <v>-1.7742858236128109E-4</v>
      </c>
      <c r="P40" s="19">
        <v>0.32252484239958906</v>
      </c>
      <c r="Q40" s="19">
        <v>138.66131808802189</v>
      </c>
      <c r="R40" s="19">
        <v>28.994393188358906</v>
      </c>
      <c r="S40" s="19">
        <v>2.4689567997381376E-4</v>
      </c>
      <c r="T40" s="19">
        <v>-1.023810048903171E-4</v>
      </c>
      <c r="U40" s="19">
        <v>0.17478975458147439</v>
      </c>
      <c r="V40" s="19">
        <v>88.16469241930055</v>
      </c>
      <c r="W40" s="19">
        <v>19.404159579149798</v>
      </c>
      <c r="X40" s="19">
        <v>1.6355030719257015E-4</v>
      </c>
      <c r="Y40" s="19">
        <v>-7.1511935336767064E-5</v>
      </c>
      <c r="Z40">
        <v>0.12202616694983484</v>
      </c>
      <c r="AB40">
        <v>671642.21543105424</v>
      </c>
      <c r="AC40">
        <v>3776036.2552373866</v>
      </c>
      <c r="AD40">
        <v>776107.92202670674</v>
      </c>
      <c r="AE40">
        <v>2656600.2627716986</v>
      </c>
      <c r="AF40">
        <v>10978934.287555793</v>
      </c>
      <c r="AG40">
        <v>28573295.473724168</v>
      </c>
      <c r="AH40">
        <v>55855454.050192371</v>
      </c>
      <c r="AI40">
        <v>134645806.39775643</v>
      </c>
      <c r="AK40">
        <v>1.6569563144041368E-2</v>
      </c>
      <c r="AL40">
        <v>14.485856070015014</v>
      </c>
      <c r="AM40">
        <v>356.83456675132715</v>
      </c>
      <c r="AN40">
        <v>34.953405464038106</v>
      </c>
      <c r="AP40" s="134">
        <v>2.4670222870679986E-8</v>
      </c>
      <c r="AQ40" s="134">
        <v>4.3880837004833518E-9</v>
      </c>
      <c r="AR40" s="134">
        <v>1.8664744501237728E-5</v>
      </c>
      <c r="AS40" s="134">
        <v>5.4527797324319888E-6</v>
      </c>
      <c r="AT40" s="134">
        <v>3.2501749022743094E-5</v>
      </c>
      <c r="AU40" s="134">
        <v>1.2488393824907948E-5</v>
      </c>
      <c r="AV40" s="134">
        <v>6.2578321237221633E-7</v>
      </c>
      <c r="AW40" s="134">
        <v>2.5959520314195635E-7</v>
      </c>
      <c r="AY40" s="134">
        <v>5.1816946959223723E-5</v>
      </c>
      <c r="AZ40" s="134">
        <v>1.8205156844182376E-5</v>
      </c>
      <c r="BB40">
        <v>5.0906985909416973E-4</v>
      </c>
      <c r="BC40">
        <v>1.0088758100843202E-3</v>
      </c>
      <c r="BD40">
        <v>1.6343004009414823E-3</v>
      </c>
      <c r="BE40">
        <v>2.1217090365198635E-5</v>
      </c>
      <c r="BF40">
        <v>3.1734631604851708E-3</v>
      </c>
      <c r="BG40">
        <v>2.7363810695256283E-3</v>
      </c>
      <c r="BH40">
        <v>4.037085834821013E-4</v>
      </c>
      <c r="BI40">
        <v>6.4702089255599319E-4</v>
      </c>
      <c r="BJ40">
        <v>9.2264295318784299E-6</v>
      </c>
      <c r="BK40">
        <v>3.796336975095601E-3</v>
      </c>
      <c r="CC40" s="133">
        <f t="shared" si="3"/>
        <v>37</v>
      </c>
      <c r="CJ40" s="127"/>
      <c r="CK40" s="127"/>
      <c r="CL40" s="127"/>
      <c r="CM40" s="127"/>
    </row>
    <row r="41" spans="1:91" x14ac:dyDescent="0.25">
      <c r="A41">
        <v>38</v>
      </c>
      <c r="B41" s="127">
        <v>19</v>
      </c>
      <c r="C41" s="20">
        <v>2.4202169709192039E-5</v>
      </c>
      <c r="D41" s="20">
        <v>6.6218920333807482E-2</v>
      </c>
      <c r="E41" s="20">
        <v>0.47890066132979647</v>
      </c>
      <c r="F41" s="20">
        <v>0.63938761704403624</v>
      </c>
      <c r="G41" s="19">
        <v>461.13799272256364</v>
      </c>
      <c r="H41" s="19">
        <v>57.695133221613091</v>
      </c>
      <c r="I41" s="19">
        <v>5.1319597117855818E-4</v>
      </c>
      <c r="J41" s="19">
        <v>-1.6332009136424272E-4</v>
      </c>
      <c r="K41">
        <v>0.60289268799853657</v>
      </c>
      <c r="L41" s="19">
        <v>299.55626199352486</v>
      </c>
      <c r="M41" s="19">
        <v>55.972448605224713</v>
      </c>
      <c r="N41" s="19">
        <v>4.9590232055039894E-4</v>
      </c>
      <c r="O41" s="19">
        <v>-1.8057111785570274E-4</v>
      </c>
      <c r="P41" s="19">
        <v>0.3301649614859955</v>
      </c>
      <c r="Q41" s="19">
        <v>142.60668138524224</v>
      </c>
      <c r="R41" s="19">
        <v>29.778025436692936</v>
      </c>
      <c r="S41" s="19">
        <v>2.5356853618932229E-4</v>
      </c>
      <c r="T41" s="19">
        <v>-1.0475785301289257E-4</v>
      </c>
      <c r="U41" s="19">
        <v>0.17897344483115221</v>
      </c>
      <c r="V41" s="19">
        <v>89.925791496782395</v>
      </c>
      <c r="W41" s="19">
        <v>19.928596324532233</v>
      </c>
      <c r="X41" s="19">
        <v>1.6797058576534238E-4</v>
      </c>
      <c r="Y41" s="19">
        <v>-7.2977763931949006E-5</v>
      </c>
      <c r="Z41">
        <v>0.12493941799751206</v>
      </c>
      <c r="AB41">
        <v>610055.97322154522</v>
      </c>
      <c r="AC41">
        <v>3799941.8846865408</v>
      </c>
      <c r="AD41">
        <v>698511.75628584891</v>
      </c>
      <c r="AE41">
        <v>2462563.7933071954</v>
      </c>
      <c r="AF41">
        <v>9881247.7668326423</v>
      </c>
      <c r="AG41">
        <v>25876290.803963371</v>
      </c>
      <c r="AH41">
        <v>50270961.292160064</v>
      </c>
      <c r="AI41">
        <v>123345952.26814455</v>
      </c>
      <c r="AK41">
        <v>1.1067775011733791E-2</v>
      </c>
      <c r="AL41">
        <v>12.112899307472411</v>
      </c>
      <c r="AM41">
        <v>187.71745920504748</v>
      </c>
      <c r="AN41">
        <v>25.062445849499746</v>
      </c>
      <c r="AP41" s="134">
        <v>1.8142228742205048E-8</v>
      </c>
      <c r="AQ41" s="134">
        <v>2.9126169156260076E-9</v>
      </c>
      <c r="AR41" s="134">
        <v>1.7341009937870682E-5</v>
      </c>
      <c r="AS41" s="134">
        <v>4.9188164547830549E-6</v>
      </c>
      <c r="AT41" s="134">
        <v>1.8997343618397988E-5</v>
      </c>
      <c r="AU41" s="134">
        <v>7.2544191370849614E-6</v>
      </c>
      <c r="AV41" s="134">
        <v>4.9854717724302445E-7</v>
      </c>
      <c r="AW41" s="134">
        <v>2.0318823105776449E-7</v>
      </c>
      <c r="AY41" s="134">
        <v>3.6855042962253897E-5</v>
      </c>
      <c r="AZ41" s="134">
        <v>1.2379336439841406E-5</v>
      </c>
      <c r="BB41">
        <v>5.0908800132291193E-4</v>
      </c>
      <c r="BC41">
        <v>1.0262168200221909E-3</v>
      </c>
      <c r="BD41">
        <v>1.6532977445598803E-3</v>
      </c>
      <c r="BE41">
        <v>2.1715637542441658E-5</v>
      </c>
      <c r="BF41">
        <v>3.2103182034474249E-3</v>
      </c>
      <c r="BG41">
        <v>2.7363839821425437E-3</v>
      </c>
      <c r="BH41">
        <v>4.0862739993688434E-4</v>
      </c>
      <c r="BI41">
        <v>6.542753116930782E-4</v>
      </c>
      <c r="BJ41">
        <v>9.4296177629361943E-6</v>
      </c>
      <c r="BK41">
        <v>3.8087163115354426E-3</v>
      </c>
      <c r="CC41" s="133">
        <f t="shared" si="3"/>
        <v>38</v>
      </c>
      <c r="CJ41" s="127"/>
      <c r="CK41" s="127"/>
      <c r="CL41" s="127"/>
      <c r="CM41" s="127"/>
    </row>
    <row r="42" spans="1:91" x14ac:dyDescent="0.25">
      <c r="A42">
        <v>39</v>
      </c>
      <c r="B42" s="127">
        <v>19.5</v>
      </c>
      <c r="C42" s="20">
        <v>1.6245462275469062E-5</v>
      </c>
      <c r="D42" s="20">
        <v>5.5477463603646457E-2</v>
      </c>
      <c r="E42" s="20">
        <v>0.23933832389245452</v>
      </c>
      <c r="F42" s="20">
        <v>0.4516816676821811</v>
      </c>
      <c r="G42" s="19">
        <v>464.81518013666943</v>
      </c>
      <c r="H42" s="19">
        <v>59.091638407757586</v>
      </c>
      <c r="I42" s="19">
        <v>5.2548263189249706E-4</v>
      </c>
      <c r="J42" s="19">
        <v>-1.6303011473939056E-4</v>
      </c>
      <c r="K42">
        <v>0.61649244480484899</v>
      </c>
      <c r="L42" s="19">
        <v>308.29718674079101</v>
      </c>
      <c r="M42" s="19">
        <v>57.445407779046427</v>
      </c>
      <c r="N42" s="19">
        <v>5.0895238161751484E-4</v>
      </c>
      <c r="O42" s="19">
        <v>-1.8367331936667373E-4</v>
      </c>
      <c r="P42" s="19">
        <v>0.33777537275730962</v>
      </c>
      <c r="Q42" s="19">
        <v>146.48962328780792</v>
      </c>
      <c r="R42" s="19">
        <v>30.561657685026962</v>
      </c>
      <c r="S42" s="19">
        <v>2.6024139240483077E-4</v>
      </c>
      <c r="T42" s="19">
        <v>-1.0710320375928034E-4</v>
      </c>
      <c r="U42" s="19">
        <v>0.18314440602356158</v>
      </c>
      <c r="V42" s="19">
        <v>92.065717934374945</v>
      </c>
      <c r="W42" s="19">
        <v>20.453033069914653</v>
      </c>
      <c r="X42" s="19">
        <v>1.7239086433811448E-4</v>
      </c>
      <c r="Y42" s="19">
        <v>-7.4513076311018549E-5</v>
      </c>
      <c r="Z42">
        <v>0.1278449436433704</v>
      </c>
      <c r="AB42">
        <v>555626.47053594806</v>
      </c>
      <c r="AC42">
        <v>3829226.3987620366</v>
      </c>
      <c r="AD42">
        <v>630396.40640168753</v>
      </c>
      <c r="AE42">
        <v>2287857.8930535419</v>
      </c>
      <c r="AF42">
        <v>8917678.2307825573</v>
      </c>
      <c r="AG42">
        <v>23515891.741923105</v>
      </c>
      <c r="AH42">
        <v>45368790.231166147</v>
      </c>
      <c r="AI42">
        <v>112736283.76404585</v>
      </c>
      <c r="AK42">
        <v>7.4291323293304394E-3</v>
      </c>
      <c r="AL42">
        <v>10.148050241191489</v>
      </c>
      <c r="AM42">
        <v>93.814825660778268</v>
      </c>
      <c r="AN42">
        <v>17.70482729995809</v>
      </c>
      <c r="AP42" s="134">
        <v>1.337073145950808E-8</v>
      </c>
      <c r="AQ42" s="134">
        <v>1.9401131078936018E-9</v>
      </c>
      <c r="AR42" s="134">
        <v>1.6097887199447594E-5</v>
      </c>
      <c r="AS42" s="134">
        <v>4.4356121383252354E-6</v>
      </c>
      <c r="AT42" s="134">
        <v>1.0520095391751502E-5</v>
      </c>
      <c r="AU42" s="134">
        <v>3.9894224165664654E-6</v>
      </c>
      <c r="AV42" s="134">
        <v>3.9024243780244633E-7</v>
      </c>
      <c r="AW42" s="134">
        <v>1.5704639809676394E-7</v>
      </c>
      <c r="AY42" s="134">
        <v>2.7021595760461049E-5</v>
      </c>
      <c r="AZ42" s="134">
        <v>8.5840210660963579E-6</v>
      </c>
      <c r="BB42">
        <v>5.0910137205437145E-4</v>
      </c>
      <c r="BC42">
        <v>1.0423147072216386E-3</v>
      </c>
      <c r="BD42">
        <v>1.6638178399516318E-3</v>
      </c>
      <c r="BE42">
        <v>2.2105879980244105E-5</v>
      </c>
      <c r="BF42">
        <v>3.2373397992078862E-3</v>
      </c>
      <c r="BG42">
        <v>2.7363859222556517E-3</v>
      </c>
      <c r="BH42">
        <v>4.1306301207520956E-4</v>
      </c>
      <c r="BI42">
        <v>6.5826473410964469E-4</v>
      </c>
      <c r="BJ42">
        <v>9.586664161032958E-6</v>
      </c>
      <c r="BK42">
        <v>3.8173003326015388E-3</v>
      </c>
      <c r="CC42" s="133">
        <f t="shared" si="3"/>
        <v>39</v>
      </c>
      <c r="CJ42" s="127"/>
      <c r="CK42" s="127"/>
      <c r="CL42" s="127"/>
      <c r="CM42" s="127"/>
    </row>
    <row r="43" spans="1:91" x14ac:dyDescent="0.25">
      <c r="A43">
        <v>40</v>
      </c>
      <c r="B43" s="127">
        <v>20</v>
      </c>
      <c r="C43" s="20">
        <v>1.0956987436690861E-5</v>
      </c>
      <c r="D43" s="20">
        <v>4.6566038451719777E-2</v>
      </c>
      <c r="E43" s="20">
        <v>0.11414438716552958</v>
      </c>
      <c r="F43" s="20">
        <v>0.31478378996360085</v>
      </c>
      <c r="G43" s="19">
        <v>468.35312050908152</v>
      </c>
      <c r="H43" s="19">
        <v>60.48237810068003</v>
      </c>
      <c r="I43" s="19">
        <v>5.3771183981195323E-4</v>
      </c>
      <c r="J43" s="19">
        <v>-1.6269301136441535E-4</v>
      </c>
      <c r="K43">
        <v>0.63003133699476255</v>
      </c>
      <c r="L43" s="19">
        <v>317.00454720136702</v>
      </c>
      <c r="M43" s="19">
        <v>58.918366952868119</v>
      </c>
      <c r="N43" s="19">
        <v>5.2200244268463052E-4</v>
      </c>
      <c r="O43" s="19">
        <v>-1.8673370905694534E-4</v>
      </c>
      <c r="P43" s="19">
        <v>0.34535672245091309</v>
      </c>
      <c r="Q43" s="19">
        <v>150.30961130357079</v>
      </c>
      <c r="R43" s="19">
        <v>31.345289933360984</v>
      </c>
      <c r="S43" s="19">
        <v>2.6691424862033925E-4</v>
      </c>
      <c r="T43" s="19">
        <v>-1.0941605059822911E-4</v>
      </c>
      <c r="U43" s="19">
        <v>0.18730288175691334</v>
      </c>
      <c r="V43" s="19">
        <v>94.960247518537031</v>
      </c>
      <c r="W43" s="19">
        <v>20.977469815297081</v>
      </c>
      <c r="X43" s="19">
        <v>1.7681114291088665E-4</v>
      </c>
      <c r="Y43" s="19">
        <v>-7.6223026670374505E-5</v>
      </c>
      <c r="Z43">
        <v>0.13074290428009669</v>
      </c>
      <c r="AB43">
        <v>507361.55764958338</v>
      </c>
      <c r="AC43">
        <v>3863620.3916909746</v>
      </c>
      <c r="AD43">
        <v>570403.209869124</v>
      </c>
      <c r="AE43">
        <v>2130227.1821124377</v>
      </c>
      <c r="AF43">
        <v>8069005.8442007648</v>
      </c>
      <c r="AG43">
        <v>21442628.330067683</v>
      </c>
      <c r="AH43">
        <v>41051159.735270374</v>
      </c>
      <c r="AI43">
        <v>102210555.39762512</v>
      </c>
      <c r="AK43">
        <v>5.0106859514182219E-3</v>
      </c>
      <c r="AL43">
        <v>8.51795426549109</v>
      </c>
      <c r="AM43">
        <v>44.741834938654939</v>
      </c>
      <c r="AN43">
        <v>12.338762090413919</v>
      </c>
      <c r="AP43" s="134">
        <v>9.8759669034265407E-9</v>
      </c>
      <c r="AQ43" s="134">
        <v>1.2968887839483672E-9</v>
      </c>
      <c r="AR43" s="134">
        <v>1.4933215869254119E-5</v>
      </c>
      <c r="AS43" s="134">
        <v>3.9986130761153224E-6</v>
      </c>
      <c r="AT43" s="134">
        <v>5.5449005494042518E-6</v>
      </c>
      <c r="AU43" s="134">
        <v>2.0865835218491479E-6</v>
      </c>
      <c r="AV43" s="134">
        <v>3.0057036561168553E-7</v>
      </c>
      <c r="AW43" s="134">
        <v>1.2071905922448998E-7</v>
      </c>
      <c r="AY43" s="134">
        <v>2.0788562751173482E-5</v>
      </c>
      <c r="AZ43" s="134">
        <v>6.2072125459729094E-6</v>
      </c>
      <c r="BB43">
        <v>5.0911124802127488E-4</v>
      </c>
      <c r="BC43">
        <v>1.0572479230908927E-3</v>
      </c>
      <c r="BD43">
        <v>1.6693627405010361E-3</v>
      </c>
      <c r="BE43">
        <v>2.240645034585579E-5</v>
      </c>
      <c r="BF43">
        <v>3.2581283619590594E-3</v>
      </c>
      <c r="BG43">
        <v>2.7363872191444355E-3</v>
      </c>
      <c r="BH43">
        <v>4.170616251513249E-4</v>
      </c>
      <c r="BI43">
        <v>6.603513176314938E-4</v>
      </c>
      <c r="BJ43">
        <v>9.7073832202574482E-6</v>
      </c>
      <c r="BK43">
        <v>3.8235075451475121E-3</v>
      </c>
      <c r="CC43" s="133">
        <f t="shared" si="3"/>
        <v>40</v>
      </c>
      <c r="CJ43" s="127"/>
      <c r="CK43" s="127"/>
      <c r="CL43" s="127"/>
      <c r="CM43" s="127"/>
    </row>
    <row r="44" spans="1:91" x14ac:dyDescent="0.25">
      <c r="A44">
        <v>41</v>
      </c>
      <c r="B44" s="127">
        <v>20.5</v>
      </c>
      <c r="C44" s="20">
        <v>7.4248027457524445E-6</v>
      </c>
      <c r="D44" s="20">
        <v>3.915861132811882E-2</v>
      </c>
      <c r="E44" s="20">
        <v>5.2166002948883926E-2</v>
      </c>
      <c r="F44" s="20">
        <v>0.21668478684391812</v>
      </c>
      <c r="G44" s="19">
        <v>471.75908579524099</v>
      </c>
      <c r="H44" s="19">
        <v>61.867385569534669</v>
      </c>
      <c r="I44" s="19">
        <v>5.498839430984286E-4</v>
      </c>
      <c r="J44" s="19">
        <v>-1.6231254301668103E-4</v>
      </c>
      <c r="K44">
        <v>0.64351089297944308</v>
      </c>
      <c r="L44" s="19">
        <v>325.66612656528815</v>
      </c>
      <c r="M44" s="19">
        <v>60.391326126689826</v>
      </c>
      <c r="N44" s="19">
        <v>5.3505250375174632E-4</v>
      </c>
      <c r="O44" s="19">
        <v>-1.89751226205476E-4</v>
      </c>
      <c r="P44" s="19">
        <v>0.35290963159270816</v>
      </c>
      <c r="Q44" s="19">
        <v>154.06648093697464</v>
      </c>
      <c r="R44" s="19">
        <v>32.12892218169501</v>
      </c>
      <c r="S44" s="19">
        <v>2.7358710483584779E-4</v>
      </c>
      <c r="T44" s="19">
        <v>-1.1169568945108995E-4</v>
      </c>
      <c r="U44" s="19">
        <v>0.19144910487201378</v>
      </c>
      <c r="V44" s="19">
        <v>97.864579525863064</v>
      </c>
      <c r="W44" s="19">
        <v>21.501906560679512</v>
      </c>
      <c r="X44" s="19">
        <v>1.8123142148365886E-4</v>
      </c>
      <c r="Y44" s="19">
        <v>-7.7944233639905584E-5</v>
      </c>
      <c r="Z44">
        <v>0.13363345165923191</v>
      </c>
      <c r="AB44">
        <v>464427.4427608996</v>
      </c>
      <c r="AC44">
        <v>3902897.0303081241</v>
      </c>
      <c r="AD44">
        <v>517395.55400123523</v>
      </c>
      <c r="AE44">
        <v>1987699.1621072786</v>
      </c>
      <c r="AF44">
        <v>7319151.9205464469</v>
      </c>
      <c r="AG44">
        <v>19615111.585257933</v>
      </c>
      <c r="AH44">
        <v>37236269.302370757</v>
      </c>
      <c r="AI44">
        <v>92811383.250239834</v>
      </c>
      <c r="AK44">
        <v>3.3953999696680376E-3</v>
      </c>
      <c r="AL44">
        <v>7.1629726616939369</v>
      </c>
      <c r="AM44">
        <v>20.447809579665396</v>
      </c>
      <c r="AN44">
        <v>8.4935187856665504</v>
      </c>
      <c r="AP44" s="134">
        <v>7.3109374189502529E-9</v>
      </c>
      <c r="AQ44" s="134">
        <v>8.6996913915506989E-10</v>
      </c>
      <c r="AR44" s="134">
        <v>1.3844287231112999E-5</v>
      </c>
      <c r="AS44" s="134">
        <v>3.6036502898658175E-6</v>
      </c>
      <c r="AT44" s="134">
        <v>2.793740285983675E-6</v>
      </c>
      <c r="AU44" s="134">
        <v>1.0424518611983473E-6</v>
      </c>
      <c r="AV44" s="134">
        <v>2.2809800618575356E-7</v>
      </c>
      <c r="AW44" s="134">
        <v>9.1513761439867374E-8</v>
      </c>
      <c r="AY44" s="134">
        <v>1.6873436460701378E-5</v>
      </c>
      <c r="AZ44" s="134">
        <v>4.7384858816431872E-6</v>
      </c>
      <c r="BB44">
        <v>5.0911855895869381E-4</v>
      </c>
      <c r="BC44">
        <v>1.0710922103220057E-3</v>
      </c>
      <c r="BD44">
        <v>1.6721564807870197E-3</v>
      </c>
      <c r="BE44">
        <v>2.2634548352041543E-5</v>
      </c>
      <c r="BF44">
        <v>3.2750017984197605E-3</v>
      </c>
      <c r="BG44">
        <v>2.7363880891135748E-3</v>
      </c>
      <c r="BH44">
        <v>4.2066527544119071E-4</v>
      </c>
      <c r="BI44">
        <v>6.6139376949269214E-4</v>
      </c>
      <c r="BJ44">
        <v>9.7988969816973159E-6</v>
      </c>
      <c r="BK44">
        <v>3.8282460310291554E-3</v>
      </c>
      <c r="CC44" s="133">
        <f t="shared" si="3"/>
        <v>41</v>
      </c>
      <c r="CJ44" s="127"/>
      <c r="CK44" s="127"/>
      <c r="CL44" s="127"/>
      <c r="CM44" s="127"/>
    </row>
    <row r="45" spans="1:91" x14ac:dyDescent="0.25">
      <c r="A45">
        <v>42</v>
      </c>
      <c r="B45" s="127">
        <v>21</v>
      </c>
      <c r="C45" s="20">
        <v>5.054374204406671E-6</v>
      </c>
      <c r="D45" s="20">
        <v>3.298961821233562E-2</v>
      </c>
      <c r="E45" s="20">
        <v>2.29372163697137E-2</v>
      </c>
      <c r="F45" s="20">
        <v>0.14748837148376864</v>
      </c>
      <c r="G45" s="19">
        <v>475.03986686231292</v>
      </c>
      <c r="H45" s="19">
        <v>63.246693837055624</v>
      </c>
      <c r="I45" s="19">
        <v>5.6199928726617611E-4</v>
      </c>
      <c r="J45" s="19">
        <v>-1.6189217479659315E-4</v>
      </c>
      <c r="K45">
        <v>0.65693257081132805</v>
      </c>
      <c r="L45" s="19">
        <v>334.2717398424852</v>
      </c>
      <c r="M45" s="19">
        <v>61.864285300511526</v>
      </c>
      <c r="N45" s="19">
        <v>5.48102564818862E-4</v>
      </c>
      <c r="O45" s="19">
        <v>-1.9272515493602463E-4</v>
      </c>
      <c r="P45" s="19">
        <v>0.36043469747954388</v>
      </c>
      <c r="Q45" s="19">
        <v>157.7603656933278</v>
      </c>
      <c r="R45" s="19">
        <v>32.912554430029033</v>
      </c>
      <c r="S45" s="19">
        <v>2.8025996105135621E-4</v>
      </c>
      <c r="T45" s="19">
        <v>-1.1394166574918218E-4</v>
      </c>
      <c r="U45" s="19">
        <v>0.19558329829972665</v>
      </c>
      <c r="V45" s="19">
        <v>100.77265264281812</v>
      </c>
      <c r="W45" s="19">
        <v>22.026343306061928</v>
      </c>
      <c r="X45" s="19">
        <v>1.8565170005643093E-4</v>
      </c>
      <c r="Y45" s="19">
        <v>-7.9672532012200562E-5</v>
      </c>
      <c r="Z45">
        <v>0.1365167296434146</v>
      </c>
      <c r="AB45">
        <v>426120.28043060278</v>
      </c>
      <c r="AC45">
        <v>3946866.0255510285</v>
      </c>
      <c r="AD45">
        <v>470418.323109933</v>
      </c>
      <c r="AE45">
        <v>1858549.7249019083</v>
      </c>
      <c r="AF45">
        <v>6654605.2559278207</v>
      </c>
      <c r="AG45">
        <v>17998628.393978186</v>
      </c>
      <c r="AH45">
        <v>33855380.527775727</v>
      </c>
      <c r="AI45">
        <v>84421847.555408224</v>
      </c>
      <c r="AK45">
        <v>2.3113909699690113E-3</v>
      </c>
      <c r="AL45">
        <v>6.0345279201715885</v>
      </c>
      <c r="AM45">
        <v>8.9908332266718958</v>
      </c>
      <c r="AN45">
        <v>5.7811869126146558</v>
      </c>
      <c r="AP45" s="134">
        <v>5.4242688651976529E-9</v>
      </c>
      <c r="AQ45" s="134">
        <v>5.8562691386169213E-10</v>
      </c>
      <c r="AR45" s="134">
        <v>1.2828003552832204E-5</v>
      </c>
      <c r="AS45" s="134">
        <v>3.24690151644454E-6</v>
      </c>
      <c r="AT45" s="134">
        <v>1.3510693543637317E-6</v>
      </c>
      <c r="AU45" s="134">
        <v>4.9952879907670996E-7</v>
      </c>
      <c r="AV45" s="134">
        <v>1.7076124451980796E-7</v>
      </c>
      <c r="AW45" s="134">
        <v>6.8479748785648338E-8</v>
      </c>
      <c r="AY45" s="134">
        <v>1.435525842058094E-5</v>
      </c>
      <c r="AZ45" s="134">
        <v>3.8154956912207595E-6</v>
      </c>
      <c r="BB45">
        <v>5.0912398322755905E-4</v>
      </c>
      <c r="BC45">
        <v>1.0839202138748379E-3</v>
      </c>
      <c r="BD45">
        <v>1.6735075501413835E-3</v>
      </c>
      <c r="BE45">
        <v>2.2805309596561352E-5</v>
      </c>
      <c r="BF45">
        <v>3.2893570568403416E-3</v>
      </c>
      <c r="BG45">
        <v>2.7363886747404885E-3</v>
      </c>
      <c r="BH45">
        <v>4.2391217695763526E-4</v>
      </c>
      <c r="BI45">
        <v>6.6189329829176888E-4</v>
      </c>
      <c r="BJ45">
        <v>9.8673767304829645E-6</v>
      </c>
      <c r="BK45">
        <v>3.832061526720376E-3</v>
      </c>
      <c r="CC45" s="133">
        <f t="shared" si="3"/>
        <v>42</v>
      </c>
      <c r="CJ45" s="127"/>
      <c r="CK45" s="127"/>
      <c r="CL45" s="127"/>
      <c r="CM45" s="127"/>
    </row>
    <row r="46" spans="1:91" x14ac:dyDescent="0.25">
      <c r="A46">
        <v>43</v>
      </c>
      <c r="B46" s="127">
        <v>21.5</v>
      </c>
      <c r="C46" s="20">
        <v>3.4561568789551759E-6</v>
      </c>
      <c r="D46" s="20">
        <v>2.7842343500715381E-2</v>
      </c>
      <c r="E46" s="20">
        <v>9.7413477329632518E-3</v>
      </c>
      <c r="F46" s="20">
        <v>9.9365384466838819E-2</v>
      </c>
      <c r="G46" s="19">
        <v>478.20181182515427</v>
      </c>
      <c r="H46" s="19">
        <v>64.62033568178407</v>
      </c>
      <c r="I46" s="19">
        <v>5.7405821520653067E-4</v>
      </c>
      <c r="J46" s="19">
        <v>-1.6143510119340858E-4</v>
      </c>
      <c r="K46">
        <v>0.67029776258353979</v>
      </c>
      <c r="L46" s="19">
        <v>342.81292732299943</v>
      </c>
      <c r="M46" s="19">
        <v>63.337244474333239</v>
      </c>
      <c r="N46" s="19">
        <v>5.6115262588597779E-4</v>
      </c>
      <c r="O46" s="19">
        <v>-1.9565506438373712E-4</v>
      </c>
      <c r="P46" s="19">
        <v>0.36793249503535214</v>
      </c>
      <c r="Q46" s="19">
        <v>161.39163957527578</v>
      </c>
      <c r="R46" s="19">
        <v>33.696186678363063</v>
      </c>
      <c r="S46" s="19">
        <v>2.8693281726686475E-4</v>
      </c>
      <c r="T46" s="19">
        <v>-1.161537306435244E-4</v>
      </c>
      <c r="U46" s="19">
        <v>0.19970567581534698</v>
      </c>
      <c r="V46" s="19">
        <v>103.67927932718111</v>
      </c>
      <c r="W46" s="19">
        <v>22.550780051444359</v>
      </c>
      <c r="X46" s="19">
        <v>1.9007197862920314E-4</v>
      </c>
      <c r="Y46" s="19">
        <v>-8.1404338349742099E-5</v>
      </c>
      <c r="Z46">
        <v>0.13939287487497021</v>
      </c>
      <c r="AB46">
        <v>391843.39110410801</v>
      </c>
      <c r="AC46">
        <v>3995368.6400168431</v>
      </c>
      <c r="AD46">
        <v>428665.49517180491</v>
      </c>
      <c r="AE46">
        <v>1741271.7852173345</v>
      </c>
      <c r="AF46">
        <v>6063963.7468767641</v>
      </c>
      <c r="AG46">
        <v>16563984.80607003</v>
      </c>
      <c r="AH46">
        <v>30850485.079377677</v>
      </c>
      <c r="AI46">
        <v>76932645.858993664</v>
      </c>
      <c r="AK46">
        <v>1.5805180775591272E-3</v>
      </c>
      <c r="AL46">
        <v>5.092977982850674</v>
      </c>
      <c r="AM46">
        <v>3.8183723542729151</v>
      </c>
      <c r="AN46">
        <v>3.8948823860993778</v>
      </c>
      <c r="AP46" s="134">
        <v>4.0335453230579124E-9</v>
      </c>
      <c r="AQ46" s="134">
        <v>3.9558754647292427E-10</v>
      </c>
      <c r="AR46" s="134">
        <v>1.1881007546010808E-5</v>
      </c>
      <c r="AS46" s="134">
        <v>2.9248610274903185E-6</v>
      </c>
      <c r="AT46" s="134">
        <v>6.2968258282209588E-7</v>
      </c>
      <c r="AU46" s="134">
        <v>2.3052257044293087E-7</v>
      </c>
      <c r="AV46" s="134">
        <v>1.2625028021692119E-7</v>
      </c>
      <c r="AW46" s="134">
        <v>5.0627173193004828E-8</v>
      </c>
      <c r="AY46" s="134">
        <v>1.2640973954372883E-5</v>
      </c>
      <c r="AZ46" s="134">
        <v>3.206406358672727E-6</v>
      </c>
      <c r="BB46">
        <v>5.091280167728821E-4</v>
      </c>
      <c r="BC46">
        <v>1.0958012214208486E-3</v>
      </c>
      <c r="BD46">
        <v>1.6741372327242056E-3</v>
      </c>
      <c r="BE46">
        <v>2.2931559876778275E-5</v>
      </c>
      <c r="BF46">
        <v>3.3019980307947144E-3</v>
      </c>
      <c r="BG46">
        <v>2.7363890703280352E-3</v>
      </c>
      <c r="BH46">
        <v>4.2683703798512558E-4</v>
      </c>
      <c r="BI46">
        <v>6.6212382086221178E-4</v>
      </c>
      <c r="BJ46">
        <v>9.9180039036759687E-6</v>
      </c>
      <c r="BK46">
        <v>3.8352679330790483E-3</v>
      </c>
      <c r="CC46" s="133">
        <f t="shared" si="3"/>
        <v>43</v>
      </c>
      <c r="CJ46" s="127"/>
      <c r="CK46" s="127"/>
      <c r="CL46" s="127"/>
      <c r="CM46" s="127"/>
    </row>
    <row r="47" spans="1:91" x14ac:dyDescent="0.25">
      <c r="A47">
        <v>44</v>
      </c>
      <c r="B47" s="127">
        <v>22</v>
      </c>
      <c r="C47" s="20">
        <v>2.3736619286178769E-6</v>
      </c>
      <c r="D47" s="20">
        <v>2.3539601226641567E-2</v>
      </c>
      <c r="E47" s="20">
        <v>4.0122918102917593E-3</v>
      </c>
      <c r="F47" s="20">
        <v>6.6321917606760941E-2</v>
      </c>
      <c r="G47" s="19">
        <v>481.25086082360741</v>
      </c>
      <c r="H47" s="19">
        <v>65.988343640271978</v>
      </c>
      <c r="I47" s="19">
        <v>5.8606106721196204E-4</v>
      </c>
      <c r="J47" s="19">
        <v>-1.609442695755294E-4</v>
      </c>
      <c r="K47">
        <v>0.68360779848385511</v>
      </c>
      <c r="L47" s="19">
        <v>351.2826969872001</v>
      </c>
      <c r="M47" s="19">
        <v>64.810203648154925</v>
      </c>
      <c r="N47" s="19">
        <v>5.7420268695309348E-4</v>
      </c>
      <c r="O47" s="19">
        <v>-1.9854075902831823E-4</v>
      </c>
      <c r="P47" s="19">
        <v>0.37540357805566094</v>
      </c>
      <c r="Q47" s="19">
        <v>164.96086974521953</v>
      </c>
      <c r="R47" s="19">
        <v>34.479818926697078</v>
      </c>
      <c r="S47" s="19">
        <v>2.9360567348237312E-4</v>
      </c>
      <c r="T47" s="19">
        <v>-1.1833180469097594E-4</v>
      </c>
      <c r="U47" s="19">
        <v>0.20381644271230509</v>
      </c>
      <c r="V47" s="19">
        <v>106.58002199728493</v>
      </c>
      <c r="W47" s="19">
        <v>23.07521679682679</v>
      </c>
      <c r="X47" s="19">
        <v>1.9449225720197534E-4</v>
      </c>
      <c r="Y47" s="19">
        <v>-8.3136569502909009E-5</v>
      </c>
      <c r="Z47">
        <v>0.14226201737180658</v>
      </c>
      <c r="AB47">
        <v>361088.895010999</v>
      </c>
      <c r="AC47">
        <v>4048273.5341764875</v>
      </c>
      <c r="AD47">
        <v>391454.10746863805</v>
      </c>
      <c r="AE47">
        <v>1634547.2513409194</v>
      </c>
      <c r="AF47">
        <v>5537566.1045553545</v>
      </c>
      <c r="AG47">
        <v>15286556.284976665</v>
      </c>
      <c r="AH47">
        <v>28172431.039456874</v>
      </c>
      <c r="AI47">
        <v>70243511.779338658</v>
      </c>
      <c r="AK47">
        <v>1.0854876441050213E-3</v>
      </c>
      <c r="AL47">
        <v>4.3059116330954632</v>
      </c>
      <c r="AM47">
        <v>1.5727212030273467</v>
      </c>
      <c r="AN47">
        <v>2.599658523790195</v>
      </c>
      <c r="AP47" s="134">
        <v>3.0061507266014277E-9</v>
      </c>
      <c r="AQ47" s="134">
        <v>2.6813594361672364E-10</v>
      </c>
      <c r="AR47" s="134">
        <v>1.0999786567421414E-5</v>
      </c>
      <c r="AS47" s="134">
        <v>2.634314566044548E-6</v>
      </c>
      <c r="AT47" s="134">
        <v>2.8400946793819454E-7</v>
      </c>
      <c r="AU47" s="134">
        <v>1.0288263580810461E-7</v>
      </c>
      <c r="AV47" s="134">
        <v>9.2276684257359452E-8</v>
      </c>
      <c r="AW47" s="134">
        <v>3.7009233421539375E-8</v>
      </c>
      <c r="AY47" s="134">
        <v>1.1379078870343569E-5</v>
      </c>
      <c r="AZ47" s="134">
        <v>2.7744745712178086E-6</v>
      </c>
      <c r="BB47">
        <v>5.0913102292360866E-4</v>
      </c>
      <c r="BC47">
        <v>1.1068010079882701E-3</v>
      </c>
      <c r="BD47">
        <v>1.6744212421921439E-3</v>
      </c>
      <c r="BE47">
        <v>2.3023836561035633E-5</v>
      </c>
      <c r="BF47">
        <v>3.3133771096650584E-3</v>
      </c>
      <c r="BG47">
        <v>2.7363893384639787E-3</v>
      </c>
      <c r="BH47">
        <v>4.2947135255117012E-4</v>
      </c>
      <c r="BI47">
        <v>6.6222670349801985E-4</v>
      </c>
      <c r="BJ47">
        <v>9.955013137097508E-6</v>
      </c>
      <c r="BK47">
        <v>3.8380424076502663E-3</v>
      </c>
      <c r="CC47" s="133">
        <f t="shared" si="3"/>
        <v>44</v>
      </c>
      <c r="CJ47" s="127"/>
      <c r="CK47" s="127"/>
      <c r="CL47" s="127"/>
      <c r="CM47" s="127"/>
    </row>
    <row r="48" spans="1:91" x14ac:dyDescent="0.25">
      <c r="A48">
        <v>45</v>
      </c>
      <c r="B48" s="127">
        <v>22.5</v>
      </c>
      <c r="C48" s="20">
        <v>1.6371949461751938E-6</v>
      </c>
      <c r="D48" s="20">
        <v>1.9936251182123308E-2</v>
      </c>
      <c r="E48" s="20">
        <v>1.6100248360196544E-3</v>
      </c>
      <c r="F48" s="20">
        <v>4.3892084438761303E-2</v>
      </c>
      <c r="G48" s="19">
        <v>484.19257761692279</v>
      </c>
      <c r="H48" s="19">
        <v>67.350750009261304</v>
      </c>
      <c r="I48" s="19">
        <v>5.9800818099987147E-4</v>
      </c>
      <c r="J48" s="19">
        <v>-1.6042240138932937E-4</v>
      </c>
      <c r="K48">
        <v>0.69686395053616224</v>
      </c>
      <c r="L48" s="19">
        <v>359.6753073823316</v>
      </c>
      <c r="M48" s="19">
        <v>66.283162821976646</v>
      </c>
      <c r="N48" s="19">
        <v>5.8725274802020949E-4</v>
      </c>
      <c r="O48" s="19">
        <v>-2.0138223736823868E-4</v>
      </c>
      <c r="P48" s="19">
        <v>0.38284848035300079</v>
      </c>
      <c r="Q48" s="19">
        <v>168.46877748967918</v>
      </c>
      <c r="R48" s="19">
        <v>35.263451175031108</v>
      </c>
      <c r="S48" s="19">
        <v>3.0027852969788165E-4</v>
      </c>
      <c r="T48" s="19">
        <v>-1.2047594767046317E-4</v>
      </c>
      <c r="U48" s="19">
        <v>0.20791579640571115</v>
      </c>
      <c r="V48" s="19">
        <v>109.47108816826491</v>
      </c>
      <c r="W48" s="19">
        <v>23.599653542209211</v>
      </c>
      <c r="X48" s="19">
        <v>1.9891253577474744E-4</v>
      </c>
      <c r="Y48" s="19">
        <v>-8.4866573521296559E-5</v>
      </c>
      <c r="Z48">
        <v>0.14512428105994626</v>
      </c>
      <c r="AB48">
        <v>333422.82736746204</v>
      </c>
      <c r="AC48">
        <v>4105473.2953371974</v>
      </c>
      <c r="AD48">
        <v>358203.22955120803</v>
      </c>
      <c r="AE48">
        <v>1537222.2787086691</v>
      </c>
      <c r="AF48">
        <v>5067194.4032773999</v>
      </c>
      <c r="AG48">
        <v>14145508.727133535</v>
      </c>
      <c r="AH48">
        <v>25779409.616874877</v>
      </c>
      <c r="AI48">
        <v>64263693.487670615</v>
      </c>
      <c r="AK48">
        <v>7.4869755614235698E-4</v>
      </c>
      <c r="AL48">
        <v>3.6467795294791152</v>
      </c>
      <c r="AM48">
        <v>0.63109073734709509</v>
      </c>
      <c r="AN48">
        <v>1.7204633936355429</v>
      </c>
      <c r="AP48" s="134">
        <v>2.2454897946061283E-9</v>
      </c>
      <c r="AQ48" s="134">
        <v>1.8236571091393829E-10</v>
      </c>
      <c r="AR48" s="134">
        <v>1.018075558405254E-5</v>
      </c>
      <c r="AS48" s="134">
        <v>2.3723176407139782E-6</v>
      </c>
      <c r="AT48" s="134">
        <v>1.2454441000702742E-7</v>
      </c>
      <c r="AU48" s="134">
        <v>4.4614212858711387E-8</v>
      </c>
      <c r="AV48" s="134">
        <v>6.6737889626042838E-8</v>
      </c>
      <c r="AW48" s="134">
        <v>2.6771934513313095E-8</v>
      </c>
      <c r="AY48" s="134">
        <v>1.0374283373480217E-5</v>
      </c>
      <c r="AZ48" s="134">
        <v>2.4438861537969162E-6</v>
      </c>
      <c r="BB48">
        <v>5.0913326841340331E-4</v>
      </c>
      <c r="BC48">
        <v>1.1169817635723227E-3</v>
      </c>
      <c r="BD48">
        <v>1.674545786602151E-3</v>
      </c>
      <c r="BE48">
        <v>2.3090574450661675E-5</v>
      </c>
      <c r="BF48">
        <v>3.323751393038539E-3</v>
      </c>
      <c r="BG48">
        <v>2.7363895208296898E-3</v>
      </c>
      <c r="BH48">
        <v>4.3184367019188409E-4</v>
      </c>
      <c r="BI48">
        <v>6.6227131771087852E-4</v>
      </c>
      <c r="BJ48">
        <v>9.9817850716108205E-6</v>
      </c>
      <c r="BK48">
        <v>3.8404862938040628E-3</v>
      </c>
      <c r="CC48" s="133">
        <f t="shared" si="3"/>
        <v>45</v>
      </c>
      <c r="CJ48" s="127"/>
      <c r="CK48" s="127"/>
      <c r="CL48" s="127"/>
      <c r="CM48" s="127"/>
    </row>
    <row r="49" spans="1:91" x14ac:dyDescent="0.25">
      <c r="A49">
        <v>46</v>
      </c>
      <c r="B49" s="127">
        <v>23</v>
      </c>
      <c r="C49" s="20">
        <v>1.1339549835821426E-6</v>
      </c>
      <c r="D49" s="20">
        <v>1.6913179045076089E-2</v>
      </c>
      <c r="E49" s="20">
        <v>6.3288288463051281E-4</v>
      </c>
      <c r="F49" s="20">
        <v>2.8824016849710386E-2</v>
      </c>
      <c r="G49" s="19">
        <v>487.03217832675381</v>
      </c>
      <c r="H49" s="19">
        <v>68.70758684784127</v>
      </c>
      <c r="I49" s="19">
        <v>6.0989989173613297E-4</v>
      </c>
      <c r="J49" s="19">
        <v>-1.5987201131595176E-4</v>
      </c>
      <c r="K49">
        <v>0.71006743605858835</v>
      </c>
      <c r="L49" s="19">
        <v>367.98608407934353</v>
      </c>
      <c r="M49" s="19">
        <v>67.756121995798338</v>
      </c>
      <c r="N49" s="19">
        <v>6.0030280908732496E-4</v>
      </c>
      <c r="O49" s="19">
        <v>-2.0417965746223071E-4</v>
      </c>
      <c r="P49" s="19">
        <v>0.39026771681396483</v>
      </c>
      <c r="Q49" s="19">
        <v>172.11247400325067</v>
      </c>
      <c r="R49" s="19">
        <v>36.047083423365137</v>
      </c>
      <c r="S49" s="19">
        <v>3.0695138591339019E-4</v>
      </c>
      <c r="T49" s="19">
        <v>-1.2259386055928621E-4</v>
      </c>
      <c r="U49" s="19">
        <v>0.21200392697468898</v>
      </c>
      <c r="V49" s="19">
        <v>112.34924136195605</v>
      </c>
      <c r="W49" s="19">
        <v>24.124090287591645</v>
      </c>
      <c r="X49" s="19">
        <v>2.0333281434751967E-4</v>
      </c>
      <c r="Y49" s="19">
        <v>-8.6592070890527972E-5</v>
      </c>
      <c r="Z49">
        <v>0.14797978425065431</v>
      </c>
      <c r="AB49">
        <v>308473.0147022474</v>
      </c>
      <c r="AC49">
        <v>4166881.5254625478</v>
      </c>
      <c r="AD49">
        <v>328416.89547321288</v>
      </c>
      <c r="AE49">
        <v>1448285.6039065723</v>
      </c>
      <c r="AF49">
        <v>4645832.6374349305</v>
      </c>
      <c r="AG49">
        <v>13119679.061163671</v>
      </c>
      <c r="AH49">
        <v>23635726.802669626</v>
      </c>
      <c r="AI49">
        <v>58911839.438171126</v>
      </c>
      <c r="AK49">
        <v>5.1856336776924528E-4</v>
      </c>
      <c r="AL49">
        <v>3.0937930384477395</v>
      </c>
      <c r="AM49">
        <v>0.24807476094794298</v>
      </c>
      <c r="AN49">
        <v>1.1298316423465882</v>
      </c>
      <c r="AP49" s="134">
        <v>1.6810655812787609E-9</v>
      </c>
      <c r="AQ49" s="134">
        <v>1.244487909244508E-10</v>
      </c>
      <c r="AR49" s="134">
        <v>9.420322404515521E-6</v>
      </c>
      <c r="AS49" s="134">
        <v>2.1361760623060904E-6</v>
      </c>
      <c r="AT49" s="134">
        <v>5.3397265960254366E-8</v>
      </c>
      <c r="AU49" s="134">
        <v>1.8908599805789731E-8</v>
      </c>
      <c r="AV49" s="134">
        <v>4.78018574076163E-8</v>
      </c>
      <c r="AW49" s="134">
        <v>1.9178346035729606E-8</v>
      </c>
      <c r="AY49" s="134">
        <v>9.5232025934646705E-6</v>
      </c>
      <c r="AZ49" s="134">
        <v>2.1743874569385342E-6</v>
      </c>
      <c r="BB49">
        <v>5.0913494947898454E-4</v>
      </c>
      <c r="BC49">
        <v>1.1264020859768384E-3</v>
      </c>
      <c r="BD49">
        <v>1.6745991838681112E-3</v>
      </c>
      <c r="BE49">
        <v>2.3138376308069291E-5</v>
      </c>
      <c r="BF49">
        <v>3.3332745956320031E-3</v>
      </c>
      <c r="BG49">
        <v>2.7363896452784809E-3</v>
      </c>
      <c r="BH49">
        <v>4.3397984625419018E-4</v>
      </c>
      <c r="BI49">
        <v>6.6229022631068433E-4</v>
      </c>
      <c r="BJ49">
        <v>1.0000963417646551E-5</v>
      </c>
      <c r="BK49">
        <v>3.842660681261002E-3</v>
      </c>
      <c r="CC49" s="133">
        <f t="shared" si="3"/>
        <v>46</v>
      </c>
      <c r="CJ49" s="127"/>
      <c r="CK49" s="127"/>
      <c r="CL49" s="127"/>
      <c r="CM49" s="127"/>
    </row>
    <row r="50" spans="1:91" x14ac:dyDescent="0.25">
      <c r="A50">
        <v>47</v>
      </c>
      <c r="B50" s="127">
        <v>23.5</v>
      </c>
      <c r="C50" s="20">
        <v>7.8861301898841043E-7</v>
      </c>
      <c r="D50" s="20">
        <v>1.4372446074699253E-2</v>
      </c>
      <c r="E50" s="20">
        <v>2.4545781459225458E-4</v>
      </c>
      <c r="F50" s="20">
        <v>1.8796048362822493E-2</v>
      </c>
      <c r="G50" s="19">
        <v>489.77455762159417</v>
      </c>
      <c r="H50" s="19">
        <v>70.058885979582158</v>
      </c>
      <c r="I50" s="19">
        <v>6.217365320583903E-4</v>
      </c>
      <c r="J50" s="19">
        <v>-1.5929542460551576E-4</v>
      </c>
      <c r="K50">
        <v>0.72321942086425495</v>
      </c>
      <c r="L50" s="19">
        <v>376.21126409624952</v>
      </c>
      <c r="M50" s="19">
        <v>69.229081169620045</v>
      </c>
      <c r="N50" s="19">
        <v>6.1335287015444086E-4</v>
      </c>
      <c r="O50" s="19">
        <v>-2.0693330814331232E-4</v>
      </c>
      <c r="P50" s="19">
        <v>0.39766178437718624</v>
      </c>
      <c r="Q50" s="19">
        <v>176.51329996328226</v>
      </c>
      <c r="R50" s="19">
        <v>36.83071567169916</v>
      </c>
      <c r="S50" s="19">
        <v>3.1362424212889867E-4</v>
      </c>
      <c r="T50" s="19">
        <v>-1.2471732365611389E-4</v>
      </c>
      <c r="U50" s="19">
        <v>0.21608101765113102</v>
      </c>
      <c r="V50" s="19">
        <v>115.21172519714928</v>
      </c>
      <c r="W50" s="19">
        <v>24.648527032974069</v>
      </c>
      <c r="X50" s="19">
        <v>2.0775309292029182E-4</v>
      </c>
      <c r="Y50" s="19">
        <v>-8.8311104403730129E-5</v>
      </c>
      <c r="Z50">
        <v>0.15082864006898161</v>
      </c>
      <c r="AB50">
        <v>285919.15302750206</v>
      </c>
      <c r="AC50">
        <v>4232430.3888290925</v>
      </c>
      <c r="AD50">
        <v>301670.18365232681</v>
      </c>
      <c r="AE50">
        <v>1366849.6854726581</v>
      </c>
      <c r="AF50">
        <v>4267469.8052106882</v>
      </c>
      <c r="AG50">
        <v>12181601.467872242</v>
      </c>
      <c r="AH50">
        <v>21710801.556185912</v>
      </c>
      <c r="AI50">
        <v>54115530.82739111</v>
      </c>
      <c r="AK50">
        <v>3.6063673506813267E-4</v>
      </c>
      <c r="AL50">
        <v>2.6290370067545186</v>
      </c>
      <c r="AM50">
        <v>9.6213517787461941E-2</v>
      </c>
      <c r="AN50">
        <v>0.73675956762448991</v>
      </c>
      <c r="AP50" s="134">
        <v>1.2613241584184591E-9</v>
      </c>
      <c r="AQ50" s="134">
        <v>8.5207954280827124E-11</v>
      </c>
      <c r="AR50" s="134">
        <v>8.7149381981497673E-6</v>
      </c>
      <c r="AS50" s="134">
        <v>1.9234280365257535E-6</v>
      </c>
      <c r="AT50" s="134">
        <v>2.2545799309460328E-8</v>
      </c>
      <c r="AU50" s="134">
        <v>7.8982651042406448E-9</v>
      </c>
      <c r="AV50" s="134">
        <v>3.3935161984591489E-8</v>
      </c>
      <c r="AW50" s="134">
        <v>1.3614567876539645E-8</v>
      </c>
      <c r="AY50" s="134">
        <v>8.7726804836022382E-6</v>
      </c>
      <c r="AZ50" s="134">
        <v>1.9450260774608144E-6</v>
      </c>
      <c r="BB50">
        <v>5.0913621080314294E-4</v>
      </c>
      <c r="BC50">
        <v>1.1351170241749881E-3</v>
      </c>
      <c r="BD50">
        <v>1.6746217296674207E-3</v>
      </c>
      <c r="BE50">
        <v>2.3172311470053882E-5</v>
      </c>
      <c r="BF50">
        <v>3.342047276115606E-3</v>
      </c>
      <c r="BG50">
        <v>2.7363897304864353E-3</v>
      </c>
      <c r="BH50">
        <v>4.3590327429071592E-4</v>
      </c>
      <c r="BI50">
        <v>6.6229812457578856E-4</v>
      </c>
      <c r="BJ50">
        <v>1.0014577985523091E-5</v>
      </c>
      <c r="BK50">
        <v>3.844605707338463E-3</v>
      </c>
      <c r="CC50" s="133">
        <f t="shared" si="3"/>
        <v>47</v>
      </c>
      <c r="CJ50" s="127"/>
      <c r="CK50" s="127"/>
      <c r="CL50" s="127"/>
      <c r="CM50" s="127"/>
    </row>
    <row r="51" spans="1:91" x14ac:dyDescent="0.25">
      <c r="A51">
        <v>48</v>
      </c>
      <c r="B51" s="127">
        <v>24</v>
      </c>
      <c r="C51" s="20">
        <v>5.506360847713136E-7</v>
      </c>
      <c r="D51" s="20">
        <v>1.2233374459176372E-2</v>
      </c>
      <c r="E51" s="20">
        <v>9.485440416665839E-5</v>
      </c>
      <c r="F51" s="20">
        <v>1.2178740465265955E-2</v>
      </c>
      <c r="G51" s="19">
        <v>492.4243126018917</v>
      </c>
      <c r="H51" s="19">
        <v>71.404678994646616</v>
      </c>
      <c r="I51" s="19">
        <v>6.3351843209908927E-4</v>
      </c>
      <c r="J51" s="19">
        <v>-1.5869479278212011E-4</v>
      </c>
      <c r="K51">
        <v>0.73632102222777629</v>
      </c>
      <c r="L51" s="19">
        <v>384.34786369242477</v>
      </c>
      <c r="M51" s="19">
        <v>70.702040343441737</v>
      </c>
      <c r="N51" s="19">
        <v>6.2640293122155654E-4</v>
      </c>
      <c r="O51" s="19">
        <v>-2.0964358493288313E-4</v>
      </c>
      <c r="P51" s="19">
        <v>0.40503116294028169</v>
      </c>
      <c r="Q51" s="19">
        <v>180.9311701754913</v>
      </c>
      <c r="R51" s="19">
        <v>37.614347920033175</v>
      </c>
      <c r="S51" s="19">
        <v>3.2029709834440704E-4</v>
      </c>
      <c r="T51" s="19">
        <v>-1.2683945939020452E-4</v>
      </c>
      <c r="U51" s="19">
        <v>0.22014724526141316</v>
      </c>
      <c r="V51" s="19">
        <v>118.05619853201691</v>
      </c>
      <c r="W51" s="19">
        <v>25.1729637783565</v>
      </c>
      <c r="X51" s="19">
        <v>2.1217337149306403E-4</v>
      </c>
      <c r="Y51" s="19">
        <v>-9.0021996279268608E-5</v>
      </c>
      <c r="Z51">
        <v>0.15367095683958015</v>
      </c>
      <c r="AB51">
        <v>265484.65098059695</v>
      </c>
      <c r="AC51">
        <v>4302068.5399378501</v>
      </c>
      <c r="AD51">
        <v>277597.81210859976</v>
      </c>
      <c r="AE51">
        <v>1292134.3529103363</v>
      </c>
      <c r="AF51">
        <v>3926938.5751801431</v>
      </c>
      <c r="AG51">
        <v>11325285.432190938</v>
      </c>
      <c r="AH51">
        <v>19978345.019563217</v>
      </c>
      <c r="AI51">
        <v>49810622.108597189</v>
      </c>
      <c r="AK51">
        <v>2.5180867553689781E-4</v>
      </c>
      <c r="AL51">
        <v>2.2377536853157562</v>
      </c>
      <c r="AM51">
        <v>3.7180628849271397E-2</v>
      </c>
      <c r="AN51">
        <v>0.47737712662773918</v>
      </c>
      <c r="AP51" s="134">
        <v>9.4848675660462701E-10</v>
      </c>
      <c r="AQ51" s="134">
        <v>5.8531999943574955E-11</v>
      </c>
      <c r="AR51" s="134">
        <v>8.0611358869079233E-6</v>
      </c>
      <c r="AS51" s="134">
        <v>1.7318274065506857E-6</v>
      </c>
      <c r="AT51" s="134">
        <v>9.4680953464024548E-9</v>
      </c>
      <c r="AU51" s="134">
        <v>3.2829749918345857E-9</v>
      </c>
      <c r="AV51" s="134">
        <v>2.3894728325108082E-8</v>
      </c>
      <c r="AW51" s="134">
        <v>9.5838418879202291E-9</v>
      </c>
      <c r="AY51" s="134">
        <v>8.0954471973360379E-6</v>
      </c>
      <c r="AZ51" s="134">
        <v>1.7447527554303843E-6</v>
      </c>
      <c r="BB51">
        <v>5.0913715928989952E-4</v>
      </c>
      <c r="BC51">
        <v>1.1431781600618961E-3</v>
      </c>
      <c r="BD51">
        <v>1.6746311977627671E-3</v>
      </c>
      <c r="BE51">
        <v>2.3196206198378989E-5</v>
      </c>
      <c r="BF51">
        <v>3.3501427233129421E-3</v>
      </c>
      <c r="BG51">
        <v>2.7363897890184353E-3</v>
      </c>
      <c r="BH51">
        <v>4.3763510169726662E-4</v>
      </c>
      <c r="BI51">
        <v>6.6230140755078036E-4</v>
      </c>
      <c r="BJ51">
        <v>1.0024161827411012E-5</v>
      </c>
      <c r="BK51">
        <v>3.8463504600938928E-3</v>
      </c>
      <c r="CC51" s="133">
        <f t="shared" si="3"/>
        <v>48</v>
      </c>
      <c r="CJ51" s="127"/>
      <c r="CK51" s="127"/>
      <c r="CL51" s="127"/>
      <c r="CM51" s="127"/>
    </row>
    <row r="52" spans="1:91" x14ac:dyDescent="0.25">
      <c r="A52">
        <v>49</v>
      </c>
      <c r="B52" s="127">
        <v>24.5</v>
      </c>
      <c r="C52" s="20">
        <v>3.8597480108420847E-7</v>
      </c>
      <c r="D52" s="20">
        <v>1.0429382302211828E-2</v>
      </c>
      <c r="E52" s="20">
        <v>3.7018608790161658E-5</v>
      </c>
      <c r="F52" s="20">
        <v>7.8454880423093325E-3</v>
      </c>
      <c r="G52" s="19">
        <v>494.98576461570451</v>
      </c>
      <c r="H52" s="19">
        <v>72.744997251878203</v>
      </c>
      <c r="I52" s="19">
        <v>6.4524591950827336E-4</v>
      </c>
      <c r="J52" s="19">
        <v>-1.5807210789036687E-4</v>
      </c>
      <c r="K52">
        <v>0.74937331163818155</v>
      </c>
      <c r="L52" s="19">
        <v>392.39356575682086</v>
      </c>
      <c r="M52" s="19">
        <v>72.174999517263458</v>
      </c>
      <c r="N52" s="19">
        <v>6.3945299228867244E-4</v>
      </c>
      <c r="O52" s="19">
        <v>-2.1231096986037265E-4</v>
      </c>
      <c r="P52" s="19">
        <v>0.41237631620275228</v>
      </c>
      <c r="Q52" s="19">
        <v>185.3618965443826</v>
      </c>
      <c r="R52" s="19">
        <v>38.397980168367205</v>
      </c>
      <c r="S52" s="19">
        <v>3.2696995455991557E-4</v>
      </c>
      <c r="T52" s="19">
        <v>-1.2892001926479335E-4</v>
      </c>
      <c r="U52" s="19">
        <v>0.22420278062668356</v>
      </c>
      <c r="V52" s="19">
        <v>120.88067990518178</v>
      </c>
      <c r="W52" s="19">
        <v>25.697400523738917</v>
      </c>
      <c r="X52" s="19">
        <v>2.1659365006583607E-4</v>
      </c>
      <c r="Y52" s="19">
        <v>-9.172331138007048E-5</v>
      </c>
      <c r="Z52">
        <v>0.15650683843485014</v>
      </c>
      <c r="AB52">
        <v>246929.89476617982</v>
      </c>
      <c r="AC52">
        <v>4375759.3673848454</v>
      </c>
      <c r="AD52">
        <v>255884.75381239745</v>
      </c>
      <c r="AE52">
        <v>1223452.6673871309</v>
      </c>
      <c r="AF52">
        <v>3619782.5296737948</v>
      </c>
      <c r="AG52">
        <v>10556601.441743355</v>
      </c>
      <c r="AH52">
        <v>18415685.116819825</v>
      </c>
      <c r="AI52">
        <v>45940495.527140751</v>
      </c>
      <c r="AK52">
        <v>1.765082350024284E-4</v>
      </c>
      <c r="AL52">
        <v>1.9077637785243378</v>
      </c>
      <c r="AM52">
        <v>1.4510397972930142E-2</v>
      </c>
      <c r="AN52">
        <v>0.30752412774633575</v>
      </c>
      <c r="AP52" s="134">
        <v>7.1481112147059257E-10</v>
      </c>
      <c r="AQ52" s="134">
        <v>4.0337738020525071E-11</v>
      </c>
      <c r="AR52" s="134">
        <v>7.455558606367848E-6</v>
      </c>
      <c r="AS52" s="134">
        <v>1.5593278182135622E-6</v>
      </c>
      <c r="AT52" s="134">
        <v>4.0086380477221044E-9</v>
      </c>
      <c r="AU52" s="134">
        <v>1.3745330874719319E-9</v>
      </c>
      <c r="AV52" s="134">
        <v>1.6699032688469511E-8</v>
      </c>
      <c r="AW52" s="134">
        <v>6.6939662756718955E-9</v>
      </c>
      <c r="AY52" s="134">
        <v>7.4769810882255104E-6</v>
      </c>
      <c r="AZ52" s="134">
        <v>1.5674366553147266E-6</v>
      </c>
      <c r="BB52">
        <v>5.0913787410102095E-4</v>
      </c>
      <c r="BC52">
        <v>1.1506337186682641E-3</v>
      </c>
      <c r="BD52">
        <v>1.6746352064008149E-3</v>
      </c>
      <c r="BE52">
        <v>2.3212905231067457E-5</v>
      </c>
      <c r="BF52">
        <v>3.3576197044011672E-3</v>
      </c>
      <c r="BG52">
        <v>2.7363898293561732E-3</v>
      </c>
      <c r="BH52">
        <v>4.3919442951548016E-4</v>
      </c>
      <c r="BI52">
        <v>6.6230278208386786E-4</v>
      </c>
      <c r="BJ52">
        <v>1.0030855793686685E-5</v>
      </c>
      <c r="BK52">
        <v>3.8479178967492076E-3</v>
      </c>
      <c r="CC52" s="133">
        <f t="shared" si="3"/>
        <v>49</v>
      </c>
      <c r="CJ52" s="127"/>
      <c r="CK52" s="127"/>
      <c r="CL52" s="127"/>
      <c r="CM52" s="127"/>
    </row>
    <row r="53" spans="1:91" x14ac:dyDescent="0.25">
      <c r="A53">
        <v>50</v>
      </c>
      <c r="B53" s="127">
        <v>25</v>
      </c>
      <c r="C53" s="20">
        <v>2.7158690278083494E-7</v>
      </c>
      <c r="D53" s="20">
        <v>8.9054201592180977E-3</v>
      </c>
      <c r="E53" s="20">
        <v>1.484674393575485E-5</v>
      </c>
      <c r="F53" s="20">
        <v>5.0275639666005631E-3</v>
      </c>
      <c r="G53" s="19">
        <v>497.46297920906579</v>
      </c>
      <c r="H53" s="19">
        <v>74.07987188086905</v>
      </c>
      <c r="I53" s="19">
        <v>6.5691931947614004E-4</v>
      </c>
      <c r="J53" s="19">
        <v>-1.5742921543436631E-4</v>
      </c>
      <c r="K53">
        <v>0.76237731735677039</v>
      </c>
      <c r="L53" s="19">
        <v>400.34662367411818</v>
      </c>
      <c r="M53" s="19">
        <v>73.647958691085151</v>
      </c>
      <c r="N53" s="19">
        <v>6.5250305335578813E-4</v>
      </c>
      <c r="O53" s="19">
        <v>-2.1493601453697339E-4</v>
      </c>
      <c r="P53" s="19">
        <v>0.41969769245096344</v>
      </c>
      <c r="Q53" s="19">
        <v>189.79769730858561</v>
      </c>
      <c r="R53" s="19">
        <v>39.181612416701235</v>
      </c>
      <c r="S53" s="19">
        <v>3.3364281077542411E-4</v>
      </c>
      <c r="T53" s="19">
        <v>-1.3097506320701734E-4</v>
      </c>
      <c r="U53" s="19">
        <v>0.22824778892657405</v>
      </c>
      <c r="V53" s="19">
        <v>123.6834998250651</v>
      </c>
      <c r="W53" s="19">
        <v>26.221837269121352</v>
      </c>
      <c r="X53" s="19">
        <v>2.2101392863860833E-4</v>
      </c>
      <c r="Y53" s="19">
        <v>-9.3413825587178193E-5</v>
      </c>
      <c r="Z53">
        <v>0.15933638458978064</v>
      </c>
      <c r="AB53">
        <v>230046.66388935701</v>
      </c>
      <c r="AC53">
        <v>4453479.5014845431</v>
      </c>
      <c r="AD53">
        <v>236258.48209888392</v>
      </c>
      <c r="AE53">
        <v>1160198.7145611136</v>
      </c>
      <c r="AF53">
        <v>3342146.4672951293</v>
      </c>
      <c r="AG53">
        <v>9859463.0528455321</v>
      </c>
      <c r="AH53">
        <v>17003208.466654859</v>
      </c>
      <c r="AI53">
        <v>42455297.139962122</v>
      </c>
      <c r="AK53">
        <v>1.2419806869506687E-4</v>
      </c>
      <c r="AL53">
        <v>1.6289975302462223</v>
      </c>
      <c r="AM53">
        <v>5.8195640017472761E-3</v>
      </c>
      <c r="AN53">
        <v>0.19706832961568696</v>
      </c>
      <c r="AP53" s="134">
        <v>5.3988206825203535E-10</v>
      </c>
      <c r="AQ53" s="134">
        <v>2.7887872539587555E-11</v>
      </c>
      <c r="AR53" s="134">
        <v>6.8949800903419824E-6</v>
      </c>
      <c r="AS53" s="134">
        <v>1.4040676909924422E-6</v>
      </c>
      <c r="AT53" s="134">
        <v>1.7412653989569684E-9</v>
      </c>
      <c r="AU53" s="134">
        <v>5.9025161619401739E-10</v>
      </c>
      <c r="AV53" s="134">
        <v>1.1590067251257866E-8</v>
      </c>
      <c r="AW53" s="134">
        <v>4.6417842505262178E-9</v>
      </c>
      <c r="AY53" s="134">
        <v>6.9088513050604493E-6</v>
      </c>
      <c r="AZ53" s="134">
        <v>1.4093276147317018E-6</v>
      </c>
      <c r="BB53">
        <v>5.0913841398308925E-4</v>
      </c>
      <c r="BC53">
        <v>1.157528698758606E-3</v>
      </c>
      <c r="BD53">
        <v>1.6746369476662139E-3</v>
      </c>
      <c r="BE53">
        <v>2.3224495298318716E-5</v>
      </c>
      <c r="BF53">
        <v>3.3645285557062283E-3</v>
      </c>
      <c r="BG53">
        <v>2.7363898572440458E-3</v>
      </c>
      <c r="BH53">
        <v>4.4059849720647261E-4</v>
      </c>
      <c r="BI53">
        <v>6.623033723354841E-4</v>
      </c>
      <c r="BJ53">
        <v>1.0035497577937211E-5</v>
      </c>
      <c r="BK53">
        <v>3.8493272243639394E-3</v>
      </c>
      <c r="CC53" s="133">
        <f t="shared" si="3"/>
        <v>50</v>
      </c>
      <c r="CJ53" s="127"/>
      <c r="CK53" s="127"/>
      <c r="CL53" s="127"/>
      <c r="CM53" s="127"/>
    </row>
    <row r="54" spans="1:91" x14ac:dyDescent="0.25">
      <c r="A54">
        <v>51</v>
      </c>
      <c r="B54" s="127">
        <v>25.5</v>
      </c>
      <c r="C54" s="20">
        <v>1.9181270508546093E-7</v>
      </c>
      <c r="D54" s="20">
        <v>7.6158910757205649E-3</v>
      </c>
      <c r="E54" s="20">
        <v>6.2396122782658661E-6</v>
      </c>
      <c r="F54" s="20">
        <v>3.2065348562229918E-3</v>
      </c>
      <c r="G54" s="19">
        <v>499.85978439268638</v>
      </c>
      <c r="H54" s="19">
        <v>75.409333784003763</v>
      </c>
      <c r="I54" s="19">
        <v>6.6853895475533858E-4</v>
      </c>
      <c r="J54" s="19">
        <v>-1.5676782614292904E-4</v>
      </c>
      <c r="K54">
        <v>0.77533402679652896</v>
      </c>
      <c r="L54" s="19">
        <v>408.20577908891602</v>
      </c>
      <c r="M54" s="19">
        <v>75.120917864906858</v>
      </c>
      <c r="N54" s="19">
        <v>6.6555311442290392E-4</v>
      </c>
      <c r="O54" s="19">
        <v>-2.1751932594746179E-4</v>
      </c>
      <c r="P54" s="19">
        <v>0.42699572529056673</v>
      </c>
      <c r="Q54" s="19">
        <v>194.23128182957888</v>
      </c>
      <c r="R54" s="19">
        <v>39.965244665035257</v>
      </c>
      <c r="S54" s="19">
        <v>3.4031566699093259E-4</v>
      </c>
      <c r="T54" s="19">
        <v>-1.330252835949769E-4</v>
      </c>
      <c r="U54" s="19">
        <v>0.23228243003051591</v>
      </c>
      <c r="V54" s="19">
        <v>126.46347642609726</v>
      </c>
      <c r="W54" s="19">
        <v>26.746274014503783</v>
      </c>
      <c r="X54" s="19">
        <v>2.2543420721138054E-4</v>
      </c>
      <c r="Y54" s="19">
        <v>-9.5077526890838344E-5</v>
      </c>
      <c r="Z54">
        <v>0.16215969118728052</v>
      </c>
      <c r="AB54">
        <v>214653.48256170331</v>
      </c>
      <c r="AC54">
        <v>4535217.5430533262</v>
      </c>
      <c r="AD54">
        <v>218482.53739951758</v>
      </c>
      <c r="AE54">
        <v>1101837.0742987164</v>
      </c>
      <c r="AF54">
        <v>3090685.396979122</v>
      </c>
      <c r="AG54">
        <v>9219606.2208422478</v>
      </c>
      <c r="AH54">
        <v>15723897.388678184</v>
      </c>
      <c r="AI54">
        <v>39337944.324892178</v>
      </c>
      <c r="AK54">
        <v>8.7716923308393715E-5</v>
      </c>
      <c r="AL54">
        <v>1.3931142530238938</v>
      </c>
      <c r="AM54">
        <v>2.445776875831202E-3</v>
      </c>
      <c r="AN54">
        <v>0.12568839942530094</v>
      </c>
      <c r="AP54" s="134">
        <v>4.0864430551775002E-10</v>
      </c>
      <c r="AQ54" s="134">
        <v>1.9341282413839505E-11</v>
      </c>
      <c r="AR54" s="134">
        <v>6.3763185360505151E-6</v>
      </c>
      <c r="AS54" s="134">
        <v>1.2643559429242893E-6</v>
      </c>
      <c r="AT54" s="134">
        <v>7.9133802431711026E-10</v>
      </c>
      <c r="AU54" s="134">
        <v>2.6527997153524531E-10</v>
      </c>
      <c r="AV54" s="134">
        <v>7.9934634727266456E-9</v>
      </c>
      <c r="AW54" s="134">
        <v>3.1950932256968014E-9</v>
      </c>
      <c r="AY54" s="134">
        <v>6.3855119818530768E-6</v>
      </c>
      <c r="AZ54" s="134">
        <v>1.2678356574039352E-6</v>
      </c>
      <c r="BB54">
        <v>5.0913882262739482E-4</v>
      </c>
      <c r="BC54">
        <v>1.1639050172946566E-3</v>
      </c>
      <c r="BD54">
        <v>1.6746377390042383E-3</v>
      </c>
      <c r="BE54">
        <v>2.3232488761791443E-5</v>
      </c>
      <c r="BF54">
        <v>3.3709140676880813E-3</v>
      </c>
      <c r="BG54">
        <v>2.7363898765853283E-3</v>
      </c>
      <c r="BH54">
        <v>4.4186285314939689E-4</v>
      </c>
      <c r="BI54">
        <v>6.623036376154556E-4</v>
      </c>
      <c r="BJ54">
        <v>1.0038692671162908E-5</v>
      </c>
      <c r="BK54">
        <v>3.8505950600213439E-3</v>
      </c>
      <c r="CC54" s="133">
        <f t="shared" si="3"/>
        <v>51</v>
      </c>
      <c r="CJ54" s="127"/>
      <c r="CK54" s="127"/>
      <c r="CL54" s="127"/>
      <c r="CM54" s="127"/>
    </row>
    <row r="55" spans="1:91" x14ac:dyDescent="0.25">
      <c r="A55">
        <v>52</v>
      </c>
      <c r="B55" s="127">
        <v>26</v>
      </c>
      <c r="C55" s="20">
        <v>1.3596550303513534E-7</v>
      </c>
      <c r="D55" s="20">
        <v>6.5229598973204515E-3</v>
      </c>
      <c r="E55" s="20">
        <v>2.7937122528741105E-6</v>
      </c>
      <c r="F55" s="20">
        <v>2.0363856355909028E-3</v>
      </c>
      <c r="G55" s="19">
        <v>502.1797873868457</v>
      </c>
      <c r="H55" s="19">
        <v>76.73341363848445</v>
      </c>
      <c r="I55" s="19">
        <v>6.8010514568305716E-4</v>
      </c>
      <c r="J55" s="19">
        <v>-1.560895266795519E-4</v>
      </c>
      <c r="K55">
        <v>0.7882443887380608</v>
      </c>
      <c r="L55" s="19">
        <v>416.16575211919701</v>
      </c>
      <c r="M55" s="19">
        <v>76.59387703872855</v>
      </c>
      <c r="N55" s="19">
        <v>6.786031754900195E-4</v>
      </c>
      <c r="O55" s="19">
        <v>-2.1988038837671833E-4</v>
      </c>
      <c r="P55" s="19">
        <v>0.43427083433110497</v>
      </c>
      <c r="Q55" s="19">
        <v>198.65784759359872</v>
      </c>
      <c r="R55" s="19">
        <v>40.748876913369273</v>
      </c>
      <c r="S55" s="19">
        <v>3.4698852320644101E-4</v>
      </c>
      <c r="T55" s="19">
        <v>-1.3506878310168727E-4</v>
      </c>
      <c r="U55" s="19">
        <v>0.23630685880029187</v>
      </c>
      <c r="V55" s="19">
        <v>129.21931879175551</v>
      </c>
      <c r="W55" s="19">
        <v>27.270710759886203</v>
      </c>
      <c r="X55" s="19">
        <v>2.2985448578415264E-4</v>
      </c>
      <c r="Y55" s="19">
        <v>-9.6721093970656883E-5</v>
      </c>
      <c r="Z55">
        <v>0.1649768505172948</v>
      </c>
      <c r="AB55">
        <v>200591.73518789507</v>
      </c>
      <c r="AC55">
        <v>4620972.9784453325</v>
      </c>
      <c r="AD55">
        <v>202351.16969080881</v>
      </c>
      <c r="AE55">
        <v>1051628.6951972863</v>
      </c>
      <c r="AF55">
        <v>2862488.7493017907</v>
      </c>
      <c r="AG55">
        <v>8631982.3505121265</v>
      </c>
      <c r="AH55">
        <v>14562944.327578606</v>
      </c>
      <c r="AI55">
        <v>36530574.653614655</v>
      </c>
      <c r="AK55">
        <v>6.217771443766655E-5</v>
      </c>
      <c r="AL55">
        <v>1.1931930636233032</v>
      </c>
      <c r="AM55">
        <v>1.0950675332193534E-3</v>
      </c>
      <c r="AN55">
        <v>7.9821384337477846E-2</v>
      </c>
      <c r="AP55" s="134">
        <v>3.0997146706679831E-10</v>
      </c>
      <c r="AQ55" s="134">
        <v>1.3455545991655084E-11</v>
      </c>
      <c r="AR55" s="134">
        <v>5.8966452501682792E-6</v>
      </c>
      <c r="AS55" s="134">
        <v>1.1346144024716437E-6</v>
      </c>
      <c r="AT55" s="134">
        <v>3.8255784707851125E-10</v>
      </c>
      <c r="AU55" s="134">
        <v>1.2686165109621477E-10</v>
      </c>
      <c r="AV55" s="134">
        <v>5.4811295396025055E-9</v>
      </c>
      <c r="AW55" s="134">
        <v>2.1850569035485901E-9</v>
      </c>
      <c r="AY55" s="134">
        <v>5.9028189090220274E-6</v>
      </c>
      <c r="AZ55" s="134">
        <v>1.1369397765722802E-6</v>
      </c>
      <c r="BB55">
        <v>5.0913913259886194E-4</v>
      </c>
      <c r="BC55">
        <v>1.1698016625448248E-3</v>
      </c>
      <c r="BD55">
        <v>1.6746381215620855E-3</v>
      </c>
      <c r="BE55">
        <v>2.3237969891331044E-5</v>
      </c>
      <c r="BF55">
        <v>3.3768168865971034E-3</v>
      </c>
      <c r="BG55">
        <v>2.7363898900408744E-3</v>
      </c>
      <c r="BH55">
        <v>4.4299746755186852E-4</v>
      </c>
      <c r="BI55">
        <v>6.6230376447710666E-4</v>
      </c>
      <c r="BJ55">
        <v>1.0040877728066456E-5</v>
      </c>
      <c r="BK55">
        <v>3.8517319997979161E-3</v>
      </c>
      <c r="CC55" s="133">
        <f t="shared" si="3"/>
        <v>52</v>
      </c>
      <c r="CJ55" s="127"/>
      <c r="CK55" s="127"/>
      <c r="CL55" s="127"/>
      <c r="CM55" s="127"/>
    </row>
    <row r="56" spans="1:91" x14ac:dyDescent="0.25">
      <c r="A56">
        <v>53</v>
      </c>
      <c r="B56" s="127">
        <v>26.5</v>
      </c>
      <c r="C56" s="20">
        <v>9.6722626698470732E-8</v>
      </c>
      <c r="D56" s="20">
        <v>5.5951765210824683E-3</v>
      </c>
      <c r="E56" s="20">
        <v>1.3423155656182128E-6</v>
      </c>
      <c r="F56" s="20">
        <v>1.2883114029161587E-3</v>
      </c>
      <c r="G56" s="19">
        <v>504.42638998890169</v>
      </c>
      <c r="H56" s="19">
        <v>78.052141898331584</v>
      </c>
      <c r="I56" s="19">
        <v>6.9161821020284847E-4</v>
      </c>
      <c r="J56" s="19">
        <v>-1.55395789402572E-4</v>
      </c>
      <c r="K56">
        <v>0.80110931539551444</v>
      </c>
      <c r="L56" s="19">
        <v>424.28008787802378</v>
      </c>
      <c r="M56" s="19">
        <v>78.066836212550257</v>
      </c>
      <c r="N56" s="19">
        <v>6.9165323655713529E-4</v>
      </c>
      <c r="O56" s="19">
        <v>-2.2199708414523517E-4</v>
      </c>
      <c r="P56" s="19">
        <v>0.4415234258269769</v>
      </c>
      <c r="Q56" s="19">
        <v>203.07318603083058</v>
      </c>
      <c r="R56" s="19">
        <v>41.53250916170331</v>
      </c>
      <c r="S56" s="19">
        <v>3.536613794219496E-4</v>
      </c>
      <c r="T56" s="19">
        <v>-1.3710390983746626E-4</v>
      </c>
      <c r="U56" s="19">
        <v>0.24032122536698319</v>
      </c>
      <c r="V56" s="19">
        <v>131.94992497309153</v>
      </c>
      <c r="W56" s="19">
        <v>27.795147505268634</v>
      </c>
      <c r="X56" s="19">
        <v>2.3427476435692484E-4</v>
      </c>
      <c r="Y56" s="19">
        <v>-9.8353525364397234E-5</v>
      </c>
      <c r="Z56">
        <v>0.16778795151258016</v>
      </c>
      <c r="AB56">
        <v>187722.40841612156</v>
      </c>
      <c r="AC56">
        <v>4710755.252106986</v>
      </c>
      <c r="AD56">
        <v>187684.86037408424</v>
      </c>
      <c r="AE56">
        <v>1008992.367085019</v>
      </c>
      <c r="AF56">
        <v>2655017.0283473083</v>
      </c>
      <c r="AG56">
        <v>8091942.3444298496</v>
      </c>
      <c r="AH56">
        <v>13507429.568771606</v>
      </c>
      <c r="AI56">
        <v>33982520.285861246</v>
      </c>
      <c r="AK56">
        <v>4.4231747967456408E-5</v>
      </c>
      <c r="AL56">
        <v>1.0234810453834053</v>
      </c>
      <c r="AM56">
        <v>5.2615518786204595E-4</v>
      </c>
      <c r="AN56">
        <v>5.0498686418344416E-2</v>
      </c>
      <c r="AP56" s="134">
        <v>2.3562316476042931E-10</v>
      </c>
      <c r="AQ56" s="134">
        <v>9.3895236751416481E-12</v>
      </c>
      <c r="AR56" s="134">
        <v>5.453189156245492E-6</v>
      </c>
      <c r="AS56" s="134">
        <v>1.0143595519361996E-6</v>
      </c>
      <c r="AT56" s="134">
        <v>1.9817394097452037E-10</v>
      </c>
      <c r="AU56" s="134">
        <v>6.5022112796469558E-11</v>
      </c>
      <c r="AV56" s="134">
        <v>3.7385859508825016E-9</v>
      </c>
      <c r="AW56" s="134">
        <v>1.4860194592263622E-9</v>
      </c>
      <c r="AY56" s="134">
        <v>5.4573615393021095E-6</v>
      </c>
      <c r="AZ56" s="134">
        <v>1.0159199830318976E-6</v>
      </c>
      <c r="BB56">
        <v>5.0913936822202669E-4</v>
      </c>
      <c r="BC56">
        <v>1.1752548517010703E-3</v>
      </c>
      <c r="BD56">
        <v>1.6746383197360265E-3</v>
      </c>
      <c r="BE56">
        <v>2.3241708477281927E-5</v>
      </c>
      <c r="BF56">
        <v>3.3822742481364053E-3</v>
      </c>
      <c r="BG56">
        <v>2.7363898994303983E-3</v>
      </c>
      <c r="BH56">
        <v>4.4401182710380473E-4</v>
      </c>
      <c r="BI56">
        <v>6.6230382949921947E-4</v>
      </c>
      <c r="BJ56">
        <v>1.0042363747525683E-5</v>
      </c>
      <c r="BK56">
        <v>3.8527479197809481E-3</v>
      </c>
      <c r="CC56" s="133">
        <f t="shared" si="3"/>
        <v>53</v>
      </c>
      <c r="CJ56" s="127"/>
      <c r="CK56" s="127"/>
      <c r="CL56" s="127"/>
      <c r="CM56" s="127"/>
    </row>
    <row r="57" spans="1:91" x14ac:dyDescent="0.25">
      <c r="A57">
        <v>54</v>
      </c>
      <c r="B57" s="127">
        <v>27</v>
      </c>
      <c r="C57" s="20">
        <v>6.9046488078788535E-8</v>
      </c>
      <c r="D57" s="20">
        <v>4.806352774608111E-3</v>
      </c>
      <c r="E57" s="20">
        <v>6.8884395522960762E-7</v>
      </c>
      <c r="F57" s="20">
        <v>8.1226409526693284E-4</v>
      </c>
      <c r="G57" s="19">
        <v>506.6028026925199</v>
      </c>
      <c r="H57" s="19">
        <v>79.36554879636634</v>
      </c>
      <c r="I57" s="19">
        <v>7.0307846388624083E-4</v>
      </c>
      <c r="J57" s="19">
        <v>-1.5468798126924504E-4</v>
      </c>
      <c r="K57">
        <v>0.81392968434469148</v>
      </c>
      <c r="L57" s="19">
        <v>432.33828346508108</v>
      </c>
      <c r="M57" s="19">
        <v>79.539795386371964</v>
      </c>
      <c r="N57" s="19">
        <v>7.0470329762425119E-4</v>
      </c>
      <c r="O57" s="19">
        <v>-2.2407594039478262E-4</v>
      </c>
      <c r="P57" s="19">
        <v>0.44875389327848514</v>
      </c>
      <c r="Q57" s="19">
        <v>207.47361258398837</v>
      </c>
      <c r="R57" s="19">
        <v>42.316141410037332</v>
      </c>
      <c r="S57" s="19">
        <v>3.6033423563745808E-4</v>
      </c>
      <c r="T57" s="19">
        <v>-1.3912922801507697E-4</v>
      </c>
      <c r="U57" s="19">
        <v>0.24432567538506519</v>
      </c>
      <c r="V57" s="19">
        <v>134.65451928931046</v>
      </c>
      <c r="W57" s="19">
        <v>28.319584250651058</v>
      </c>
      <c r="X57" s="19">
        <v>2.3869504292969699E-4</v>
      </c>
      <c r="Y57" s="19">
        <v>-9.9974032566511664E-5</v>
      </c>
      <c r="Z57">
        <v>0.17059307996365608</v>
      </c>
      <c r="AB57">
        <v>175923.34904614746</v>
      </c>
      <c r="AC57">
        <v>4804582.9729009736</v>
      </c>
      <c r="AD57">
        <v>174326.56600313503</v>
      </c>
      <c r="AE57">
        <v>969171.65552163776</v>
      </c>
      <c r="AF57">
        <v>2466048.6749390699</v>
      </c>
      <c r="AG57">
        <v>7595226.0941092856</v>
      </c>
      <c r="AH57">
        <v>12546050.904478302</v>
      </c>
      <c r="AI57">
        <v>31666155.484366663</v>
      </c>
      <c r="AK57">
        <v>3.1575309345762888E-5</v>
      </c>
      <c r="AL57">
        <v>0.87918780465672386</v>
      </c>
      <c r="AM57">
        <v>2.7001014512153501E-4</v>
      </c>
      <c r="AN57">
        <v>3.1838785050662538E-2</v>
      </c>
      <c r="AP57" s="134">
        <v>1.7948333474188346E-10</v>
      </c>
      <c r="AQ57" s="134">
        <v>6.5719146747710211E-12</v>
      </c>
      <c r="AR57" s="134">
        <v>5.043338056925373E-6</v>
      </c>
      <c r="AS57" s="134">
        <v>9.0715385623150329E-7</v>
      </c>
      <c r="AT57" s="134">
        <v>1.0949100391467589E-10</v>
      </c>
      <c r="AU57" s="134">
        <v>3.5549981235048397E-11</v>
      </c>
      <c r="AV57" s="134">
        <v>2.5377535363974741E-9</v>
      </c>
      <c r="AW57" s="134">
        <v>1.0054515479904437E-9</v>
      </c>
      <c r="AY57" s="134">
        <v>5.0461647848004277E-6</v>
      </c>
      <c r="AZ57" s="134">
        <v>9.0820142967540357E-7</v>
      </c>
      <c r="BB57">
        <v>5.0913954770536146E-4</v>
      </c>
      <c r="BC57">
        <v>1.1802981897579955E-3</v>
      </c>
      <c r="BD57">
        <v>1.6746384292270304E-3</v>
      </c>
      <c r="BE57">
        <v>2.3244246230818324E-5</v>
      </c>
      <c r="BF57">
        <v>3.387320412921206E-3</v>
      </c>
      <c r="BG57">
        <v>2.7363899060023132E-3</v>
      </c>
      <c r="BH57">
        <v>4.4491898096003622E-4</v>
      </c>
      <c r="BI57">
        <v>6.6230386504920072E-4</v>
      </c>
      <c r="BJ57">
        <v>1.0043369199073672E-5</v>
      </c>
      <c r="BK57">
        <v>3.8536561212106236E-3</v>
      </c>
      <c r="CC57" s="133">
        <f t="shared" si="3"/>
        <v>54</v>
      </c>
      <c r="CJ57" s="127"/>
      <c r="CK57" s="127"/>
      <c r="CL57" s="127"/>
      <c r="CM57" s="127"/>
    </row>
    <row r="58" spans="1:91" x14ac:dyDescent="0.25">
      <c r="A58">
        <v>55</v>
      </c>
      <c r="B58" s="127">
        <v>27.5</v>
      </c>
      <c r="C58" s="20">
        <v>4.9457986872646788E-8</v>
      </c>
      <c r="D58" s="20">
        <v>4.1346445547695947E-3</v>
      </c>
      <c r="E58" s="20">
        <v>3.7259283521759841E-7</v>
      </c>
      <c r="F58" s="20">
        <v>5.1057244020002177E-4</v>
      </c>
      <c r="G58" s="19">
        <v>508.71205767416939</v>
      </c>
      <c r="H58" s="19">
        <v>80.673664346170554</v>
      </c>
      <c r="I58" s="19">
        <v>7.1448621995411749E-4</v>
      </c>
      <c r="J58" s="19">
        <v>-1.5396737196729079E-4</v>
      </c>
      <c r="K58">
        <v>0.82670634032434931</v>
      </c>
      <c r="L58" s="19">
        <v>440.33676586905767</v>
      </c>
      <c r="M58" s="19">
        <v>81.01275456019367</v>
      </c>
      <c r="N58" s="19">
        <v>7.1775335869136698E-4</v>
      </c>
      <c r="O58" s="19">
        <v>-2.2611791998807467E-4</v>
      </c>
      <c r="P58" s="19">
        <v>0.45596261799626714</v>
      </c>
      <c r="Q58" s="19">
        <v>211.85590562252722</v>
      </c>
      <c r="R58" s="19">
        <v>43.099773658371355</v>
      </c>
      <c r="S58" s="19">
        <v>3.6700709185296651E-4</v>
      </c>
      <c r="T58" s="19">
        <v>-1.4114349235496188E-4</v>
      </c>
      <c r="U58" s="19">
        <v>0.24832035026605651</v>
      </c>
      <c r="V58" s="19">
        <v>137.33248101756632</v>
      </c>
      <c r="W58" s="19">
        <v>28.844020996033482</v>
      </c>
      <c r="X58" s="19">
        <v>2.4311532150246914E-4</v>
      </c>
      <c r="Y58" s="19">
        <v>-1.0158194812779144E-4</v>
      </c>
      <c r="Z58">
        <v>0.17339231871513694</v>
      </c>
      <c r="AB58">
        <v>165086.94828625399</v>
      </c>
      <c r="AC58">
        <v>4902483.2344923541</v>
      </c>
      <c r="AD58">
        <v>162138.55679938017</v>
      </c>
      <c r="AE58">
        <v>931925.00904253975</v>
      </c>
      <c r="AF58">
        <v>2293635.3438204839</v>
      </c>
      <c r="AG58">
        <v>7137944.661969061</v>
      </c>
      <c r="AH58">
        <v>11668896.105869994</v>
      </c>
      <c r="AI58">
        <v>29557020.061263248</v>
      </c>
      <c r="AK58">
        <v>2.2617388350592306E-5</v>
      </c>
      <c r="AL58">
        <v>0.75631757376364239</v>
      </c>
      <c r="AM58">
        <v>1.4604736638040809E-4</v>
      </c>
      <c r="AN58">
        <v>2.0013202936144267E-2</v>
      </c>
      <c r="AP58" s="134">
        <v>1.3700288596633746E-10</v>
      </c>
      <c r="AQ58" s="134">
        <v>4.6134555221858518E-12</v>
      </c>
      <c r="AR58" s="134">
        <v>4.6646373860318816E-6</v>
      </c>
      <c r="AS58" s="134">
        <v>8.1156484312046041E-7</v>
      </c>
      <c r="AT58" s="134">
        <v>6.3675059234629048E-11</v>
      </c>
      <c r="AU58" s="134">
        <v>2.0460703087059197E-11</v>
      </c>
      <c r="AV58" s="134">
        <v>1.7150896498321467E-9</v>
      </c>
      <c r="AW58" s="134">
        <v>6.7710489402052784E-10</v>
      </c>
      <c r="AY58" s="134">
        <v>4.6665531536269146E-6</v>
      </c>
      <c r="AZ58" s="134">
        <v>8.1226702217309018E-7</v>
      </c>
      <c r="BB58">
        <v>5.0913968470824738E-4</v>
      </c>
      <c r="BC58">
        <v>1.1849628271440274E-3</v>
      </c>
      <c r="BD58">
        <v>1.6746384929020896E-3</v>
      </c>
      <c r="BE58">
        <v>2.3245961320468157E-5</v>
      </c>
      <c r="BF58">
        <v>3.3919869660748322E-3</v>
      </c>
      <c r="BG58">
        <v>2.7363899106157686E-3</v>
      </c>
      <c r="BH58">
        <v>4.4573054580315666E-4</v>
      </c>
      <c r="BI58">
        <v>6.6230388550990384E-4</v>
      </c>
      <c r="BJ58">
        <v>1.0044046303967693E-5</v>
      </c>
      <c r="BK58">
        <v>3.8544683882327968E-3</v>
      </c>
      <c r="CC58" s="133">
        <f t="shared" si="3"/>
        <v>55</v>
      </c>
      <c r="CJ58" s="127"/>
      <c r="CK58" s="127"/>
      <c r="CL58" s="127"/>
      <c r="CM58" s="127"/>
    </row>
    <row r="59" spans="1:91" x14ac:dyDescent="0.25">
      <c r="A59">
        <v>56</v>
      </c>
      <c r="B59" s="127">
        <v>28</v>
      </c>
      <c r="C59" s="20">
        <v>3.5545181342800917E-8</v>
      </c>
      <c r="D59" s="20">
        <v>3.5618003741336841E-3</v>
      </c>
      <c r="E59" s="20">
        <v>2.0917863728828378E-7</v>
      </c>
      <c r="F59" s="20">
        <v>3.2008116931838847E-4</v>
      </c>
      <c r="G59" s="19">
        <v>510.75702075046246</v>
      </c>
      <c r="H59" s="19">
        <v>81.97651834402707</v>
      </c>
      <c r="I59" s="19">
        <v>7.2584178929786206E-4</v>
      </c>
      <c r="J59" s="19">
        <v>-1.532351413484458E-4</v>
      </c>
      <c r="K59">
        <v>0.83944009692068988</v>
      </c>
      <c r="L59" s="19">
        <v>448.27251221105888</v>
      </c>
      <c r="M59" s="19">
        <v>82.485713734015363</v>
      </c>
      <c r="N59" s="19">
        <v>7.3080341975848267E-4</v>
      </c>
      <c r="O59" s="19">
        <v>-2.2812396595341103E-4</v>
      </c>
      <c r="P59" s="19">
        <v>0.46314996963207666</v>
      </c>
      <c r="Q59" s="19">
        <v>216.21725297778949</v>
      </c>
      <c r="R59" s="19">
        <v>43.88340590670537</v>
      </c>
      <c r="S59" s="19">
        <v>3.7367994806847488E-4</v>
      </c>
      <c r="T59" s="19">
        <v>-1.4314562571004789E-4</v>
      </c>
      <c r="U59" s="19">
        <v>0.2523053873938344</v>
      </c>
      <c r="V59" s="19">
        <v>139.98332442508209</v>
      </c>
      <c r="W59" s="19">
        <v>29.368457741415909</v>
      </c>
      <c r="X59" s="19">
        <v>2.475356000752413E-4</v>
      </c>
      <c r="Y59" s="19">
        <v>-1.0317671087735622E-4</v>
      </c>
      <c r="Z59">
        <v>0.17618574784537927</v>
      </c>
      <c r="AB59">
        <v>155118.17968719953</v>
      </c>
      <c r="AC59">
        <v>5004491.0333829839</v>
      </c>
      <c r="AD59">
        <v>150999.74707760135</v>
      </c>
      <c r="AE59">
        <v>897035.73219396756</v>
      </c>
      <c r="AF59">
        <v>2136064.1394734839</v>
      </c>
      <c r="AG59">
        <v>6716558.1181711005</v>
      </c>
      <c r="AH59">
        <v>10867250.797361927</v>
      </c>
      <c r="AI59">
        <v>27633457.953199316</v>
      </c>
      <c r="AK59">
        <v>1.6254991787119879E-5</v>
      </c>
      <c r="AL59">
        <v>0.65153175357907833</v>
      </c>
      <c r="AM59">
        <v>8.199295904644794E-5</v>
      </c>
      <c r="AN59">
        <v>1.2546406529693823E-2</v>
      </c>
      <c r="AP59" s="134">
        <v>1.0479101688724402E-10</v>
      </c>
      <c r="AQ59" s="134">
        <v>3.2480809094649679E-12</v>
      </c>
      <c r="AR59" s="134">
        <v>4.3147870522209881E-6</v>
      </c>
      <c r="AS59" s="134">
        <v>7.2631638874135339E-7</v>
      </c>
      <c r="AT59" s="134">
        <v>3.8385064161349711E-11</v>
      </c>
      <c r="AU59" s="134">
        <v>1.2207585731242713E-11</v>
      </c>
      <c r="AV59" s="134">
        <v>1.1545152277832328E-9</v>
      </c>
      <c r="AW59" s="134">
        <v>4.5402955181876683E-10</v>
      </c>
      <c r="AY59" s="134">
        <v>4.3160847435298211E-6</v>
      </c>
      <c r="AZ59" s="134">
        <v>7.2678587395981292E-7</v>
      </c>
      <c r="BB59">
        <v>5.0913978949926428E-4</v>
      </c>
      <c r="BC59">
        <v>1.1892776141962484E-3</v>
      </c>
      <c r="BD59">
        <v>1.6746385312871538E-3</v>
      </c>
      <c r="BE59">
        <v>2.3247115835695941E-5</v>
      </c>
      <c r="BF59">
        <v>3.3963030508183624E-3</v>
      </c>
      <c r="BG59">
        <v>2.7363899138638497E-3</v>
      </c>
      <c r="BH59">
        <v>4.4645686219189803E-4</v>
      </c>
      <c r="BI59">
        <v>6.6230389771748958E-4</v>
      </c>
      <c r="BJ59">
        <v>1.0044500333519513E-5</v>
      </c>
      <c r="BK59">
        <v>3.8551951741067573E-3</v>
      </c>
      <c r="CC59" s="133">
        <f t="shared" si="3"/>
        <v>56</v>
      </c>
      <c r="CJ59" s="127"/>
      <c r="CK59" s="127"/>
      <c r="CL59" s="127"/>
      <c r="CM59" s="127"/>
    </row>
    <row r="60" spans="1:91" x14ac:dyDescent="0.25">
      <c r="A60">
        <v>57</v>
      </c>
      <c r="B60" s="127">
        <v>28.5</v>
      </c>
      <c r="C60" s="20">
        <v>2.5629702090279795E-8</v>
      </c>
      <c r="D60" s="20">
        <v>3.0725450547288151E-3</v>
      </c>
      <c r="E60" s="20">
        <v>1.203173526637903E-7</v>
      </c>
      <c r="F60" s="20">
        <v>2.0019661275849578E-4</v>
      </c>
      <c r="G60" s="19">
        <v>512.74040239931173</v>
      </c>
      <c r="H60" s="19">
        <v>83.274140370839191</v>
      </c>
      <c r="I60" s="19">
        <v>7.371454805002928E-4</v>
      </c>
      <c r="J60" s="19">
        <v>-1.5249238623063182E-4</v>
      </c>
      <c r="K60">
        <v>0.85213173814409904</v>
      </c>
      <c r="L60" s="19">
        <v>456.14298345559354</v>
      </c>
      <c r="M60" s="19">
        <v>83.958672907837084</v>
      </c>
      <c r="N60" s="19">
        <v>7.4385348082559857E-4</v>
      </c>
      <c r="O60" s="19">
        <v>-2.3009500023216567E-4</v>
      </c>
      <c r="P60" s="19">
        <v>0.47031630667855928</v>
      </c>
      <c r="Q60" s="19">
        <v>220.55520505978961</v>
      </c>
      <c r="R60" s="19">
        <v>44.667038155039414</v>
      </c>
      <c r="S60" s="19">
        <v>3.8035280428398352E-4</v>
      </c>
      <c r="T60" s="19">
        <v>-1.4513469946871027E-4</v>
      </c>
      <c r="U60" s="19">
        <v>0.2562809203234705</v>
      </c>
      <c r="V60" s="19">
        <v>142.60668138524224</v>
      </c>
      <c r="W60" s="19">
        <v>29.89289448679834</v>
      </c>
      <c r="X60" s="19">
        <v>2.519558786480135E-4</v>
      </c>
      <c r="Y60" s="19">
        <v>-1.0475785301289257E-4</v>
      </c>
      <c r="Z60">
        <v>0.17897344483115221</v>
      </c>
      <c r="AB60">
        <v>145932.93151465181</v>
      </c>
      <c r="AC60">
        <v>5110648.7708735634</v>
      </c>
      <c r="AD60">
        <v>140803.43395170991</v>
      </c>
      <c r="AE60">
        <v>864309.05338675296</v>
      </c>
      <c r="AF60">
        <v>1991825.6275250718</v>
      </c>
      <c r="AG60">
        <v>6327851.1343064252</v>
      </c>
      <c r="AH60">
        <v>10133435.714277381</v>
      </c>
      <c r="AI60">
        <v>25876290.803963371</v>
      </c>
      <c r="AK60">
        <v>1.172059281301725E-5</v>
      </c>
      <c r="AL60">
        <v>0.56203617754548951</v>
      </c>
      <c r="AM60">
        <v>4.716148789105696E-5</v>
      </c>
      <c r="AN60">
        <v>7.8472222995327537E-3</v>
      </c>
      <c r="AP60" s="134">
        <v>8.0314927490101785E-11</v>
      </c>
      <c r="AQ60" s="134">
        <v>2.2933669165086939E-12</v>
      </c>
      <c r="AR60" s="134">
        <v>3.9916368640430038E-6</v>
      </c>
      <c r="AS60" s="134">
        <v>6.5027223230299174E-7</v>
      </c>
      <c r="AT60" s="134">
        <v>2.3677518372758924E-11</v>
      </c>
      <c r="AU60" s="134">
        <v>7.4530021155793477E-12</v>
      </c>
      <c r="AV60" s="134">
        <v>7.7438911350436702E-10</v>
      </c>
      <c r="AW60" s="134">
        <v>3.0325916333923815E-10</v>
      </c>
      <c r="AY60" s="134">
        <v>3.9925152456023705E-6</v>
      </c>
      <c r="AZ60" s="134">
        <v>6.5058523783536315E-7</v>
      </c>
      <c r="BB60">
        <v>5.0913986981419173E-4</v>
      </c>
      <c r="BC60">
        <v>1.1932692510602913E-3</v>
      </c>
      <c r="BD60">
        <v>1.6746385549646721E-3</v>
      </c>
      <c r="BE60">
        <v>2.3247890224809447E-5</v>
      </c>
      <c r="BF60">
        <v>3.4002955660639642E-3</v>
      </c>
      <c r="BG60">
        <v>2.7363899161572166E-3</v>
      </c>
      <c r="BH60">
        <v>4.4710713442420102E-4</v>
      </c>
      <c r="BI60">
        <v>6.6230390517049167E-4</v>
      </c>
      <c r="BJ60">
        <v>1.0044803592682852E-5</v>
      </c>
      <c r="BK60">
        <v>3.8558457593445917E-3</v>
      </c>
      <c r="CC60" s="133">
        <f t="shared" si="3"/>
        <v>57</v>
      </c>
      <c r="CJ60" s="127"/>
      <c r="CK60" s="127"/>
      <c r="CL60" s="127"/>
      <c r="CM60" s="127"/>
    </row>
    <row r="61" spans="1:91" x14ac:dyDescent="0.25">
      <c r="A61">
        <v>58</v>
      </c>
      <c r="B61" s="127">
        <v>29</v>
      </c>
      <c r="C61" s="20">
        <v>1.8539366262839398E-8</v>
      </c>
      <c r="D61" s="20">
        <v>2.6540733743980866E-3</v>
      </c>
      <c r="E61" s="20">
        <v>7.0256541483690827E-8</v>
      </c>
      <c r="F61" s="20">
        <v>1.2496605482305401E-4</v>
      </c>
      <c r="G61" s="19">
        <v>514.66476792846936</v>
      </c>
      <c r="H61" s="19">
        <v>84.566559794030724</v>
      </c>
      <c r="I61" s="19">
        <v>7.4839759985636286E-4</v>
      </c>
      <c r="J61" s="19">
        <v>-1.5174012662833017E-4</v>
      </c>
      <c r="K61">
        <v>0.86478201990638925</v>
      </c>
      <c r="L61" s="19">
        <v>463.94606637225581</v>
      </c>
      <c r="M61" s="19">
        <v>85.431632081658776</v>
      </c>
      <c r="N61" s="19">
        <v>7.5690354189271415E-4</v>
      </c>
      <c r="O61" s="19">
        <v>-2.3203192278704914E-4</v>
      </c>
      <c r="P61" s="19">
        <v>0.47746197694040715</v>
      </c>
      <c r="Q61" s="19">
        <v>224.86763367122609</v>
      </c>
      <c r="R61" s="19">
        <v>45.450670403373429</v>
      </c>
      <c r="S61" s="19">
        <v>3.8702566049949195E-4</v>
      </c>
      <c r="T61" s="19">
        <v>-1.4710991636052341E-4</v>
      </c>
      <c r="U61" s="19">
        <v>0.2602470789652187</v>
      </c>
      <c r="V61" s="19">
        <v>145.20228622027145</v>
      </c>
      <c r="W61" s="19">
        <v>30.417331232180775</v>
      </c>
      <c r="X61" s="19">
        <v>2.5637615722078571E-4</v>
      </c>
      <c r="Y61" s="19">
        <v>-1.0632498880405908E-4</v>
      </c>
      <c r="Z61">
        <v>0.18175548469883601</v>
      </c>
      <c r="AB61">
        <v>137456.58508545012</v>
      </c>
      <c r="AC61">
        <v>5221005.8274462549</v>
      </c>
      <c r="AD61">
        <v>131455.37607320794</v>
      </c>
      <c r="AE61">
        <v>833569.57735243544</v>
      </c>
      <c r="AF61">
        <v>1859586.6563052803</v>
      </c>
      <c r="AG61">
        <v>5968907.7961947313</v>
      </c>
      <c r="AH61">
        <v>9460668.4322121292</v>
      </c>
      <c r="AI61">
        <v>24268525.746641032</v>
      </c>
      <c r="AK61">
        <v>8.4781462622048681E-6</v>
      </c>
      <c r="AL61">
        <v>0.48548848843605208</v>
      </c>
      <c r="AM61">
        <v>2.7538862492341056E-5</v>
      </c>
      <c r="AN61">
        <v>4.8983666535611084E-3</v>
      </c>
      <c r="AP61" s="134">
        <v>6.167872028054832E-11</v>
      </c>
      <c r="AQ61" s="134">
        <v>1.6238530548340289E-12</v>
      </c>
      <c r="AR61" s="134">
        <v>3.6931809328641069E-6</v>
      </c>
      <c r="AS61" s="134">
        <v>5.8242107392888484E-7</v>
      </c>
      <c r="AT61" s="134">
        <v>1.480913105015318E-11</v>
      </c>
      <c r="AU61" s="134">
        <v>4.6137188632562725E-12</v>
      </c>
      <c r="AV61" s="134">
        <v>5.1776115912517541E-10</v>
      </c>
      <c r="AW61" s="134">
        <v>2.0184030561638393E-10</v>
      </c>
      <c r="AY61" s="134">
        <v>3.693775181874563E-6</v>
      </c>
      <c r="AZ61" s="134">
        <v>5.8262915180641932E-7</v>
      </c>
      <c r="BB61">
        <v>5.0913993149291203E-4</v>
      </c>
      <c r="BC61">
        <v>1.1969624319931554E-3</v>
      </c>
      <c r="BD61">
        <v>1.6746385697738032E-3</v>
      </c>
      <c r="BE61">
        <v>2.3248407985968572E-5</v>
      </c>
      <c r="BF61">
        <v>3.4039893412458389E-3</v>
      </c>
      <c r="BG61">
        <v>2.7363899177810696E-3</v>
      </c>
      <c r="BH61">
        <v>4.4768955549812989E-4</v>
      </c>
      <c r="BI61">
        <v>6.6230390978421058E-4</v>
      </c>
      <c r="BJ61">
        <v>1.0045005432988469E-5</v>
      </c>
      <c r="BK61">
        <v>3.8564283884963985E-3</v>
      </c>
      <c r="CC61" s="133">
        <f t="shared" si="3"/>
        <v>58</v>
      </c>
      <c r="CJ61" s="127"/>
      <c r="CK61" s="127"/>
      <c r="CL61" s="127"/>
      <c r="CM61" s="127"/>
    </row>
    <row r="62" spans="1:91" x14ac:dyDescent="0.25">
      <c r="A62">
        <v>59</v>
      </c>
      <c r="B62" s="127">
        <v>29.5</v>
      </c>
      <c r="C62" s="20">
        <v>1.3452579758900682E-8</v>
      </c>
      <c r="D62" s="20">
        <v>2.2956333249080506E-3</v>
      </c>
      <c r="E62" s="20">
        <v>4.1407451206506655E-8</v>
      </c>
      <c r="F62" s="20">
        <v>7.7876447717339356E-5</v>
      </c>
      <c r="G62" s="19">
        <v>516.53254686666196</v>
      </c>
      <c r="H62" s="19">
        <v>85.85380576942589</v>
      </c>
      <c r="I62" s="19">
        <v>7.5959845139365488E-4</v>
      </c>
      <c r="J62" s="19">
        <v>-1.5097931146455229E-4</v>
      </c>
      <c r="K62">
        <v>0.87739167140604546</v>
      </c>
      <c r="L62" s="19">
        <v>471.68002263985886</v>
      </c>
      <c r="M62" s="19">
        <v>86.904591255480483</v>
      </c>
      <c r="N62" s="19">
        <v>7.6995360295982994E-4</v>
      </c>
      <c r="O62" s="19">
        <v>-2.3393561100687433E-4</v>
      </c>
      <c r="P62" s="19">
        <v>0.48458731797904275</v>
      </c>
      <c r="Q62" s="19">
        <v>229.1526957641226</v>
      </c>
      <c r="R62" s="19">
        <v>46.234302651707452</v>
      </c>
      <c r="S62" s="19">
        <v>3.9369851671500037E-4</v>
      </c>
      <c r="T62" s="19">
        <v>-1.4907059534474606E-4</v>
      </c>
      <c r="U62" s="19">
        <v>0.26420398975510051</v>
      </c>
      <c r="V62" s="19">
        <v>147.76996246656736</v>
      </c>
      <c r="W62" s="19">
        <v>30.941767977563192</v>
      </c>
      <c r="X62" s="19">
        <v>2.607964357935578E-4</v>
      </c>
      <c r="Y62" s="19">
        <v>-1.0787780469181979E-4</v>
      </c>
      <c r="Z62">
        <v>0.18453194016348207</v>
      </c>
      <c r="AB62">
        <v>129622.79925359502</v>
      </c>
      <c r="AC62">
        <v>5335618.1998851737</v>
      </c>
      <c r="AD62">
        <v>122872.15650138825</v>
      </c>
      <c r="AE62">
        <v>804659.06740480894</v>
      </c>
      <c r="AF62">
        <v>1738167.1977735488</v>
      </c>
      <c r="AG62">
        <v>5637086.6278722156</v>
      </c>
      <c r="AH62">
        <v>8842945.5449820459</v>
      </c>
      <c r="AI62">
        <v>22795095.501458336</v>
      </c>
      <c r="AK62">
        <v>6.1519329831972852E-6</v>
      </c>
      <c r="AL62">
        <v>0.41992190708208832</v>
      </c>
      <c r="AM62">
        <v>1.6230717892639481E-5</v>
      </c>
      <c r="AN62">
        <v>3.0525681164901134E-3</v>
      </c>
      <c r="AP62" s="134">
        <v>4.7460269478994951E-11</v>
      </c>
      <c r="AQ62" s="134">
        <v>1.1529934775561114E-12</v>
      </c>
      <c r="AR62" s="134">
        <v>3.4175513724083121E-6</v>
      </c>
      <c r="AS62" s="134">
        <v>5.2186313942428171E-7</v>
      </c>
      <c r="AT62" s="134">
        <v>9.3378346533231762E-12</v>
      </c>
      <c r="AU62" s="134">
        <v>2.8792741648474466E-12</v>
      </c>
      <c r="AV62" s="134">
        <v>3.4519811311314719E-10</v>
      </c>
      <c r="AW62" s="134">
        <v>1.3391337256274373E-10</v>
      </c>
      <c r="AY62" s="134">
        <v>3.4179533686255579E-6</v>
      </c>
      <c r="AZ62" s="134">
        <v>5.220010850644869E-7</v>
      </c>
      <c r="BB62">
        <v>5.0913997895318146E-4</v>
      </c>
      <c r="BC62">
        <v>1.2003799833655638E-3</v>
      </c>
      <c r="BD62">
        <v>1.674638579111638E-3</v>
      </c>
      <c r="BE62">
        <v>2.3248753184081684E-5</v>
      </c>
      <c r="BF62">
        <v>3.4074072946144647E-3</v>
      </c>
      <c r="BG62">
        <v>2.7363899189340631E-3</v>
      </c>
      <c r="BH62">
        <v>4.4821141863755416E-4</v>
      </c>
      <c r="BI62">
        <v>6.6230391266348476E-4</v>
      </c>
      <c r="BJ62">
        <v>1.0045139346361032E-5</v>
      </c>
      <c r="BK62">
        <v>3.8569503895814631E-3</v>
      </c>
      <c r="CC62" s="133">
        <f t="shared" si="3"/>
        <v>59</v>
      </c>
      <c r="CJ62" s="127"/>
      <c r="CK62" s="127"/>
      <c r="CL62" s="127"/>
      <c r="CM62" s="127"/>
    </row>
    <row r="63" spans="1:91" x14ac:dyDescent="0.25">
      <c r="A63">
        <v>60</v>
      </c>
      <c r="B63" s="127">
        <v>30</v>
      </c>
      <c r="C63" s="20">
        <v>9.7914577032337287E-9</v>
      </c>
      <c r="D63" s="20">
        <v>1.9881825315446909E-3</v>
      </c>
      <c r="E63" s="20">
        <v>2.4548481825732431E-8</v>
      </c>
      <c r="F63" s="20">
        <v>4.8465813876066243E-5</v>
      </c>
      <c r="G63" s="19">
        <v>518.34604164510051</v>
      </c>
      <c r="H63" s="19">
        <v>87.135907243109642</v>
      </c>
      <c r="I63" s="19">
        <v>7.7074833689265215E-4</v>
      </c>
      <c r="J63" s="19">
        <v>-1.5021082381229387E-4</v>
      </c>
      <c r="K63">
        <v>0.8899613964283295</v>
      </c>
      <c r="L63" s="19">
        <v>479.34344414649445</v>
      </c>
      <c r="M63" s="19">
        <v>88.377550429302175</v>
      </c>
      <c r="N63" s="19">
        <v>7.8300366402694562E-4</v>
      </c>
      <c r="O63" s="19">
        <v>-2.3580691935444375E-4</v>
      </c>
      <c r="P63" s="19">
        <v>0.4916926575327728</v>
      </c>
      <c r="Q63" s="19">
        <v>233.40880149359154</v>
      </c>
      <c r="R63" s="19">
        <v>47.017934900041467</v>
      </c>
      <c r="S63" s="19">
        <v>4.003713729305088E-4</v>
      </c>
      <c r="T63" s="19">
        <v>-1.5101615830794685E-4</v>
      </c>
      <c r="U63" s="19">
        <v>0.26815177581335986</v>
      </c>
      <c r="V63" s="19">
        <v>150.30961130357079</v>
      </c>
      <c r="W63" s="19">
        <v>31.466204722945623</v>
      </c>
      <c r="X63" s="19">
        <v>2.6521671436633001E-4</v>
      </c>
      <c r="Y63" s="19">
        <v>-1.0941605059822911E-4</v>
      </c>
      <c r="Z63">
        <v>0.18730288175691334</v>
      </c>
      <c r="AB63">
        <v>122372.46822800489</v>
      </c>
      <c r="AC63">
        <v>5454548.1929635815</v>
      </c>
      <c r="AD63">
        <v>114979.78375296494</v>
      </c>
      <c r="AE63">
        <v>777434.51101988577</v>
      </c>
      <c r="AF63">
        <v>1626520.5577655968</v>
      </c>
      <c r="AG63">
        <v>5329996.4766784022</v>
      </c>
      <c r="AH63">
        <v>8274941.9840270467</v>
      </c>
      <c r="AI63">
        <v>21442628.330067683</v>
      </c>
      <c r="AK63">
        <v>4.4776832903183697E-6</v>
      </c>
      <c r="AL63">
        <v>0.363682383948221</v>
      </c>
      <c r="AM63">
        <v>9.6224102570080619E-6</v>
      </c>
      <c r="AN63">
        <v>1.8997425089907333E-3</v>
      </c>
      <c r="AP63" s="134">
        <v>3.6590610250465258E-11</v>
      </c>
      <c r="AQ63" s="134">
        <v>8.2090819109355808E-13</v>
      </c>
      <c r="AR63" s="134">
        <v>3.16301154931371E-6</v>
      </c>
      <c r="AS63" s="134">
        <v>4.6779809590793749E-7</v>
      </c>
      <c r="AT63" s="134">
        <v>5.9159475181959425E-12</v>
      </c>
      <c r="AU63" s="134">
        <v>1.805331447987119E-12</v>
      </c>
      <c r="AV63" s="134">
        <v>2.2957774358512336E-10</v>
      </c>
      <c r="AW63" s="134">
        <v>8.8596532092422684E-11</v>
      </c>
      <c r="AY63" s="134">
        <v>3.1632836336150637E-6</v>
      </c>
      <c r="AZ63" s="134">
        <v>4.6788931867966903E-7</v>
      </c>
      <c r="BB63">
        <v>5.0914001554379167E-4</v>
      </c>
      <c r="BC63">
        <v>1.2035429949148774E-3</v>
      </c>
      <c r="BD63">
        <v>1.6746385850275854E-3</v>
      </c>
      <c r="BE63">
        <v>2.3248982761825269E-5</v>
      </c>
      <c r="BF63">
        <v>3.4105705782480795E-3</v>
      </c>
      <c r="BG63">
        <v>2.7363899197549711E-3</v>
      </c>
      <c r="BH63">
        <v>4.4867921673346207E-4</v>
      </c>
      <c r="BI63">
        <v>6.6230391446881625E-4</v>
      </c>
      <c r="BJ63">
        <v>1.0045227942893123E-5</v>
      </c>
      <c r="BK63">
        <v>3.8574182789001422E-3</v>
      </c>
      <c r="CC63" s="133">
        <f t="shared" si="3"/>
        <v>60</v>
      </c>
      <c r="CJ63" s="127"/>
      <c r="CK63" s="127"/>
      <c r="CL63" s="127"/>
      <c r="CM63" s="127"/>
    </row>
    <row r="64" spans="1:91" x14ac:dyDescent="0.25">
      <c r="A64">
        <v>61</v>
      </c>
      <c r="B64" s="127">
        <v>30.5</v>
      </c>
      <c r="C64" s="20">
        <v>7.1481353304894041E-9</v>
      </c>
      <c r="D64" s="20">
        <v>1.7241045074323166E-3</v>
      </c>
      <c r="E64" s="20">
        <v>1.4611584844927895E-8</v>
      </c>
      <c r="F64" s="20">
        <v>3.013108628933719E-5</v>
      </c>
      <c r="G64" s="19">
        <v>520.10743563052586</v>
      </c>
      <c r="H64" s="19">
        <v>88.412892953269136</v>
      </c>
      <c r="I64" s="19">
        <v>7.8184755590679955E-4</v>
      </c>
      <c r="J64" s="19">
        <v>-1.4943548570848378E-4</v>
      </c>
      <c r="K64">
        <v>0.90249187456649338</v>
      </c>
      <c r="L64" s="19">
        <v>486.93521367515024</v>
      </c>
      <c r="M64" s="19">
        <v>89.850509603123882</v>
      </c>
      <c r="N64" s="19">
        <v>7.9605372509406152E-4</v>
      </c>
      <c r="O64" s="19">
        <v>-2.3764667921316872E-4</v>
      </c>
      <c r="P64" s="19">
        <v>0.49877831391417615</v>
      </c>
      <c r="Q64" s="19">
        <v>237.63458601518798</v>
      </c>
      <c r="R64" s="19">
        <v>47.801567148375504</v>
      </c>
      <c r="S64" s="19">
        <v>4.0704422914601739E-4</v>
      </c>
      <c r="T64" s="19">
        <v>-1.5294611833632495E-4</v>
      </c>
      <c r="U64" s="19">
        <v>0.27209055709192559</v>
      </c>
      <c r="V64" s="19">
        <v>152.82120142473411</v>
      </c>
      <c r="W64" s="19">
        <v>31.99064146832805</v>
      </c>
      <c r="X64" s="19">
        <v>2.6963699293910216E-4</v>
      </c>
      <c r="Y64" s="19">
        <v>-1.1093953228792517E-4</v>
      </c>
      <c r="Z64">
        <v>0.19006837794591477</v>
      </c>
      <c r="AB64">
        <v>115652.82557731049</v>
      </c>
      <c r="AC64">
        <v>5577864.15878182</v>
      </c>
      <c r="AD64">
        <v>107712.49312623264</v>
      </c>
      <c r="AE64">
        <v>751766.42924324027</v>
      </c>
      <c r="AF64">
        <v>1523716.4193525903</v>
      </c>
      <c r="AG64">
        <v>5045473.6630820148</v>
      </c>
      <c r="AH64">
        <v>7751924.7513065869</v>
      </c>
      <c r="AI64">
        <v>20199245.140197858</v>
      </c>
      <c r="AK64">
        <v>3.2688785568359363E-6</v>
      </c>
      <c r="AL64">
        <v>0.31537669579648642</v>
      </c>
      <c r="AM64">
        <v>5.7273873342178793E-6</v>
      </c>
      <c r="AN64">
        <v>1.1810655983678642E-3</v>
      </c>
      <c r="AP64" s="134">
        <v>2.8264580139036791E-11</v>
      </c>
      <c r="AQ64" s="134">
        <v>5.860448486701484E-13</v>
      </c>
      <c r="AR64" s="134">
        <v>2.9279490859698481E-6</v>
      </c>
      <c r="AS64" s="134">
        <v>4.1951420484944755E-7</v>
      </c>
      <c r="AT64" s="134">
        <v>3.7588276016946647E-12</v>
      </c>
      <c r="AU64" s="134">
        <v>1.1351535488383303E-12</v>
      </c>
      <c r="AV64" s="134">
        <v>1.52357722276496E-10</v>
      </c>
      <c r="AW64" s="134">
        <v>5.8470778990520998E-11</v>
      </c>
      <c r="AY64" s="134">
        <v>2.9281334670998651E-6</v>
      </c>
      <c r="AZ64" s="134">
        <v>4.1957439682683556E-7</v>
      </c>
      <c r="BB64">
        <v>5.091400438083718E-4</v>
      </c>
      <c r="BC64">
        <v>1.2064709440008472E-3</v>
      </c>
      <c r="BD64">
        <v>1.6746385887864131E-3</v>
      </c>
      <c r="BE64">
        <v>2.3249135119547547E-5</v>
      </c>
      <c r="BF64">
        <v>3.4134987117151795E-3</v>
      </c>
      <c r="BG64">
        <v>2.7363899203410157E-3</v>
      </c>
      <c r="BH64">
        <v>4.4909873093831155E-4</v>
      </c>
      <c r="BI64">
        <v>6.6230391560396975E-4</v>
      </c>
      <c r="BJ64">
        <v>1.0045286413672115E-5</v>
      </c>
      <c r="BK64">
        <v>3.8578378532969689E-3</v>
      </c>
      <c r="CC64" s="133">
        <f t="shared" si="3"/>
        <v>61</v>
      </c>
      <c r="CJ64" s="127"/>
      <c r="CK64" s="127"/>
      <c r="CL64" s="127"/>
      <c r="CM64" s="127"/>
    </row>
    <row r="65" spans="1:91" x14ac:dyDescent="0.25">
      <c r="A65">
        <v>62</v>
      </c>
      <c r="B65" s="127">
        <v>31</v>
      </c>
      <c r="C65" s="20">
        <v>5.2337765146231104E-9</v>
      </c>
      <c r="D65" s="20">
        <v>1.4969739276518216E-3</v>
      </c>
      <c r="E65" s="20">
        <v>8.7226983051200027E-9</v>
      </c>
      <c r="F65" s="20">
        <v>1.8718805628029744E-5</v>
      </c>
      <c r="G65" s="19">
        <v>521.81880056504235</v>
      </c>
      <c r="H65" s="19">
        <v>89.684791432015572</v>
      </c>
      <c r="I65" s="19">
        <v>7.9289640578235462E-4</v>
      </c>
      <c r="J65" s="19">
        <v>-1.4865406257910571E-4</v>
      </c>
      <c r="K65">
        <v>0.91498376236982037</v>
      </c>
      <c r="L65" s="19">
        <v>494.45447027945659</v>
      </c>
      <c r="M65" s="19">
        <v>91.323468776945589</v>
      </c>
      <c r="N65" s="19">
        <v>8.0910378616117732E-4</v>
      </c>
      <c r="O65" s="19">
        <v>-2.3945569889548146E-4</v>
      </c>
      <c r="P65" s="19">
        <v>0.50584459638631885</v>
      </c>
      <c r="Q65" s="19">
        <v>241.82888455004834</v>
      </c>
      <c r="R65" s="19">
        <v>48.585199396709527</v>
      </c>
      <c r="S65" s="19">
        <v>4.1371708536152587E-4</v>
      </c>
      <c r="T65" s="19">
        <v>-1.5486006936133982E-4</v>
      </c>
      <c r="U65" s="19">
        <v>0.27602045051188023</v>
      </c>
      <c r="V65" s="19">
        <v>155.30476016090961</v>
      </c>
      <c r="W65" s="19">
        <v>32.515078213710474</v>
      </c>
      <c r="X65" s="19">
        <v>2.7405727151187431E-4</v>
      </c>
      <c r="Y65" s="19">
        <v>-1.1244810464514675E-4</v>
      </c>
      <c r="Z65">
        <v>0.19282849524144954</v>
      </c>
      <c r="AB65">
        <v>109416.67189459116</v>
      </c>
      <c r="AC65">
        <v>5705640.2778866645</v>
      </c>
      <c r="AD65">
        <v>101011.71692857008</v>
      </c>
      <c r="AE65">
        <v>727537.39632677299</v>
      </c>
      <c r="AF65">
        <v>1428926.2755312989</v>
      </c>
      <c r="AG65">
        <v>4781560.6239038296</v>
      </c>
      <c r="AH65">
        <v>7269678.8079437222</v>
      </c>
      <c r="AI65">
        <v>19054380.997600894</v>
      </c>
      <c r="AK65">
        <v>2.3934325567324778E-6</v>
      </c>
      <c r="AL65">
        <v>0.27382950915163923</v>
      </c>
      <c r="AM65">
        <v>3.4190864525068975E-6</v>
      </c>
      <c r="AN65">
        <v>7.3373183951965047E-4</v>
      </c>
      <c r="AP65" s="134">
        <v>2.1874477767320884E-11</v>
      </c>
      <c r="AQ65" s="134">
        <v>4.1948535837576341E-13</v>
      </c>
      <c r="AR65" s="134">
        <v>2.7108687732263415E-6</v>
      </c>
      <c r="AS65" s="134">
        <v>3.7637860340123173E-7</v>
      </c>
      <c r="AT65" s="134">
        <v>2.3927661706938822E-12</v>
      </c>
      <c r="AU65" s="134">
        <v>7.1505659374353779E-13</v>
      </c>
      <c r="AV65" s="134">
        <v>1.0093043432921509E-10</v>
      </c>
      <c r="AW65" s="134">
        <v>3.8507251409113392E-11</v>
      </c>
      <c r="AY65" s="134">
        <v>2.7109939709046086E-6</v>
      </c>
      <c r="AZ65" s="134">
        <v>3.7641824519459297E-7</v>
      </c>
      <c r="BB65">
        <v>5.0914006568284962E-4</v>
      </c>
      <c r="BC65">
        <v>1.2091818127740734E-3</v>
      </c>
      <c r="BD65">
        <v>1.6746385911791792E-3</v>
      </c>
      <c r="BE65">
        <v>2.3249236049981875E-5</v>
      </c>
      <c r="BF65">
        <v>3.4162097056860841E-3</v>
      </c>
      <c r="BG65">
        <v>2.7363899207605009E-3</v>
      </c>
      <c r="BH65">
        <v>4.4947510954171279E-4</v>
      </c>
      <c r="BI65">
        <v>6.6230391631902634E-4</v>
      </c>
      <c r="BJ65">
        <v>1.0045324920923523E-5</v>
      </c>
      <c r="BK65">
        <v>3.8582142715421638E-3</v>
      </c>
      <c r="CC65" s="133">
        <f t="shared" si="3"/>
        <v>62</v>
      </c>
      <c r="CJ65" s="127"/>
      <c r="CK65" s="127"/>
      <c r="CL65" s="127"/>
      <c r="CM65" s="127"/>
    </row>
    <row r="66" spans="1:91" x14ac:dyDescent="0.25">
      <c r="A66">
        <v>63</v>
      </c>
      <c r="B66" s="127">
        <v>31.5</v>
      </c>
      <c r="C66" s="20">
        <v>3.8431621783706916E-9</v>
      </c>
      <c r="D66" s="20">
        <v>1.3013621315702991E-3</v>
      </c>
      <c r="E66" s="20">
        <v>5.2198035296554267E-9</v>
      </c>
      <c r="F66" s="20">
        <v>1.1624141011724669E-5</v>
      </c>
      <c r="G66" s="19">
        <v>523.4821034627181</v>
      </c>
      <c r="H66" s="19">
        <v>90.95163100718716</v>
      </c>
      <c r="I66" s="19">
        <v>8.038951816780308E-4</v>
      </c>
      <c r="J66" s="19">
        <v>-1.4786726731030799E-4</v>
      </c>
      <c r="K66">
        <v>0.92743769442372814</v>
      </c>
      <c r="L66" s="19">
        <v>501.90057875142372</v>
      </c>
      <c r="M66" s="19">
        <v>92.796427950767296</v>
      </c>
      <c r="N66" s="19">
        <v>8.2215384722829311E-4</v>
      </c>
      <c r="O66" s="19">
        <v>-2.4123476378228552E-4</v>
      </c>
      <c r="P66" s="19">
        <v>0.5128918055192605</v>
      </c>
      <c r="Q66" s="19">
        <v>245.99071030789625</v>
      </c>
      <c r="R66" s="19">
        <v>49.368831645043549</v>
      </c>
      <c r="S66" s="19">
        <v>4.2038994157703435E-4</v>
      </c>
      <c r="T66" s="19">
        <v>-1.5675767700527518E-4</v>
      </c>
      <c r="U66" s="19">
        <v>0.27994157009183757</v>
      </c>
      <c r="V66" s="19">
        <v>157.7603656933278</v>
      </c>
      <c r="W66" s="19">
        <v>33.039514959092898</v>
      </c>
      <c r="X66" s="19">
        <v>2.7847755008464646E-4</v>
      </c>
      <c r="Y66" s="19">
        <v>-1.1394166574918218E-4</v>
      </c>
      <c r="Z66">
        <v>0.19558329829972665</v>
      </c>
      <c r="AB66">
        <v>103621.70736683519</v>
      </c>
      <c r="AC66">
        <v>5837956.3771798182</v>
      </c>
      <c r="AD66">
        <v>94825.19755985029</v>
      </c>
      <c r="AE66">
        <v>704640.74096525647</v>
      </c>
      <c r="AF66">
        <v>1341410.8827744545</v>
      </c>
      <c r="AG66">
        <v>4536486.1552146198</v>
      </c>
      <c r="AH66">
        <v>6824443.2440188108</v>
      </c>
      <c r="AI66">
        <v>17998628.393978186</v>
      </c>
      <c r="AK66">
        <v>1.7574975646772924E-6</v>
      </c>
      <c r="AL66">
        <v>0.23804780239252707</v>
      </c>
      <c r="AM66">
        <v>2.046036548405766E-6</v>
      </c>
      <c r="AN66">
        <v>4.5563817141180903E-4</v>
      </c>
      <c r="AP66" s="134">
        <v>1.6960708420442328E-11</v>
      </c>
      <c r="AQ66" s="134">
        <v>3.0104671072007886E-13</v>
      </c>
      <c r="AR66" s="134">
        <v>2.5103855148024319E-6</v>
      </c>
      <c r="AS66" s="134">
        <v>3.3782861045819722E-7</v>
      </c>
      <c r="AT66" s="134">
        <v>1.5252869755864264E-12</v>
      </c>
      <c r="AU66" s="134">
        <v>4.510179196852346E-13</v>
      </c>
      <c r="AV66" s="134">
        <v>6.6765618105351942E-11</v>
      </c>
      <c r="AW66" s="134">
        <v>2.5315160768820152E-11</v>
      </c>
      <c r="AY66" s="134">
        <v>2.510470766415933E-6</v>
      </c>
      <c r="AZ66" s="134">
        <v>3.3785467768359645E-7</v>
      </c>
      <c r="BB66">
        <v>5.0914008264355806E-4</v>
      </c>
      <c r="BC66">
        <v>1.2116921982888759E-3</v>
      </c>
      <c r="BD66">
        <v>1.6746385927044662E-3</v>
      </c>
      <c r="BE66">
        <v>2.3249302815599981E-5</v>
      </c>
      <c r="BF66">
        <v>3.4187201764524998E-3</v>
      </c>
      <c r="BG66">
        <v>2.7363899210615474E-3</v>
      </c>
      <c r="BH66">
        <v>4.4981293815217097E-4</v>
      </c>
      <c r="BI66">
        <v>6.6230391677004426E-4</v>
      </c>
      <c r="BJ66">
        <v>1.0045350236084292E-5</v>
      </c>
      <c r="BK66">
        <v>3.858552126219847E-3</v>
      </c>
      <c r="CC66" s="133">
        <f t="shared" si="3"/>
        <v>63</v>
      </c>
      <c r="CJ66" s="127"/>
      <c r="CK66" s="127"/>
      <c r="CL66" s="127"/>
      <c r="CM66" s="127"/>
    </row>
    <row r="67" spans="1:91" x14ac:dyDescent="0.25">
      <c r="A67">
        <v>64</v>
      </c>
      <c r="B67" s="127">
        <v>32</v>
      </c>
      <c r="C67" s="20">
        <v>2.8300119404171767E-9</v>
      </c>
      <c r="D67" s="20">
        <v>1.1326756943699835E-3</v>
      </c>
      <c r="E67" s="20">
        <v>3.1303500351245439E-9</v>
      </c>
      <c r="F67" s="20">
        <v>7.2177384504084502E-6</v>
      </c>
      <c r="G67" s="19">
        <v>525.09921300821111</v>
      </c>
      <c r="H67" s="19">
        <v>92.213439804134495</v>
      </c>
      <c r="I67" s="19">
        <v>8.1484417658443447E-4</v>
      </c>
      <c r="J67" s="19">
        <v>-1.470757639968857E-4</v>
      </c>
      <c r="K67">
        <v>0.93985428436674134</v>
      </c>
      <c r="L67" s="19">
        <v>509.33869933105672</v>
      </c>
      <c r="M67" s="19">
        <v>94.269387124588988</v>
      </c>
      <c r="N67" s="19">
        <v>8.3520390829540869E-4</v>
      </c>
      <c r="O67" s="19">
        <v>-2.4289200752862752E-4</v>
      </c>
      <c r="P67" s="19">
        <v>0.51992023352817518</v>
      </c>
      <c r="Q67" s="19">
        <v>250.11923491397167</v>
      </c>
      <c r="R67" s="19">
        <v>50.152463893377579</v>
      </c>
      <c r="S67" s="19">
        <v>4.2706279779254288E-4</v>
      </c>
      <c r="T67" s="19">
        <v>-1.586386704771427E-4</v>
      </c>
      <c r="U67" s="19">
        <v>0.2838540270680262</v>
      </c>
      <c r="V67" s="19">
        <v>160.18814021608571</v>
      </c>
      <c r="W67" s="19">
        <v>33.563951704475336</v>
      </c>
      <c r="X67" s="19">
        <v>2.8289782865741872E-4</v>
      </c>
      <c r="Y67" s="19">
        <v>-1.1542015164735399E-4</v>
      </c>
      <c r="Z67">
        <v>0.1983328500158717</v>
      </c>
      <c r="AB67">
        <v>98229.953585614581</v>
      </c>
      <c r="AC67">
        <v>5974897.7803581944</v>
      </c>
      <c r="AD67">
        <v>89106.22175722172</v>
      </c>
      <c r="AE67">
        <v>684105.30572556145</v>
      </c>
      <c r="AF67">
        <v>1260509.4285472918</v>
      </c>
      <c r="AG67">
        <v>4308647.2773358496</v>
      </c>
      <c r="AH67">
        <v>6412856.1681856886</v>
      </c>
      <c r="AI67">
        <v>17023599.78537374</v>
      </c>
      <c r="AK67">
        <v>1.2941788200568375E-6</v>
      </c>
      <c r="AL67">
        <v>0.20719133692852415</v>
      </c>
      <c r="AM67">
        <v>1.227021389747765E-6</v>
      </c>
      <c r="AN67">
        <v>2.8291786429256941E-4</v>
      </c>
      <c r="AP67" s="134">
        <v>1.3174991668186691E-11</v>
      </c>
      <c r="AQ67" s="134">
        <v>2.1660267131452943E-13</v>
      </c>
      <c r="AR67" s="134">
        <v>2.3252173960762967E-6</v>
      </c>
      <c r="AS67" s="134">
        <v>3.0286468354280226E-7</v>
      </c>
      <c r="AT67" s="134">
        <v>9.7343293271663899E-13</v>
      </c>
      <c r="AU67" s="134">
        <v>2.8478111824146922E-13</v>
      </c>
      <c r="AV67" s="134">
        <v>4.4117294520985944E-11</v>
      </c>
      <c r="AW67" s="134">
        <v>1.6619156221919967E-11</v>
      </c>
      <c r="AY67" s="134">
        <v>2.3252756617954183E-6</v>
      </c>
      <c r="AZ67" s="134">
        <v>3.0288180408281373E-7</v>
      </c>
      <c r="BB67">
        <v>5.0914009581854976E-4</v>
      </c>
      <c r="BC67">
        <v>1.2140174156849521E-3</v>
      </c>
      <c r="BD67">
        <v>1.6746385936778992E-3</v>
      </c>
      <c r="BE67">
        <v>2.3249346932894502E-5</v>
      </c>
      <c r="BF67">
        <v>3.4210454521142954E-3</v>
      </c>
      <c r="BG67">
        <v>2.7363899212781502E-3</v>
      </c>
      <c r="BH67">
        <v>4.5011580283571377E-4</v>
      </c>
      <c r="BI67">
        <v>6.6230391705482535E-4</v>
      </c>
      <c r="BJ67">
        <v>1.0045366855240513E-5</v>
      </c>
      <c r="BK67">
        <v>3.8588550080239296E-3</v>
      </c>
      <c r="CC67" s="133">
        <f t="shared" si="3"/>
        <v>64</v>
      </c>
      <c r="CJ67" s="127"/>
      <c r="CK67" s="127"/>
      <c r="CL67" s="127"/>
      <c r="CM67" s="127"/>
    </row>
    <row r="68" spans="1:91" x14ac:dyDescent="0.25">
      <c r="A68">
        <v>65</v>
      </c>
      <c r="B68" s="127">
        <v>32.5</v>
      </c>
      <c r="C68" s="20">
        <v>2.0897265455890161E-9</v>
      </c>
      <c r="D68" s="20">
        <v>9.8702222826611537E-4</v>
      </c>
      <c r="E68" s="20">
        <v>1.8811113971799365E-9</v>
      </c>
      <c r="F68" s="20">
        <v>4.4827203879372553E-6</v>
      </c>
      <c r="G68" s="19">
        <v>526.67190549845361</v>
      </c>
      <c r="H68" s="19">
        <v>93.470245747485961</v>
      </c>
      <c r="I68" s="19">
        <v>8.2574368134330002E-4</v>
      </c>
      <c r="J68" s="19">
        <v>-1.4628017139645266E-4</v>
      </c>
      <c r="K68">
        <v>0.95223412584872713</v>
      </c>
      <c r="L68" s="19">
        <v>516.82180145328005</v>
      </c>
      <c r="M68" s="19">
        <v>95.742346298410695</v>
      </c>
      <c r="N68" s="19">
        <v>8.4825396936252448E-4</v>
      </c>
      <c r="O68" s="19">
        <v>-2.4437193602344268E-4</v>
      </c>
      <c r="P68" s="19">
        <v>0.52693016459430986</v>
      </c>
      <c r="Q68" s="19">
        <v>254.21377103362644</v>
      </c>
      <c r="R68" s="19">
        <v>50.936096141711602</v>
      </c>
      <c r="S68" s="19">
        <v>4.3373565400805131E-4</v>
      </c>
      <c r="T68" s="19">
        <v>-1.6050283538957775E-4</v>
      </c>
      <c r="U68" s="19">
        <v>0.28775793000679323</v>
      </c>
      <c r="V68" s="19">
        <v>162.58824392738501</v>
      </c>
      <c r="W68" s="19">
        <v>34.08838844985776</v>
      </c>
      <c r="X68" s="19">
        <v>2.8731810723019082E-4</v>
      </c>
      <c r="Y68" s="19">
        <v>-1.1688353173841513E-4</v>
      </c>
      <c r="Z68">
        <v>0.20107721161085915</v>
      </c>
      <c r="AB68">
        <v>93207.251478135295</v>
      </c>
      <c r="AC68">
        <v>6116555.1872485606</v>
      </c>
      <c r="AD68">
        <v>83812.957877732217</v>
      </c>
      <c r="AE68">
        <v>666386.73660810839</v>
      </c>
      <c r="AF68">
        <v>1185630.1564122404</v>
      </c>
      <c r="AG68">
        <v>4096592.6885115034</v>
      </c>
      <c r="AH68">
        <v>6031907.0127843488</v>
      </c>
      <c r="AI68">
        <v>16121807.119093206</v>
      </c>
      <c r="AK68">
        <v>9.5564255273536837E-7</v>
      </c>
      <c r="AL68">
        <v>0.18054810928592907</v>
      </c>
      <c r="AM68">
        <v>7.3735010300413667E-7</v>
      </c>
      <c r="AN68">
        <v>1.7571178106408068E-4</v>
      </c>
      <c r="AP68" s="134">
        <v>1.0252877727647023E-11</v>
      </c>
      <c r="AQ68" s="134">
        <v>1.5623868721525418E-13</v>
      </c>
      <c r="AR68" s="134">
        <v>2.1541789462831721E-6</v>
      </c>
      <c r="AS68" s="134">
        <v>2.7093592859442905E-7</v>
      </c>
      <c r="AT68" s="134">
        <v>6.2190565836768581E-13</v>
      </c>
      <c r="AU68" s="134">
        <v>1.7999107040149816E-13</v>
      </c>
      <c r="AV68" s="134">
        <v>2.9130386242968876E-11</v>
      </c>
      <c r="AW68" s="134">
        <v>1.089901273263489E-11</v>
      </c>
      <c r="AY68" s="134">
        <v>2.1542189514528008E-6</v>
      </c>
      <c r="AZ68" s="134">
        <v>2.7094716383691927E-7</v>
      </c>
      <c r="BB68">
        <v>5.0914010607142751E-4</v>
      </c>
      <c r="BC68">
        <v>1.2161715946312354E-3</v>
      </c>
      <c r="BD68">
        <v>1.6746385942998049E-3</v>
      </c>
      <c r="BE68">
        <v>2.3249376063280746E-5</v>
      </c>
      <c r="BF68">
        <v>3.4231996710657481E-3</v>
      </c>
      <c r="BG68">
        <v>2.736389921434389E-3</v>
      </c>
      <c r="BH68">
        <v>4.5038673876430819E-4</v>
      </c>
      <c r="BI68">
        <v>6.6230391723481647E-4</v>
      </c>
      <c r="BJ68">
        <v>1.0045377754253245E-5</v>
      </c>
      <c r="BK68">
        <v>3.8591259551877671E-3</v>
      </c>
      <c r="CD68">
        <v>5040</v>
      </c>
      <c r="CE68">
        <v>576</v>
      </c>
      <c r="CF68">
        <v>144</v>
      </c>
      <c r="CG68">
        <v>0</v>
      </c>
      <c r="CH68">
        <v>0</v>
      </c>
      <c r="CI68">
        <v>0</v>
      </c>
      <c r="CJ68">
        <v>0</v>
      </c>
      <c r="CK68">
        <v>0</v>
      </c>
      <c r="CL68">
        <v>0</v>
      </c>
      <c r="CM68">
        <v>0</v>
      </c>
    </row>
    <row r="69" spans="1:91" x14ac:dyDescent="0.25">
      <c r="A69">
        <v>66</v>
      </c>
      <c r="B69" s="127">
        <v>33</v>
      </c>
      <c r="C69" s="20">
        <v>1.5472789146013586E-9</v>
      </c>
      <c r="D69" s="20">
        <v>8.6109864216420313E-4</v>
      </c>
      <c r="E69" s="20">
        <v>1.1326563810323409E-9</v>
      </c>
      <c r="F69" s="20">
        <v>2.785681443780324E-6</v>
      </c>
      <c r="G69" s="19">
        <v>528.20187036463528</v>
      </c>
      <c r="H69" s="19">
        <v>94.722076562896618</v>
      </c>
      <c r="I69" s="19">
        <v>8.3659398466653012E-4</v>
      </c>
      <c r="J69" s="19">
        <v>-1.4548106611487853E-4</v>
      </c>
      <c r="K69">
        <v>0.96457779343445238</v>
      </c>
      <c r="L69" s="19">
        <v>524.24585315059142</v>
      </c>
      <c r="M69" s="19">
        <v>97.215305472232387</v>
      </c>
      <c r="N69" s="19">
        <v>8.6130403042964016E-4</v>
      </c>
      <c r="O69" s="19">
        <v>-2.4582908096339742E-4</v>
      </c>
      <c r="P69" s="19">
        <v>0.53392187516988687</v>
      </c>
      <c r="Q69" s="19">
        <v>258.2737569290415</v>
      </c>
      <c r="R69" s="19">
        <v>51.719728390045617</v>
      </c>
      <c r="S69" s="19">
        <v>4.4040851022355973E-4</v>
      </c>
      <c r="T69" s="19">
        <v>-1.6235000738465597E-4</v>
      </c>
      <c r="U69" s="19">
        <v>0.29165338491017079</v>
      </c>
      <c r="V69" s="19">
        <v>164.96086974521953</v>
      </c>
      <c r="W69" s="19">
        <v>34.612825195240177</v>
      </c>
      <c r="X69" s="19">
        <v>2.9173838580296292E-4</v>
      </c>
      <c r="Y69" s="19">
        <v>-1.1833180469097594E-4</v>
      </c>
      <c r="Z69">
        <v>0.20381644271230509</v>
      </c>
      <c r="AB69">
        <v>88522.824335727069</v>
      </c>
      <c r="AC69">
        <v>6263024.5789237693</v>
      </c>
      <c r="AD69">
        <v>78907.881034331876</v>
      </c>
      <c r="AE69">
        <v>649489.92031975766</v>
      </c>
      <c r="AF69">
        <v>1116242.2339201276</v>
      </c>
      <c r="AG69">
        <v>3899007.7381122359</v>
      </c>
      <c r="AH69">
        <v>5678895.1616441673</v>
      </c>
      <c r="AI69">
        <v>15286556.284976665</v>
      </c>
      <c r="AK69">
        <v>7.075784986625976E-7</v>
      </c>
      <c r="AL69">
        <v>0.15751391133767945</v>
      </c>
      <c r="AM69">
        <v>4.439738659148649E-7</v>
      </c>
      <c r="AN69">
        <v>1.0919196505785978E-4</v>
      </c>
      <c r="AP69" s="134">
        <v>7.9931758162061364E-12</v>
      </c>
      <c r="AQ69" s="134">
        <v>1.1297712307304836E-13</v>
      </c>
      <c r="AR69" s="134">
        <v>1.9961746440656166E-6</v>
      </c>
      <c r="AS69" s="134">
        <v>2.4251940855391873E-7</v>
      </c>
      <c r="AT69" s="134">
        <v>3.9773971314064554E-13</v>
      </c>
      <c r="AU69" s="134">
        <v>1.1386842390054388E-13</v>
      </c>
      <c r="AV69" s="134">
        <v>1.9227677558718351E-11</v>
      </c>
      <c r="AW69" s="134">
        <v>7.1430061174191046E-12</v>
      </c>
      <c r="AY69" s="134">
        <v>1.9962022626587045E-6</v>
      </c>
      <c r="AZ69" s="134">
        <v>2.4252677840558309E-7</v>
      </c>
      <c r="BB69">
        <v>5.091401140646033E-4</v>
      </c>
      <c r="BC69">
        <v>1.218167769275301E-3</v>
      </c>
      <c r="BD69">
        <v>1.6746385946975447E-3</v>
      </c>
      <c r="BE69">
        <v>2.3249395290958305E-5</v>
      </c>
      <c r="BF69">
        <v>3.4251958733284072E-3</v>
      </c>
      <c r="BG69">
        <v>2.7363899215473663E-3</v>
      </c>
      <c r="BH69">
        <v>4.5062925817286213E-4</v>
      </c>
      <c r="BI69">
        <v>6.6230391734868491E-4</v>
      </c>
      <c r="BJ69">
        <v>1.0045384897259362E-5</v>
      </c>
      <c r="BK69">
        <v>3.8593684819661724E-3</v>
      </c>
      <c r="CD69">
        <v>5040</v>
      </c>
      <c r="CE69">
        <v>576</v>
      </c>
      <c r="CF69">
        <v>144</v>
      </c>
      <c r="CG69">
        <v>0</v>
      </c>
      <c r="CH69">
        <v>0</v>
      </c>
      <c r="CI69">
        <v>0</v>
      </c>
      <c r="CJ69" s="213">
        <v>0</v>
      </c>
      <c r="CK69" s="214">
        <v>0</v>
      </c>
      <c r="CL69" s="214">
        <v>0</v>
      </c>
      <c r="CM69" s="215">
        <v>0</v>
      </c>
    </row>
    <row r="70" spans="1:91" x14ac:dyDescent="0.25">
      <c r="A70">
        <v>67</v>
      </c>
      <c r="B70" s="127">
        <v>33.5</v>
      </c>
      <c r="C70" s="20">
        <v>1.1486896593573764E-9</v>
      </c>
      <c r="D70" s="20">
        <v>7.5209795481859644E-4</v>
      </c>
      <c r="E70" s="20">
        <v>6.833431019463353E-10</v>
      </c>
      <c r="F70" s="20">
        <v>1.7327175026458826E-6</v>
      </c>
      <c r="G70" s="19">
        <v>529.6907153083273</v>
      </c>
      <c r="H70" s="19">
        <v>95.968959778777304</v>
      </c>
      <c r="I70" s="19">
        <v>8.473953731550221E-4</v>
      </c>
      <c r="J70" s="19">
        <v>-1.4467898554612683E-4</v>
      </c>
      <c r="K70">
        <v>0.97688584345618068</v>
      </c>
      <c r="L70" s="19">
        <v>531.60975766415231</v>
      </c>
      <c r="M70" s="19">
        <v>98.688264646054108</v>
      </c>
      <c r="N70" s="19">
        <v>8.7435409149675617E-4</v>
      </c>
      <c r="O70" s="19">
        <v>-2.4726397039369477E-4</v>
      </c>
      <c r="P70" s="19">
        <v>0.54089563426798026</v>
      </c>
      <c r="Q70" s="19">
        <v>262.29874271736509</v>
      </c>
      <c r="R70" s="19">
        <v>52.503360638379647</v>
      </c>
      <c r="S70" s="19">
        <v>4.4708136643906827E-4</v>
      </c>
      <c r="T70" s="19">
        <v>-1.6418006647133608E-4</v>
      </c>
      <c r="U70" s="19">
        <v>0.29554049531508042</v>
      </c>
      <c r="V70" s="19">
        <v>167.30623865724294</v>
      </c>
      <c r="W70" s="19">
        <v>35.137261940622608</v>
      </c>
      <c r="X70" s="19">
        <v>2.9615866437573512E-4</v>
      </c>
      <c r="Y70" s="19">
        <v>-1.1976499483161173E-4</v>
      </c>
      <c r="Z70">
        <v>0.20655060142965492</v>
      </c>
      <c r="AB70">
        <v>84148.896653205302</v>
      </c>
      <c r="AC70">
        <v>6414407.1459303712</v>
      </c>
      <c r="AD70">
        <v>74357.27332731623</v>
      </c>
      <c r="AE70">
        <v>633363.84063139837</v>
      </c>
      <c r="AF70">
        <v>1051868.6828123089</v>
      </c>
      <c r="AG70">
        <v>3714700.8288777075</v>
      </c>
      <c r="AH70">
        <v>5351393.9824062167</v>
      </c>
      <c r="AI70">
        <v>14511854.643979799</v>
      </c>
      <c r="AK70">
        <v>5.2530160976616807E-7</v>
      </c>
      <c r="AL70">
        <v>0.13757528437718305</v>
      </c>
      <c r="AM70">
        <v>2.6785394387735981E-7</v>
      </c>
      <c r="AN70">
        <v>6.7918329077605507E-5</v>
      </c>
      <c r="AP70" s="134">
        <v>6.2425252220601627E-12</v>
      </c>
      <c r="AQ70" s="134">
        <v>8.1894023534107332E-14</v>
      </c>
      <c r="AR70" s="134">
        <v>1.8501927010096909E-6</v>
      </c>
      <c r="AS70" s="134">
        <v>2.172136701710579E-7</v>
      </c>
      <c r="AT70" s="134">
        <v>2.546458015664248E-13</v>
      </c>
      <c r="AU70" s="134">
        <v>7.2106464616232467E-14</v>
      </c>
      <c r="AV70" s="134">
        <v>1.2691707861708681E-11</v>
      </c>
      <c r="AW70" s="134">
        <v>4.6801963459426756E-12</v>
      </c>
      <c r="AY70" s="134">
        <v>1.8502118898885762E-6</v>
      </c>
      <c r="AZ70" s="134">
        <v>2.1721850436789201E-7</v>
      </c>
      <c r="BB70">
        <v>5.0914012030712857E-4</v>
      </c>
      <c r="BC70">
        <v>1.2200179619763108E-3</v>
      </c>
      <c r="BD70">
        <v>1.6746385949521904E-3</v>
      </c>
      <c r="BE70">
        <v>2.3249407982666169E-5</v>
      </c>
      <c r="BF70">
        <v>3.427046085218296E-3</v>
      </c>
      <c r="BG70">
        <v>2.7363899216292604E-3</v>
      </c>
      <c r="BH70">
        <v>4.508464718430332E-4</v>
      </c>
      <c r="BI70">
        <v>6.623039174207914E-4</v>
      </c>
      <c r="BJ70">
        <v>1.0045389577455708E-5</v>
      </c>
      <c r="BK70">
        <v>3.8595857004705405E-3</v>
      </c>
      <c r="CD70">
        <v>5040</v>
      </c>
      <c r="CE70">
        <v>576</v>
      </c>
      <c r="CF70">
        <v>144</v>
      </c>
      <c r="CG70">
        <v>0</v>
      </c>
      <c r="CH70">
        <v>0</v>
      </c>
      <c r="CI70">
        <v>0</v>
      </c>
      <c r="CJ70" s="13">
        <v>0</v>
      </c>
      <c r="CK70">
        <v>0</v>
      </c>
      <c r="CL70">
        <v>0</v>
      </c>
      <c r="CM70" s="86">
        <v>0</v>
      </c>
    </row>
    <row r="71" spans="1:91" x14ac:dyDescent="0.25">
      <c r="A71">
        <v>68</v>
      </c>
      <c r="B71" s="127">
        <v>34</v>
      </c>
      <c r="C71" s="20">
        <v>8.5500652567720466E-10</v>
      </c>
      <c r="D71" s="20">
        <v>6.5763146026944278E-4</v>
      </c>
      <c r="E71" s="20">
        <v>4.1308432840657209E-10</v>
      </c>
      <c r="F71" s="20">
        <v>1.079189639070676E-6</v>
      </c>
      <c r="G71" s="19">
        <v>531.13997108252534</v>
      </c>
      <c r="H71" s="19">
        <v>97.210922728007972</v>
      </c>
      <c r="I71" s="19">
        <v>8.5814813131732028E-4</v>
      </c>
      <c r="J71" s="19">
        <v>-1.4387443058742555E-4</v>
      </c>
      <c r="K71">
        <v>0.98915881481873968</v>
      </c>
      <c r="L71" s="19">
        <v>538.91261978229329</v>
      </c>
      <c r="M71" s="19">
        <v>100.1612238198758</v>
      </c>
      <c r="N71" s="19">
        <v>8.8740415256387186E-4</v>
      </c>
      <c r="O71" s="19">
        <v>-2.4867711932499996E-4</v>
      </c>
      <c r="P71" s="19">
        <v>0.54785170373830594</v>
      </c>
      <c r="Q71" s="19">
        <v>266.28837812946267</v>
      </c>
      <c r="R71" s="19">
        <v>53.286992886713676</v>
      </c>
      <c r="S71" s="19">
        <v>4.537542226545768E-4</v>
      </c>
      <c r="T71" s="19">
        <v>-1.6599293198990266E-4</v>
      </c>
      <c r="U71" s="19">
        <v>0.29941936238669181</v>
      </c>
      <c r="V71" s="19">
        <v>169.62459562656542</v>
      </c>
      <c r="W71" s="19">
        <v>35.661698686005046</v>
      </c>
      <c r="X71" s="19">
        <v>3.0057894294850744E-4</v>
      </c>
      <c r="Y71" s="19">
        <v>-1.2118314894589188E-4</v>
      </c>
      <c r="Z71">
        <v>0.20927974442424768</v>
      </c>
      <c r="AB71">
        <v>80060.360933989898</v>
      </c>
      <c r="AC71">
        <v>6570809.2373372717</v>
      </c>
      <c r="AD71">
        <v>70130.788422733371</v>
      </c>
      <c r="AE71">
        <v>617961.34775485634</v>
      </c>
      <c r="AF71">
        <v>992080.21948418219</v>
      </c>
      <c r="AG71">
        <v>3542591.1464330088</v>
      </c>
      <c r="AH71">
        <v>5047219.4898107834</v>
      </c>
      <c r="AI71">
        <v>13792329.994564481</v>
      </c>
      <c r="AK71">
        <v>3.9099882256281407E-7</v>
      </c>
      <c r="AL71">
        <v>0.12029528146207064</v>
      </c>
      <c r="AM71">
        <v>1.6191905091670943E-7</v>
      </c>
      <c r="AN71">
        <v>4.2301619814897331E-5</v>
      </c>
      <c r="AP71" s="134">
        <v>4.8838003976174202E-12</v>
      </c>
      <c r="AQ71" s="134">
        <v>5.9505429002723703E-14</v>
      </c>
      <c r="AR71" s="134">
        <v>1.7152991456043022E-6</v>
      </c>
      <c r="AS71" s="134">
        <v>1.946647341279854E-7</v>
      </c>
      <c r="AT71" s="134">
        <v>1.6321165137320942E-13</v>
      </c>
      <c r="AU71" s="134">
        <v>4.5706389539121308E-14</v>
      </c>
      <c r="AV71" s="134">
        <v>8.3811730201737651E-12</v>
      </c>
      <c r="AW71" s="134">
        <v>3.0670394220242903E-12</v>
      </c>
      <c r="AY71" s="134">
        <v>1.7153125737893715E-6</v>
      </c>
      <c r="AZ71" s="134">
        <v>1.9466790637922598E-7</v>
      </c>
      <c r="BB71">
        <v>5.0914012519092896E-4</v>
      </c>
      <c r="BC71">
        <v>1.2217332611219151E-3</v>
      </c>
      <c r="BD71">
        <v>1.674638595115402E-3</v>
      </c>
      <c r="BE71">
        <v>2.3249416363839189E-5</v>
      </c>
      <c r="BF71">
        <v>3.4287613977920851E-3</v>
      </c>
      <c r="BG71">
        <v>2.7363899216887658E-3</v>
      </c>
      <c r="BH71">
        <v>4.5104113657716121E-4</v>
      </c>
      <c r="BI71">
        <v>6.6230391746649778E-4</v>
      </c>
      <c r="BJ71">
        <v>1.004539264449513E-5</v>
      </c>
      <c r="BK71">
        <v>3.8597803683769198E-3</v>
      </c>
      <c r="CD71">
        <v>5040</v>
      </c>
      <c r="CE71">
        <v>576</v>
      </c>
      <c r="CF71">
        <v>144</v>
      </c>
      <c r="CG71">
        <v>0</v>
      </c>
      <c r="CH71">
        <v>0</v>
      </c>
      <c r="CI71">
        <v>0</v>
      </c>
      <c r="CJ71" s="13">
        <v>0</v>
      </c>
      <c r="CK71">
        <v>0</v>
      </c>
      <c r="CL71">
        <v>0</v>
      </c>
      <c r="CM71" s="86">
        <v>0</v>
      </c>
    </row>
    <row r="72" spans="1:91" x14ac:dyDescent="0.25">
      <c r="A72">
        <v>69</v>
      </c>
      <c r="B72" s="127">
        <v>34.5</v>
      </c>
      <c r="C72" s="20">
        <v>6.3803874530386862E-10</v>
      </c>
      <c r="D72" s="20">
        <v>5.7566361692322021E-4</v>
      </c>
      <c r="E72" s="20">
        <v>2.5020917791899651E-10</v>
      </c>
      <c r="F72" s="20">
        <v>6.7331813233129893E-7</v>
      </c>
      <c r="G72" s="19">
        <v>532.55109594563726</v>
      </c>
      <c r="H72" s="19">
        <v>98.447992549631664</v>
      </c>
      <c r="I72" s="19">
        <v>8.6885254158805645E-4</v>
      </c>
      <c r="J72" s="19">
        <v>-1.4306786814874821E-4</v>
      </c>
      <c r="K72">
        <v>1.0013972297602194</v>
      </c>
      <c r="L72" s="19">
        <v>546.15372430935361</v>
      </c>
      <c r="M72" s="19">
        <v>101.63418299369751</v>
      </c>
      <c r="N72" s="19">
        <v>9.0045421363098765E-4</v>
      </c>
      <c r="O72" s="19">
        <v>-2.5006902976679841E-4</v>
      </c>
      <c r="P72" s="19">
        <v>0.55479033852978821</v>
      </c>
      <c r="Q72" s="19">
        <v>270.24240159415638</v>
      </c>
      <c r="R72" s="19">
        <v>54.070625135047699</v>
      </c>
      <c r="S72" s="19">
        <v>4.6042707887008528E-4</v>
      </c>
      <c r="T72" s="19">
        <v>-1.6778855812966338E-4</v>
      </c>
      <c r="U72" s="19">
        <v>0.30329008500640192</v>
      </c>
      <c r="V72" s="19">
        <v>172.11247400325067</v>
      </c>
      <c r="W72" s="19">
        <v>36.18613543138747</v>
      </c>
      <c r="X72" s="19">
        <v>3.0499922152127954E-4</v>
      </c>
      <c r="Y72" s="19">
        <v>-1.2259386055928621E-4</v>
      </c>
      <c r="Z72">
        <v>0.21200392697468898</v>
      </c>
      <c r="AB72">
        <v>76234.485816092056</v>
      </c>
      <c r="AC72">
        <v>6732342.3286354188</v>
      </c>
      <c r="AD72">
        <v>66201.071398238069</v>
      </c>
      <c r="AE72">
        <v>603238.81854096288</v>
      </c>
      <c r="AF72">
        <v>936489.87726997328</v>
      </c>
      <c r="AG72">
        <v>3381697.6100116014</v>
      </c>
      <c r="AH72">
        <v>4764402.9865095848</v>
      </c>
      <c r="AI72">
        <v>13119679.061163671</v>
      </c>
      <c r="AK72">
        <v>2.9177835568643666E-7</v>
      </c>
      <c r="AL72">
        <v>0.10530155719265566</v>
      </c>
      <c r="AM72">
        <v>9.8075937122986346E-8</v>
      </c>
      <c r="AN72">
        <v>2.639243986152653E-5</v>
      </c>
      <c r="AP72" s="134">
        <v>3.8273801228268562E-12</v>
      </c>
      <c r="AQ72" s="134">
        <v>4.3339797865801236E-14</v>
      </c>
      <c r="AR72" s="134">
        <v>1.5906322204244303E-6</v>
      </c>
      <c r="AS72" s="134">
        <v>1.7456031335540647E-7</v>
      </c>
      <c r="AT72" s="134">
        <v>1.0472717271530401E-13</v>
      </c>
      <c r="AU72" s="134">
        <v>2.9001983155628712E-14</v>
      </c>
      <c r="AV72" s="134">
        <v>5.5395061954785875E-12</v>
      </c>
      <c r="AW72" s="134">
        <v>2.011668100910512E-12</v>
      </c>
      <c r="AY72" s="134">
        <v>1.5906416920379211E-6</v>
      </c>
      <c r="AZ72" s="134">
        <v>1.7456239736528842E-7</v>
      </c>
      <c r="BB72">
        <v>5.0914012901830911E-4</v>
      </c>
      <c r="BC72">
        <v>1.2233238933423395E-3</v>
      </c>
      <c r="BD72">
        <v>1.6746385952201293E-3</v>
      </c>
      <c r="BE72">
        <v>2.3249421903345384E-5</v>
      </c>
      <c r="BF72">
        <v>3.4303520394841232E-3</v>
      </c>
      <c r="BG72">
        <v>2.7363899217321057E-3</v>
      </c>
      <c r="BH72">
        <v>4.5121569689051663E-4</v>
      </c>
      <c r="BI72">
        <v>6.6230391749549976E-4</v>
      </c>
      <c r="BJ72">
        <v>1.0045394656163231E-5</v>
      </c>
      <c r="BK72">
        <v>3.8599549307742854E-3</v>
      </c>
      <c r="CD72">
        <v>5040</v>
      </c>
      <c r="CE72">
        <v>576</v>
      </c>
      <c r="CF72">
        <v>144</v>
      </c>
      <c r="CG72">
        <v>0</v>
      </c>
      <c r="CH72">
        <v>0</v>
      </c>
      <c r="CI72">
        <v>0</v>
      </c>
      <c r="CJ72" s="216">
        <v>0</v>
      </c>
      <c r="CK72" s="217">
        <v>0</v>
      </c>
      <c r="CL72" s="217">
        <v>0</v>
      </c>
      <c r="CM72" s="218">
        <v>0</v>
      </c>
    </row>
    <row r="73" spans="1:91" x14ac:dyDescent="0.25">
      <c r="A73">
        <v>70</v>
      </c>
      <c r="B73" s="127">
        <v>35</v>
      </c>
      <c r="C73" s="20">
        <v>4.7732533288633531E-10</v>
      </c>
      <c r="D73" s="20">
        <v>5.044574983070106E-4</v>
      </c>
      <c r="E73" s="20">
        <v>1.5185832948507946E-10</v>
      </c>
      <c r="F73" s="20">
        <v>4.2100512360518421E-7</v>
      </c>
      <c r="G73" s="19">
        <v>533.92547981396388</v>
      </c>
      <c r="H73" s="19">
        <v>99.680196190532484</v>
      </c>
      <c r="I73" s="19">
        <v>8.7950888434621104E-4</v>
      </c>
      <c r="J73" s="19">
        <v>-1.4225973347381198E-4</v>
      </c>
      <c r="K73">
        <v>1.0136015945712209</v>
      </c>
      <c r="L73" s="19">
        <v>553.33251682376772</v>
      </c>
      <c r="M73" s="19">
        <v>103.10714216751921</v>
      </c>
      <c r="N73" s="19">
        <v>9.1350427469810334E-4</v>
      </c>
      <c r="O73" s="19">
        <v>-2.5144019081626672E-4</v>
      </c>
      <c r="P73" s="19">
        <v>0.561711786940713</v>
      </c>
      <c r="Q73" s="19">
        <v>274.16063049496648</v>
      </c>
      <c r="R73" s="19">
        <v>54.854257383381722</v>
      </c>
      <c r="S73" s="19">
        <v>4.6709993508559371E-4</v>
      </c>
      <c r="T73" s="19">
        <v>-1.6956692993552459E-4</v>
      </c>
      <c r="U73" s="19">
        <v>0.30715275985485724</v>
      </c>
      <c r="V73" s="19">
        <v>175.04408371359727</v>
      </c>
      <c r="W73" s="19">
        <v>36.71057217676988</v>
      </c>
      <c r="X73" s="19">
        <v>3.0941950009405158E-4</v>
      </c>
      <c r="Y73" s="19">
        <v>-1.2400951241884145E-4</v>
      </c>
      <c r="Z73">
        <v>0.21472320303792547</v>
      </c>
      <c r="AB73">
        <v>72650.659876190577</v>
      </c>
      <c r="AC73">
        <v>6899123.0067957267</v>
      </c>
      <c r="AD73">
        <v>62543.426167000202</v>
      </c>
      <c r="AE73">
        <v>589155.85012252745</v>
      </c>
      <c r="AF73">
        <v>884748.3017735047</v>
      </c>
      <c r="AG73">
        <v>3231128.9387142179</v>
      </c>
      <c r="AH73">
        <v>4501167.1280070655</v>
      </c>
      <c r="AI73">
        <v>12484825.83591754</v>
      </c>
      <c r="AK73">
        <v>2.1828329671535303E-7</v>
      </c>
      <c r="AL73">
        <v>9.2276389453191082E-2</v>
      </c>
      <c r="AM73">
        <v>5.9524786812584915E-8</v>
      </c>
      <c r="AN73">
        <v>1.6502381077533714E-5</v>
      </c>
      <c r="AP73" s="134">
        <v>3.00456041400513E-12</v>
      </c>
      <c r="AQ73" s="134">
        <v>3.1639281760934126E-14</v>
      </c>
      <c r="AR73" s="134">
        <v>1.4753970977988872E-6</v>
      </c>
      <c r="AS73" s="134">
        <v>1.5662475291385166E-7</v>
      </c>
      <c r="AT73" s="134">
        <v>6.7278780522399062E-14</v>
      </c>
      <c r="AU73" s="134">
        <v>1.8422287671463822E-14</v>
      </c>
      <c r="AV73" s="134">
        <v>3.666244911203797E-12</v>
      </c>
      <c r="AW73" s="134">
        <v>1.3217950570089722E-12</v>
      </c>
      <c r="AY73" s="134">
        <v>1.475403835882993E-6</v>
      </c>
      <c r="AZ73" s="134">
        <v>1.5662612477047812E-7</v>
      </c>
      <c r="BB73">
        <v>5.0914013202286957E-4</v>
      </c>
      <c r="BC73">
        <v>1.2247992904401382E-3</v>
      </c>
      <c r="BD73">
        <v>1.6746385952874081E-3</v>
      </c>
      <c r="BE73">
        <v>2.3249425569590293E-5</v>
      </c>
      <c r="BF73">
        <v>3.4318274433200063E-3</v>
      </c>
      <c r="BG73">
        <v>2.7363899217637449E-3</v>
      </c>
      <c r="BH73">
        <v>4.5137232164343049E-4</v>
      </c>
      <c r="BI73">
        <v>6.6230391751392209E-4</v>
      </c>
      <c r="BJ73">
        <v>1.0045395977958288E-5</v>
      </c>
      <c r="BK73">
        <v>3.8601115568990554E-3</v>
      </c>
      <c r="CD73">
        <v>5040</v>
      </c>
      <c r="CE73">
        <v>576</v>
      </c>
      <c r="CF73">
        <v>144</v>
      </c>
      <c r="CG73">
        <v>0</v>
      </c>
      <c r="CH73">
        <v>0</v>
      </c>
      <c r="CI73">
        <v>0</v>
      </c>
      <c r="CJ73" s="219">
        <v>0</v>
      </c>
      <c r="CK73" s="20">
        <v>0</v>
      </c>
      <c r="CL73" s="20">
        <v>0</v>
      </c>
      <c r="CM73" s="220">
        <v>0</v>
      </c>
    </row>
    <row r="74" spans="1:91" x14ac:dyDescent="0.25">
      <c r="A74">
        <v>71</v>
      </c>
      <c r="B74" s="127">
        <v>35.5</v>
      </c>
      <c r="C74" s="20">
        <v>3.5797378196975236E-10</v>
      </c>
      <c r="D74" s="20">
        <v>4.4252902448750143E-4</v>
      </c>
      <c r="E74" s="20">
        <v>9.2352994323082484E-11</v>
      </c>
      <c r="F74" s="20">
        <v>2.6394001634828981E-7</v>
      </c>
      <c r="G74" s="19">
        <v>535.26444813597766</v>
      </c>
      <c r="H74" s="19">
        <v>100.90756040709572</v>
      </c>
      <c r="I74" s="19">
        <v>8.9011743793318272E-4</v>
      </c>
      <c r="J74" s="19">
        <v>-1.4145043228821973E-4</v>
      </c>
      <c r="K74">
        <v>1.0257724002753426</v>
      </c>
      <c r="L74" s="19">
        <v>560.44858646544549</v>
      </c>
      <c r="M74" s="19">
        <v>104.58010134134091</v>
      </c>
      <c r="N74" s="19">
        <v>9.2655433576521902E-4</v>
      </c>
      <c r="O74" s="19">
        <v>-2.5279107879267842E-4</v>
      </c>
      <c r="P74" s="19">
        <v>0.56861629085719778</v>
      </c>
      <c r="Q74" s="19">
        <v>278.04295246546985</v>
      </c>
      <c r="R74" s="19">
        <v>55.637889631715737</v>
      </c>
      <c r="S74" s="19">
        <v>4.7377279130110213E-4</v>
      </c>
      <c r="T74" s="19">
        <v>-1.7132805974715053E-4</v>
      </c>
      <c r="U74" s="19">
        <v>0.31100748149039803</v>
      </c>
      <c r="V74" s="19">
        <v>177.98440182026428</v>
      </c>
      <c r="W74" s="19">
        <v>37.235008922152325</v>
      </c>
      <c r="X74" s="19">
        <v>3.1383977866682389E-4</v>
      </c>
      <c r="Y74" s="19">
        <v>-1.2542498423442113E-4</v>
      </c>
      <c r="Z74">
        <v>0.21743762530637253</v>
      </c>
      <c r="AB74">
        <v>69290.166308119966</v>
      </c>
      <c r="AC74">
        <v>7071272.9710283456</v>
      </c>
      <c r="AD74">
        <v>59135.523951331081</v>
      </c>
      <c r="AE74">
        <v>575674.98341537255</v>
      </c>
      <c r="AF74">
        <v>836539.62689418881</v>
      </c>
      <c r="AG74">
        <v>3090074.7310986118</v>
      </c>
      <c r="AH74">
        <v>4255904.9418953862</v>
      </c>
      <c r="AI74">
        <v>11887457.30029924</v>
      </c>
      <c r="AK74">
        <v>1.637032268820055E-7</v>
      </c>
      <c r="AL74">
        <v>8.0948307330139885E-2</v>
      </c>
      <c r="AM74">
        <v>3.6200136780284253E-8</v>
      </c>
      <c r="AN74">
        <v>1.0345809319590716E-5</v>
      </c>
      <c r="AP74" s="134">
        <v>2.362575176310718E-12</v>
      </c>
      <c r="AQ74" s="134">
        <v>2.3150460681225663E-14</v>
      </c>
      <c r="AR74" s="134">
        <v>1.3688609133954891E-6</v>
      </c>
      <c r="AS74" s="134">
        <v>1.4061459966505516E-7</v>
      </c>
      <c r="AT74" s="134">
        <v>4.3273666442657462E-14</v>
      </c>
      <c r="AU74" s="134">
        <v>1.171497129696085E-14</v>
      </c>
      <c r="AV74" s="134">
        <v>2.4309305449343903E-12</v>
      </c>
      <c r="AW74" s="134">
        <v>8.7031305839729776E-13</v>
      </c>
      <c r="AY74" s="134">
        <v>1.3688657501748769E-6</v>
      </c>
      <c r="AZ74" s="134">
        <v>1.4061550484354555E-7</v>
      </c>
      <c r="BB74">
        <v>5.0914013438544477E-4</v>
      </c>
      <c r="BC74">
        <v>1.2261681513535338E-3</v>
      </c>
      <c r="BD74">
        <v>1.6746385953306819E-3</v>
      </c>
      <c r="BE74">
        <v>2.3249428000520838E-5</v>
      </c>
      <c r="BF74">
        <v>3.4331963090701812E-3</v>
      </c>
      <c r="BG74">
        <v>2.7363899217868952E-3</v>
      </c>
      <c r="BH74">
        <v>4.5151293624309553E-4</v>
      </c>
      <c r="BI74">
        <v>6.6230391752563711E-4</v>
      </c>
      <c r="BJ74">
        <v>1.0045396848271346E-5</v>
      </c>
      <c r="BK74">
        <v>3.8602521724038991E-3</v>
      </c>
      <c r="CD74">
        <v>5040</v>
      </c>
      <c r="CE74">
        <v>576</v>
      </c>
      <c r="CF74">
        <v>144</v>
      </c>
      <c r="CG74">
        <v>0</v>
      </c>
      <c r="CH74">
        <v>0</v>
      </c>
      <c r="CI74">
        <v>0</v>
      </c>
      <c r="CJ74" s="13">
        <v>0</v>
      </c>
      <c r="CK74">
        <v>0</v>
      </c>
      <c r="CL74">
        <v>0</v>
      </c>
      <c r="CM74" s="86">
        <v>0</v>
      </c>
    </row>
    <row r="75" spans="1:91" x14ac:dyDescent="0.25">
      <c r="A75">
        <v>72</v>
      </c>
      <c r="B75" s="127">
        <v>36</v>
      </c>
      <c r="C75" s="20">
        <v>2.6911464140587664E-10</v>
      </c>
      <c r="D75" s="20">
        <v>3.8860850464794944E-4</v>
      </c>
      <c r="E75" s="20">
        <v>5.6278929493255826E-11</v>
      </c>
      <c r="F75" s="20">
        <v>1.6599499053993931E-7</v>
      </c>
      <c r="G75" s="19">
        <v>536.56926550968717</v>
      </c>
      <c r="H75" s="19">
        <v>102.1301117668514</v>
      </c>
      <c r="I75" s="19">
        <v>9.0067847867067073E-4</v>
      </c>
      <c r="J75" s="19">
        <v>-1.4064034278894367E-4</v>
      </c>
      <c r="K75">
        <v>1.037910123273408</v>
      </c>
      <c r="L75" s="19">
        <v>567.50165052445107</v>
      </c>
      <c r="M75" s="19">
        <v>106.05306051516261</v>
      </c>
      <c r="N75" s="19">
        <v>9.3960439683233481E-4</v>
      </c>
      <c r="O75" s="19">
        <v>-2.5412215740887724E-4</v>
      </c>
      <c r="P75" s="19">
        <v>0.57550408598067138</v>
      </c>
      <c r="Q75" s="19">
        <v>282.12758665035295</v>
      </c>
      <c r="R75" s="19">
        <v>56.421521880049774</v>
      </c>
      <c r="S75" s="19">
        <v>4.8044564751661067E-4</v>
      </c>
      <c r="T75" s="19">
        <v>-1.7301637707287733E-4</v>
      </c>
      <c r="U75" s="19">
        <v>0.31485434242326743</v>
      </c>
      <c r="V75" s="19">
        <v>180.9311701754913</v>
      </c>
      <c r="W75" s="19">
        <v>37.759445667534742</v>
      </c>
      <c r="X75" s="19">
        <v>3.1826005723959594E-4</v>
      </c>
      <c r="Y75" s="19">
        <v>-1.2683945939020452E-4</v>
      </c>
      <c r="Z75">
        <v>0.22014724526141316</v>
      </c>
      <c r="AB75">
        <v>66135.984376520748</v>
      </c>
      <c r="AC75">
        <v>7248919.0479911258</v>
      </c>
      <c r="AD75">
        <v>55957.147250041628</v>
      </c>
      <c r="AE75">
        <v>562761.45329922892</v>
      </c>
      <c r="AF75">
        <v>791577.85295245261</v>
      </c>
      <c r="AG75">
        <v>2961906.3627458448</v>
      </c>
      <c r="AH75">
        <v>4027161.40152606</v>
      </c>
      <c r="AI75">
        <v>11325285.432190938</v>
      </c>
      <c r="AK75">
        <v>1.2306749102384899E-7</v>
      </c>
      <c r="AL75">
        <v>7.1085056402298799E-2</v>
      </c>
      <c r="AM75">
        <v>2.2059977160855686E-8</v>
      </c>
      <c r="AN75">
        <v>6.5066015524803712E-6</v>
      </c>
      <c r="AP75" s="134">
        <v>1.8608249681929548E-12</v>
      </c>
      <c r="AQ75" s="134">
        <v>1.6977357618299566E-14</v>
      </c>
      <c r="AR75" s="134">
        <v>1.2703481127202374E-6</v>
      </c>
      <c r="AS75" s="134">
        <v>1.2631472178052995E-7</v>
      </c>
      <c r="AT75" s="134">
        <v>2.7868360741240639E-14</v>
      </c>
      <c r="AU75" s="134">
        <v>7.447898231463642E-15</v>
      </c>
      <c r="AV75" s="134">
        <v>1.6156793591671662E-12</v>
      </c>
      <c r="AW75" s="134">
        <v>5.7451987337873518E-13</v>
      </c>
      <c r="AY75" s="134">
        <v>1.2703516170929255E-6</v>
      </c>
      <c r="AZ75" s="134">
        <v>1.2631532072565919E-7</v>
      </c>
      <c r="BB75">
        <v>5.0914013624626974E-4</v>
      </c>
      <c r="BC75">
        <v>1.2274384994662541E-3</v>
      </c>
      <c r="BD75">
        <v>1.6746385953585502E-3</v>
      </c>
      <c r="BE75">
        <v>2.3249429616200197E-5</v>
      </c>
      <c r="BF75">
        <v>3.4344666606872742E-3</v>
      </c>
      <c r="BG75">
        <v>2.7363899218038725E-3</v>
      </c>
      <c r="BH75">
        <v>4.5163925096487604E-4</v>
      </c>
      <c r="BI75">
        <v>6.6230391753308504E-4</v>
      </c>
      <c r="BJ75">
        <v>1.0045397422791219E-5</v>
      </c>
      <c r="BK75">
        <v>3.8603784877246244E-3</v>
      </c>
      <c r="CD75">
        <v>5040</v>
      </c>
      <c r="CE75">
        <v>576</v>
      </c>
      <c r="CF75">
        <v>144</v>
      </c>
      <c r="CG75">
        <v>0</v>
      </c>
      <c r="CH75">
        <v>0</v>
      </c>
      <c r="CI75">
        <v>0</v>
      </c>
      <c r="CJ75" s="216">
        <v>0</v>
      </c>
      <c r="CK75" s="217">
        <v>0</v>
      </c>
      <c r="CL75">
        <v>0</v>
      </c>
      <c r="CM75" s="86">
        <v>0</v>
      </c>
    </row>
    <row r="76" spans="1:91" x14ac:dyDescent="0.25">
      <c r="A76">
        <v>73</v>
      </c>
      <c r="B76" s="127">
        <v>36.5</v>
      </c>
      <c r="C76" s="20">
        <v>2.0279321554633339E-10</v>
      </c>
      <c r="D76" s="20">
        <v>3.4160827643457876E-4</v>
      </c>
      <c r="E76" s="20">
        <v>3.4365910839886583E-11</v>
      </c>
      <c r="F76" s="20">
        <v>1.0478336363113587E-7</v>
      </c>
      <c r="G76" s="19">
        <v>537.84113906254652</v>
      </c>
      <c r="H76" s="19">
        <v>103.34787665010064</v>
      </c>
      <c r="I76" s="19">
        <v>9.1119228087836691E-4</v>
      </c>
      <c r="J76" s="19">
        <v>-1.3982981748807136E-4</v>
      </c>
      <c r="K76">
        <v>1.0500152259537234</v>
      </c>
      <c r="L76" s="19">
        <v>574.49154063070341</v>
      </c>
      <c r="M76" s="19">
        <v>107.52601968898432</v>
      </c>
      <c r="N76" s="19">
        <v>9.5265445789945061E-4</v>
      </c>
      <c r="O76" s="19">
        <v>-2.5543387797263953E-4</v>
      </c>
      <c r="P76" s="19">
        <v>0.58237540204499449</v>
      </c>
      <c r="Q76" s="19">
        <v>286.50752147004488</v>
      </c>
      <c r="R76" s="19">
        <v>57.205154128383796</v>
      </c>
      <c r="S76" s="19">
        <v>4.8711850373211915E-4</v>
      </c>
      <c r="T76" s="19">
        <v>-1.7461701499882907E-4</v>
      </c>
      <c r="U76" s="19">
        <v>0.31869343318590287</v>
      </c>
      <c r="V76" s="19">
        <v>183.88372925682111</v>
      </c>
      <c r="W76" s="19">
        <v>38.283882412917173</v>
      </c>
      <c r="X76" s="19">
        <v>3.2268033581236814E-4</v>
      </c>
      <c r="Y76" s="19">
        <v>-1.2823430013824549E-4</v>
      </c>
      <c r="Z76">
        <v>0.22285211322356147</v>
      </c>
      <c r="AB76">
        <v>63172.614139339166</v>
      </c>
      <c r="AC76">
        <v>7432193.2203699835</v>
      </c>
      <c r="AD76">
        <v>52989.964559969878</v>
      </c>
      <c r="AE76">
        <v>550382.96266084432</v>
      </c>
      <c r="AF76">
        <v>749603.65986806643</v>
      </c>
      <c r="AG76">
        <v>2846388.324882729</v>
      </c>
      <c r="AH76">
        <v>3813617.2130180509</v>
      </c>
      <c r="AI76">
        <v>10802640.376871331</v>
      </c>
      <c r="AK76">
        <v>9.2738366458127865E-8</v>
      </c>
      <c r="AL76">
        <v>6.2487679264361273E-2</v>
      </c>
      <c r="AM76">
        <v>1.3470604630650428E-8</v>
      </c>
      <c r="AN76">
        <v>4.1072540457925625E-6</v>
      </c>
      <c r="AP76" s="134">
        <v>1.4680153373671672E-12</v>
      </c>
      <c r="AQ76" s="134">
        <v>1.2477927269699163E-14</v>
      </c>
      <c r="AR76" s="134">
        <v>1.1792361022178573E-6</v>
      </c>
      <c r="AS76" s="134">
        <v>1.1353490842496751E-7</v>
      </c>
      <c r="AT76" s="134">
        <v>1.7970302643694823E-14</v>
      </c>
      <c r="AU76" s="134">
        <v>4.7325252541588531E-15</v>
      </c>
      <c r="AV76" s="134">
        <v>1.0769969339796772E-12</v>
      </c>
      <c r="AW76" s="134">
        <v>3.8020834745052475E-13</v>
      </c>
      <c r="AY76" s="134">
        <v>1.1792386652004313E-6</v>
      </c>
      <c r="AZ76" s="134">
        <v>1.1353530584376747E-7</v>
      </c>
      <c r="BB76">
        <v>5.0914013771428512E-4</v>
      </c>
      <c r="BC76">
        <v>1.228617735568472E-3</v>
      </c>
      <c r="BD76">
        <v>1.6746385953765204E-3</v>
      </c>
      <c r="BE76">
        <v>2.3249430693197131E-5</v>
      </c>
      <c r="BF76">
        <v>3.4356458993524751E-3</v>
      </c>
      <c r="BG76">
        <v>2.7363899218163503E-3</v>
      </c>
      <c r="BH76">
        <v>4.5175278587330099E-4</v>
      </c>
      <c r="BI76">
        <v>6.6230391753781758E-4</v>
      </c>
      <c r="BJ76">
        <v>1.0045397802999567E-5</v>
      </c>
      <c r="BK76">
        <v>3.8604920230304687E-3</v>
      </c>
      <c r="CD76">
        <v>5040</v>
      </c>
      <c r="CE76">
        <v>576</v>
      </c>
      <c r="CF76">
        <v>144</v>
      </c>
      <c r="CG76">
        <v>0</v>
      </c>
      <c r="CH76">
        <v>0</v>
      </c>
      <c r="CI76">
        <v>0</v>
      </c>
      <c r="CJ76" s="219">
        <v>0</v>
      </c>
      <c r="CK76" s="20">
        <v>0</v>
      </c>
      <c r="CL76">
        <v>0</v>
      </c>
      <c r="CM76" s="86">
        <v>0</v>
      </c>
    </row>
    <row r="77" spans="1:91" x14ac:dyDescent="0.25">
      <c r="A77">
        <v>74</v>
      </c>
      <c r="B77" s="127">
        <v>37</v>
      </c>
      <c r="C77" s="20">
        <v>1.5317244879478787E-10</v>
      </c>
      <c r="D77" s="20">
        <v>3.0059543695739921E-4</v>
      </c>
      <c r="E77" s="20">
        <v>2.1028142841791286E-11</v>
      </c>
      <c r="F77" s="20">
        <v>6.6427271169317155E-8</v>
      </c>
      <c r="G77" s="19">
        <v>539.08122161171366</v>
      </c>
      <c r="H77" s="19">
        <v>104.56088125152627</v>
      </c>
      <c r="I77" s="19">
        <v>9.2165911689148306E-4</v>
      </c>
      <c r="J77" s="19">
        <v>-1.3901918492257201E-4</v>
      </c>
      <c r="K77">
        <v>1.0620881572705163</v>
      </c>
      <c r="L77" s="19">
        <v>581.41819036848096</v>
      </c>
      <c r="M77" s="19">
        <v>108.99897886280601</v>
      </c>
      <c r="N77" s="19">
        <v>9.6570451896656629E-4</v>
      </c>
      <c r="O77" s="19">
        <v>-2.5672667961184101E-4</v>
      </c>
      <c r="P77" s="19">
        <v>0.58923046302381299</v>
      </c>
      <c r="Q77" s="19">
        <v>290.88945065068083</v>
      </c>
      <c r="R77" s="19">
        <v>57.988786376717812</v>
      </c>
      <c r="S77" s="19">
        <v>4.9379135994762752E-4</v>
      </c>
      <c r="T77" s="19">
        <v>-1.7620927227876348E-4</v>
      </c>
      <c r="U77" s="19">
        <v>0.32252484239958906</v>
      </c>
      <c r="V77" s="19">
        <v>186.84041981002508</v>
      </c>
      <c r="W77" s="19">
        <v>38.808319158299597</v>
      </c>
      <c r="X77" s="19">
        <v>3.2710061438514029E-4</v>
      </c>
      <c r="Y77" s="19">
        <v>-1.2960544165900858E-4</v>
      </c>
      <c r="Z77">
        <v>0.22555227839954897</v>
      </c>
      <c r="AB77">
        <v>60385.921433196396</v>
      </c>
      <c r="AC77">
        <v>7621232.6679077419</v>
      </c>
      <c r="AD77">
        <v>50217.331799354259</v>
      </c>
      <c r="AE77">
        <v>538509.47779979778</v>
      </c>
      <c r="AF77">
        <v>710381.59806662099</v>
      </c>
      <c r="AG77">
        <v>2736931.0407861839</v>
      </c>
      <c r="AH77">
        <v>3614074.5239623724</v>
      </c>
      <c r="AI77">
        <v>10317529.20756972</v>
      </c>
      <c r="AK77">
        <v>7.0046538042957207E-8</v>
      </c>
      <c r="AL77">
        <v>5.4985527426241132E-2</v>
      </c>
      <c r="AM77">
        <v>8.2425226457215346E-9</v>
      </c>
      <c r="AN77">
        <v>2.6037881282527022E-6</v>
      </c>
      <c r="AP77" s="134">
        <v>1.1599812734570614E-12</v>
      </c>
      <c r="AQ77" s="134">
        <v>9.190972260683794E-15</v>
      </c>
      <c r="AR77" s="134">
        <v>1.0949511942597512E-6</v>
      </c>
      <c r="AS77" s="134">
        <v>1.0210688890917378E-7</v>
      </c>
      <c r="AT77" s="134">
        <v>1.1602950679120118E-14</v>
      </c>
      <c r="AU77" s="134">
        <v>3.0115931029646508E-15</v>
      </c>
      <c r="AV77" s="134">
        <v>7.2045778552401847E-13</v>
      </c>
      <c r="AW77" s="134">
        <v>2.5236547199133356E-13</v>
      </c>
      <c r="AY77" s="134">
        <v>1.094953086301761E-6</v>
      </c>
      <c r="AZ77" s="134">
        <v>1.0210715347721114E-7</v>
      </c>
      <c r="BB77">
        <v>5.0914013887426641E-4</v>
      </c>
      <c r="BC77">
        <v>1.2297126867627317E-3</v>
      </c>
      <c r="BD77">
        <v>1.6746385953881233E-3</v>
      </c>
      <c r="BE77">
        <v>2.3249431413654916E-5</v>
      </c>
      <c r="BF77">
        <v>3.436740852438776E-3</v>
      </c>
      <c r="BG77">
        <v>2.7363899218255413E-3</v>
      </c>
      <c r="BH77">
        <v>4.5185489276221015E-4</v>
      </c>
      <c r="BI77">
        <v>6.6230391754082917E-4</v>
      </c>
      <c r="BJ77">
        <v>1.004539805536504E-5</v>
      </c>
      <c r="BK77">
        <v>3.8605941301839458E-3</v>
      </c>
      <c r="CD77">
        <v>5040</v>
      </c>
      <c r="CE77">
        <v>576</v>
      </c>
      <c r="CF77">
        <v>144</v>
      </c>
      <c r="CG77">
        <v>0</v>
      </c>
      <c r="CH77">
        <v>0</v>
      </c>
      <c r="CI77">
        <v>0</v>
      </c>
      <c r="CJ77" s="13">
        <v>0</v>
      </c>
      <c r="CK77">
        <v>0</v>
      </c>
      <c r="CL77">
        <v>0</v>
      </c>
      <c r="CM77" s="86">
        <v>0</v>
      </c>
    </row>
    <row r="78" spans="1:91" x14ac:dyDescent="0.25">
      <c r="A78">
        <v>75</v>
      </c>
      <c r="B78" s="127">
        <v>37.5</v>
      </c>
      <c r="C78" s="20">
        <v>1.1595799389022605E-10</v>
      </c>
      <c r="D78" s="20">
        <v>2.6476883226831614E-4</v>
      </c>
      <c r="E78" s="20">
        <v>1.2893416393903717E-11</v>
      </c>
      <c r="F78" s="20">
        <v>4.2317225015618755E-8</v>
      </c>
      <c r="G78" s="19">
        <v>540.29061462096786</v>
      </c>
      <c r="H78" s="19">
        <v>105.76915158178598</v>
      </c>
      <c r="I78" s="19">
        <v>9.3207925707807274E-4</v>
      </c>
      <c r="J78" s="19">
        <v>-1.3820875124080222E-4</v>
      </c>
      <c r="K78">
        <v>1.0741293532925247</v>
      </c>
      <c r="L78" s="19">
        <v>588.28162416044927</v>
      </c>
      <c r="M78" s="19">
        <v>110.47193803662773</v>
      </c>
      <c r="N78" s="19">
        <v>9.7875458003368219E-4</v>
      </c>
      <c r="O78" s="19">
        <v>-2.5800098951827134E-4</v>
      </c>
      <c r="P78" s="19">
        <v>0.59606948732869103</v>
      </c>
      <c r="Q78" s="19">
        <v>295.27089496664581</v>
      </c>
      <c r="R78" s="19">
        <v>58.772418625051856</v>
      </c>
      <c r="S78" s="19">
        <v>5.0046421616313616E-4</v>
      </c>
      <c r="T78" s="19">
        <v>-1.7779278900805103E-4</v>
      </c>
      <c r="U78" s="19">
        <v>0.32634865683773262</v>
      </c>
      <c r="V78" s="19">
        <v>189.79769730858561</v>
      </c>
      <c r="W78" s="19">
        <v>39.332755903682035</v>
      </c>
      <c r="X78" s="19">
        <v>3.3152089295791255E-4</v>
      </c>
      <c r="Y78" s="19">
        <v>-1.3097506320701734E-4</v>
      </c>
      <c r="Z78">
        <v>0.22824778892657405</v>
      </c>
      <c r="AB78">
        <v>57763.000538909881</v>
      </c>
      <c r="AC78">
        <v>7816179.8200897891</v>
      </c>
      <c r="AD78">
        <v>47624.116960643063</v>
      </c>
      <c r="AE78">
        <v>527113.04297821049</v>
      </c>
      <c r="AF78">
        <v>673697.6079929499</v>
      </c>
      <c r="AG78">
        <v>2633170.5644373125</v>
      </c>
      <c r="AH78">
        <v>3427444.3039181456</v>
      </c>
      <c r="AI78">
        <v>9859463.0528455321</v>
      </c>
      <c r="AK78">
        <v>5.3028178986018197E-8</v>
      </c>
      <c r="AL78">
        <v>4.8432052181705529E-2</v>
      </c>
      <c r="AM78">
        <v>5.053906919267232E-9</v>
      </c>
      <c r="AN78">
        <v>1.6587327189071863E-6</v>
      </c>
      <c r="AP78" s="134">
        <v>9.180302008427999E-13</v>
      </c>
      <c r="AQ78" s="134">
        <v>6.7844113373288577E-15</v>
      </c>
      <c r="AR78" s="134">
        <v>1.0169648336310393E-6</v>
      </c>
      <c r="AS78" s="134">
        <v>9.188171840344232E-8</v>
      </c>
      <c r="AT78" s="134">
        <v>7.5017438971226389E-15</v>
      </c>
      <c r="AU78" s="134">
        <v>1.9193237944869749E-15</v>
      </c>
      <c r="AV78" s="134">
        <v>4.839561410264131E-13</v>
      </c>
      <c r="AW78" s="134">
        <v>1.6823763221349673E-13</v>
      </c>
      <c r="AY78" s="134">
        <v>1.0169662431191252E-6</v>
      </c>
      <c r="AZ78" s="134">
        <v>9.1881895344809661E-8</v>
      </c>
      <c r="BB78">
        <v>5.091401397922966E-4</v>
      </c>
      <c r="BC78">
        <v>1.2307296515963629E-3</v>
      </c>
      <c r="BD78">
        <v>1.6746385953956252E-3</v>
      </c>
      <c r="BE78">
        <v>2.3249431897611056E-5</v>
      </c>
      <c r="BF78">
        <v>3.4377578186818953E-3</v>
      </c>
      <c r="BG78">
        <v>2.7363899218323258E-3</v>
      </c>
      <c r="BH78">
        <v>4.5194677448061359E-4</v>
      </c>
      <c r="BI78">
        <v>6.6230391754274853E-4</v>
      </c>
      <c r="BJ78">
        <v>1.0045398223602671E-5</v>
      </c>
      <c r="BK78">
        <v>3.860686012079291E-3</v>
      </c>
      <c r="CD78">
        <v>5040</v>
      </c>
      <c r="CE78">
        <v>576</v>
      </c>
      <c r="CF78">
        <v>144</v>
      </c>
      <c r="CG78">
        <v>0</v>
      </c>
      <c r="CH78">
        <v>0</v>
      </c>
      <c r="CI78">
        <v>0</v>
      </c>
      <c r="CJ78" s="13">
        <v>0</v>
      </c>
      <c r="CK78">
        <v>0</v>
      </c>
      <c r="CL78">
        <v>0</v>
      </c>
      <c r="CM78" s="86">
        <v>0</v>
      </c>
    </row>
    <row r="79" spans="1:91" x14ac:dyDescent="0.25">
      <c r="A79">
        <v>76</v>
      </c>
      <c r="B79" s="127">
        <v>38</v>
      </c>
      <c r="C79" s="20">
        <v>8.7982378082512228E-11</v>
      </c>
      <c r="D79" s="20">
        <v>2.3343961362322564E-4</v>
      </c>
      <c r="E79" s="20">
        <v>7.9219360440261257E-12</v>
      </c>
      <c r="F79" s="20">
        <v>2.7106375020981147E-8</v>
      </c>
      <c r="G79" s="19">
        <v>541.47037096923157</v>
      </c>
      <c r="H79" s="19">
        <v>106.97271346909075</v>
      </c>
      <c r="I79" s="19">
        <v>9.4245296985620639E-4</v>
      </c>
      <c r="J79" s="19">
        <v>-1.3739880167552769E-4</v>
      </c>
      <c r="K79">
        <v>1.0861392377235755</v>
      </c>
      <c r="L79" s="19">
        <v>595.08194728417971</v>
      </c>
      <c r="M79" s="19">
        <v>111.94489721044943</v>
      </c>
      <c r="N79" s="19">
        <v>9.9180464110079788E-4</v>
      </c>
      <c r="O79" s="19">
        <v>-2.5925722320573448E-4</v>
      </c>
      <c r="P79" s="19">
        <v>0.60289268799853657</v>
      </c>
      <c r="Q79" s="19">
        <v>299.65067634118378</v>
      </c>
      <c r="R79" s="19">
        <v>59.556050873385871</v>
      </c>
      <c r="S79" s="19">
        <v>5.0713707237864459E-4</v>
      </c>
      <c r="T79" s="19">
        <v>-1.7934781281606156E-4</v>
      </c>
      <c r="U79" s="19">
        <v>0.3301649614859955</v>
      </c>
      <c r="V79" s="19">
        <v>192.75397596755218</v>
      </c>
      <c r="W79" s="19">
        <v>39.857192649064466</v>
      </c>
      <c r="X79" s="19">
        <v>3.3594117153068476E-4</v>
      </c>
      <c r="Y79" s="19">
        <v>-1.3234253522211123E-4</v>
      </c>
      <c r="Z79">
        <v>0.23093869191393099</v>
      </c>
      <c r="AB79">
        <v>55292.052303299817</v>
      </c>
      <c r="AC79">
        <v>8017182.4198105168</v>
      </c>
      <c r="AD79">
        <v>45196.545010848502</v>
      </c>
      <c r="AE79">
        <v>516167.61214319372</v>
      </c>
      <c r="AF79">
        <v>639356.82604923588</v>
      </c>
      <c r="AG79">
        <v>2535951.84203758</v>
      </c>
      <c r="AH79">
        <v>3252735.1820975579</v>
      </c>
      <c r="AI79">
        <v>9426847.1256919298</v>
      </c>
      <c r="AK79">
        <v>4.0234787926666913E-8</v>
      </c>
      <c r="AL79">
        <v>4.270124792037383E-2</v>
      </c>
      <c r="AM79">
        <v>3.1052070423961751E-9</v>
      </c>
      <c r="AN79">
        <v>1.062504243169889E-6</v>
      </c>
      <c r="AP79" s="134">
        <v>7.2767760013613585E-13</v>
      </c>
      <c r="AQ79" s="134">
        <v>5.0185695946304596E-15</v>
      </c>
      <c r="AR79" s="134">
        <v>9.4479009203301427E-7</v>
      </c>
      <c r="AS79" s="134">
        <v>8.2727484088110067E-8</v>
      </c>
      <c r="AT79" s="134">
        <v>4.8567668567552731E-15</v>
      </c>
      <c r="AU79" s="134">
        <v>1.2244739789306139E-15</v>
      </c>
      <c r="AV79" s="134">
        <v>3.2664947611404469E-13</v>
      </c>
      <c r="AW79" s="134">
        <v>1.1271045652943071E-13</v>
      </c>
      <c r="AY79" s="134">
        <v>9.4479115121685729E-7</v>
      </c>
      <c r="AZ79" s="134">
        <v>8.2727603041610176E-8</v>
      </c>
      <c r="BB79">
        <v>5.0914014051997418E-4</v>
      </c>
      <c r="BC79">
        <v>1.2316744416883958E-3</v>
      </c>
      <c r="BD79">
        <v>1.674638595400482E-3</v>
      </c>
      <c r="BE79">
        <v>2.3249432224260533E-5</v>
      </c>
      <c r="BF79">
        <v>3.4387026098331125E-3</v>
      </c>
      <c r="BG79">
        <v>2.7363899218373444E-3</v>
      </c>
      <c r="BH79">
        <v>4.5202950196470169E-4</v>
      </c>
      <c r="BI79">
        <v>6.6230391754397303E-4</v>
      </c>
      <c r="BJ79">
        <v>1.0045398336313127E-5</v>
      </c>
      <c r="BK79">
        <v>3.860768739682332E-3</v>
      </c>
      <c r="CD79">
        <v>5040</v>
      </c>
      <c r="CE79">
        <v>576</v>
      </c>
      <c r="CF79">
        <v>144</v>
      </c>
      <c r="CG79">
        <v>0</v>
      </c>
      <c r="CH79">
        <v>0</v>
      </c>
      <c r="CI79">
        <v>0</v>
      </c>
      <c r="CJ79" s="221">
        <v>0</v>
      </c>
      <c r="CK79" s="77">
        <v>0</v>
      </c>
      <c r="CL79">
        <v>0</v>
      </c>
      <c r="CM79" s="86">
        <v>0</v>
      </c>
    </row>
    <row r="80" spans="1:91" x14ac:dyDescent="0.25">
      <c r="A80">
        <v>77</v>
      </c>
      <c r="B80" s="127">
        <v>38.5</v>
      </c>
      <c r="C80" s="20">
        <v>6.6903418035850607E-11</v>
      </c>
      <c r="D80" s="20">
        <v>2.060147854380862E-4</v>
      </c>
      <c r="E80" s="20">
        <v>4.8774446162316554E-12</v>
      </c>
      <c r="F80" s="20">
        <v>1.7469367587028002E-8</v>
      </c>
      <c r="G80" s="19">
        <v>542.62149754441452</v>
      </c>
      <c r="H80" s="19">
        <v>108.17159256076584</v>
      </c>
      <c r="I80" s="19">
        <v>9.5278052171094221E-4</v>
      </c>
      <c r="J80" s="19">
        <v>-1.3658960191238298E-4</v>
      </c>
      <c r="K80">
        <v>1.0981182223968624</v>
      </c>
      <c r="L80" s="19">
        <v>601.81933690005383</v>
      </c>
      <c r="M80" s="19">
        <v>113.41785638427113</v>
      </c>
      <c r="N80" s="19">
        <v>1.0048547021679136E-3</v>
      </c>
      <c r="O80" s="19">
        <v>-2.6049578477874949E-4</v>
      </c>
      <c r="P80" s="19">
        <v>0.60970027288079487</v>
      </c>
      <c r="Q80" s="19">
        <v>304.02698751037667</v>
      </c>
      <c r="R80" s="19">
        <v>60.339683121719894</v>
      </c>
      <c r="S80" s="19">
        <v>5.1380992859415301E-4</v>
      </c>
      <c r="T80" s="19">
        <v>-1.808679852902916E-4</v>
      </c>
      <c r="U80" s="19">
        <v>0.3339738395995015</v>
      </c>
      <c r="V80" s="19">
        <v>195.70780295222872</v>
      </c>
      <c r="W80" s="19">
        <v>40.381629394446875</v>
      </c>
      <c r="X80" s="19">
        <v>3.403614501034568E-4</v>
      </c>
      <c r="Y80" s="19">
        <v>-1.33707283187827E-4</v>
      </c>
      <c r="Z80">
        <v>0.23362503348221611</v>
      </c>
      <c r="AB80">
        <v>52962.275798453302</v>
      </c>
      <c r="AC80">
        <v>8224393.5974464081</v>
      </c>
      <c r="AD80">
        <v>42922.060473417019</v>
      </c>
      <c r="AE80">
        <v>505648.89606947283</v>
      </c>
      <c r="AF80">
        <v>607181.64065837918</v>
      </c>
      <c r="AG80">
        <v>2445150.1882717554</v>
      </c>
      <c r="AH80">
        <v>3089043.5575659852</v>
      </c>
      <c r="AI80">
        <v>9018165.6784193628</v>
      </c>
      <c r="AK80">
        <v>3.059527254102074E-8</v>
      </c>
      <c r="AL80">
        <v>3.7684642686450581E-2</v>
      </c>
      <c r="AM80">
        <v>1.9118401470358925E-9</v>
      </c>
      <c r="AN80">
        <v>6.8475689472844633E-7</v>
      </c>
      <c r="AP80" s="134">
        <v>5.7768047312487726E-13</v>
      </c>
      <c r="AQ80" s="134">
        <v>3.720064242854363E-15</v>
      </c>
      <c r="AR80" s="134">
        <v>8.7797841647862788E-7</v>
      </c>
      <c r="AS80" s="134">
        <v>7.452729152457788E-8</v>
      </c>
      <c r="AT80" s="134">
        <v>3.1487120476219373E-15</v>
      </c>
      <c r="AU80" s="134">
        <v>7.8189068148291981E-16</v>
      </c>
      <c r="AV80" s="134">
        <v>2.2167278705127784E-13</v>
      </c>
      <c r="AW80" s="134">
        <v>7.593083994532083E-14</v>
      </c>
      <c r="AY80" s="134">
        <v>8.7797921898059998E-7</v>
      </c>
      <c r="AZ80" s="134">
        <v>7.4527371957372752E-8</v>
      </c>
      <c r="BB80">
        <v>5.0914014109765466E-4</v>
      </c>
      <c r="BC80">
        <v>1.2325524201048745E-3</v>
      </c>
      <c r="BD80">
        <v>1.6746385954036307E-3</v>
      </c>
      <c r="BE80">
        <v>2.3249432445933321E-5</v>
      </c>
      <c r="BF80">
        <v>3.4395805890520934E-3</v>
      </c>
      <c r="BG80">
        <v>2.7363899218410645E-3</v>
      </c>
      <c r="BH80">
        <v>4.5210402925622629E-4</v>
      </c>
      <c r="BI80">
        <v>6.6230391754475496E-4</v>
      </c>
      <c r="BJ80">
        <v>1.0045398412243968E-5</v>
      </c>
      <c r="BK80">
        <v>3.8608432670542898E-3</v>
      </c>
      <c r="CD80">
        <v>5040</v>
      </c>
      <c r="CE80">
        <v>576</v>
      </c>
      <c r="CF80">
        <v>144</v>
      </c>
      <c r="CG80">
        <v>0</v>
      </c>
      <c r="CH80">
        <v>0</v>
      </c>
      <c r="CI80">
        <v>0</v>
      </c>
      <c r="CJ80" s="13">
        <v>0</v>
      </c>
      <c r="CK80">
        <v>0</v>
      </c>
      <c r="CL80">
        <v>0</v>
      </c>
      <c r="CM80" s="86">
        <v>0</v>
      </c>
    </row>
    <row r="81" spans="1:91" x14ac:dyDescent="0.25">
      <c r="A81">
        <v>78</v>
      </c>
      <c r="B81" s="127">
        <v>39</v>
      </c>
      <c r="C81" s="20">
        <v>5.0984906491278563E-11</v>
      </c>
      <c r="D81" s="20">
        <v>1.8198326609371616E-4</v>
      </c>
      <c r="E81" s="20">
        <v>3.0092053307371805E-12</v>
      </c>
      <c r="F81" s="20">
        <v>1.1334342671307782E-8</v>
      </c>
      <c r="G81" s="19">
        <v>543.74495767517362</v>
      </c>
      <c r="H81" s="19">
        <v>109.36581432479746</v>
      </c>
      <c r="I81" s="19">
        <v>9.6306217721114137E-4</v>
      </c>
      <c r="J81" s="19">
        <v>-1.3578139936192436E-4</v>
      </c>
      <c r="K81">
        <v>1.1100667077444994</v>
      </c>
      <c r="L81" s="19">
        <v>608.49403398337586</v>
      </c>
      <c r="M81" s="19">
        <v>114.89081555809285</v>
      </c>
      <c r="N81" s="19">
        <v>1.0179047632350297E-3</v>
      </c>
      <c r="O81" s="19">
        <v>-2.6171706720873967E-4</v>
      </c>
      <c r="P81" s="19">
        <v>0.61649244480484899</v>
      </c>
      <c r="Q81" s="19">
        <v>308.39637408470128</v>
      </c>
      <c r="R81" s="19">
        <v>61.123315370053923</v>
      </c>
      <c r="S81" s="19">
        <v>5.2048278480966155E-4</v>
      </c>
      <c r="T81" s="19">
        <v>-1.8238026366029059E-4</v>
      </c>
      <c r="U81" s="19">
        <v>0.33777537275730962</v>
      </c>
      <c r="V81" s="19">
        <v>198.65784759359872</v>
      </c>
      <c r="W81" s="19">
        <v>40.906066139829306</v>
      </c>
      <c r="X81" s="19">
        <v>3.4478172867622895E-4</v>
      </c>
      <c r="Y81" s="19">
        <v>-1.3506878310168727E-4</v>
      </c>
      <c r="Z81">
        <v>0.23630685880029187</v>
      </c>
      <c r="AB81">
        <v>50763.771859396802</v>
      </c>
      <c r="AC81">
        <v>8437971.9548495822</v>
      </c>
      <c r="AD81">
        <v>40789.20547895757</v>
      </c>
      <c r="AE81">
        <v>495534.22336268268</v>
      </c>
      <c r="AF81">
        <v>577009.96715206327</v>
      </c>
      <c r="AG81">
        <v>2358760.3706889567</v>
      </c>
      <c r="AH81">
        <v>2935544.8227152275</v>
      </c>
      <c r="AI81">
        <v>8631982.3505121265</v>
      </c>
      <c r="AK81">
        <v>2.3315656439903336E-8</v>
      </c>
      <c r="AL81">
        <v>3.3288748392847671E-2</v>
      </c>
      <c r="AM81">
        <v>1.179535600021361E-9</v>
      </c>
      <c r="AN81">
        <v>4.4427877842332565E-7</v>
      </c>
      <c r="AP81" s="134">
        <v>4.5929716382151397E-13</v>
      </c>
      <c r="AQ81" s="134">
        <v>2.7631824998544887E-15</v>
      </c>
      <c r="AR81" s="134">
        <v>8.1611661717757033E-7</v>
      </c>
      <c r="AS81" s="134">
        <v>6.717749617160863E-8</v>
      </c>
      <c r="AT81" s="134">
        <v>2.0442204938732197E-15</v>
      </c>
      <c r="AU81" s="134">
        <v>5.0006588828556466E-16</v>
      </c>
      <c r="AV81" s="134">
        <v>1.5134457324088504E-13</v>
      </c>
      <c r="AW81" s="134">
        <v>5.1468916453121231E-14</v>
      </c>
      <c r="AY81" s="134">
        <v>8.1611722986352789E-7</v>
      </c>
      <c r="AZ81" s="134">
        <v>6.7177550903773464E-8</v>
      </c>
      <c r="BB81">
        <v>5.0914014155695186E-4</v>
      </c>
      <c r="BC81">
        <v>1.2333685367220521E-3</v>
      </c>
      <c r="BD81">
        <v>1.6746385954056748E-3</v>
      </c>
      <c r="BE81">
        <v>2.3249432597277896E-5</v>
      </c>
      <c r="BF81">
        <v>3.4403967062819566E-3</v>
      </c>
      <c r="BG81">
        <v>2.7363899218438275E-3</v>
      </c>
      <c r="BH81">
        <v>4.5217120675239788E-4</v>
      </c>
      <c r="BI81">
        <v>6.6230391754525499E-4</v>
      </c>
      <c r="BJ81">
        <v>1.0045398463712885E-5</v>
      </c>
      <c r="BK81">
        <v>3.8609104446051929E-3</v>
      </c>
      <c r="CD81">
        <v>5040</v>
      </c>
      <c r="CE81">
        <v>576</v>
      </c>
      <c r="CF81">
        <v>144</v>
      </c>
      <c r="CG81">
        <v>0</v>
      </c>
      <c r="CH81">
        <v>0</v>
      </c>
      <c r="CI81">
        <v>0</v>
      </c>
      <c r="CJ81" s="216">
        <v>0</v>
      </c>
      <c r="CK81" s="212">
        <v>0</v>
      </c>
      <c r="CL81">
        <v>0</v>
      </c>
      <c r="CM81" s="86">
        <v>0</v>
      </c>
    </row>
    <row r="82" spans="1:91" x14ac:dyDescent="0.25">
      <c r="A82">
        <v>79</v>
      </c>
      <c r="B82" s="127">
        <v>39.5</v>
      </c>
      <c r="C82" s="20">
        <v>3.893670637883868E-11</v>
      </c>
      <c r="D82" s="20">
        <v>1.6090406230425701E-4</v>
      </c>
      <c r="E82" s="20">
        <v>1.8604152762457768E-12</v>
      </c>
      <c r="F82" s="20">
        <v>7.4075775906381694E-9</v>
      </c>
      <c r="G82" s="19">
        <v>544.84167341216414</v>
      </c>
      <c r="H82" s="19">
        <v>110.5554040513623</v>
      </c>
      <c r="I82" s="19">
        <v>9.7329819902610391E-4</v>
      </c>
      <c r="J82" s="19">
        <v>-1.3497442434273193E-4</v>
      </c>
      <c r="K82">
        <v>1.1219850832438345</v>
      </c>
      <c r="L82" s="19">
        <v>615.10633606572037</v>
      </c>
      <c r="M82" s="19">
        <v>116.36377473191453</v>
      </c>
      <c r="N82" s="19">
        <v>1.0309548243021451E-3</v>
      </c>
      <c r="O82" s="19">
        <v>-2.62921452615094E-4</v>
      </c>
      <c r="P82" s="19">
        <v>0.6232694017480509</v>
      </c>
      <c r="Q82" s="19">
        <v>312.75710615884742</v>
      </c>
      <c r="R82" s="19">
        <v>61.906947618387946</v>
      </c>
      <c r="S82" s="19">
        <v>5.2715564102517008E-4</v>
      </c>
      <c r="T82" s="19">
        <v>-1.838843592797862E-4</v>
      </c>
      <c r="U82" s="19">
        <v>0.34156964091434011</v>
      </c>
      <c r="V82" s="19">
        <v>201.60289155128999</v>
      </c>
      <c r="W82" s="19">
        <v>41.430502885211737</v>
      </c>
      <c r="X82" s="19">
        <v>3.4920200724900116E-4</v>
      </c>
      <c r="Y82" s="19">
        <v>-1.3642655734655561E-4</v>
      </c>
      <c r="Z82">
        <v>0.23898421212016907</v>
      </c>
      <c r="AB82">
        <v>48687.457062937196</v>
      </c>
      <c r="AC82">
        <v>8658081.6588541251</v>
      </c>
      <c r="AD82">
        <v>38787.511373092253</v>
      </c>
      <c r="AE82">
        <v>485802.4139343315</v>
      </c>
      <c r="AF82">
        <v>548693.71443981817</v>
      </c>
      <c r="AG82">
        <v>2276536.3622282259</v>
      </c>
      <c r="AH82">
        <v>2791485.562424805</v>
      </c>
      <c r="AI82">
        <v>8266939.3854263509</v>
      </c>
      <c r="AK82">
        <v>1.7805953394965801E-8</v>
      </c>
      <c r="AL82">
        <v>2.9432897652661973E-2</v>
      </c>
      <c r="AM82">
        <v>7.2923772490389966E-10</v>
      </c>
      <c r="AN82">
        <v>2.9035909875706992E-7</v>
      </c>
      <c r="AP82" s="134">
        <v>3.6571951934044202E-13</v>
      </c>
      <c r="AQ82" s="134">
        <v>2.0565702769454329E-15</v>
      </c>
      <c r="AR82" s="134">
        <v>7.5882408050237063E-7</v>
      </c>
      <c r="AS82" s="134">
        <v>6.0586149447665312E-8</v>
      </c>
      <c r="AT82" s="134">
        <v>1.3290433364056405E-15</v>
      </c>
      <c r="AU82" s="134">
        <v>3.2032772988090432E-16</v>
      </c>
      <c r="AV82" s="134">
        <v>1.040159772507838E-13</v>
      </c>
      <c r="AW82" s="134">
        <v>3.5122925815682053E-14</v>
      </c>
      <c r="AY82" s="134">
        <v>7.5882455156691053E-7</v>
      </c>
      <c r="AZ82" s="134">
        <v>6.0586186947489133E-8</v>
      </c>
      <c r="BB82">
        <v>5.0914014192267136E-4</v>
      </c>
      <c r="BC82">
        <v>1.2341273608025545E-3</v>
      </c>
      <c r="BD82">
        <v>1.6746385954070039E-3</v>
      </c>
      <c r="BE82">
        <v>2.3249432701293873E-5</v>
      </c>
      <c r="BF82">
        <v>3.4411555308335238E-3</v>
      </c>
      <c r="BG82">
        <v>2.736389921845884E-3</v>
      </c>
      <c r="BH82">
        <v>4.5223179290184557E-4</v>
      </c>
      <c r="BI82">
        <v>6.6230391754557537E-4</v>
      </c>
      <c r="BJ82">
        <v>1.004539849883581E-5</v>
      </c>
      <c r="BK82">
        <v>3.8609710307921409E-3</v>
      </c>
      <c r="CD82">
        <v>5040</v>
      </c>
      <c r="CE82">
        <v>576</v>
      </c>
      <c r="CF82">
        <v>144</v>
      </c>
      <c r="CG82">
        <v>0</v>
      </c>
      <c r="CH82">
        <v>0</v>
      </c>
      <c r="CI82">
        <v>0</v>
      </c>
      <c r="CJ82" s="222">
        <v>0</v>
      </c>
      <c r="CK82" s="212">
        <v>0</v>
      </c>
      <c r="CL82" s="100">
        <v>0</v>
      </c>
      <c r="CM82" s="101">
        <v>0</v>
      </c>
    </row>
    <row r="83" spans="1:91" x14ac:dyDescent="0.25">
      <c r="A83">
        <v>80</v>
      </c>
      <c r="B83" s="127">
        <v>40</v>
      </c>
      <c r="C83" s="20">
        <v>2.9797858011377825E-11</v>
      </c>
      <c r="D83" s="20">
        <v>1.4239622363018461E-4</v>
      </c>
      <c r="E83" s="20">
        <v>1.15256685991703E-12</v>
      </c>
      <c r="F83" s="20">
        <v>4.8791032881543386E-9</v>
      </c>
      <c r="G83" s="19">
        <v>545.91252766942807</v>
      </c>
      <c r="H83" s="19">
        <v>111.74038685434282</v>
      </c>
      <c r="I83" s="19">
        <v>9.8348884794203454E-4</v>
      </c>
      <c r="J83" s="19">
        <v>-1.3416889118238117E-4</v>
      </c>
      <c r="K83">
        <v>1.1338737278418864</v>
      </c>
      <c r="L83" s="19">
        <v>621.65659070123684</v>
      </c>
      <c r="M83" s="19">
        <v>117.83673390573624</v>
      </c>
      <c r="N83" s="19">
        <v>1.044004885369261E-3</v>
      </c>
      <c r="O83" s="19">
        <v>-2.6410931254890158E-4</v>
      </c>
      <c r="P83" s="19">
        <v>0.63003133699476255</v>
      </c>
      <c r="Q83" s="19">
        <v>317.10760240772669</v>
      </c>
      <c r="R83" s="19">
        <v>62.690579866721968</v>
      </c>
      <c r="S83" s="19">
        <v>5.3382849724067851E-4</v>
      </c>
      <c r="T83" s="19">
        <v>-1.8538001628686028E-4</v>
      </c>
      <c r="U83" s="19">
        <v>0.34535672245091309</v>
      </c>
      <c r="V83" s="19">
        <v>204.54181983236586</v>
      </c>
      <c r="W83" s="19">
        <v>41.954939630594161</v>
      </c>
      <c r="X83" s="19">
        <v>3.5362228582177331E-4</v>
      </c>
      <c r="Y83" s="19">
        <v>-1.3778017092403751E-4</v>
      </c>
      <c r="Z83">
        <v>0.24165713680996487</v>
      </c>
      <c r="AB83">
        <v>46724.98690016313</v>
      </c>
      <c r="AC83">
        <v>8884892.5439576134</v>
      </c>
      <c r="AD83">
        <v>36907.402226502236</v>
      </c>
      <c r="AE83">
        <v>476433.66371021443</v>
      </c>
      <c r="AF83">
        <v>522097.42004825833</v>
      </c>
      <c r="AG83">
        <v>2198245.9971614704</v>
      </c>
      <c r="AH83">
        <v>2656176.6098084315</v>
      </c>
      <c r="AI83">
        <v>7921755.9946771795</v>
      </c>
      <c r="AK83">
        <v>1.3626711665287669E-8</v>
      </c>
      <c r="AL83">
        <v>2.6047406238306675E-2</v>
      </c>
      <c r="AM83">
        <v>4.517782913617024E-10</v>
      </c>
      <c r="AN83">
        <v>1.9124903062528716E-7</v>
      </c>
      <c r="AP83" s="134">
        <v>2.9163650049605675E-13</v>
      </c>
      <c r="AQ83" s="134">
        <v>1.533694594264378E-15</v>
      </c>
      <c r="AR83" s="134">
        <v>7.0575019283266477E-7</v>
      </c>
      <c r="AS83" s="134">
        <v>5.4671632637087808E-8</v>
      </c>
      <c r="AT83" s="134">
        <v>8.6531416171323697E-16</v>
      </c>
      <c r="AU83" s="134">
        <v>2.0551762266146293E-16</v>
      </c>
      <c r="AV83" s="134">
        <v>7.2001624409711377E-14</v>
      </c>
      <c r="AW83" s="134">
        <v>2.4142252141291908E-14</v>
      </c>
      <c r="AY83" s="134">
        <v>7.0575055733610382E-7</v>
      </c>
      <c r="AZ83" s="134">
        <v>5.4671658518552166E-8</v>
      </c>
      <c r="BB83">
        <v>5.0914014221430787E-4</v>
      </c>
      <c r="BC83">
        <v>1.2348331109953872E-3</v>
      </c>
      <c r="BD83">
        <v>1.6746385954078693E-3</v>
      </c>
      <c r="BE83">
        <v>2.3249432773295499E-5</v>
      </c>
      <c r="BF83">
        <v>3.4418612813908599E-3</v>
      </c>
      <c r="BG83">
        <v>2.7363899218474175E-3</v>
      </c>
      <c r="BH83">
        <v>4.5228646453448264E-4</v>
      </c>
      <c r="BI83">
        <v>6.6230391754578094E-4</v>
      </c>
      <c r="BJ83">
        <v>1.0045398522978062E-5</v>
      </c>
      <c r="BK83">
        <v>3.8610257024506594E-3</v>
      </c>
      <c r="CD83">
        <v>5040</v>
      </c>
      <c r="CE83">
        <v>576</v>
      </c>
      <c r="CF83">
        <v>144</v>
      </c>
      <c r="CG83">
        <v>0</v>
      </c>
      <c r="CH83">
        <v>0</v>
      </c>
      <c r="CI83">
        <v>0</v>
      </c>
      <c r="CJ83">
        <v>0</v>
      </c>
      <c r="CK83">
        <v>0</v>
      </c>
      <c r="CL83">
        <v>0</v>
      </c>
      <c r="CM83">
        <v>0</v>
      </c>
    </row>
    <row r="84" spans="1:91" x14ac:dyDescent="0.25">
      <c r="A84">
        <v>81</v>
      </c>
      <c r="B84" s="127">
        <v>40.5</v>
      </c>
      <c r="C84" s="20">
        <v>2.2850911754793562E-11</v>
      </c>
      <c r="D84" s="20">
        <v>1.2613029832539028E-4</v>
      </c>
      <c r="E84" s="20">
        <v>7.1551631968387576E-13</v>
      </c>
      <c r="F84" s="20">
        <v>3.2402408268469126E-9</v>
      </c>
      <c r="G84" s="19">
        <v>546.95836623572393</v>
      </c>
      <c r="H84" s="19">
        <v>112.92078767282716</v>
      </c>
      <c r="I84" s="19">
        <v>9.9363438287835117E-4</v>
      </c>
      <c r="J84" s="19">
        <v>-1.3336499924253522E-4</v>
      </c>
      <c r="K84">
        <v>1.1457330103591912</v>
      </c>
      <c r="L84" s="19">
        <v>627.95242930615746</v>
      </c>
      <c r="M84" s="19">
        <v>119.30969307955795</v>
      </c>
      <c r="N84" s="19">
        <v>1.0570549464363767E-3</v>
      </c>
      <c r="O84" s="19">
        <v>-2.6500161530916528E-4</v>
      </c>
      <c r="P84" s="19">
        <v>0.6367784392887752</v>
      </c>
      <c r="Q84" s="19">
        <v>321.44641824028935</v>
      </c>
      <c r="R84" s="19">
        <v>63.474212115055991</v>
      </c>
      <c r="S84" s="19">
        <v>5.4050135345618704E-4</v>
      </c>
      <c r="T84" s="19">
        <v>-1.8686700878799888E-4</v>
      </c>
      <c r="U84" s="19">
        <v>0.34913669422005439</v>
      </c>
      <c r="V84" s="19">
        <v>207.47361258398837</v>
      </c>
      <c r="W84" s="19">
        <v>42.479376375976585</v>
      </c>
      <c r="X84" s="19">
        <v>3.5804256439454546E-4</v>
      </c>
      <c r="Y84" s="19">
        <v>-1.3912922801507697E-4</v>
      </c>
      <c r="Z84">
        <v>0.24432567538506519</v>
      </c>
      <c r="AB84">
        <v>44868.687057757845</v>
      </c>
      <c r="AC84">
        <v>9118580.2239004038</v>
      </c>
      <c r="AD84">
        <v>35140.108811863844</v>
      </c>
      <c r="AE84">
        <v>469542.03360411362</v>
      </c>
      <c r="AF84">
        <v>497097.03322644002</v>
      </c>
      <c r="AG84">
        <v>2123670.3808547449</v>
      </c>
      <c r="AH84">
        <v>2528986.8552485681</v>
      </c>
      <c r="AI84">
        <v>7595226.0941092856</v>
      </c>
      <c r="AK84">
        <v>1.0449837892797802E-8</v>
      </c>
      <c r="AL84">
        <v>2.3072010167717913E-2</v>
      </c>
      <c r="AM84">
        <v>2.8046506592378094E-10</v>
      </c>
      <c r="AN84">
        <v>1.270095918304217E-7</v>
      </c>
      <c r="AP84" s="134">
        <v>2.3289823210886696E-13</v>
      </c>
      <c r="AQ84" s="134">
        <v>1.145993963556748E-15</v>
      </c>
      <c r="AR84" s="134">
        <v>6.5657196143708142E-7</v>
      </c>
      <c r="AS84" s="134">
        <v>4.913726251646021E-8</v>
      </c>
      <c r="AT84" s="134">
        <v>5.642058736569086E-16</v>
      </c>
      <c r="AU84" s="134">
        <v>1.3206619466571739E-16</v>
      </c>
      <c r="AV84" s="134">
        <v>5.0221531032014098E-14</v>
      </c>
      <c r="AW84" s="134">
        <v>1.6722292431679942E-14</v>
      </c>
      <c r="AY84" s="134">
        <v>6.5657224512105043E-7</v>
      </c>
      <c r="AZ84" s="134">
        <v>4.9137280516812794E-8</v>
      </c>
      <c r="BB84">
        <v>5.091401424472061E-4</v>
      </c>
      <c r="BC84">
        <v>1.2354896829568243E-3</v>
      </c>
      <c r="BD84">
        <v>1.6746385954084335E-3</v>
      </c>
      <c r="BE84">
        <v>2.3249432823517031E-5</v>
      </c>
      <c r="BF84">
        <v>3.4425178536359809E-3</v>
      </c>
      <c r="BG84">
        <v>2.7363899218485633E-3</v>
      </c>
      <c r="BH84">
        <v>4.5233560179699911E-4</v>
      </c>
      <c r="BI84">
        <v>6.6230391754591299E-4</v>
      </c>
      <c r="BJ84">
        <v>1.0045398539700354E-5</v>
      </c>
      <c r="BK84">
        <v>3.861074839731176E-3</v>
      </c>
      <c r="CD84">
        <v>5040</v>
      </c>
      <c r="CE84">
        <v>576</v>
      </c>
      <c r="CF84">
        <v>144</v>
      </c>
      <c r="CG84">
        <v>0</v>
      </c>
      <c r="CH84">
        <v>0</v>
      </c>
      <c r="CI84">
        <v>0</v>
      </c>
      <c r="CJ84">
        <v>0</v>
      </c>
      <c r="CK84">
        <v>0</v>
      </c>
      <c r="CL84">
        <v>0</v>
      </c>
      <c r="CM84">
        <v>0</v>
      </c>
    </row>
    <row r="85" spans="1:91" x14ac:dyDescent="0.25">
      <c r="A85">
        <v>82</v>
      </c>
      <c r="B85" s="127">
        <v>41</v>
      </c>
      <c r="C85" s="20">
        <v>1.7558987918586076E-11</v>
      </c>
      <c r="D85" s="20">
        <v>1.1182105704895388E-4</v>
      </c>
      <c r="E85" s="20">
        <v>4.451113692996448E-13</v>
      </c>
      <c r="F85" s="20">
        <v>2.1703765141320448E-9</v>
      </c>
      <c r="G85" s="19">
        <v>547.97999966482541</v>
      </c>
      <c r="H85" s="19">
        <v>114.09663127259351</v>
      </c>
      <c r="I85" s="19">
        <v>1.0037350609038117E-3</v>
      </c>
      <c r="J85" s="19">
        <v>-1.3256293387388401E-4</v>
      </c>
      <c r="K85">
        <v>1.1575632898742465</v>
      </c>
      <c r="L85" s="19">
        <v>633.98554779001211</v>
      </c>
      <c r="M85" s="19">
        <v>120.78265225337965</v>
      </c>
      <c r="N85" s="19">
        <v>1.0701050075034926E-3</v>
      </c>
      <c r="O85" s="19">
        <v>-2.6558048185987304E-4</v>
      </c>
      <c r="P85" s="19">
        <v>0.64351089297944308</v>
      </c>
      <c r="Q85" s="19">
        <v>325.77223496647355</v>
      </c>
      <c r="R85" s="19">
        <v>64.257844363390021</v>
      </c>
      <c r="S85" s="19">
        <v>5.4717420967169558E-4</v>
      </c>
      <c r="T85" s="19">
        <v>-1.8834513829168491E-4</v>
      </c>
      <c r="U85" s="19">
        <v>0.35290963159270816</v>
      </c>
      <c r="V85" s="19">
        <v>210.39733758663149</v>
      </c>
      <c r="W85" s="19">
        <v>43.003813121359023</v>
      </c>
      <c r="X85" s="19">
        <v>3.6246284296731772E-4</v>
      </c>
      <c r="Y85" s="19">
        <v>-1.4047336883658373E-4</v>
      </c>
      <c r="Z85">
        <v>0.24698986953762497</v>
      </c>
      <c r="AB85">
        <v>43111.491863007388</v>
      </c>
      <c r="AC85">
        <v>9359326.2119211871</v>
      </c>
      <c r="AD85">
        <v>33477.591800559749</v>
      </c>
      <c r="AE85">
        <v>465136.79968864919</v>
      </c>
      <c r="AF85">
        <v>473578.82847549929</v>
      </c>
      <c r="AG85">
        <v>2052603.2777137132</v>
      </c>
      <c r="AH85">
        <v>2409337.7189659923</v>
      </c>
      <c r="AI85">
        <v>7286215.5929347323</v>
      </c>
      <c r="AK85">
        <v>8.029814270860687E-9</v>
      </c>
      <c r="AL85">
        <v>2.0454534710944088E-2</v>
      </c>
      <c r="AM85">
        <v>1.7447287518082662E-10</v>
      </c>
      <c r="AN85">
        <v>8.5073502220663231E-8</v>
      </c>
      <c r="AP85" s="134">
        <v>1.8625693345005342E-13</v>
      </c>
      <c r="AQ85" s="134">
        <v>8.5794790020599234E-16</v>
      </c>
      <c r="AR85" s="134">
        <v>6.1099181902929127E-7</v>
      </c>
      <c r="AS85" s="134">
        <v>4.3975309467313349E-8</v>
      </c>
      <c r="AT85" s="134">
        <v>3.684135875382635E-16</v>
      </c>
      <c r="AU85" s="134">
        <v>8.5000777829392725E-17</v>
      </c>
      <c r="AV85" s="134">
        <v>3.5309911745030891E-14</v>
      </c>
      <c r="AW85" s="134">
        <v>1.1675951821018988E-14</v>
      </c>
      <c r="AY85" s="134">
        <v>6.1099204096454996E-7</v>
      </c>
      <c r="AZ85" s="134">
        <v>4.3975322086213844E-8</v>
      </c>
      <c r="BB85">
        <v>5.0914014263346303E-4</v>
      </c>
      <c r="BC85">
        <v>1.2361006747758536E-3</v>
      </c>
      <c r="BD85">
        <v>1.6746385954088019E-3</v>
      </c>
      <c r="BE85">
        <v>2.3249432858826941E-5</v>
      </c>
      <c r="BF85">
        <v>3.4431288456769457E-3</v>
      </c>
      <c r="BG85">
        <v>2.7363899218494211E-3</v>
      </c>
      <c r="BH85">
        <v>4.5237957710646644E-4</v>
      </c>
      <c r="BI85">
        <v>6.6230391754599799E-4</v>
      </c>
      <c r="BJ85">
        <v>1.0045398551376305E-5</v>
      </c>
      <c r="BK85">
        <v>3.8611188150532616E-3</v>
      </c>
      <c r="CD85">
        <v>5040</v>
      </c>
      <c r="CE85">
        <v>576</v>
      </c>
      <c r="CF85">
        <v>144</v>
      </c>
      <c r="CG85">
        <v>0</v>
      </c>
      <c r="CH85">
        <v>0</v>
      </c>
      <c r="CI85">
        <v>0</v>
      </c>
      <c r="CJ85">
        <v>0</v>
      </c>
      <c r="CK85">
        <v>0</v>
      </c>
      <c r="CL85">
        <v>0</v>
      </c>
      <c r="CM85">
        <v>0</v>
      </c>
    </row>
    <row r="86" spans="1:91" x14ac:dyDescent="0.25">
      <c r="A86">
        <v>83</v>
      </c>
      <c r="B86" s="127">
        <v>41.5</v>
      </c>
      <c r="C86" s="20">
        <v>1.3519420775686371E-11</v>
      </c>
      <c r="D86" s="20">
        <v>9.9221288672271258E-5</v>
      </c>
      <c r="E86" s="20">
        <v>2.7746720557102212E-13</v>
      </c>
      <c r="F86" s="20">
        <v>1.4665970471854962E-9</v>
      </c>
      <c r="G86" s="19">
        <v>548.97820505311643</v>
      </c>
      <c r="H86" s="19">
        <v>115.26794224757984</v>
      </c>
      <c r="I86" s="19">
        <v>1.0137911372524919E-3</v>
      </c>
      <c r="J86" s="19">
        <v>-1.3176286730618393E-4</v>
      </c>
      <c r="K86">
        <v>1.1693649160896611</v>
      </c>
      <c r="L86" s="19">
        <v>639.94677575376784</v>
      </c>
      <c r="M86" s="19">
        <v>122.25561142720134</v>
      </c>
      <c r="N86" s="19">
        <v>1.0831550685706081E-3</v>
      </c>
      <c r="O86" s="19">
        <v>-2.6614296419214347E-4</v>
      </c>
      <c r="P86" s="19">
        <v>0.65022887816185271</v>
      </c>
      <c r="Q86" s="19">
        <v>330.08384988217296</v>
      </c>
      <c r="R86" s="19">
        <v>65.041476611724036</v>
      </c>
      <c r="S86" s="19">
        <v>5.5384706588720389E-4</v>
      </c>
      <c r="T86" s="19">
        <v>-1.8981423136759922E-4</v>
      </c>
      <c r="U86" s="19">
        <v>0.35667560850098151</v>
      </c>
      <c r="V86" s="19">
        <v>213.31214338215099</v>
      </c>
      <c r="W86" s="19">
        <v>43.528249866741433</v>
      </c>
      <c r="X86" s="19">
        <v>3.6688312154008971E-4</v>
      </c>
      <c r="Y86" s="19">
        <v>-1.4181226676618038E-4</v>
      </c>
      <c r="Z86">
        <v>0.24964976016451668</v>
      </c>
      <c r="AB86">
        <v>41446.889067639197</v>
      </c>
      <c r="AC86">
        <v>9607318.0495159514</v>
      </c>
      <c r="AD86">
        <v>31912.473093638779</v>
      </c>
      <c r="AE86">
        <v>460904.90835021937</v>
      </c>
      <c r="AF86">
        <v>451438.43414652831</v>
      </c>
      <c r="AG86">
        <v>1984850.4900121735</v>
      </c>
      <c r="AH86">
        <v>2296698.2090003784</v>
      </c>
      <c r="AI86">
        <v>6993659.379558879</v>
      </c>
      <c r="AK86">
        <v>6.1824997193299776E-9</v>
      </c>
      <c r="AL86">
        <v>1.8149759506593421E-2</v>
      </c>
      <c r="AM86">
        <v>1.0876042371269156E-10</v>
      </c>
      <c r="AN86">
        <v>5.7487051826327766E-8</v>
      </c>
      <c r="AP86" s="134">
        <v>1.4916679775991042E-13</v>
      </c>
      <c r="AQ86" s="134">
        <v>6.4351983430396296E-16</v>
      </c>
      <c r="AR86" s="134">
        <v>5.6873559919150464E-7</v>
      </c>
      <c r="AS86" s="134">
        <v>3.9378533788150279E-8</v>
      </c>
      <c r="AT86" s="134">
        <v>2.4091972567269273E-16</v>
      </c>
      <c r="AU86" s="134">
        <v>5.4795272621276633E-17</v>
      </c>
      <c r="AV86" s="134">
        <v>2.5030302893538895E-14</v>
      </c>
      <c r="AW86" s="134">
        <v>8.219881567917271E-15</v>
      </c>
      <c r="AY86" s="134">
        <v>5.6873577362952496E-7</v>
      </c>
      <c r="AZ86" s="134">
        <v>3.9378542706346953E-8</v>
      </c>
      <c r="BB86">
        <v>5.0914014278262984E-4</v>
      </c>
      <c r="BC86">
        <v>1.2366694103750451E-3</v>
      </c>
      <c r="BD86">
        <v>1.6746385954090428E-3</v>
      </c>
      <c r="BE86">
        <v>2.3249432883857243E-5</v>
      </c>
      <c r="BF86">
        <v>3.4436975814505747E-3</v>
      </c>
      <c r="BG86">
        <v>2.7363899218500647E-3</v>
      </c>
      <c r="BH86">
        <v>4.524189556402546E-4</v>
      </c>
      <c r="BI86">
        <v>6.6230391754605275E-4</v>
      </c>
      <c r="BJ86">
        <v>1.0045398559596187E-5</v>
      </c>
      <c r="BK86">
        <v>3.8611581935959682E-3</v>
      </c>
      <c r="CD86">
        <v>5040</v>
      </c>
      <c r="CE86">
        <v>576</v>
      </c>
      <c r="CF86">
        <v>144</v>
      </c>
      <c r="CG86">
        <v>0</v>
      </c>
      <c r="CH86">
        <v>0</v>
      </c>
      <c r="CI86">
        <v>0</v>
      </c>
      <c r="CJ86">
        <v>0</v>
      </c>
      <c r="CK86">
        <v>0</v>
      </c>
      <c r="CL86">
        <v>0</v>
      </c>
      <c r="CM86">
        <v>0</v>
      </c>
    </row>
    <row r="87" spans="1:91" x14ac:dyDescent="0.25">
      <c r="A87">
        <v>84</v>
      </c>
      <c r="B87" s="127">
        <v>42</v>
      </c>
      <c r="C87" s="20">
        <v>1.0429534487160752E-11</v>
      </c>
      <c r="D87" s="20">
        <v>8.811650380312462E-5</v>
      </c>
      <c r="E87" s="20">
        <v>1.7331899415055902E-13</v>
      </c>
      <c r="F87" s="20">
        <v>9.998796236442197E-10</v>
      </c>
      <c r="G87" s="19">
        <v>549.95372771216591</v>
      </c>
      <c r="H87" s="19">
        <v>116.43474502133911</v>
      </c>
      <c r="I87" s="19">
        <v>1.0238028653395913E-3</v>
      </c>
      <c r="J87" s="19">
        <v>-1.3096495947822077E-4</v>
      </c>
      <c r="K87">
        <v>1.1811382296810584</v>
      </c>
      <c r="L87" s="19">
        <v>645.83737235020055</v>
      </c>
      <c r="M87" s="19">
        <v>123.72857060102305</v>
      </c>
      <c r="N87" s="19">
        <v>1.096205129637724E-3</v>
      </c>
      <c r="O87" s="19">
        <v>-2.6668969082133429E-4</v>
      </c>
      <c r="P87" s="19">
        <v>0.65693257081132805</v>
      </c>
      <c r="Q87" s="19">
        <v>334.38016718691608</v>
      </c>
      <c r="R87" s="19">
        <v>65.825108860058066</v>
      </c>
      <c r="S87" s="19">
        <v>5.6051992210271243E-4</v>
      </c>
      <c r="T87" s="19">
        <v>-1.9127413750999657E-4</v>
      </c>
      <c r="U87" s="19">
        <v>0.36043469747954388</v>
      </c>
      <c r="V87" s="19">
        <v>216.21725297778949</v>
      </c>
      <c r="W87" s="19">
        <v>44.052686612123857</v>
      </c>
      <c r="X87" s="19">
        <v>3.7130340011286186E-4</v>
      </c>
      <c r="Y87" s="19">
        <v>-1.4314562571004789E-4</v>
      </c>
      <c r="Z87">
        <v>0.2523053873938344</v>
      </c>
      <c r="AB87">
        <v>39868.870249345629</v>
      </c>
      <c r="AC87">
        <v>9862749.4435718879</v>
      </c>
      <c r="AD87">
        <v>30437.974340499579</v>
      </c>
      <c r="AE87">
        <v>456836.90811072179</v>
      </c>
      <c r="AF87">
        <v>430579.9627170341</v>
      </c>
      <c r="AG87">
        <v>1920229.2374629707</v>
      </c>
      <c r="AH87">
        <v>2190580.4964817869</v>
      </c>
      <c r="AI87">
        <v>6716558.1181711005</v>
      </c>
      <c r="AK87">
        <v>4.7694790412601867E-9</v>
      </c>
      <c r="AL87">
        <v>1.6118449719706985E-2</v>
      </c>
      <c r="AM87">
        <v>6.7936847536554332E-11</v>
      </c>
      <c r="AN87">
        <v>3.9192859316628794E-8</v>
      </c>
      <c r="AP87" s="134">
        <v>1.1962914954527632E-13</v>
      </c>
      <c r="AQ87" s="134">
        <v>4.8358513703992816E-16</v>
      </c>
      <c r="AR87" s="134">
        <v>5.2955067046825143E-7</v>
      </c>
      <c r="AS87" s="134">
        <v>3.5282722200283385E-8</v>
      </c>
      <c r="AT87" s="134">
        <v>1.5777986301977702E-16</v>
      </c>
      <c r="AU87" s="134">
        <v>3.5379550634440547E-17</v>
      </c>
      <c r="AV87" s="134">
        <v>1.7891540338086205E-14</v>
      </c>
      <c r="AW87" s="134">
        <v>5.8352594628185686E-15</v>
      </c>
      <c r="AY87" s="134">
        <v>5.2955080814672119E-7</v>
      </c>
      <c r="AZ87" s="134">
        <v>3.5282728554507543E-8</v>
      </c>
      <c r="BB87">
        <v>5.0914014290225898E-4</v>
      </c>
      <c r="BC87">
        <v>1.2371989610455133E-3</v>
      </c>
      <c r="BD87">
        <v>1.6746385954092007E-3</v>
      </c>
      <c r="BE87">
        <v>2.3249432901748784E-5</v>
      </c>
      <c r="BF87">
        <v>3.4442271322587216E-3</v>
      </c>
      <c r="BG87">
        <v>2.7363899218505482E-3</v>
      </c>
      <c r="BH87">
        <v>4.5245423836245486E-4</v>
      </c>
      <c r="BI87">
        <v>6.6230391754608809E-4</v>
      </c>
      <c r="BJ87">
        <v>1.0045398565431447E-5</v>
      </c>
      <c r="BK87">
        <v>3.8611934763245225E-3</v>
      </c>
      <c r="CD87">
        <v>5040</v>
      </c>
      <c r="CE87">
        <v>576</v>
      </c>
      <c r="CF87">
        <v>144</v>
      </c>
      <c r="CG87">
        <v>0</v>
      </c>
      <c r="CH87">
        <v>0</v>
      </c>
      <c r="CI87">
        <v>0</v>
      </c>
      <c r="CJ87">
        <v>0</v>
      </c>
      <c r="CK87">
        <v>0</v>
      </c>
      <c r="CL87">
        <v>0</v>
      </c>
      <c r="CM87">
        <v>0</v>
      </c>
    </row>
    <row r="88" spans="1:91" x14ac:dyDescent="0.25">
      <c r="A88">
        <v>85</v>
      </c>
      <c r="B88" s="127">
        <v>42.5</v>
      </c>
      <c r="C88" s="20">
        <v>8.0613158843452606E-12</v>
      </c>
      <c r="D88" s="20">
        <v>7.8320407822323623E-5</v>
      </c>
      <c r="E88" s="20">
        <v>1.0848495573696115E-13</v>
      </c>
      <c r="F88" s="20">
        <v>6.877545985985403E-10</v>
      </c>
      <c r="G88" s="19">
        <v>550.90728274337596</v>
      </c>
      <c r="H88" s="19">
        <v>117.59706384847961</v>
      </c>
      <c r="I88" s="19">
        <v>1.0337704967770839E-3</v>
      </c>
      <c r="J88" s="19">
        <v>-1.3016935881212397E-4</v>
      </c>
      <c r="K88">
        <v>1.1928835626296923</v>
      </c>
      <c r="L88" s="19">
        <v>651.65857584739729</v>
      </c>
      <c r="M88" s="19">
        <v>125.20152977484476</v>
      </c>
      <c r="N88" s="19">
        <v>1.1092551907048399E-3</v>
      </c>
      <c r="O88" s="19">
        <v>-2.67221259413883E-4</v>
      </c>
      <c r="P88" s="19">
        <v>0.66362214291254662</v>
      </c>
      <c r="Q88" s="19">
        <v>338.66018965764482</v>
      </c>
      <c r="R88" s="19">
        <v>66.608741108392095</v>
      </c>
      <c r="S88" s="19">
        <v>5.6719277831822096E-4</v>
      </c>
      <c r="T88" s="19">
        <v>-1.9272472718604599E-4</v>
      </c>
      <c r="U88" s="19">
        <v>0.36418696970528769</v>
      </c>
      <c r="V88" s="19">
        <v>219.1119580731951</v>
      </c>
      <c r="W88" s="19">
        <v>44.577123357506302</v>
      </c>
      <c r="X88" s="19">
        <v>3.7572367868563423E-4</v>
      </c>
      <c r="Y88" s="19">
        <v>-1.4447317769140626E-4</v>
      </c>
      <c r="Z88">
        <v>0.25495679061005272</v>
      </c>
      <c r="AB88">
        <v>38371.886199440916</v>
      </c>
      <c r="AC88">
        <v>10125820.411788298</v>
      </c>
      <c r="AD88">
        <v>29047.861818580281</v>
      </c>
      <c r="AE88">
        <v>452924.00610501913</v>
      </c>
      <c r="AF88">
        <v>410915.23105110059</v>
      </c>
      <c r="AG88">
        <v>1858567.5450820052</v>
      </c>
      <c r="AH88">
        <v>2090535.9486953111</v>
      </c>
      <c r="AI88">
        <v>6453974.9454964129</v>
      </c>
      <c r="AK88">
        <v>3.6864806576644608E-9</v>
      </c>
      <c r="AL88">
        <v>1.4326527960433036E-2</v>
      </c>
      <c r="AM88">
        <v>4.2523474902638097E-11</v>
      </c>
      <c r="AN88">
        <v>2.6958314370879044E-8</v>
      </c>
      <c r="AP88" s="134">
        <v>9.6072437995455471E-14</v>
      </c>
      <c r="AQ88" s="134">
        <v>3.6406735531006715E-16</v>
      </c>
      <c r="AR88" s="134">
        <v>4.9320421757408531E-7</v>
      </c>
      <c r="AS88" s="134">
        <v>3.1631195890091893E-8</v>
      </c>
      <c r="AT88" s="134">
        <v>1.0348478637276398E-16</v>
      </c>
      <c r="AU88" s="134">
        <v>2.2879703788630315E-17</v>
      </c>
      <c r="AV88" s="134">
        <v>1.2895408178799097E-14</v>
      </c>
      <c r="AW88" s="134">
        <v>4.1770094551870812E-15</v>
      </c>
      <c r="AY88" s="134">
        <v>4.9320432664541625E-7</v>
      </c>
      <c r="AZ88" s="134">
        <v>3.1631200454048403E-8</v>
      </c>
      <c r="BB88">
        <v>5.0914014299833143E-4</v>
      </c>
      <c r="BC88">
        <v>1.2376921652630874E-3</v>
      </c>
      <c r="BD88">
        <v>1.6746385954093041E-3</v>
      </c>
      <c r="BE88">
        <v>2.3249432914644193E-5</v>
      </c>
      <c r="BF88">
        <v>3.4447203365853669E-3</v>
      </c>
      <c r="BG88">
        <v>2.7363899218509121E-3</v>
      </c>
      <c r="BH88">
        <v>4.5248586955834495E-4</v>
      </c>
      <c r="BI88">
        <v>6.6230391754611097E-4</v>
      </c>
      <c r="BJ88">
        <v>1.0045398569608456E-5</v>
      </c>
      <c r="BK88">
        <v>3.8612251075249766E-3</v>
      </c>
      <c r="CD88">
        <v>5040</v>
      </c>
      <c r="CE88">
        <v>576</v>
      </c>
      <c r="CF88">
        <v>144</v>
      </c>
      <c r="CG88">
        <v>0</v>
      </c>
      <c r="CH88">
        <v>0</v>
      </c>
      <c r="CI88">
        <v>0</v>
      </c>
      <c r="CJ88">
        <v>0</v>
      </c>
      <c r="CK88">
        <v>0</v>
      </c>
      <c r="CL88">
        <v>0</v>
      </c>
      <c r="CM88">
        <v>0</v>
      </c>
    </row>
    <row r="89" spans="1:91" x14ac:dyDescent="0.25">
      <c r="A89">
        <v>86</v>
      </c>
      <c r="B89" s="127">
        <v>43</v>
      </c>
      <c r="C89" s="20">
        <v>6.2426275466839757E-12</v>
      </c>
      <c r="D89" s="20">
        <v>6.9671027082570227E-5</v>
      </c>
      <c r="E89" s="20">
        <v>6.8042258985146983E-14</v>
      </c>
      <c r="F89" s="20">
        <v>4.7720196049605216E-10</v>
      </c>
      <c r="G89" s="19">
        <v>551.83955652126076</v>
      </c>
      <c r="H89" s="19">
        <v>118.75492281609128</v>
      </c>
      <c r="I89" s="19">
        <v>1.0436942813892125E-3</v>
      </c>
      <c r="J89" s="19">
        <v>-1.2937620293610756E-4</v>
      </c>
      <c r="K89">
        <v>1.2046012385396909</v>
      </c>
      <c r="L89" s="19">
        <v>657.41160328588819</v>
      </c>
      <c r="M89" s="19">
        <v>126.67448894866648</v>
      </c>
      <c r="N89" s="19">
        <v>1.1223052517719556E-3</v>
      </c>
      <c r="O89" s="19">
        <v>-2.6773823863245663E-4</v>
      </c>
      <c r="P89" s="19">
        <v>0.67029776258353979</v>
      </c>
      <c r="Q89" s="19">
        <v>342.92301100971804</v>
      </c>
      <c r="R89" s="19">
        <v>67.392373356726125</v>
      </c>
      <c r="S89" s="19">
        <v>5.738656345337295E-4</v>
      </c>
      <c r="T89" s="19">
        <v>-1.9416589005189199E-4</v>
      </c>
      <c r="U89" s="19">
        <v>0.36793249503535214</v>
      </c>
      <c r="V89" s="19">
        <v>221.99561376287153</v>
      </c>
      <c r="W89" s="19">
        <v>45.101560102888719</v>
      </c>
      <c r="X89" s="19">
        <v>3.8014395725840627E-4</v>
      </c>
      <c r="Y89" s="19">
        <v>-1.4579468063944284E-4</v>
      </c>
      <c r="Z89">
        <v>0.2576040084779268</v>
      </c>
      <c r="AB89">
        <v>36950.806742658984</v>
      </c>
      <c r="AC89">
        <v>10396737.436331652</v>
      </c>
      <c r="AD89">
        <v>27736.396950779061</v>
      </c>
      <c r="AE89">
        <v>449158.01258810278</v>
      </c>
      <c r="AF89">
        <v>392363.0604117029</v>
      </c>
      <c r="AG89">
        <v>1799703.6450268766</v>
      </c>
      <c r="AH89">
        <v>1996151.5678857174</v>
      </c>
      <c r="AI89">
        <v>6205032.1370757045</v>
      </c>
      <c r="AK89">
        <v>2.8547852526837138E-9</v>
      </c>
      <c r="AL89">
        <v>1.274436568046099E-2</v>
      </c>
      <c r="AM89">
        <v>2.6670917387745325E-11</v>
      </c>
      <c r="AN89">
        <v>1.8705160962452167E-8</v>
      </c>
      <c r="AP89" s="134">
        <v>7.725907779404232E-14</v>
      </c>
      <c r="AQ89" s="134">
        <v>2.745847214249729E-16</v>
      </c>
      <c r="AR89" s="134">
        <v>4.5948165881376405E-7</v>
      </c>
      <c r="AS89" s="134">
        <v>2.8373902553861644E-8</v>
      </c>
      <c r="AT89" s="134">
        <v>6.7975097757061486E-17</v>
      </c>
      <c r="AU89" s="134">
        <v>1.4819616252623096E-17</v>
      </c>
      <c r="AV89" s="134">
        <v>9.3706115624598031E-15</v>
      </c>
      <c r="AW89" s="134">
        <v>3.0145147598328957E-15</v>
      </c>
      <c r="AY89" s="134">
        <v>4.594817455114285E-7</v>
      </c>
      <c r="AZ89" s="134">
        <v>2.8373905857780743E-8</v>
      </c>
      <c r="BB89">
        <v>5.0914014307559049E-4</v>
      </c>
      <c r="BC89">
        <v>1.2381516469219011E-3</v>
      </c>
      <c r="BD89">
        <v>1.674638595409372E-3</v>
      </c>
      <c r="BE89">
        <v>2.3249432924014804E-5</v>
      </c>
      <c r="BF89">
        <v>3.4451798183308784E-3</v>
      </c>
      <c r="BG89">
        <v>2.7363899218511866E-3</v>
      </c>
      <c r="BH89">
        <v>4.5251424346089879E-4</v>
      </c>
      <c r="BI89">
        <v>6.6230391754612582E-4</v>
      </c>
      <c r="BJ89">
        <v>1.004539857262297E-5</v>
      </c>
      <c r="BK89">
        <v>3.8612534814308343E-3</v>
      </c>
      <c r="CD89">
        <v>5040</v>
      </c>
      <c r="CE89">
        <v>576</v>
      </c>
      <c r="CF89">
        <v>144</v>
      </c>
      <c r="CG89">
        <v>0</v>
      </c>
      <c r="CH89">
        <v>0</v>
      </c>
      <c r="CI89">
        <v>0</v>
      </c>
      <c r="CJ89">
        <v>0</v>
      </c>
      <c r="CK89">
        <v>0</v>
      </c>
      <c r="CL89">
        <v>0</v>
      </c>
      <c r="CM89">
        <v>0</v>
      </c>
    </row>
    <row r="90" spans="1:91" x14ac:dyDescent="0.25">
      <c r="A90">
        <v>87</v>
      </c>
      <c r="B90" s="127">
        <v>43.5</v>
      </c>
      <c r="C90" s="20">
        <v>4.8432402855673834E-12</v>
      </c>
      <c r="D90" s="20">
        <v>6.2027390191027161E-5</v>
      </c>
      <c r="E90" s="20">
        <v>4.276322721096538E-14</v>
      </c>
      <c r="F90" s="20">
        <v>3.3391761895265665E-10</v>
      </c>
      <c r="G90" s="19">
        <v>552.75120809141799</v>
      </c>
      <c r="H90" s="19">
        <v>119.90834584515756</v>
      </c>
      <c r="I90" s="19">
        <v>1.0535744672278203E-3</v>
      </c>
      <c r="J90" s="19">
        <v>-1.2858561935937985E-4</v>
      </c>
      <c r="K90">
        <v>1.2162915729407675</v>
      </c>
      <c r="L90" s="19">
        <v>663.09765023973489</v>
      </c>
      <c r="M90" s="19">
        <v>128.14744812248813</v>
      </c>
      <c r="N90" s="19">
        <v>1.1353553128390711E-3</v>
      </c>
      <c r="O90" s="19">
        <v>-2.6824116985118922E-4</v>
      </c>
      <c r="P90" s="19">
        <v>0.67695959419481744</v>
      </c>
      <c r="Q90" s="19">
        <v>347.16780888314298</v>
      </c>
      <c r="R90" s="19">
        <v>68.176005605060112</v>
      </c>
      <c r="S90" s="19">
        <v>5.805384907492376E-4</v>
      </c>
      <c r="T90" s="19">
        <v>-1.9559753332094258E-4</v>
      </c>
      <c r="U90" s="19">
        <v>0.37167134204360408</v>
      </c>
      <c r="V90" s="19">
        <v>224.86763367122609</v>
      </c>
      <c r="W90" s="19">
        <v>45.62599684827115</v>
      </c>
      <c r="X90" s="19">
        <v>3.8456423583117848E-4</v>
      </c>
      <c r="Y90" s="19">
        <v>-1.4710991636052341E-4</v>
      </c>
      <c r="Z90">
        <v>0.2602470789652187</v>
      </c>
      <c r="AB90">
        <v>35600.884502346846</v>
      </c>
      <c r="AC90">
        <v>10675713.625707343</v>
      </c>
      <c r="AD90">
        <v>26498.29182681163</v>
      </c>
      <c r="AE90">
        <v>445531.29089317919</v>
      </c>
      <c r="AF90">
        <v>374848.64725943474</v>
      </c>
      <c r="AG90">
        <v>1743485.3965844952</v>
      </c>
      <c r="AH90">
        <v>1907046.7901887146</v>
      </c>
      <c r="AI90">
        <v>5968907.7961947313</v>
      </c>
      <c r="AK90">
        <v>2.2148383575736285E-9</v>
      </c>
      <c r="AL90">
        <v>1.134617610649306E-2</v>
      </c>
      <c r="AM90">
        <v>1.6762149246485323E-11</v>
      </c>
      <c r="AN90">
        <v>1.3088761840407158E-8</v>
      </c>
      <c r="AP90" s="134">
        <v>6.2213014888088646E-14</v>
      </c>
      <c r="AQ90" s="134">
        <v>2.0746513396914762E-16</v>
      </c>
      <c r="AR90" s="134">
        <v>4.2818518946993847E-7</v>
      </c>
      <c r="AS90" s="134">
        <v>2.5466620052088384E-8</v>
      </c>
      <c r="AT90" s="134">
        <v>4.4717112810825086E-17</v>
      </c>
      <c r="AU90" s="134">
        <v>9.6141609670620325E-18</v>
      </c>
      <c r="AV90" s="134">
        <v>6.8633669125191941E-15</v>
      </c>
      <c r="AW90" s="134">
        <v>2.1928235930786939E-15</v>
      </c>
      <c r="AY90" s="134">
        <v>4.2818525859103733E-7</v>
      </c>
      <c r="AZ90" s="134">
        <v>2.5466622461991272E-8</v>
      </c>
      <c r="BB90">
        <v>5.0914014313780352E-4</v>
      </c>
      <c r="BC90">
        <v>1.238579832111371E-3</v>
      </c>
      <c r="BD90">
        <v>1.6746385954094166E-3</v>
      </c>
      <c r="BE90">
        <v>2.3249432930878169E-5</v>
      </c>
      <c r="BF90">
        <v>3.4456080035894692E-3</v>
      </c>
      <c r="BG90">
        <v>2.7363899218513939E-3</v>
      </c>
      <c r="BH90">
        <v>4.5253971008095086E-4</v>
      </c>
      <c r="BI90">
        <v>6.6230391754613547E-4</v>
      </c>
      <c r="BJ90">
        <v>1.0045398574815794E-5</v>
      </c>
      <c r="BK90">
        <v>3.8612789480532957E-3</v>
      </c>
      <c r="CD90">
        <v>5040</v>
      </c>
      <c r="CE90">
        <v>576</v>
      </c>
      <c r="CF90">
        <v>144</v>
      </c>
      <c r="CG90">
        <v>0</v>
      </c>
      <c r="CH90">
        <v>0</v>
      </c>
      <c r="CI90">
        <v>0</v>
      </c>
      <c r="CJ90">
        <v>0</v>
      </c>
      <c r="CK90">
        <v>0</v>
      </c>
      <c r="CL90">
        <v>0</v>
      </c>
      <c r="CM90">
        <v>0</v>
      </c>
    </row>
    <row r="91" spans="1:91" x14ac:dyDescent="0.25">
      <c r="A91">
        <v>88</v>
      </c>
      <c r="B91" s="127">
        <v>44</v>
      </c>
      <c r="C91" s="20">
        <v>3.7644252815713704E-12</v>
      </c>
      <c r="D91" s="20">
        <v>5.5266681594179042E-5</v>
      </c>
      <c r="E91" s="20">
        <v>2.6930299075338244E-14</v>
      </c>
      <c r="F91" s="20">
        <v>2.3555332774190893E-10</v>
      </c>
      <c r="G91" s="19">
        <v>553.64287048880692</v>
      </c>
      <c r="H91" s="19">
        <v>121.05735669195337</v>
      </c>
      <c r="I91" s="19">
        <v>1.0634113005875386E-3</v>
      </c>
      <c r="J91" s="19">
        <v>-1.2779772610267356E-4</v>
      </c>
      <c r="K91">
        <v>1.2279548735772041</v>
      </c>
      <c r="L91" s="19">
        <v>668.71789066830638</v>
      </c>
      <c r="M91" s="19">
        <v>129.62040729630985</v>
      </c>
      <c r="N91" s="19">
        <v>1.148405373906187E-3</v>
      </c>
      <c r="O91" s="19">
        <v>-2.6873056875150494E-4</v>
      </c>
      <c r="P91" s="19">
        <v>0.68360779848385511</v>
      </c>
      <c r="Q91" s="19">
        <v>351.39383839816645</v>
      </c>
      <c r="R91" s="19">
        <v>68.959637853394156</v>
      </c>
      <c r="S91" s="19">
        <v>5.8721134696474624E-4</v>
      </c>
      <c r="T91" s="19">
        <v>-1.9701958027044939E-4</v>
      </c>
      <c r="U91" s="19">
        <v>0.37540357805566094</v>
      </c>
      <c r="V91" s="19">
        <v>227.72748548161218</v>
      </c>
      <c r="W91" s="19">
        <v>46.150433593653581</v>
      </c>
      <c r="X91" s="19">
        <v>3.8898451440395068E-4</v>
      </c>
      <c r="Y91" s="19">
        <v>-1.4841868867532357E-4</v>
      </c>
      <c r="Z91">
        <v>0.26288603936432459</v>
      </c>
      <c r="AB91">
        <v>34317.722182716992</v>
      </c>
      <c r="AC91">
        <v>10962968.884859107</v>
      </c>
      <c r="AD91">
        <v>25328.669172244619</v>
      </c>
      <c r="AE91">
        <v>442036.71223212953</v>
      </c>
      <c r="AF91">
        <v>358302.99696869322</v>
      </c>
      <c r="AG91">
        <v>1689769.7272725229</v>
      </c>
      <c r="AH91">
        <v>1822870.6046556109</v>
      </c>
      <c r="AI91">
        <v>5744832.6054608412</v>
      </c>
      <c r="AK91">
        <v>1.7214907822537309E-9</v>
      </c>
      <c r="AL91">
        <v>1.0109493568209886E-2</v>
      </c>
      <c r="AM91">
        <v>1.0556024925956816E-11</v>
      </c>
      <c r="AN91">
        <v>9.2331198850766402E-9</v>
      </c>
      <c r="AP91" s="134">
        <v>5.0163317165633559E-14</v>
      </c>
      <c r="AQ91" s="134">
        <v>1.5702779058611321E-16</v>
      </c>
      <c r="AR91" s="134">
        <v>3.9913244156104176E-7</v>
      </c>
      <c r="AS91" s="134">
        <v>2.287025780542188E-8</v>
      </c>
      <c r="AT91" s="134">
        <v>2.946116838335893E-17</v>
      </c>
      <c r="AU91" s="134">
        <v>6.2470197894925123E-18</v>
      </c>
      <c r="AV91" s="134">
        <v>5.0651537533685907E-15</v>
      </c>
      <c r="AW91" s="134">
        <v>1.6072043380863617E-15</v>
      </c>
      <c r="AY91" s="134">
        <v>3.9913249681897387E-7</v>
      </c>
      <c r="AZ91" s="134">
        <v>2.2870259575901028E-8</v>
      </c>
      <c r="BB91">
        <v>5.0914014318796685E-4</v>
      </c>
      <c r="BC91">
        <v>1.2389789645529321E-3</v>
      </c>
      <c r="BD91">
        <v>1.6746385954094461E-3</v>
      </c>
      <c r="BE91">
        <v>2.3249432935943325E-5</v>
      </c>
      <c r="BF91">
        <v>3.4460071360862886E-3</v>
      </c>
      <c r="BG91">
        <v>2.7363899218515509E-3</v>
      </c>
      <c r="BH91">
        <v>4.5256258033875627E-4</v>
      </c>
      <c r="BI91">
        <v>6.6230391754614176E-4</v>
      </c>
      <c r="BJ91">
        <v>1.0045398576422998E-5</v>
      </c>
      <c r="BK91">
        <v>3.861301818312872E-3</v>
      </c>
      <c r="CD91">
        <v>5040</v>
      </c>
      <c r="CE91">
        <v>576</v>
      </c>
      <c r="CF91">
        <v>144</v>
      </c>
      <c r="CG91">
        <v>0</v>
      </c>
      <c r="CH91">
        <v>0</v>
      </c>
      <c r="CI91">
        <v>0</v>
      </c>
      <c r="CJ91">
        <v>0</v>
      </c>
      <c r="CK91">
        <v>0</v>
      </c>
      <c r="CL91">
        <v>0</v>
      </c>
      <c r="CM91">
        <v>0</v>
      </c>
    </row>
    <row r="92" spans="1:91" x14ac:dyDescent="0.25">
      <c r="A92">
        <v>89</v>
      </c>
      <c r="B92" s="127">
        <v>44.5</v>
      </c>
      <c r="C92" s="20">
        <v>2.9311814794537881E-12</v>
      </c>
      <c r="D92" s="20">
        <v>4.928179750718495E-5</v>
      </c>
      <c r="E92" s="20">
        <v>1.6993662837116725E-14</v>
      </c>
      <c r="F92" s="20">
        <v>1.6744199530912865E-10</v>
      </c>
      <c r="G92" s="19">
        <v>554.51515198152583</v>
      </c>
      <c r="H92" s="19">
        <v>122.20197894942901</v>
      </c>
      <c r="I92" s="19">
        <v>1.0732050260208101E-3</v>
      </c>
      <c r="J92" s="19">
        <v>-1.2701263228757025E-4</v>
      </c>
      <c r="K92">
        <v>1.2395914406838369</v>
      </c>
      <c r="L92" s="19">
        <v>674.2734768470217</v>
      </c>
      <c r="M92" s="19">
        <v>131.09336647013157</v>
      </c>
      <c r="N92" s="19">
        <v>1.1614554349733029E-3</v>
      </c>
      <c r="O92" s="19">
        <v>-2.6920692680807123E-4</v>
      </c>
      <c r="P92" s="19">
        <v>0.69024253266516677</v>
      </c>
      <c r="Q92" s="19">
        <v>355.60042622982832</v>
      </c>
      <c r="R92" s="19">
        <v>69.7432701017282</v>
      </c>
      <c r="S92" s="19">
        <v>5.9388420318025488E-4</v>
      </c>
      <c r="T92" s="19">
        <v>-1.9843196887382947E-4</v>
      </c>
      <c r="U92" s="19">
        <v>0.37912926918253909</v>
      </c>
      <c r="V92" s="19">
        <v>230.57468682453859</v>
      </c>
      <c r="W92" s="19">
        <v>46.674870339036019</v>
      </c>
      <c r="X92" s="19">
        <v>3.9340479297672294E-4</v>
      </c>
      <c r="Y92" s="19">
        <v>-1.497208217071234E-4</v>
      </c>
      <c r="Z92">
        <v>0.26552092631287305</v>
      </c>
      <c r="AB92">
        <v>33097.242990649742</v>
      </c>
      <c r="AC92">
        <v>11258730.093537403</v>
      </c>
      <c r="AD92">
        <v>24223.026276241511</v>
      </c>
      <c r="AE92">
        <v>438667.61480557843</v>
      </c>
      <c r="AF92">
        <v>342662.41354439018</v>
      </c>
      <c r="AG92">
        <v>1638422.0970546678</v>
      </c>
      <c r="AH92">
        <v>1743298.9571811778</v>
      </c>
      <c r="AI92">
        <v>5532086.6704824846</v>
      </c>
      <c r="AK92">
        <v>1.3404441636005099E-9</v>
      </c>
      <c r="AL92">
        <v>9.014726423907141E-3</v>
      </c>
      <c r="AM92">
        <v>6.6611042079434126E-12</v>
      </c>
      <c r="AN92">
        <v>6.5633206344660926E-9</v>
      </c>
      <c r="AP92" s="134">
        <v>4.0500175920368863E-14</v>
      </c>
      <c r="AQ92" s="134">
        <v>1.190582021652633E-16</v>
      </c>
      <c r="AR92" s="134">
        <v>3.7215525100383462E-7</v>
      </c>
      <c r="AS92" s="134">
        <v>2.0550243782875449E-8</v>
      </c>
      <c r="AT92" s="134">
        <v>1.9439261339004432E-17</v>
      </c>
      <c r="AU92" s="134">
        <v>4.0655605291932031E-18</v>
      </c>
      <c r="AV92" s="134">
        <v>3.764885309791405E-15</v>
      </c>
      <c r="AW92" s="134">
        <v>1.1864095820273309E-15</v>
      </c>
      <c r="AY92" s="134">
        <v>3.721552952883351E-7</v>
      </c>
      <c r="AZ92" s="134">
        <v>2.0550245092408794E-8</v>
      </c>
      <c r="BB92">
        <v>5.09140143228467E-4</v>
      </c>
      <c r="BC92">
        <v>1.239351119803936E-3</v>
      </c>
      <c r="BD92">
        <v>1.6746385954094656E-3</v>
      </c>
      <c r="BE92">
        <v>2.324943293970821E-5</v>
      </c>
      <c r="BF92">
        <v>3.4463792913815767E-3</v>
      </c>
      <c r="BG92">
        <v>2.7363899218516702E-3</v>
      </c>
      <c r="BH92">
        <v>4.5258313058253914E-4</v>
      </c>
      <c r="BI92">
        <v>6.6230391754614577E-4</v>
      </c>
      <c r="BJ92">
        <v>1.0045398577609409E-5</v>
      </c>
      <c r="BK92">
        <v>3.8613223685579645E-3</v>
      </c>
      <c r="CD92">
        <v>5040</v>
      </c>
      <c r="CE92">
        <v>576</v>
      </c>
      <c r="CF92">
        <v>144</v>
      </c>
      <c r="CG92">
        <v>0</v>
      </c>
      <c r="CH92">
        <v>0</v>
      </c>
      <c r="CI92">
        <v>0</v>
      </c>
      <c r="CJ92">
        <v>0</v>
      </c>
      <c r="CK92">
        <v>0</v>
      </c>
      <c r="CL92">
        <v>0</v>
      </c>
      <c r="CM92">
        <v>0</v>
      </c>
    </row>
    <row r="93" spans="1:91" x14ac:dyDescent="0.25">
      <c r="A93">
        <v>90</v>
      </c>
      <c r="B93" s="127">
        <v>45</v>
      </c>
      <c r="C93" s="20">
        <v>2.2864183272947833E-12</v>
      </c>
      <c r="D93" s="20">
        <v>4.3979244993913462E-5</v>
      </c>
      <c r="E93" s="20">
        <v>1.0744936913146753E-14</v>
      </c>
      <c r="F93" s="20">
        <v>1.1988229402042999E-10</v>
      </c>
      <c r="G93" s="19">
        <v>555.36863724490854</v>
      </c>
      <c r="H93" s="19">
        <v>123.34223604857989</v>
      </c>
      <c r="I93" s="19">
        <v>1.0829558863527633E-3</v>
      </c>
      <c r="J93" s="19">
        <v>-1.2623043868754852E-4</v>
      </c>
      <c r="K93">
        <v>1.2512015672497538</v>
      </c>
      <c r="L93" s="19">
        <v>679.76553936671053</v>
      </c>
      <c r="M93" s="19">
        <v>132.56632564395329</v>
      </c>
      <c r="N93" s="19">
        <v>1.174505496040419E-3</v>
      </c>
      <c r="O93" s="19">
        <v>-2.6967071267356709E-4</v>
      </c>
      <c r="P93" s="19">
        <v>0.69686395053616224</v>
      </c>
      <c r="Q93" s="19">
        <v>359.78696515596204</v>
      </c>
      <c r="R93" s="19">
        <v>70.526902350062215</v>
      </c>
      <c r="S93" s="19">
        <v>6.0055705939576331E-4</v>
      </c>
      <c r="T93" s="19">
        <v>-1.9983465054741433E-4</v>
      </c>
      <c r="U93" s="19">
        <v>0.38284848035300079</v>
      </c>
      <c r="V93" s="19">
        <v>233.40880149359154</v>
      </c>
      <c r="W93" s="19">
        <v>47.199307084418422</v>
      </c>
      <c r="X93" s="19">
        <v>3.9782507154949488E-4</v>
      </c>
      <c r="Y93" s="19">
        <v>-1.5101615830794685E-4</v>
      </c>
      <c r="Z93">
        <v>0.26815177581335986</v>
      </c>
      <c r="AB93">
        <v>31935.66386382527</v>
      </c>
      <c r="AC93">
        <v>11563231.293003092</v>
      </c>
      <c r="AD93">
        <v>23177.202447566673</v>
      </c>
      <c r="AE93">
        <v>435417.76675522223</v>
      </c>
      <c r="AF93">
        <v>327868.03924990195</v>
      </c>
      <c r="AG93">
        <v>1589315.9869049825</v>
      </c>
      <c r="AH93">
        <v>1668032.4083556025</v>
      </c>
      <c r="AI93">
        <v>5329996.4766784022</v>
      </c>
      <c r="AK93">
        <v>1.0455907025390482E-9</v>
      </c>
      <c r="AL93">
        <v>8.0447727559514494E-3</v>
      </c>
      <c r="AM93">
        <v>4.2117550037489144E-12</v>
      </c>
      <c r="AN93">
        <v>4.6990955440945039E-9</v>
      </c>
      <c r="AP93" s="134">
        <v>3.2740534438159221E-14</v>
      </c>
      <c r="AQ93" s="134">
        <v>9.042374713820131E-17</v>
      </c>
      <c r="AR93" s="134">
        <v>3.4709852382533998E-7</v>
      </c>
      <c r="AS93" s="134">
        <v>1.8475986443782301E-8</v>
      </c>
      <c r="AT93" s="134">
        <v>1.2845884622925087E-17</v>
      </c>
      <c r="AU93" s="134">
        <v>2.6500425582145199E-18</v>
      </c>
      <c r="AV93" s="134">
        <v>2.8171488278977841E-15</v>
      </c>
      <c r="AW93" s="134">
        <v>8.8163201695452736E-16</v>
      </c>
      <c r="AY93" s="134">
        <v>3.4709855939586915E-7</v>
      </c>
      <c r="AZ93" s="134">
        <v>1.8475987418488107E-8</v>
      </c>
      <c r="BB93">
        <v>5.0914014326120752E-4</v>
      </c>
      <c r="BC93">
        <v>1.2396982183277613E-3</v>
      </c>
      <c r="BD93">
        <v>1.6746385954094784E-3</v>
      </c>
      <c r="BE93">
        <v>2.324943294252536E-5</v>
      </c>
      <c r="BF93">
        <v>3.446726389940973E-3</v>
      </c>
      <c r="BG93">
        <v>2.7363899218517608E-3</v>
      </c>
      <c r="BH93">
        <v>4.5260160656898293E-4</v>
      </c>
      <c r="BI93">
        <v>6.6230391754614837E-4</v>
      </c>
      <c r="BJ93">
        <v>1.0045398578491041E-5</v>
      </c>
      <c r="BK93">
        <v>3.8613408445453833E-3</v>
      </c>
      <c r="CD93">
        <v>5040</v>
      </c>
      <c r="CE93">
        <v>576</v>
      </c>
      <c r="CF93">
        <v>144</v>
      </c>
      <c r="CG93">
        <v>0</v>
      </c>
      <c r="CH93">
        <v>0</v>
      </c>
      <c r="CI93">
        <v>0</v>
      </c>
      <c r="CJ93">
        <v>0</v>
      </c>
      <c r="CK93">
        <v>0</v>
      </c>
      <c r="CL93">
        <v>0</v>
      </c>
      <c r="CM93">
        <v>0</v>
      </c>
    </row>
    <row r="94" spans="1:91" x14ac:dyDescent="0.25">
      <c r="A94">
        <v>91</v>
      </c>
      <c r="B94" s="127">
        <v>45.5</v>
      </c>
      <c r="C94" s="20">
        <v>1.7865926078701759E-12</v>
      </c>
      <c r="D94" s="20">
        <v>3.9277334050607349E-5</v>
      </c>
      <c r="E94" s="20">
        <v>6.8074980127197871E-15</v>
      </c>
      <c r="F94" s="20">
        <v>8.6404994796662463E-11</v>
      </c>
      <c r="G94" s="19">
        <v>556.20388847040306</v>
      </c>
      <c r="H94" s="19">
        <v>124.47815125980519</v>
      </c>
      <c r="I94" s="19">
        <v>1.0926641226959596E-3</v>
      </c>
      <c r="J94" s="19">
        <v>-1.2545123824345472E-4</v>
      </c>
      <c r="K94">
        <v>1.2627855392703504</v>
      </c>
      <c r="L94" s="19">
        <v>685.19518719246355</v>
      </c>
      <c r="M94" s="19">
        <v>134.03928481777498</v>
      </c>
      <c r="N94" s="19">
        <v>1.1875555571075347E-3</v>
      </c>
      <c r="O94" s="19">
        <v>-2.7012237347017869E-4</v>
      </c>
      <c r="P94" s="19">
        <v>0.70347220257899623</v>
      </c>
      <c r="Q94" s="19">
        <v>363.95290903749873</v>
      </c>
      <c r="R94" s="19">
        <v>71.310534598396245</v>
      </c>
      <c r="S94" s="19">
        <v>6.0722991561127184E-4</v>
      </c>
      <c r="T94" s="19">
        <v>-2.0122758900142058E-4</v>
      </c>
      <c r="U94" s="19">
        <v>0.38656127534466705</v>
      </c>
      <c r="V94" s="19">
        <v>236.22943596062947</v>
      </c>
      <c r="W94" s="19">
        <v>47.723743829800853</v>
      </c>
      <c r="X94" s="19">
        <v>4.0224535012226708E-4</v>
      </c>
      <c r="Y94" s="19">
        <v>-1.5230455861050597E-4</v>
      </c>
      <c r="Z94">
        <v>0.27077862325187951</v>
      </c>
      <c r="AB94">
        <v>30829.471210629723</v>
      </c>
      <c r="AC94">
        <v>11876713.881158706</v>
      </c>
      <c r="AD94">
        <v>22187.349619345576</v>
      </c>
      <c r="AE94">
        <v>432281.33254764177</v>
      </c>
      <c r="AF94">
        <v>313865.43877777725</v>
      </c>
      <c r="AG94">
        <v>1542332.4123546774</v>
      </c>
      <c r="AH94">
        <v>1596794.0179281759</v>
      </c>
      <c r="AI94">
        <v>5137931.9735498251</v>
      </c>
      <c r="AK94">
        <v>8.1701786489100514E-10</v>
      </c>
      <c r="AL94">
        <v>7.1846896630549262E-3</v>
      </c>
      <c r="AM94">
        <v>2.6683743282850637E-12</v>
      </c>
      <c r="AN94">
        <v>3.3868665039668969E-9</v>
      </c>
      <c r="AP94" s="134">
        <v>2.6501196186890962E-14</v>
      </c>
      <c r="AQ94" s="134">
        <v>6.87915759414839E-17</v>
      </c>
      <c r="AR94" s="134">
        <v>3.2381919365395754E-7</v>
      </c>
      <c r="AS94" s="134">
        <v>1.6620402321590192E-8</v>
      </c>
      <c r="AT94" s="134">
        <v>8.5016507031674933E-18</v>
      </c>
      <c r="AU94" s="134">
        <v>1.730090288520397E-18</v>
      </c>
      <c r="AV94" s="134">
        <v>2.1210415782752755E-15</v>
      </c>
      <c r="AW94" s="134">
        <v>6.5918866217041255E-16</v>
      </c>
      <c r="AY94" s="134">
        <v>3.2381922228469702E-7</v>
      </c>
      <c r="AZ94" s="134">
        <v>1.6620403051300519E-8</v>
      </c>
      <c r="BB94">
        <v>5.0914014328770868E-4</v>
      </c>
      <c r="BC94">
        <v>1.2400220375214151E-3</v>
      </c>
      <c r="BD94">
        <v>1.6746385954094869E-3</v>
      </c>
      <c r="BE94">
        <v>2.3249432944646402E-5</v>
      </c>
      <c r="BF94">
        <v>3.4470502091632567E-3</v>
      </c>
      <c r="BG94">
        <v>2.7363899218518298E-3</v>
      </c>
      <c r="BH94">
        <v>4.526182269713045E-4</v>
      </c>
      <c r="BI94">
        <v>6.6230391754615011E-4</v>
      </c>
      <c r="BJ94">
        <v>1.0045398579150229E-5</v>
      </c>
      <c r="BK94">
        <v>3.8613574649484349E-3</v>
      </c>
      <c r="CD94">
        <v>5040</v>
      </c>
      <c r="CE94">
        <v>576</v>
      </c>
      <c r="CF94">
        <v>144</v>
      </c>
      <c r="CG94">
        <v>0</v>
      </c>
      <c r="CH94">
        <v>0</v>
      </c>
      <c r="CI94">
        <v>0</v>
      </c>
      <c r="CJ94">
        <v>0</v>
      </c>
      <c r="CK94">
        <v>0</v>
      </c>
      <c r="CL94">
        <v>0</v>
      </c>
      <c r="CM94">
        <v>0</v>
      </c>
    </row>
    <row r="95" spans="1:91" x14ac:dyDescent="0.25">
      <c r="A95">
        <v>92</v>
      </c>
      <c r="B95" s="127">
        <v>46</v>
      </c>
      <c r="C95" s="20">
        <v>1.398428981486493E-12</v>
      </c>
      <c r="D95" s="20">
        <v>3.5104620159207483E-5</v>
      </c>
      <c r="E95" s="20">
        <v>4.3214898826651413E-15</v>
      </c>
      <c r="F95" s="20">
        <v>6.2659861794784973E-11</v>
      </c>
      <c r="G95" s="19">
        <v>557.02144641337873</v>
      </c>
      <c r="H95" s="19">
        <v>125.60974769424821</v>
      </c>
      <c r="I95" s="19">
        <v>1.1023299744649477E-3</v>
      </c>
      <c r="J95" s="19">
        <v>-1.2467511654589146E-4</v>
      </c>
      <c r="K95">
        <v>1.2743436359883533</v>
      </c>
      <c r="L95" s="19">
        <v>690.56350777389423</v>
      </c>
      <c r="M95" s="19">
        <v>135.51224399159668</v>
      </c>
      <c r="N95" s="19">
        <v>1.2006056181746499E-3</v>
      </c>
      <c r="O95" s="19">
        <v>-2.7056233599503444E-4</v>
      </c>
      <c r="P95" s="19">
        <v>0.71006743605858835</v>
      </c>
      <c r="Q95" s="19">
        <v>368.0977681938337</v>
      </c>
      <c r="R95" s="19">
        <v>72.094166846730275</v>
      </c>
      <c r="S95" s="19">
        <v>6.1390277182678038E-4</v>
      </c>
      <c r="T95" s="19">
        <v>-2.0261075918591681E-4</v>
      </c>
      <c r="U95" s="19">
        <v>0.39026771681396483</v>
      </c>
      <c r="V95" s="19">
        <v>239.03623616451259</v>
      </c>
      <c r="W95" s="19">
        <v>48.248180575183291</v>
      </c>
      <c r="X95" s="19">
        <v>4.0666562869503934E-4</v>
      </c>
      <c r="Y95" s="19">
        <v>-1.5358589869506176E-4</v>
      </c>
      <c r="Z95">
        <v>0.273401503416006</v>
      </c>
      <c r="AB95">
        <v>29775.398901095694</v>
      </c>
      <c r="AC95">
        <v>12199426.816221401</v>
      </c>
      <c r="AD95">
        <v>21249.905767518583</v>
      </c>
      <c r="AE95">
        <v>429252.84242788429</v>
      </c>
      <c r="AF95">
        <v>300604.22322336619</v>
      </c>
      <c r="AG95">
        <v>1497359.4621867158</v>
      </c>
      <c r="AH95">
        <v>1529327.4317688358</v>
      </c>
      <c r="AI95">
        <v>4955303.7954684366</v>
      </c>
      <c r="AK95">
        <v>6.3950866897285475E-10</v>
      </c>
      <c r="AL95">
        <v>6.4214083689681468E-3</v>
      </c>
      <c r="AM95">
        <v>1.6939193579345894E-12</v>
      </c>
      <c r="AN95">
        <v>2.4561148062721681E-9</v>
      </c>
      <c r="AP95" s="134">
        <v>2.1477753198104819E-14</v>
      </c>
      <c r="AQ95" s="134">
        <v>5.2421206226058862E-17</v>
      </c>
      <c r="AR95" s="134">
        <v>3.0218526327695781E-7</v>
      </c>
      <c r="AS95" s="134">
        <v>1.4959501101141715E-8</v>
      </c>
      <c r="AT95" s="134">
        <v>5.6350484360158509E-18</v>
      </c>
      <c r="AU95" s="134">
        <v>1.131271014550388E-18</v>
      </c>
      <c r="AV95" s="134">
        <v>1.6060097760957577E-15</v>
      </c>
      <c r="AW95" s="134">
        <v>4.9565372934718042E-16</v>
      </c>
      <c r="AY95" s="134">
        <v>3.0218528636635581E-7</v>
      </c>
      <c r="AZ95" s="134">
        <v>1.4959501650347923E-8</v>
      </c>
      <c r="BB95">
        <v>5.091401433091864E-4</v>
      </c>
      <c r="BC95">
        <v>1.2403242227846921E-3</v>
      </c>
      <c r="BD95">
        <v>1.6746385954094925E-3</v>
      </c>
      <c r="BE95">
        <v>2.324943294625241E-5</v>
      </c>
      <c r="BF95">
        <v>3.4473523944496235E-3</v>
      </c>
      <c r="BG95">
        <v>2.7363899218518823E-3</v>
      </c>
      <c r="BH95">
        <v>4.5263318647240563E-4</v>
      </c>
      <c r="BI95">
        <v>6.6230391754615119E-4</v>
      </c>
      <c r="BJ95">
        <v>1.0045398579645883E-5</v>
      </c>
      <c r="BK95">
        <v>3.8613724244500854E-3</v>
      </c>
      <c r="CD95">
        <v>5040</v>
      </c>
      <c r="CE95">
        <v>576</v>
      </c>
      <c r="CF95">
        <v>144</v>
      </c>
      <c r="CG95">
        <v>0</v>
      </c>
      <c r="CH95">
        <v>0</v>
      </c>
      <c r="CI95">
        <v>0</v>
      </c>
      <c r="CJ95">
        <v>0</v>
      </c>
      <c r="CK95">
        <v>0</v>
      </c>
      <c r="CL95">
        <v>0</v>
      </c>
      <c r="CM95">
        <v>0</v>
      </c>
    </row>
    <row r="96" spans="1:91" x14ac:dyDescent="0.25">
      <c r="A96">
        <v>93</v>
      </c>
      <c r="B96" s="127">
        <v>46.5</v>
      </c>
      <c r="C96" s="20">
        <v>1.0964499471370086E-12</v>
      </c>
      <c r="D96" s="20">
        <v>3.1398561190929942E-5</v>
      </c>
      <c r="E96" s="20">
        <v>2.748762253085783E-15</v>
      </c>
      <c r="F96" s="20">
        <v>4.5696575735509725E-11</v>
      </c>
      <c r="G96" s="19">
        <v>557.82183138370999</v>
      </c>
      <c r="H96" s="19">
        <v>126.73704830512955</v>
      </c>
      <c r="I96" s="19">
        <v>1.1119536793907266E-3</v>
      </c>
      <c r="J96" s="19">
        <v>-1.2390215228682202E-4</v>
      </c>
      <c r="K96">
        <v>1.2858761301244019</v>
      </c>
      <c r="L96" s="19">
        <v>695.87156719968698</v>
      </c>
      <c r="M96" s="19">
        <v>136.98520316541837</v>
      </c>
      <c r="N96" s="19">
        <v>1.2136556792417656E-3</v>
      </c>
      <c r="O96" s="19">
        <v>-2.709910078461674E-4</v>
      </c>
      <c r="P96" s="19">
        <v>0.71664979511698812</v>
      </c>
      <c r="Q96" s="19">
        <v>372.22110513953686</v>
      </c>
      <c r="R96" s="19">
        <v>72.877799095064276</v>
      </c>
      <c r="S96" s="19">
        <v>6.2057562804228869E-4</v>
      </c>
      <c r="T96" s="19">
        <v>-2.039841463234544E-4</v>
      </c>
      <c r="U96" s="19">
        <v>0.39396786632496822</v>
      </c>
      <c r="V96" s="19">
        <v>241.82888455004834</v>
      </c>
      <c r="W96" s="19">
        <v>48.772617320565715</v>
      </c>
      <c r="X96" s="19">
        <v>4.110859072678115E-4</v>
      </c>
      <c r="Y96" s="19">
        <v>-1.5486006936133982E-4</v>
      </c>
      <c r="Z96">
        <v>0.27602045051188023</v>
      </c>
      <c r="AB96">
        <v>28770.408277720373</v>
      </c>
      <c r="AC96">
        <v>12531626.829076197</v>
      </c>
      <c r="AD96">
        <v>20361.570846748116</v>
      </c>
      <c r="AE96">
        <v>426327.16462366341</v>
      </c>
      <c r="AF96">
        <v>288037.70967070042</v>
      </c>
      <c r="AG96">
        <v>1454291.8620826553</v>
      </c>
      <c r="AH96">
        <v>1465395.1500074228</v>
      </c>
      <c r="AI96">
        <v>4781560.6239038296</v>
      </c>
      <c r="AK96">
        <v>5.0141212429936891E-10</v>
      </c>
      <c r="AL96">
        <v>5.7434885405564752E-3</v>
      </c>
      <c r="AM96">
        <v>1.0774482220910241E-12</v>
      </c>
      <c r="AN96">
        <v>1.7911950815899191E-9</v>
      </c>
      <c r="AP96" s="134">
        <v>1.7428050358522696E-14</v>
      </c>
      <c r="AQ96" s="134">
        <v>4.0011734401153714E-17</v>
      </c>
      <c r="AR96" s="134">
        <v>2.8207492357957001E-7</v>
      </c>
      <c r="AS96" s="134">
        <v>1.3472021060695228E-8</v>
      </c>
      <c r="AT96" s="134">
        <v>3.7406498729725998E-18</v>
      </c>
      <c r="AU96" s="134">
        <v>7.4087482037342715E-19</v>
      </c>
      <c r="AV96" s="134">
        <v>1.2223290636527942E-15</v>
      </c>
      <c r="AW96" s="134">
        <v>3.7460469969478839E-16</v>
      </c>
      <c r="AY96" s="134">
        <v>2.8207494223369005E-7</v>
      </c>
      <c r="AZ96" s="134">
        <v>1.3472021476052536E-8</v>
      </c>
      <c r="BB96">
        <v>5.0914014332661441E-4</v>
      </c>
      <c r="BC96">
        <v>1.2406062977082717E-3</v>
      </c>
      <c r="BD96">
        <v>1.6746385954094962E-3</v>
      </c>
      <c r="BE96">
        <v>2.324943294747474E-5</v>
      </c>
      <c r="BF96">
        <v>3.4476344693918572E-3</v>
      </c>
      <c r="BG96">
        <v>2.7363899218519222E-3</v>
      </c>
      <c r="BH96">
        <v>4.5264665849346631E-4</v>
      </c>
      <c r="BI96">
        <v>6.6230391754615195E-4</v>
      </c>
      <c r="BJ96">
        <v>1.0045398580020488E-5</v>
      </c>
      <c r="BK96">
        <v>3.8613858964715608E-3</v>
      </c>
      <c r="CD96">
        <v>5040</v>
      </c>
      <c r="CE96">
        <v>576</v>
      </c>
      <c r="CF96">
        <v>144</v>
      </c>
      <c r="CG96">
        <v>0</v>
      </c>
      <c r="CH96">
        <v>0</v>
      </c>
      <c r="CI96">
        <v>0</v>
      </c>
      <c r="CJ96">
        <v>0</v>
      </c>
      <c r="CK96">
        <v>0</v>
      </c>
      <c r="CL96">
        <v>0</v>
      </c>
      <c r="CM96">
        <v>0</v>
      </c>
    </row>
    <row r="97" spans="1:91" x14ac:dyDescent="0.25">
      <c r="A97">
        <v>94</v>
      </c>
      <c r="B97" s="127">
        <v>47</v>
      </c>
      <c r="C97" s="20">
        <v>8.6111163969626034E-13</v>
      </c>
      <c r="D97" s="20">
        <v>2.8104357952088862E-5</v>
      </c>
      <c r="E97" s="20">
        <v>1.7518373552265539E-15</v>
      </c>
      <c r="F97" s="20">
        <v>3.3497103815163748E-11</v>
      </c>
      <c r="G97" s="19">
        <v>558.60554418271045</v>
      </c>
      <c r="H97" s="19">
        <v>127.86007588906131</v>
      </c>
      <c r="I97" s="19">
        <v>1.1215354735350145E-3</v>
      </c>
      <c r="J97" s="19">
        <v>-1.2313241768251929E-4</v>
      </c>
      <c r="K97">
        <v>1.297383288097715</v>
      </c>
      <c r="L97" s="19">
        <v>701.12041039013366</v>
      </c>
      <c r="M97" s="19">
        <v>138.45816233924009</v>
      </c>
      <c r="N97" s="19">
        <v>1.2267057403088817E-3</v>
      </c>
      <c r="O97" s="19">
        <v>-2.7140877847502137E-4</v>
      </c>
      <c r="P97" s="19">
        <v>0.72321942086425495</v>
      </c>
      <c r="Q97" s="19">
        <v>376.32253065181203</v>
      </c>
      <c r="R97" s="19">
        <v>73.66143134339832</v>
      </c>
      <c r="S97" s="19">
        <v>6.2724848425779734E-4</v>
      </c>
      <c r="T97" s="19">
        <v>-2.0534774502081125E-4</v>
      </c>
      <c r="U97" s="19">
        <v>0.39766178437718624</v>
      </c>
      <c r="V97" s="19">
        <v>244.60709733601101</v>
      </c>
      <c r="W97" s="19">
        <v>49.297054065948139</v>
      </c>
      <c r="X97" s="19">
        <v>4.1550618584058365E-4</v>
      </c>
      <c r="Y97" s="19">
        <v>-1.5612697499656439E-4</v>
      </c>
      <c r="Z97">
        <v>0.27863549818054356</v>
      </c>
      <c r="AB97">
        <v>27811.669980989747</v>
      </c>
      <c r="AC97">
        <v>12873578.644467657</v>
      </c>
      <c r="AD97">
        <v>19519.284981502526</v>
      </c>
      <c r="AE97">
        <v>423499.48001811863</v>
      </c>
      <c r="AF97">
        <v>276122.61268042627</v>
      </c>
      <c r="AG97">
        <v>1413030.562753458</v>
      </c>
      <c r="AH97">
        <v>1404776.9574750043</v>
      </c>
      <c r="AI97">
        <v>4616186.6928171339</v>
      </c>
      <c r="AK97">
        <v>3.9379072218155889E-10</v>
      </c>
      <c r="AL97">
        <v>5.1409061980887179E-3</v>
      </c>
      <c r="AM97">
        <v>6.8667780986244031E-13</v>
      </c>
      <c r="AN97">
        <v>1.3130053321392254E-9</v>
      </c>
      <c r="AP97" s="134">
        <v>1.4159190097204831E-14</v>
      </c>
      <c r="AQ97" s="134">
        <v>3.0589064086759442E-17</v>
      </c>
      <c r="AR97" s="134">
        <v>2.6337574367916159E-7</v>
      </c>
      <c r="AS97" s="134">
        <v>1.2139108642751518E-8</v>
      </c>
      <c r="AT97" s="134">
        <v>2.4868582952935291E-18</v>
      </c>
      <c r="AU97" s="134">
        <v>4.8596104568634876E-19</v>
      </c>
      <c r="AV97" s="134">
        <v>9.3467174639543316E-16</v>
      </c>
      <c r="AW97" s="134">
        <v>2.8443505852618231E-16</v>
      </c>
      <c r="AY97" s="134">
        <v>2.6337575877551026E-7</v>
      </c>
      <c r="AZ97" s="134">
        <v>1.2139108958261602E-8</v>
      </c>
      <c r="BB97">
        <v>5.0914014334077354E-4</v>
      </c>
      <c r="BC97">
        <v>1.2408696734519508E-3</v>
      </c>
      <c r="BD97">
        <v>1.6746385954094986E-3</v>
      </c>
      <c r="BE97">
        <v>2.324943294840941E-5</v>
      </c>
      <c r="BF97">
        <v>3.4478978451506323E-3</v>
      </c>
      <c r="BG97">
        <v>2.7363899218519529E-3</v>
      </c>
      <c r="BH97">
        <v>4.5265879760210908E-4</v>
      </c>
      <c r="BI97">
        <v>6.6230391754615238E-4</v>
      </c>
      <c r="BJ97">
        <v>1.0045398580304923E-5</v>
      </c>
      <c r="BK97">
        <v>3.8613980355805193E-3</v>
      </c>
      <c r="CD97">
        <v>5040</v>
      </c>
      <c r="CE97">
        <v>576</v>
      </c>
      <c r="CF97">
        <v>144</v>
      </c>
      <c r="CG97">
        <v>0</v>
      </c>
      <c r="CH97">
        <v>0</v>
      </c>
      <c r="CI97">
        <v>0</v>
      </c>
      <c r="CJ97">
        <v>0</v>
      </c>
      <c r="CK97">
        <v>0</v>
      </c>
      <c r="CL97">
        <v>0</v>
      </c>
      <c r="CM97">
        <v>0</v>
      </c>
    </row>
    <row r="98" spans="1:91" x14ac:dyDescent="0.25">
      <c r="A98">
        <v>95</v>
      </c>
      <c r="B98" s="127">
        <v>47.5</v>
      </c>
      <c r="C98" s="20">
        <v>6.7739403441086221E-13</v>
      </c>
      <c r="D98" s="20">
        <v>2.5173952234765639E-5</v>
      </c>
      <c r="E98" s="20">
        <v>1.1186607644499714E-15</v>
      </c>
      <c r="F98" s="20">
        <v>2.4669417798260915E-11</v>
      </c>
      <c r="G98" s="19">
        <v>559.37306698974669</v>
      </c>
      <c r="H98" s="19">
        <v>128.978853087353</v>
      </c>
      <c r="I98" s="19">
        <v>1.1310755913044163E-3</v>
      </c>
      <c r="J98" s="19">
        <v>-1.2236597886982803E-4</v>
      </c>
      <c r="K98">
        <v>1.3088653702373501</v>
      </c>
      <c r="L98" s="19">
        <v>706.31106132209391</v>
      </c>
      <c r="M98" s="19">
        <v>139.93112151306181</v>
      </c>
      <c r="N98" s="19">
        <v>1.2397558013759976E-3</v>
      </c>
      <c r="O98" s="19">
        <v>-2.7181602017100454E-4</v>
      </c>
      <c r="P98" s="19">
        <v>0.72977645146600489</v>
      </c>
      <c r="Q98" s="19">
        <v>380.40170014095531</v>
      </c>
      <c r="R98" s="19">
        <v>74.445063591732364</v>
      </c>
      <c r="S98" s="19">
        <v>6.3392134047330598E-4</v>
      </c>
      <c r="T98" s="19">
        <v>-2.0670155845301663E-4</v>
      </c>
      <c r="U98" s="19">
        <v>0.40134953043235544</v>
      </c>
      <c r="V98" s="19">
        <v>247.37062199303833</v>
      </c>
      <c r="W98" s="19">
        <v>49.821490811330577</v>
      </c>
      <c r="X98" s="19">
        <v>4.1992646441335591E-4</v>
      </c>
      <c r="Y98" s="19">
        <v>-1.5738653253150059E-4</v>
      </c>
      <c r="Z98">
        <v>0.28124667951356902</v>
      </c>
      <c r="AB98">
        <v>26896.547407216913</v>
      </c>
      <c r="AC98">
        <v>13225555.211208072</v>
      </c>
      <c r="AD98">
        <v>18720.208679798572</v>
      </c>
      <c r="AE98">
        <v>420765.25904139964</v>
      </c>
      <c r="AF98">
        <v>264818.76439056301</v>
      </c>
      <c r="AG98">
        <v>1373482.3518830005</v>
      </c>
      <c r="AH98">
        <v>1347268.499713266</v>
      </c>
      <c r="AI98">
        <v>4458699.4365044348</v>
      </c>
      <c r="AK98">
        <v>3.0977572908690949E-10</v>
      </c>
      <c r="AL98">
        <v>4.6048704366319481E-3</v>
      </c>
      <c r="AM98">
        <v>4.3848792321945238E-13</v>
      </c>
      <c r="AN98">
        <v>9.6698142289017322E-10</v>
      </c>
      <c r="AP98" s="134">
        <v>1.1517304596640909E-14</v>
      </c>
      <c r="AQ98" s="134">
        <v>2.3422512260535443E-17</v>
      </c>
      <c r="AR98" s="134">
        <v>2.4598392653609545E-7</v>
      </c>
      <c r="AS98" s="134">
        <v>1.0944036699044274E-8</v>
      </c>
      <c r="AT98" s="134">
        <v>1.6558038257921809E-18</v>
      </c>
      <c r="AU98" s="134">
        <v>3.1925268105432837E-19</v>
      </c>
      <c r="AV98" s="134">
        <v>7.1773475227541659E-16</v>
      </c>
      <c r="AW98" s="134">
        <v>2.1687522037777785E-16</v>
      </c>
      <c r="AY98" s="134">
        <v>2.4598393877279059E-7</v>
      </c>
      <c r="AZ98" s="134">
        <v>1.0944036939661259E-8</v>
      </c>
      <c r="BB98">
        <v>5.0914014335229081E-4</v>
      </c>
      <c r="BC98">
        <v>1.2411156573784868E-3</v>
      </c>
      <c r="BD98">
        <v>1.6746385954095003E-3</v>
      </c>
      <c r="BE98">
        <v>2.3249432949127145E-5</v>
      </c>
      <c r="BF98">
        <v>3.4481438290894051E-3</v>
      </c>
      <c r="BG98">
        <v>2.7363899218519764E-3</v>
      </c>
      <c r="BH98">
        <v>4.5266974163880814E-4</v>
      </c>
      <c r="BI98">
        <v>6.6230391754615271E-4</v>
      </c>
      <c r="BJ98">
        <v>1.0045398580521799E-5</v>
      </c>
      <c r="BK98">
        <v>3.861408979617459E-3</v>
      </c>
      <c r="CD98">
        <v>5040</v>
      </c>
      <c r="CE98">
        <v>576</v>
      </c>
      <c r="CF98">
        <v>144</v>
      </c>
      <c r="CG98">
        <v>0</v>
      </c>
      <c r="CH98">
        <v>0</v>
      </c>
      <c r="CI98">
        <v>0</v>
      </c>
      <c r="CJ98">
        <v>0</v>
      </c>
      <c r="CK98">
        <v>0</v>
      </c>
      <c r="CL98">
        <v>0</v>
      </c>
      <c r="CM98">
        <v>0</v>
      </c>
    </row>
    <row r="99" spans="1:91" x14ac:dyDescent="0.25">
      <c r="A99">
        <v>96</v>
      </c>
      <c r="B99" s="127">
        <v>48</v>
      </c>
      <c r="C99" s="20">
        <v>5.3373268178504371E-13</v>
      </c>
      <c r="D99" s="20">
        <v>2.2565160100012398E-5</v>
      </c>
      <c r="E99" s="20">
        <v>7.157247254241042E-16</v>
      </c>
      <c r="F99" s="20">
        <v>1.8245373482414909E-11</v>
      </c>
      <c r="G99" s="19">
        <v>560.12486420161952</v>
      </c>
      <c r="H99" s="19">
        <v>130.09340238730178</v>
      </c>
      <c r="I99" s="19">
        <v>1.1405742654644196E-3</v>
      </c>
      <c r="J99" s="19">
        <v>-1.2160289627755524E-4</v>
      </c>
      <c r="K99">
        <v>1.320322630984553</v>
      </c>
      <c r="L99" s="19">
        <v>711.44452328147213</v>
      </c>
      <c r="M99" s="19">
        <v>141.40408068688347</v>
      </c>
      <c r="N99" s="19">
        <v>1.2528058624431131E-3</v>
      </c>
      <c r="O99" s="19">
        <v>-2.72213088983132E-4</v>
      </c>
      <c r="P99" s="19">
        <v>0.73632102222777629</v>
      </c>
      <c r="Q99" s="19">
        <v>384.45831029859727</v>
      </c>
      <c r="R99" s="19">
        <v>75.228695840066351</v>
      </c>
      <c r="S99" s="19">
        <v>6.4059419668881408E-4</v>
      </c>
      <c r="T99" s="19">
        <v>-2.0804559761345825E-4</v>
      </c>
      <c r="U99" s="19">
        <v>0.40503116294028169</v>
      </c>
      <c r="V99" s="19">
        <v>250.11923491397167</v>
      </c>
      <c r="W99" s="19">
        <v>50.345927556713001</v>
      </c>
      <c r="X99" s="19">
        <v>4.2434674298612806E-4</v>
      </c>
      <c r="Y99" s="19">
        <v>-1.586386704771427E-4</v>
      </c>
      <c r="Z99">
        <v>0.2838540270680262</v>
      </c>
      <c r="AB99">
        <v>26022.581636375653</v>
      </c>
      <c r="AC99">
        <v>13587837.941603141</v>
      </c>
      <c r="AD99">
        <v>17961.704863196406</v>
      </c>
      <c r="AE99">
        <v>418120.24055956764</v>
      </c>
      <c r="AF99">
        <v>254088.86031022735</v>
      </c>
      <c r="AG99">
        <v>1335559.4890670534</v>
      </c>
      <c r="AH99">
        <v>1292679.9896971798</v>
      </c>
      <c r="AI99">
        <v>4308647.2773358496</v>
      </c>
      <c r="AK99">
        <v>2.4407866358207501E-10</v>
      </c>
      <c r="AL99">
        <v>4.1276648844559656E-3</v>
      </c>
      <c r="AM99">
        <v>2.8054675592590125E-13</v>
      </c>
      <c r="AN99">
        <v>7.1517444616921418E-10</v>
      </c>
      <c r="AP99" s="134">
        <v>9.3794945863822283E-15</v>
      </c>
      <c r="AQ99" s="134">
        <v>1.796302433330889E-17</v>
      </c>
      <c r="AR99" s="134">
        <v>2.2980362476134238E-7</v>
      </c>
      <c r="AS99" s="134">
        <v>9.8719566384347669E-9</v>
      </c>
      <c r="AT99" s="134">
        <v>1.1041285146596762E-18</v>
      </c>
      <c r="AU99" s="134">
        <v>2.1005934832740053E-19</v>
      </c>
      <c r="AV99" s="134">
        <v>5.5324941352016229E-16</v>
      </c>
      <c r="AW99" s="134">
        <v>1.6598584199062713E-16</v>
      </c>
      <c r="AY99" s="134">
        <v>2.2980363469519052E-7</v>
      </c>
      <c r="AZ99" s="134">
        <v>9.8719568225936924E-9</v>
      </c>
      <c r="BB99">
        <v>5.0914014336167035E-4</v>
      </c>
      <c r="BC99">
        <v>1.2413454610032482E-3</v>
      </c>
      <c r="BD99">
        <v>1.6746385954095014E-3</v>
      </c>
      <c r="BE99">
        <v>2.3249432949680393E-5</v>
      </c>
      <c r="BF99">
        <v>3.4483736327241003E-3</v>
      </c>
      <c r="BG99">
        <v>2.7363899218519941E-3</v>
      </c>
      <c r="BH99">
        <v>4.5267961359544658E-4</v>
      </c>
      <c r="BI99">
        <v>6.6230391754615293E-4</v>
      </c>
      <c r="BJ99">
        <v>1.0045398580687786E-5</v>
      </c>
      <c r="BK99">
        <v>3.8614188515742817E-3</v>
      </c>
      <c r="CD99">
        <v>5040</v>
      </c>
      <c r="CE99">
        <v>576</v>
      </c>
      <c r="CF99">
        <v>144</v>
      </c>
      <c r="CG99">
        <v>0</v>
      </c>
      <c r="CH99">
        <v>0</v>
      </c>
      <c r="CI99">
        <v>0</v>
      </c>
      <c r="CJ99">
        <v>0</v>
      </c>
      <c r="CK99">
        <v>0</v>
      </c>
      <c r="CL99">
        <v>0</v>
      </c>
      <c r="CM99">
        <v>0</v>
      </c>
    </row>
    <row r="100" spans="1:91" x14ac:dyDescent="0.25">
      <c r="A100">
        <v>97</v>
      </c>
      <c r="B100" s="127">
        <v>48.5</v>
      </c>
      <c r="C100" s="20">
        <v>4.2120765574335262E-13</v>
      </c>
      <c r="D100" s="20">
        <v>2.024092139358866E-5</v>
      </c>
      <c r="E100" s="20">
        <v>4.5880853966301048E-16</v>
      </c>
      <c r="F100" s="20">
        <v>1.3546274579441301E-11</v>
      </c>
      <c r="G100" s="19">
        <v>560.86138322759621</v>
      </c>
      <c r="H100" s="19">
        <v>131.20374612347118</v>
      </c>
      <c r="I100" s="19">
        <v>1.1500317271532702E-3</v>
      </c>
      <c r="J100" s="19">
        <v>-1.2084322497467792E-4</v>
      </c>
      <c r="K100">
        <v>1.3317553190866205</v>
      </c>
      <c r="L100" s="19">
        <v>716.5217791388676</v>
      </c>
      <c r="M100" s="19">
        <v>142.8770398607052</v>
      </c>
      <c r="N100" s="19">
        <v>1.265855923510229E-3</v>
      </c>
      <c r="O100" s="19">
        <v>-2.7260032558337272E-4</v>
      </c>
      <c r="P100" s="19">
        <v>0.74285326567635401</v>
      </c>
      <c r="Q100" s="19">
        <v>388.49209600079672</v>
      </c>
      <c r="R100" s="19">
        <v>76.012328088400395</v>
      </c>
      <c r="S100" s="19">
        <v>6.4726705290432283E-4</v>
      </c>
      <c r="T100" s="19">
        <v>-2.0937988062444724E-4</v>
      </c>
      <c r="U100" s="19">
        <v>0.40870673936377944</v>
      </c>
      <c r="V100" s="19">
        <v>252.85273926078165</v>
      </c>
      <c r="W100" s="19">
        <v>50.870364302095417</v>
      </c>
      <c r="X100" s="19">
        <v>4.287670215589001E-4</v>
      </c>
      <c r="Y100" s="19">
        <v>-1.5988332803535557E-4</v>
      </c>
      <c r="Z100">
        <v>0.28645757288082213</v>
      </c>
      <c r="AB100">
        <v>25187.477685263031</v>
      </c>
      <c r="AC100">
        <v>13960716.960311232</v>
      </c>
      <c r="AD100">
        <v>17241.322529585021</v>
      </c>
      <c r="AE100">
        <v>415560.41256406193</v>
      </c>
      <c r="AF100">
        <v>243898.22821104416</v>
      </c>
      <c r="AG100">
        <v>1299179.3628294261</v>
      </c>
      <c r="AH100">
        <v>1240835.0320674148</v>
      </c>
      <c r="AI100">
        <v>4165607.5494843414</v>
      </c>
      <c r="AK100">
        <v>1.926203982123418E-10</v>
      </c>
      <c r="AL100">
        <v>3.7025104229286422E-3</v>
      </c>
      <c r="AM100">
        <v>1.7984183418741904E-13</v>
      </c>
      <c r="AN100">
        <v>5.3098115143246529E-10</v>
      </c>
      <c r="AP100" s="134">
        <v>7.6474667538878767E-15</v>
      </c>
      <c r="AQ100" s="134">
        <v>1.3797314189517644E-17</v>
      </c>
      <c r="AR100" s="134">
        <v>2.1474631175046857E-7</v>
      </c>
      <c r="AS100" s="134">
        <v>8.9096803039627137E-9</v>
      </c>
      <c r="AT100" s="134">
        <v>7.3736425027164457E-19</v>
      </c>
      <c r="AU100" s="134">
        <v>1.3842725595313442E-19</v>
      </c>
      <c r="AV100" s="134">
        <v>4.2792243747968019E-16</v>
      </c>
      <c r="AW100" s="134">
        <v>1.274678771643275E-16</v>
      </c>
      <c r="AY100" s="134">
        <v>2.1474631982659513E-7</v>
      </c>
      <c r="AZ100" s="134">
        <v>8.9096804453663327E-9</v>
      </c>
      <c r="BB100">
        <v>5.0914014336931777E-4</v>
      </c>
      <c r="BC100">
        <v>1.2415602073149986E-3</v>
      </c>
      <c r="BD100">
        <v>1.6746385954095021E-3</v>
      </c>
      <c r="BE100">
        <v>2.3249432950108314E-5</v>
      </c>
      <c r="BF100">
        <v>3.4485883790439267E-3</v>
      </c>
      <c r="BG100">
        <v>2.736389921852008E-3</v>
      </c>
      <c r="BH100">
        <v>4.5268852327575056E-4</v>
      </c>
      <c r="BI100">
        <v>6.6230391754615303E-4</v>
      </c>
      <c r="BJ100">
        <v>1.0045398580815254E-5</v>
      </c>
      <c r="BK100">
        <v>3.861427761254727E-3</v>
      </c>
      <c r="CD100">
        <v>5040</v>
      </c>
      <c r="CE100">
        <v>576</v>
      </c>
      <c r="CF100">
        <v>144</v>
      </c>
      <c r="CG100">
        <v>0</v>
      </c>
      <c r="CH100">
        <v>0</v>
      </c>
      <c r="CI100">
        <v>0</v>
      </c>
      <c r="CJ100">
        <v>0</v>
      </c>
      <c r="CK100">
        <v>0</v>
      </c>
      <c r="CL100">
        <v>0</v>
      </c>
      <c r="CM100">
        <v>0</v>
      </c>
    </row>
    <row r="101" spans="1:91" x14ac:dyDescent="0.25">
      <c r="A101">
        <v>98</v>
      </c>
      <c r="B101" s="127">
        <v>49</v>
      </c>
      <c r="C101" s="20">
        <v>3.3292660100570509E-13</v>
      </c>
      <c r="D101" s="20">
        <v>1.8168649267891271E-5</v>
      </c>
      <c r="E101" s="20">
        <v>2.9467927636290825E-16</v>
      </c>
      <c r="F101" s="20">
        <v>1.0092726959071102E-11</v>
      </c>
      <c r="G101" s="19">
        <v>561.58305524277307</v>
      </c>
      <c r="H101" s="19">
        <v>132.30990647895734</v>
      </c>
      <c r="I101" s="19">
        <v>1.1594482058957078E-3</v>
      </c>
      <c r="J101" s="19">
        <v>-1.2008701499692353E-4</v>
      </c>
      <c r="K101">
        <v>1.3431636777827229</v>
      </c>
      <c r="L101" s="19">
        <v>721.543791644576</v>
      </c>
      <c r="M101" s="19">
        <v>144.34999903452692</v>
      </c>
      <c r="N101" s="19">
        <v>1.2789059845773449E-3</v>
      </c>
      <c r="O101" s="19">
        <v>-2.7297805607593768E-4</v>
      </c>
      <c r="P101" s="19">
        <v>0.74937331163818155</v>
      </c>
      <c r="Q101" s="19">
        <v>392.50282744512799</v>
      </c>
      <c r="R101" s="19">
        <v>76.79596033673441</v>
      </c>
      <c r="S101" s="19">
        <v>6.5393990911983115E-4</v>
      </c>
      <c r="T101" s="19">
        <v>-2.1070443210313402E-4</v>
      </c>
      <c r="U101" s="19">
        <v>0.41237631620275228</v>
      </c>
      <c r="V101" s="19">
        <v>255.57096297364666</v>
      </c>
      <c r="W101" s="19">
        <v>51.394801047477834</v>
      </c>
      <c r="X101" s="19">
        <v>4.3318730013167214E-4</v>
      </c>
      <c r="Y101" s="19">
        <v>-1.6112045427737912E-4</v>
      </c>
      <c r="Z101">
        <v>0.28905734848244818</v>
      </c>
      <c r="AB101">
        <v>24389.091956912729</v>
      </c>
      <c r="AC101">
        <v>14344491.362875724</v>
      </c>
      <c r="AD101">
        <v>16556.781885485078</v>
      </c>
      <c r="AE101">
        <v>413081.9944866423</v>
      </c>
      <c r="AF101">
        <v>234214.61780656807</v>
      </c>
      <c r="AG101">
        <v>1264264.1687317591</v>
      </c>
      <c r="AH101">
        <v>1191569.553121954</v>
      </c>
      <c r="AI101">
        <v>4029184.5537732514</v>
      </c>
      <c r="AK101">
        <v>1.5224902393577258E-10</v>
      </c>
      <c r="AL101">
        <v>3.3234461997471128E-3</v>
      </c>
      <c r="AM101">
        <v>1.1550713854857948E-13</v>
      </c>
      <c r="AN101">
        <v>3.9561044997229672E-10</v>
      </c>
      <c r="AP101" s="134">
        <v>6.2425048134118754E-15</v>
      </c>
      <c r="AQ101" s="134">
        <v>1.0613762460047961E-17</v>
      </c>
      <c r="AR101" s="134">
        <v>2.007302036551376E-7</v>
      </c>
      <c r="AS101" s="134">
        <v>8.0454879275900802E-9</v>
      </c>
      <c r="AT101" s="134">
        <v>4.9316793132004215E-19</v>
      </c>
      <c r="AU101" s="134">
        <v>9.1363135494419611E-20</v>
      </c>
      <c r="AV101" s="134">
        <v>3.3200785378896557E-16</v>
      </c>
      <c r="AW101" s="134">
        <v>9.8186232150079939E-17</v>
      </c>
      <c r="AY101" s="134">
        <v>2.0073021023014342E-7</v>
      </c>
      <c r="AZ101" s="134">
        <v>8.0454880364814397E-9</v>
      </c>
      <c r="BB101">
        <v>5.0914014337556028E-4</v>
      </c>
      <c r="BC101">
        <v>1.2417609375186536E-3</v>
      </c>
      <c r="BD101">
        <v>1.6746385954095025E-3</v>
      </c>
      <c r="BE101">
        <v>2.3249432950440321E-5</v>
      </c>
      <c r="BF101">
        <v>3.4487891092541564E-3</v>
      </c>
      <c r="BG101">
        <v>2.7363899218520184E-3</v>
      </c>
      <c r="BH101">
        <v>4.5269656876367813E-4</v>
      </c>
      <c r="BI101">
        <v>6.6230391754615314E-4</v>
      </c>
      <c r="BJ101">
        <v>1.004539858091344E-5</v>
      </c>
      <c r="BK101">
        <v>3.8614358067427627E-3</v>
      </c>
      <c r="CD101">
        <v>5040</v>
      </c>
      <c r="CE101">
        <v>576</v>
      </c>
      <c r="CF101">
        <v>144</v>
      </c>
      <c r="CG101">
        <v>0</v>
      </c>
      <c r="CH101">
        <v>0</v>
      </c>
      <c r="CI101">
        <v>0</v>
      </c>
      <c r="CJ101">
        <v>0</v>
      </c>
      <c r="CK101">
        <v>0</v>
      </c>
      <c r="CL101">
        <v>0</v>
      </c>
      <c r="CM101">
        <v>0</v>
      </c>
    </row>
    <row r="102" spans="1:91" x14ac:dyDescent="0.25">
      <c r="A102">
        <v>99</v>
      </c>
      <c r="B102" s="127">
        <v>49.5</v>
      </c>
      <c r="C102" s="20">
        <v>2.6355454031103348E-13</v>
      </c>
      <c r="D102" s="20">
        <v>1.6319665837437104E-5</v>
      </c>
      <c r="E102" s="20">
        <v>1.896247479902647E-16</v>
      </c>
      <c r="F102" s="20">
        <v>7.543690290487523E-12</v>
      </c>
      <c r="G102" s="19">
        <v>562.29029590227094</v>
      </c>
      <c r="H102" s="19">
        <v>133.41190548664201</v>
      </c>
      <c r="I102" s="19">
        <v>1.1688239296165537E-3</v>
      </c>
      <c r="J102" s="19">
        <v>-1.1933431165317367E-4</v>
      </c>
      <c r="K102">
        <v>1.3545479449820677</v>
      </c>
      <c r="L102" s="19">
        <v>726.5115037395625</v>
      </c>
      <c r="M102" s="19">
        <v>145.82295820834861</v>
      </c>
      <c r="N102" s="19">
        <v>1.2919560456444606E-3</v>
      </c>
      <c r="O102" s="19">
        <v>-2.7334659275639881E-4</v>
      </c>
      <c r="P102" s="19">
        <v>0.75588128731499071</v>
      </c>
      <c r="Q102" s="19">
        <v>396.49100758107619</v>
      </c>
      <c r="R102" s="19">
        <v>77.57959258506844</v>
      </c>
      <c r="S102" s="19">
        <v>6.6061276533533968E-4</v>
      </c>
      <c r="T102" s="19">
        <v>-2.1200732729772525E-4</v>
      </c>
      <c r="U102" s="19">
        <v>0.41603994901745328</v>
      </c>
      <c r="V102" s="19">
        <v>258.2737569290415</v>
      </c>
      <c r="W102" s="19">
        <v>51.919237792860272</v>
      </c>
      <c r="X102" s="19">
        <v>4.3760757870444446E-4</v>
      </c>
      <c r="Y102" s="19">
        <v>-1.6235000738465597E-4</v>
      </c>
      <c r="Z102">
        <v>0.29165338491017079</v>
      </c>
      <c r="AB102">
        <v>23625.420770941339</v>
      </c>
      <c r="AC102">
        <v>14739469.484184166</v>
      </c>
      <c r="AD102">
        <v>15905.960802383734</v>
      </c>
      <c r="AE102">
        <v>410681.42098376167</v>
      </c>
      <c r="AF102">
        <v>225008.00916164336</v>
      </c>
      <c r="AG102">
        <v>1231040.4546382036</v>
      </c>
      <c r="AH102">
        <v>1144730.8260965466</v>
      </c>
      <c r="AI102">
        <v>3899007.7381122359</v>
      </c>
      <c r="AK102">
        <v>1.205248285807852E-10</v>
      </c>
      <c r="AL102">
        <v>2.9852263978932632E-3</v>
      </c>
      <c r="AM102">
        <v>7.4328308080194336E-14</v>
      </c>
      <c r="AN102">
        <v>2.9569438689601535E-10</v>
      </c>
      <c r="AP102" s="134">
        <v>5.1014891861324076E-15</v>
      </c>
      <c r="AQ102" s="134">
        <v>8.1770126604700034E-18</v>
      </c>
      <c r="AR102" s="134">
        <v>1.8767972805804253E-7</v>
      </c>
      <c r="AS102" s="134">
        <v>7.2689589676161633E-9</v>
      </c>
      <c r="AT102" s="134">
        <v>3.3033627717135025E-19</v>
      </c>
      <c r="AU102" s="134">
        <v>6.0378444753904564E-20</v>
      </c>
      <c r="AV102" s="134">
        <v>2.5830909778529585E-16</v>
      </c>
      <c r="AW102" s="134">
        <v>7.5838368825392559E-17</v>
      </c>
      <c r="AY102" s="134">
        <v>1.8767973341817115E-7</v>
      </c>
      <c r="AZ102" s="134">
        <v>7.2689590516919233E-9</v>
      </c>
      <c r="BB102">
        <v>5.0914014338066178E-4</v>
      </c>
      <c r="BC102">
        <v>1.2419486172467117E-3</v>
      </c>
      <c r="BD102">
        <v>1.6746385954095029E-3</v>
      </c>
      <c r="BE102">
        <v>2.3249432950698629E-5</v>
      </c>
      <c r="BF102">
        <v>3.4489767889875752E-3</v>
      </c>
      <c r="BG102">
        <v>2.7363899218520267E-3</v>
      </c>
      <c r="BH102">
        <v>4.5270383772264575E-4</v>
      </c>
      <c r="BI102">
        <v>6.6230391754615325E-4</v>
      </c>
      <c r="BJ102">
        <v>1.0045398580989279E-5</v>
      </c>
      <c r="BK102">
        <v>3.8614430757018146E-3</v>
      </c>
      <c r="CD102">
        <v>5040</v>
      </c>
      <c r="CE102">
        <v>576</v>
      </c>
      <c r="CF102">
        <v>144</v>
      </c>
      <c r="CG102">
        <v>0</v>
      </c>
      <c r="CH102">
        <v>0</v>
      </c>
      <c r="CI102">
        <v>0</v>
      </c>
      <c r="CJ102">
        <v>0</v>
      </c>
      <c r="CK102">
        <v>0</v>
      </c>
      <c r="CL102">
        <v>0</v>
      </c>
      <c r="CM102">
        <v>0</v>
      </c>
    </row>
    <row r="103" spans="1:91" x14ac:dyDescent="0.25">
      <c r="A103">
        <v>100</v>
      </c>
      <c r="B103" s="127">
        <v>50</v>
      </c>
      <c r="C103" s="20">
        <v>2.0895486271267467E-13</v>
      </c>
      <c r="D103" s="20">
        <v>1.4668712094823936E-5</v>
      </c>
      <c r="E103" s="20">
        <v>1.2225380267803984E-16</v>
      </c>
      <c r="F103" s="20">
        <v>5.6549268638067578E-12</v>
      </c>
      <c r="G103" s="19">
        <v>562.98350601859067</v>
      </c>
      <c r="H103" s="19">
        <v>134.50976503043447</v>
      </c>
      <c r="I103" s="19">
        <v>1.1781591246541768E-3</v>
      </c>
      <c r="J103" s="19">
        <v>-1.1858515581302748E-4</v>
      </c>
      <c r="K103">
        <v>1.3659083534347993</v>
      </c>
      <c r="L103" s="19">
        <v>731.42583887943567</v>
      </c>
      <c r="M103" s="19">
        <v>147.2959173821703</v>
      </c>
      <c r="N103" s="19">
        <v>1.3050061067115763E-3</v>
      </c>
      <c r="O103" s="19">
        <v>-2.7370623482421121E-4</v>
      </c>
      <c r="P103" s="19">
        <v>0.76237731735677039</v>
      </c>
      <c r="Q103" s="19">
        <v>400.4574229455053</v>
      </c>
      <c r="R103" s="19">
        <v>78.363224833402469</v>
      </c>
      <c r="S103" s="19">
        <v>6.6728562155084822E-4</v>
      </c>
      <c r="T103" s="19">
        <v>-2.1327116770568336E-4</v>
      </c>
      <c r="U103" s="19">
        <v>0.41969769245096344</v>
      </c>
      <c r="V103" s="19">
        <v>260.96099323484378</v>
      </c>
      <c r="W103" s="19">
        <v>52.443674538242703</v>
      </c>
      <c r="X103" s="19">
        <v>4.4202785727721666E-4</v>
      </c>
      <c r="Y103" s="19">
        <v>-1.6357195394692617E-4</v>
      </c>
      <c r="Z103">
        <v>0.29424571272069627</v>
      </c>
      <c r="AB103">
        <v>22894.589871677079</v>
      </c>
      <c r="AC103">
        <v>15145969.177130774</v>
      </c>
      <c r="AD103">
        <v>15286.882467311279</v>
      </c>
      <c r="AE103">
        <v>408355.32705110317</v>
      </c>
      <c r="AF103">
        <v>216250.43799568879</v>
      </c>
      <c r="AG103">
        <v>1199834.1362859362</v>
      </c>
      <c r="AH103">
        <v>1100176.5823931568</v>
      </c>
      <c r="AI103">
        <v>3774729.9975746013</v>
      </c>
      <c r="AK103">
        <v>9.5556118971980012E-11</v>
      </c>
      <c r="AL103">
        <v>2.6832305884665984E-3</v>
      </c>
      <c r="AM103">
        <v>4.7920529391528333E-14</v>
      </c>
      <c r="AN103">
        <v>2.2165943557408188E-10</v>
      </c>
      <c r="AP103" s="134">
        <v>4.1737423342181199E-15</v>
      </c>
      <c r="AQ103" s="134">
        <v>6.3090131674282198E-18</v>
      </c>
      <c r="AR103" s="134">
        <v>1.7552503554627878E-7</v>
      </c>
      <c r="AS103" s="134">
        <v>6.5708230325860511E-9</v>
      </c>
      <c r="AT103" s="134">
        <v>2.2159737494951889E-19</v>
      </c>
      <c r="AU103" s="134">
        <v>3.9939294892763613E-20</v>
      </c>
      <c r="AV103" s="134">
        <v>2.0147623492577678E-16</v>
      </c>
      <c r="AW103" s="134">
        <v>5.8721931294822675E-17</v>
      </c>
      <c r="AY103" s="134">
        <v>1.7552503992171895E-7</v>
      </c>
      <c r="AZ103" s="134">
        <v>6.5708230976569352E-9</v>
      </c>
      <c r="BB103">
        <v>5.0914014338483552E-4</v>
      </c>
      <c r="BC103">
        <v>1.2421241422822581E-3</v>
      </c>
      <c r="BD103">
        <v>1.6746385954095032E-3</v>
      </c>
      <c r="BE103">
        <v>2.3249432950900104E-5</v>
      </c>
      <c r="BF103">
        <v>3.4491523140274972E-3</v>
      </c>
      <c r="BG103">
        <v>2.7363899218520332E-3</v>
      </c>
      <c r="BH103">
        <v>4.5271040854567835E-4</v>
      </c>
      <c r="BI103">
        <v>6.6230391754615325E-4</v>
      </c>
      <c r="BJ103">
        <v>1.0045398581048E-5</v>
      </c>
      <c r="BK103">
        <v>3.8614496465249129E-3</v>
      </c>
      <c r="CD103">
        <v>5040</v>
      </c>
      <c r="CE103">
        <v>576</v>
      </c>
      <c r="CF103">
        <v>144</v>
      </c>
      <c r="CG103">
        <v>0</v>
      </c>
      <c r="CH103">
        <v>0</v>
      </c>
      <c r="CI103">
        <v>0</v>
      </c>
      <c r="CJ103">
        <v>0</v>
      </c>
      <c r="CK103">
        <v>0</v>
      </c>
      <c r="CL103">
        <v>0</v>
      </c>
      <c r="CM103">
        <v>0</v>
      </c>
    </row>
    <row r="104" spans="1:91" x14ac:dyDescent="0.25">
      <c r="B104" s="127"/>
      <c r="C104" s="127"/>
      <c r="D104" s="127"/>
      <c r="E104" s="127"/>
      <c r="F104" s="127"/>
      <c r="CD104">
        <v>5040</v>
      </c>
      <c r="CE104">
        <v>576</v>
      </c>
      <c r="CF104">
        <v>144</v>
      </c>
      <c r="CG104">
        <v>0</v>
      </c>
      <c r="CH104">
        <v>0</v>
      </c>
      <c r="CI104">
        <v>0</v>
      </c>
      <c r="CJ104">
        <v>0</v>
      </c>
      <c r="CK104">
        <v>0</v>
      </c>
      <c r="CL104">
        <v>0</v>
      </c>
      <c r="CM104">
        <v>0</v>
      </c>
    </row>
    <row r="105" spans="1:91" x14ac:dyDescent="0.25">
      <c r="B105" s="127"/>
      <c r="C105" s="127"/>
      <c r="D105" s="127"/>
      <c r="E105" s="127"/>
      <c r="F105" s="127"/>
      <c r="CD105">
        <v>5040</v>
      </c>
      <c r="CE105">
        <v>576</v>
      </c>
      <c r="CF105">
        <v>144</v>
      </c>
      <c r="CG105">
        <v>0</v>
      </c>
      <c r="CH105">
        <v>0</v>
      </c>
      <c r="CI105">
        <v>0</v>
      </c>
      <c r="CJ105">
        <v>0</v>
      </c>
      <c r="CK105">
        <v>0</v>
      </c>
      <c r="CL105">
        <v>0</v>
      </c>
      <c r="CM105">
        <v>0</v>
      </c>
    </row>
    <row r="106" spans="1:91" x14ac:dyDescent="0.25">
      <c r="B106" s="127"/>
      <c r="C106" s="127"/>
      <c r="D106" s="127"/>
      <c r="E106" s="127"/>
      <c r="F106" s="127"/>
      <c r="CD106">
        <v>5040</v>
      </c>
      <c r="CE106">
        <v>576</v>
      </c>
      <c r="CF106">
        <v>144</v>
      </c>
      <c r="CG106">
        <v>0</v>
      </c>
      <c r="CH106">
        <v>0</v>
      </c>
      <c r="CI106">
        <v>0</v>
      </c>
      <c r="CJ106">
        <v>0</v>
      </c>
      <c r="CK106">
        <v>0</v>
      </c>
      <c r="CL106">
        <v>0</v>
      </c>
      <c r="CM106">
        <v>0</v>
      </c>
    </row>
    <row r="107" spans="1:91" x14ac:dyDescent="0.25">
      <c r="B107" s="127"/>
      <c r="C107" s="127"/>
      <c r="D107" s="127"/>
      <c r="E107" s="127"/>
      <c r="F107" s="127"/>
      <c r="CD107">
        <v>5040</v>
      </c>
      <c r="CE107">
        <v>576</v>
      </c>
      <c r="CF107">
        <v>144</v>
      </c>
      <c r="CG107">
        <v>0</v>
      </c>
      <c r="CH107">
        <v>0</v>
      </c>
      <c r="CI107">
        <v>0</v>
      </c>
      <c r="CJ107">
        <v>0</v>
      </c>
      <c r="CK107">
        <v>0</v>
      </c>
      <c r="CL107">
        <v>0</v>
      </c>
      <c r="CM107">
        <v>0</v>
      </c>
    </row>
    <row r="108" spans="1:91" x14ac:dyDescent="0.25">
      <c r="B108" s="127"/>
      <c r="C108" s="127"/>
      <c r="D108" s="127"/>
      <c r="E108" s="127"/>
      <c r="F108" s="127"/>
      <c r="CD108">
        <v>5040</v>
      </c>
      <c r="CE108">
        <v>576</v>
      </c>
      <c r="CF108">
        <v>144</v>
      </c>
      <c r="CG108">
        <v>0</v>
      </c>
      <c r="CH108">
        <v>0</v>
      </c>
      <c r="CI108">
        <v>0</v>
      </c>
      <c r="CJ108">
        <v>0</v>
      </c>
      <c r="CK108">
        <v>0</v>
      </c>
      <c r="CL108">
        <v>0</v>
      </c>
      <c r="CM108">
        <v>0</v>
      </c>
    </row>
    <row r="109" spans="1:91" x14ac:dyDescent="0.25">
      <c r="CD109">
        <v>5040</v>
      </c>
      <c r="CE109">
        <v>576</v>
      </c>
      <c r="CF109">
        <v>144</v>
      </c>
      <c r="CG109">
        <v>0</v>
      </c>
      <c r="CH109">
        <v>0</v>
      </c>
      <c r="CI109">
        <v>0</v>
      </c>
      <c r="CJ109">
        <v>0</v>
      </c>
      <c r="CK109">
        <v>0</v>
      </c>
      <c r="CL109">
        <v>0</v>
      </c>
      <c r="CM109">
        <v>0</v>
      </c>
    </row>
    <row r="110" spans="1:91" x14ac:dyDescent="0.25">
      <c r="CD110">
        <v>5040</v>
      </c>
      <c r="CE110">
        <v>576</v>
      </c>
      <c r="CF110">
        <v>144</v>
      </c>
      <c r="CG110">
        <v>0</v>
      </c>
      <c r="CH110">
        <v>0</v>
      </c>
      <c r="CI110">
        <v>0</v>
      </c>
      <c r="CJ110">
        <v>0</v>
      </c>
      <c r="CK110">
        <v>0</v>
      </c>
      <c r="CL110">
        <v>0</v>
      </c>
      <c r="CM110">
        <v>0</v>
      </c>
    </row>
    <row r="111" spans="1:91" x14ac:dyDescent="0.25">
      <c r="CD111">
        <v>5040</v>
      </c>
      <c r="CE111">
        <v>576</v>
      </c>
      <c r="CF111">
        <v>144</v>
      </c>
      <c r="CG111">
        <v>0</v>
      </c>
      <c r="CH111">
        <v>0</v>
      </c>
      <c r="CI111">
        <v>0</v>
      </c>
      <c r="CJ111">
        <v>0</v>
      </c>
      <c r="CK111">
        <v>0</v>
      </c>
      <c r="CL111">
        <v>0</v>
      </c>
      <c r="CM111">
        <v>0</v>
      </c>
    </row>
    <row r="112" spans="1:91" x14ac:dyDescent="0.25">
      <c r="CD112">
        <v>5040</v>
      </c>
      <c r="CE112">
        <v>576</v>
      </c>
      <c r="CF112">
        <v>144</v>
      </c>
      <c r="CG112">
        <v>0</v>
      </c>
      <c r="CH112">
        <v>0</v>
      </c>
      <c r="CI112">
        <v>0</v>
      </c>
      <c r="CJ112">
        <v>0</v>
      </c>
      <c r="CK112">
        <v>0</v>
      </c>
      <c r="CL112">
        <v>0</v>
      </c>
      <c r="CM112">
        <v>0</v>
      </c>
    </row>
    <row r="113" spans="82:91" x14ac:dyDescent="0.25">
      <c r="CD113">
        <v>5040</v>
      </c>
      <c r="CE113">
        <v>576</v>
      </c>
      <c r="CF113">
        <v>144</v>
      </c>
      <c r="CG113">
        <v>0</v>
      </c>
      <c r="CH113">
        <v>0</v>
      </c>
      <c r="CI113">
        <v>0</v>
      </c>
      <c r="CJ113">
        <v>0</v>
      </c>
      <c r="CK113">
        <v>0</v>
      </c>
      <c r="CL113">
        <v>0</v>
      </c>
      <c r="CM113">
        <v>0</v>
      </c>
    </row>
    <row r="114" spans="82:91" x14ac:dyDescent="0.25">
      <c r="CD114">
        <v>5040</v>
      </c>
      <c r="CE114">
        <v>576</v>
      </c>
      <c r="CF114">
        <v>144</v>
      </c>
      <c r="CG114">
        <v>0</v>
      </c>
      <c r="CH114">
        <v>0</v>
      </c>
      <c r="CI114">
        <v>0</v>
      </c>
      <c r="CJ114">
        <v>0</v>
      </c>
      <c r="CK114">
        <v>0</v>
      </c>
      <c r="CL114">
        <v>0</v>
      </c>
      <c r="CM114">
        <v>0</v>
      </c>
    </row>
    <row r="115" spans="82:91" x14ac:dyDescent="0.25">
      <c r="CD115">
        <v>5040</v>
      </c>
      <c r="CE115">
        <v>576</v>
      </c>
      <c r="CF115">
        <v>144</v>
      </c>
      <c r="CG115">
        <v>0</v>
      </c>
      <c r="CH115">
        <v>0</v>
      </c>
      <c r="CI115">
        <v>0</v>
      </c>
      <c r="CJ115">
        <v>0</v>
      </c>
      <c r="CK115">
        <v>0</v>
      </c>
      <c r="CL115">
        <v>0</v>
      </c>
      <c r="CM115">
        <v>0</v>
      </c>
    </row>
    <row r="116" spans="82:91" x14ac:dyDescent="0.25">
      <c r="CD116">
        <v>5040</v>
      </c>
      <c r="CE116">
        <v>576</v>
      </c>
      <c r="CF116">
        <v>144</v>
      </c>
      <c r="CG116">
        <v>0</v>
      </c>
      <c r="CH116">
        <v>0</v>
      </c>
      <c r="CI116">
        <v>0</v>
      </c>
      <c r="CJ116">
        <v>0</v>
      </c>
      <c r="CK116">
        <v>0</v>
      </c>
      <c r="CL116">
        <v>0</v>
      </c>
      <c r="CM116">
        <v>0</v>
      </c>
    </row>
    <row r="117" spans="82:91" x14ac:dyDescent="0.25">
      <c r="CD117">
        <v>5040</v>
      </c>
      <c r="CE117">
        <v>576</v>
      </c>
      <c r="CF117">
        <v>144</v>
      </c>
      <c r="CG117">
        <v>0</v>
      </c>
      <c r="CH117">
        <v>0</v>
      </c>
      <c r="CI117">
        <v>0</v>
      </c>
      <c r="CJ117">
        <v>0</v>
      </c>
      <c r="CK117">
        <v>0</v>
      </c>
      <c r="CL117">
        <v>0</v>
      </c>
      <c r="CM117">
        <v>0</v>
      </c>
    </row>
    <row r="118" spans="82:91" x14ac:dyDescent="0.25">
      <c r="CD118">
        <v>5040</v>
      </c>
      <c r="CE118">
        <v>576</v>
      </c>
      <c r="CF118">
        <v>144</v>
      </c>
      <c r="CG118">
        <v>0</v>
      </c>
      <c r="CH118">
        <v>0</v>
      </c>
      <c r="CI118">
        <v>0</v>
      </c>
      <c r="CJ118">
        <v>0</v>
      </c>
      <c r="CK118">
        <v>0</v>
      </c>
      <c r="CL118">
        <v>0</v>
      </c>
      <c r="CM118">
        <v>0</v>
      </c>
    </row>
    <row r="119" spans="82:91" x14ac:dyDescent="0.25">
      <c r="CD119">
        <v>5040</v>
      </c>
      <c r="CE119">
        <v>576</v>
      </c>
      <c r="CF119">
        <v>144</v>
      </c>
      <c r="CG119">
        <v>0</v>
      </c>
      <c r="CH119">
        <v>0</v>
      </c>
      <c r="CI119">
        <v>0</v>
      </c>
      <c r="CJ119">
        <v>0</v>
      </c>
      <c r="CK119">
        <v>0</v>
      </c>
      <c r="CL119">
        <v>0</v>
      </c>
      <c r="CM119">
        <v>0</v>
      </c>
    </row>
    <row r="120" spans="82:91" x14ac:dyDescent="0.25">
      <c r="CD120">
        <v>5040</v>
      </c>
      <c r="CE120">
        <v>576</v>
      </c>
      <c r="CF120">
        <v>144</v>
      </c>
      <c r="CG120">
        <v>0</v>
      </c>
      <c r="CH120">
        <v>0</v>
      </c>
      <c r="CI120">
        <v>0</v>
      </c>
      <c r="CJ120">
        <v>0</v>
      </c>
      <c r="CK120">
        <v>0</v>
      </c>
      <c r="CL120">
        <v>0</v>
      </c>
      <c r="CM120">
        <v>0</v>
      </c>
    </row>
    <row r="121" spans="82:91" x14ac:dyDescent="0.25">
      <c r="CD121">
        <v>5040</v>
      </c>
      <c r="CE121">
        <v>576</v>
      </c>
      <c r="CF121">
        <v>144</v>
      </c>
      <c r="CG121">
        <v>0</v>
      </c>
      <c r="CH121">
        <v>0</v>
      </c>
      <c r="CI121">
        <v>0</v>
      </c>
      <c r="CJ121">
        <v>0</v>
      </c>
      <c r="CK121">
        <v>0</v>
      </c>
      <c r="CL121">
        <v>0</v>
      </c>
      <c r="CM121">
        <v>0</v>
      </c>
    </row>
    <row r="122" spans="82:91" x14ac:dyDescent="0.25">
      <c r="CD122">
        <v>5040</v>
      </c>
      <c r="CE122">
        <v>576</v>
      </c>
      <c r="CF122">
        <v>144</v>
      </c>
      <c r="CG122">
        <v>0</v>
      </c>
      <c r="CH122">
        <v>0</v>
      </c>
      <c r="CI122">
        <v>0</v>
      </c>
      <c r="CJ122">
        <v>0</v>
      </c>
      <c r="CK122">
        <v>0</v>
      </c>
      <c r="CL122">
        <v>0</v>
      </c>
      <c r="CM122">
        <v>0</v>
      </c>
    </row>
    <row r="123" spans="82:91" x14ac:dyDescent="0.25">
      <c r="CD123">
        <v>5040</v>
      </c>
      <c r="CE123">
        <v>576</v>
      </c>
      <c r="CF123">
        <v>144</v>
      </c>
      <c r="CG123">
        <v>0</v>
      </c>
      <c r="CH123">
        <v>0</v>
      </c>
      <c r="CI123">
        <v>0</v>
      </c>
      <c r="CJ123">
        <v>0</v>
      </c>
      <c r="CK123">
        <v>0</v>
      </c>
      <c r="CL123">
        <v>0</v>
      </c>
      <c r="CM123">
        <v>0</v>
      </c>
    </row>
    <row r="124" spans="82:91" x14ac:dyDescent="0.25">
      <c r="CD124">
        <v>5040</v>
      </c>
      <c r="CE124">
        <v>576</v>
      </c>
      <c r="CF124">
        <v>144</v>
      </c>
      <c r="CG124">
        <v>0</v>
      </c>
      <c r="CH124">
        <v>0</v>
      </c>
      <c r="CI124">
        <v>0</v>
      </c>
      <c r="CJ124">
        <v>0</v>
      </c>
      <c r="CK124">
        <v>0</v>
      </c>
      <c r="CL124">
        <v>0</v>
      </c>
      <c r="CM124">
        <v>0</v>
      </c>
    </row>
    <row r="125" spans="82:91" x14ac:dyDescent="0.25">
      <c r="CD125">
        <v>5040</v>
      </c>
      <c r="CE125">
        <v>576</v>
      </c>
      <c r="CF125">
        <v>144</v>
      </c>
      <c r="CG125">
        <v>0</v>
      </c>
      <c r="CH125">
        <v>0</v>
      </c>
      <c r="CI125">
        <v>0</v>
      </c>
      <c r="CJ125">
        <v>0</v>
      </c>
      <c r="CK125">
        <v>0</v>
      </c>
      <c r="CL125">
        <v>0</v>
      </c>
      <c r="CM125">
        <v>0</v>
      </c>
    </row>
    <row r="126" spans="82:91" x14ac:dyDescent="0.25">
      <c r="CD126">
        <v>5040</v>
      </c>
      <c r="CE126">
        <v>576</v>
      </c>
      <c r="CF126">
        <v>144</v>
      </c>
      <c r="CG126">
        <v>0</v>
      </c>
      <c r="CH126">
        <v>0</v>
      </c>
      <c r="CI126">
        <v>0</v>
      </c>
      <c r="CJ126">
        <v>0</v>
      </c>
      <c r="CK126">
        <v>0</v>
      </c>
      <c r="CL126">
        <v>0</v>
      </c>
      <c r="CM126">
        <v>0</v>
      </c>
    </row>
    <row r="127" spans="82:91" x14ac:dyDescent="0.25">
      <c r="CD127">
        <v>5040</v>
      </c>
      <c r="CE127">
        <v>576</v>
      </c>
      <c r="CF127">
        <v>144</v>
      </c>
      <c r="CG127">
        <v>0</v>
      </c>
      <c r="CH127">
        <v>0</v>
      </c>
      <c r="CI127">
        <v>0</v>
      </c>
      <c r="CJ127">
        <v>0</v>
      </c>
      <c r="CK127">
        <v>0</v>
      </c>
      <c r="CL127">
        <v>0</v>
      </c>
      <c r="CM127">
        <v>0</v>
      </c>
    </row>
    <row r="128" spans="82:91" x14ac:dyDescent="0.25">
      <c r="CD128">
        <v>5040</v>
      </c>
      <c r="CE128">
        <v>576</v>
      </c>
      <c r="CF128">
        <v>144</v>
      </c>
      <c r="CG128">
        <v>0</v>
      </c>
      <c r="CH128">
        <v>0</v>
      </c>
      <c r="CI128">
        <v>0</v>
      </c>
      <c r="CJ128">
        <v>0</v>
      </c>
      <c r="CK128">
        <v>0</v>
      </c>
      <c r="CL128">
        <v>0</v>
      </c>
      <c r="CM128">
        <v>0</v>
      </c>
    </row>
    <row r="129" spans="82:91" x14ac:dyDescent="0.25">
      <c r="CD129">
        <v>5040</v>
      </c>
      <c r="CE129">
        <v>576</v>
      </c>
      <c r="CF129">
        <v>144</v>
      </c>
      <c r="CG129">
        <v>0</v>
      </c>
      <c r="CH129">
        <v>0</v>
      </c>
      <c r="CI129">
        <v>0</v>
      </c>
      <c r="CJ129">
        <v>0</v>
      </c>
      <c r="CK129">
        <v>0</v>
      </c>
      <c r="CL129">
        <v>0</v>
      </c>
      <c r="CM129">
        <v>0</v>
      </c>
    </row>
    <row r="130" spans="82:91" x14ac:dyDescent="0.25">
      <c r="CD130">
        <v>5040</v>
      </c>
      <c r="CE130">
        <v>576</v>
      </c>
      <c r="CF130">
        <v>144</v>
      </c>
      <c r="CG130">
        <v>0</v>
      </c>
      <c r="CH130">
        <v>0</v>
      </c>
      <c r="CI130">
        <v>0</v>
      </c>
      <c r="CJ130">
        <v>0</v>
      </c>
      <c r="CK130">
        <v>0</v>
      </c>
      <c r="CL130">
        <v>0</v>
      </c>
      <c r="CM130">
        <v>0</v>
      </c>
    </row>
    <row r="131" spans="82:91" x14ac:dyDescent="0.25">
      <c r="CD131">
        <v>5040</v>
      </c>
      <c r="CE131">
        <v>576</v>
      </c>
      <c r="CF131">
        <v>144</v>
      </c>
      <c r="CG131">
        <v>0</v>
      </c>
      <c r="CH131">
        <v>0</v>
      </c>
      <c r="CI131">
        <v>0</v>
      </c>
      <c r="CJ131">
        <v>0</v>
      </c>
      <c r="CK131">
        <v>0</v>
      </c>
      <c r="CL131">
        <v>0</v>
      </c>
      <c r="CM131">
        <v>0</v>
      </c>
    </row>
    <row r="132" spans="82:91" x14ac:dyDescent="0.25">
      <c r="CD132">
        <v>5040</v>
      </c>
      <c r="CE132">
        <v>576</v>
      </c>
      <c r="CF132">
        <v>96</v>
      </c>
      <c r="CG132">
        <v>0</v>
      </c>
      <c r="CH132">
        <v>0</v>
      </c>
      <c r="CI132">
        <v>0</v>
      </c>
      <c r="CJ132">
        <v>0</v>
      </c>
      <c r="CK132">
        <v>0</v>
      </c>
      <c r="CL132">
        <v>0</v>
      </c>
      <c r="CM132">
        <v>0</v>
      </c>
    </row>
    <row r="133" spans="82:91" x14ac:dyDescent="0.25">
      <c r="CD133">
        <v>5040</v>
      </c>
      <c r="CE133">
        <v>576</v>
      </c>
      <c r="CF133">
        <v>96</v>
      </c>
      <c r="CG133">
        <v>0</v>
      </c>
      <c r="CH133">
        <v>0</v>
      </c>
      <c r="CI133">
        <v>0</v>
      </c>
      <c r="CJ133">
        <v>0</v>
      </c>
      <c r="CK133">
        <v>0</v>
      </c>
      <c r="CL133">
        <v>0</v>
      </c>
      <c r="CM133">
        <v>0</v>
      </c>
    </row>
    <row r="134" spans="82:91" x14ac:dyDescent="0.25">
      <c r="CD134">
        <v>5040</v>
      </c>
      <c r="CE134">
        <v>576</v>
      </c>
      <c r="CF134">
        <v>96</v>
      </c>
      <c r="CG134">
        <v>0</v>
      </c>
      <c r="CH134">
        <v>0</v>
      </c>
      <c r="CI134">
        <v>0</v>
      </c>
      <c r="CJ134">
        <v>0</v>
      </c>
      <c r="CK134">
        <v>0</v>
      </c>
      <c r="CL134">
        <v>0</v>
      </c>
      <c r="CM134">
        <v>0</v>
      </c>
    </row>
    <row r="135" spans="82:91" x14ac:dyDescent="0.25">
      <c r="CD135">
        <v>5040</v>
      </c>
      <c r="CE135">
        <v>576</v>
      </c>
      <c r="CF135">
        <v>96</v>
      </c>
      <c r="CG135">
        <v>0</v>
      </c>
      <c r="CH135">
        <v>0</v>
      </c>
      <c r="CI135">
        <v>0</v>
      </c>
      <c r="CJ135">
        <v>0</v>
      </c>
      <c r="CK135">
        <v>0</v>
      </c>
      <c r="CL135">
        <v>0</v>
      </c>
      <c r="CM135">
        <v>0</v>
      </c>
    </row>
    <row r="136" spans="82:91" x14ac:dyDescent="0.25">
      <c r="CD136">
        <v>5040</v>
      </c>
      <c r="CE136">
        <v>576</v>
      </c>
      <c r="CF136">
        <v>96</v>
      </c>
      <c r="CG136">
        <v>0</v>
      </c>
      <c r="CH136">
        <v>0</v>
      </c>
      <c r="CI136">
        <v>0</v>
      </c>
      <c r="CJ136">
        <v>0</v>
      </c>
      <c r="CK136">
        <v>0</v>
      </c>
      <c r="CL136">
        <v>0</v>
      </c>
      <c r="CM136">
        <v>0</v>
      </c>
    </row>
    <row r="137" spans="82:91" x14ac:dyDescent="0.25">
      <c r="CD137">
        <v>5040</v>
      </c>
      <c r="CE137">
        <v>576</v>
      </c>
      <c r="CF137">
        <v>96</v>
      </c>
      <c r="CG137">
        <v>0</v>
      </c>
      <c r="CH137">
        <v>0</v>
      </c>
      <c r="CI137">
        <v>0</v>
      </c>
      <c r="CJ137">
        <v>0</v>
      </c>
      <c r="CK137">
        <v>0</v>
      </c>
      <c r="CL137">
        <v>0</v>
      </c>
      <c r="CM137">
        <v>0</v>
      </c>
    </row>
    <row r="138" spans="82:91" x14ac:dyDescent="0.25">
      <c r="CD138">
        <v>5040</v>
      </c>
      <c r="CE138">
        <v>576</v>
      </c>
      <c r="CF138">
        <v>96</v>
      </c>
      <c r="CG138">
        <v>0</v>
      </c>
      <c r="CH138">
        <v>0</v>
      </c>
      <c r="CI138">
        <v>0</v>
      </c>
      <c r="CJ138">
        <v>0</v>
      </c>
      <c r="CK138">
        <v>0</v>
      </c>
      <c r="CL138">
        <v>0</v>
      </c>
      <c r="CM138">
        <v>0</v>
      </c>
    </row>
    <row r="139" spans="82:91" x14ac:dyDescent="0.25">
      <c r="CD139">
        <v>5040</v>
      </c>
      <c r="CE139">
        <v>576</v>
      </c>
      <c r="CF139">
        <v>96</v>
      </c>
      <c r="CG139">
        <v>0</v>
      </c>
      <c r="CH139">
        <v>0</v>
      </c>
      <c r="CI139">
        <v>0</v>
      </c>
      <c r="CJ139">
        <v>0</v>
      </c>
      <c r="CK139">
        <v>0</v>
      </c>
      <c r="CL139">
        <v>0</v>
      </c>
      <c r="CM139">
        <v>0</v>
      </c>
    </row>
    <row r="140" spans="82:91" x14ac:dyDescent="0.25">
      <c r="CD140">
        <v>5040</v>
      </c>
      <c r="CE140">
        <v>576</v>
      </c>
      <c r="CF140">
        <v>96</v>
      </c>
      <c r="CG140">
        <v>0</v>
      </c>
      <c r="CH140">
        <v>0</v>
      </c>
      <c r="CI140">
        <v>0</v>
      </c>
      <c r="CJ140">
        <v>0</v>
      </c>
      <c r="CK140">
        <v>0</v>
      </c>
      <c r="CL140">
        <v>0</v>
      </c>
      <c r="CM140">
        <v>0</v>
      </c>
    </row>
    <row r="141" spans="82:91" x14ac:dyDescent="0.25">
      <c r="CD141">
        <v>5040</v>
      </c>
      <c r="CE141">
        <v>576</v>
      </c>
      <c r="CF141">
        <v>96</v>
      </c>
      <c r="CG141">
        <v>0</v>
      </c>
      <c r="CH141">
        <v>0</v>
      </c>
      <c r="CI141">
        <v>0</v>
      </c>
      <c r="CJ141">
        <v>0</v>
      </c>
      <c r="CK141">
        <v>0</v>
      </c>
      <c r="CL141">
        <v>0</v>
      </c>
      <c r="CM141">
        <v>0</v>
      </c>
    </row>
    <row r="142" spans="82:91" x14ac:dyDescent="0.25">
      <c r="CD142">
        <v>5040</v>
      </c>
      <c r="CE142">
        <v>576</v>
      </c>
      <c r="CF142">
        <v>96</v>
      </c>
      <c r="CG142">
        <v>0</v>
      </c>
      <c r="CH142">
        <v>0</v>
      </c>
      <c r="CI142">
        <v>0</v>
      </c>
      <c r="CJ142">
        <v>0</v>
      </c>
      <c r="CK142">
        <v>0</v>
      </c>
      <c r="CL142">
        <v>0</v>
      </c>
      <c r="CM142">
        <v>0</v>
      </c>
    </row>
    <row r="143" spans="82:91" x14ac:dyDescent="0.25">
      <c r="CD143">
        <v>5040</v>
      </c>
      <c r="CE143">
        <v>576</v>
      </c>
      <c r="CF143">
        <v>96</v>
      </c>
      <c r="CG143">
        <v>0</v>
      </c>
      <c r="CH143">
        <v>0</v>
      </c>
      <c r="CI143">
        <v>0</v>
      </c>
      <c r="CJ143">
        <v>0</v>
      </c>
      <c r="CK143">
        <v>0</v>
      </c>
      <c r="CL143">
        <v>0</v>
      </c>
      <c r="CM143">
        <v>0</v>
      </c>
    </row>
    <row r="144" spans="82:91" x14ac:dyDescent="0.25">
      <c r="CD144">
        <v>5040</v>
      </c>
      <c r="CE144">
        <v>576</v>
      </c>
      <c r="CF144">
        <v>96</v>
      </c>
      <c r="CG144">
        <v>0</v>
      </c>
      <c r="CH144">
        <v>0</v>
      </c>
      <c r="CI144">
        <v>0</v>
      </c>
      <c r="CJ144">
        <v>0</v>
      </c>
      <c r="CK144">
        <v>0</v>
      </c>
      <c r="CL144">
        <v>0</v>
      </c>
      <c r="CM144">
        <v>0</v>
      </c>
    </row>
    <row r="145" spans="82:91" x14ac:dyDescent="0.25">
      <c r="CD145">
        <v>5040</v>
      </c>
      <c r="CE145">
        <v>576</v>
      </c>
      <c r="CF145">
        <v>96</v>
      </c>
      <c r="CG145">
        <v>0</v>
      </c>
      <c r="CH145">
        <v>0</v>
      </c>
      <c r="CI145">
        <v>0</v>
      </c>
      <c r="CJ145">
        <v>0</v>
      </c>
      <c r="CK145">
        <v>0</v>
      </c>
      <c r="CL145">
        <v>0</v>
      </c>
      <c r="CM145">
        <v>0</v>
      </c>
    </row>
    <row r="146" spans="82:91" x14ac:dyDescent="0.25">
      <c r="CD146">
        <v>5040</v>
      </c>
      <c r="CE146">
        <v>576</v>
      </c>
      <c r="CF146">
        <v>96</v>
      </c>
      <c r="CG146">
        <v>0</v>
      </c>
      <c r="CH146">
        <v>0</v>
      </c>
      <c r="CI146">
        <v>0</v>
      </c>
      <c r="CJ146">
        <v>0</v>
      </c>
      <c r="CK146">
        <v>0</v>
      </c>
      <c r="CL146">
        <v>0</v>
      </c>
      <c r="CM146">
        <v>0</v>
      </c>
    </row>
    <row r="147" spans="82:91" x14ac:dyDescent="0.25">
      <c r="CD147">
        <v>5040</v>
      </c>
      <c r="CE147">
        <v>576</v>
      </c>
      <c r="CF147">
        <v>96</v>
      </c>
      <c r="CG147">
        <v>0</v>
      </c>
      <c r="CH147">
        <v>0</v>
      </c>
      <c r="CI147">
        <v>0</v>
      </c>
      <c r="CJ147">
        <v>0</v>
      </c>
      <c r="CK147">
        <v>0</v>
      </c>
      <c r="CL147">
        <v>0</v>
      </c>
      <c r="CM147">
        <v>0</v>
      </c>
    </row>
    <row r="148" spans="82:91" x14ac:dyDescent="0.25">
      <c r="CD148">
        <v>5040</v>
      </c>
      <c r="CE148">
        <v>576</v>
      </c>
      <c r="CF148">
        <v>96</v>
      </c>
      <c r="CG148">
        <v>0</v>
      </c>
      <c r="CH148">
        <v>0</v>
      </c>
      <c r="CI148">
        <v>0</v>
      </c>
      <c r="CJ148">
        <v>0</v>
      </c>
      <c r="CK148">
        <v>0</v>
      </c>
      <c r="CL148">
        <v>0</v>
      </c>
      <c r="CM148">
        <v>0</v>
      </c>
    </row>
    <row r="149" spans="82:91" x14ac:dyDescent="0.25">
      <c r="CD149">
        <v>5040</v>
      </c>
      <c r="CE149">
        <v>576</v>
      </c>
      <c r="CF149">
        <v>96</v>
      </c>
      <c r="CG149">
        <v>0</v>
      </c>
      <c r="CH149">
        <v>0</v>
      </c>
      <c r="CI149">
        <v>0</v>
      </c>
      <c r="CJ149">
        <v>0</v>
      </c>
      <c r="CK149">
        <v>0</v>
      </c>
      <c r="CL149">
        <v>0</v>
      </c>
      <c r="CM149">
        <v>0</v>
      </c>
    </row>
    <row r="150" spans="82:91" x14ac:dyDescent="0.25">
      <c r="CD150">
        <v>5040</v>
      </c>
      <c r="CE150">
        <v>576</v>
      </c>
      <c r="CF150">
        <v>96</v>
      </c>
      <c r="CG150">
        <v>0</v>
      </c>
      <c r="CH150">
        <v>0</v>
      </c>
      <c r="CI150">
        <v>0</v>
      </c>
      <c r="CJ150">
        <v>0</v>
      </c>
      <c r="CK150">
        <v>0</v>
      </c>
      <c r="CL150">
        <v>0</v>
      </c>
      <c r="CM150">
        <v>0</v>
      </c>
    </row>
    <row r="151" spans="82:91" x14ac:dyDescent="0.25">
      <c r="CD151">
        <v>5040</v>
      </c>
      <c r="CE151">
        <v>576</v>
      </c>
      <c r="CF151">
        <v>96</v>
      </c>
      <c r="CG151">
        <v>0</v>
      </c>
      <c r="CH151">
        <v>0</v>
      </c>
      <c r="CI151">
        <v>0</v>
      </c>
      <c r="CJ151">
        <v>0</v>
      </c>
      <c r="CK151">
        <v>0</v>
      </c>
      <c r="CL151">
        <v>0</v>
      </c>
      <c r="CM151">
        <v>0</v>
      </c>
    </row>
    <row r="152" spans="82:91" x14ac:dyDescent="0.25">
      <c r="CD152">
        <v>5040</v>
      </c>
      <c r="CE152">
        <v>576</v>
      </c>
      <c r="CF152">
        <v>96</v>
      </c>
      <c r="CG152">
        <v>0</v>
      </c>
      <c r="CH152">
        <v>0</v>
      </c>
      <c r="CI152">
        <v>0</v>
      </c>
      <c r="CJ152">
        <v>0</v>
      </c>
      <c r="CK152">
        <v>0</v>
      </c>
      <c r="CL152">
        <v>0</v>
      </c>
      <c r="CM152">
        <v>0</v>
      </c>
    </row>
    <row r="153" spans="82:91" x14ac:dyDescent="0.25">
      <c r="CD153">
        <v>5040</v>
      </c>
      <c r="CE153">
        <v>576</v>
      </c>
      <c r="CF153">
        <v>96</v>
      </c>
      <c r="CG153">
        <v>0</v>
      </c>
      <c r="CH153">
        <v>0</v>
      </c>
      <c r="CI153">
        <v>0</v>
      </c>
      <c r="CJ153">
        <v>0</v>
      </c>
      <c r="CK153">
        <v>0</v>
      </c>
      <c r="CL153">
        <v>0</v>
      </c>
      <c r="CM153">
        <v>0</v>
      </c>
    </row>
    <row r="154" spans="82:91" x14ac:dyDescent="0.25">
      <c r="CD154">
        <v>5040</v>
      </c>
      <c r="CE154">
        <v>576</v>
      </c>
      <c r="CF154">
        <v>96</v>
      </c>
      <c r="CG154">
        <v>0</v>
      </c>
      <c r="CH154">
        <v>0</v>
      </c>
      <c r="CI154">
        <v>0</v>
      </c>
      <c r="CJ154">
        <v>0</v>
      </c>
      <c r="CK154">
        <v>0</v>
      </c>
      <c r="CL154">
        <v>0</v>
      </c>
      <c r="CM154">
        <v>0</v>
      </c>
    </row>
    <row r="155" spans="82:91" x14ac:dyDescent="0.25">
      <c r="CD155">
        <v>5040</v>
      </c>
      <c r="CE155">
        <v>576</v>
      </c>
      <c r="CF155">
        <v>96</v>
      </c>
      <c r="CG155">
        <v>0</v>
      </c>
      <c r="CH155">
        <v>0</v>
      </c>
      <c r="CI155">
        <v>0</v>
      </c>
      <c r="CJ155">
        <v>0</v>
      </c>
      <c r="CK155">
        <v>0</v>
      </c>
      <c r="CL155">
        <v>0</v>
      </c>
      <c r="CM155">
        <v>0</v>
      </c>
    </row>
    <row r="156" spans="82:91" x14ac:dyDescent="0.25">
      <c r="CD156">
        <v>5040</v>
      </c>
      <c r="CE156">
        <v>576</v>
      </c>
      <c r="CF156">
        <v>96</v>
      </c>
      <c r="CG156">
        <v>0</v>
      </c>
      <c r="CH156">
        <v>0</v>
      </c>
      <c r="CI156">
        <v>0</v>
      </c>
      <c r="CJ156">
        <v>0</v>
      </c>
      <c r="CK156">
        <v>0</v>
      </c>
      <c r="CL156">
        <v>0</v>
      </c>
      <c r="CM156">
        <v>0</v>
      </c>
    </row>
    <row r="157" spans="82:91" x14ac:dyDescent="0.25">
      <c r="CD157">
        <v>5040</v>
      </c>
      <c r="CE157">
        <v>576</v>
      </c>
      <c r="CF157">
        <v>96</v>
      </c>
      <c r="CG157">
        <v>0</v>
      </c>
      <c r="CH157">
        <v>0</v>
      </c>
      <c r="CI157">
        <v>0</v>
      </c>
      <c r="CJ157">
        <v>0</v>
      </c>
      <c r="CK157">
        <v>0</v>
      </c>
      <c r="CL157">
        <v>0</v>
      </c>
      <c r="CM157">
        <v>0</v>
      </c>
    </row>
    <row r="158" spans="82:91" x14ac:dyDescent="0.25">
      <c r="CD158">
        <v>5040</v>
      </c>
      <c r="CE158">
        <v>576</v>
      </c>
      <c r="CF158">
        <v>96</v>
      </c>
      <c r="CG158">
        <v>0</v>
      </c>
      <c r="CH158">
        <v>0</v>
      </c>
      <c r="CI158">
        <v>0</v>
      </c>
      <c r="CJ158">
        <v>0</v>
      </c>
      <c r="CK158">
        <v>0</v>
      </c>
      <c r="CL158">
        <v>0</v>
      </c>
      <c r="CM158">
        <v>0</v>
      </c>
    </row>
    <row r="159" spans="82:91" x14ac:dyDescent="0.25">
      <c r="CD159">
        <v>5040</v>
      </c>
      <c r="CE159">
        <v>576</v>
      </c>
      <c r="CF159">
        <v>96</v>
      </c>
      <c r="CG159">
        <v>0</v>
      </c>
      <c r="CH159">
        <v>0</v>
      </c>
      <c r="CI159">
        <v>0</v>
      </c>
      <c r="CJ159">
        <v>0</v>
      </c>
      <c r="CK159">
        <v>0</v>
      </c>
      <c r="CL159">
        <v>0</v>
      </c>
      <c r="CM159">
        <v>0</v>
      </c>
    </row>
    <row r="160" spans="82:91" x14ac:dyDescent="0.25">
      <c r="CD160">
        <v>5040</v>
      </c>
      <c r="CE160">
        <v>576</v>
      </c>
      <c r="CF160">
        <v>96</v>
      </c>
      <c r="CG160">
        <v>0</v>
      </c>
      <c r="CH160">
        <v>0</v>
      </c>
      <c r="CI160">
        <v>0</v>
      </c>
      <c r="CJ160">
        <v>0</v>
      </c>
      <c r="CK160">
        <v>0</v>
      </c>
      <c r="CL160">
        <v>0</v>
      </c>
      <c r="CM160">
        <v>0</v>
      </c>
    </row>
    <row r="161" spans="82:91" x14ac:dyDescent="0.25">
      <c r="CD161">
        <v>5040</v>
      </c>
      <c r="CE161">
        <v>576</v>
      </c>
      <c r="CF161">
        <v>96</v>
      </c>
      <c r="CG161">
        <v>0</v>
      </c>
      <c r="CH161">
        <v>0</v>
      </c>
      <c r="CI161">
        <v>0</v>
      </c>
      <c r="CJ161">
        <v>0</v>
      </c>
      <c r="CK161">
        <v>0</v>
      </c>
      <c r="CL161">
        <v>0</v>
      </c>
      <c r="CM161">
        <v>0</v>
      </c>
    </row>
    <row r="162" spans="82:91" x14ac:dyDescent="0.25">
      <c r="CD162">
        <v>5040</v>
      </c>
      <c r="CE162">
        <v>576</v>
      </c>
      <c r="CF162">
        <v>96</v>
      </c>
      <c r="CG162">
        <v>0</v>
      </c>
      <c r="CH162">
        <v>0</v>
      </c>
      <c r="CI162">
        <v>0</v>
      </c>
      <c r="CJ162">
        <v>0</v>
      </c>
      <c r="CK162">
        <v>0</v>
      </c>
      <c r="CL162">
        <v>0</v>
      </c>
      <c r="CM162">
        <v>0</v>
      </c>
    </row>
    <row r="163" spans="82:91" x14ac:dyDescent="0.25">
      <c r="CD163">
        <v>5040</v>
      </c>
      <c r="CE163">
        <v>576</v>
      </c>
      <c r="CF163">
        <v>96</v>
      </c>
      <c r="CG163">
        <v>0</v>
      </c>
      <c r="CH163">
        <v>0</v>
      </c>
      <c r="CI163">
        <v>0</v>
      </c>
      <c r="CJ163">
        <v>0</v>
      </c>
      <c r="CK163">
        <v>0</v>
      </c>
      <c r="CL163">
        <v>0</v>
      </c>
      <c r="CM163">
        <v>0</v>
      </c>
    </row>
    <row r="164" spans="82:91" x14ac:dyDescent="0.25">
      <c r="CD164">
        <v>5040</v>
      </c>
      <c r="CE164">
        <v>576</v>
      </c>
      <c r="CF164">
        <v>96</v>
      </c>
      <c r="CG164">
        <v>0</v>
      </c>
      <c r="CH164">
        <v>0</v>
      </c>
      <c r="CI164">
        <v>0</v>
      </c>
      <c r="CJ164">
        <v>0</v>
      </c>
      <c r="CK164">
        <v>0</v>
      </c>
      <c r="CL164">
        <v>0</v>
      </c>
      <c r="CM164">
        <v>0</v>
      </c>
    </row>
    <row r="165" spans="82:91" x14ac:dyDescent="0.25">
      <c r="CD165">
        <v>5040</v>
      </c>
      <c r="CE165">
        <v>576</v>
      </c>
      <c r="CF165">
        <v>96</v>
      </c>
      <c r="CG165">
        <v>0</v>
      </c>
      <c r="CH165">
        <v>0</v>
      </c>
      <c r="CI165">
        <v>0</v>
      </c>
      <c r="CJ165">
        <v>0</v>
      </c>
      <c r="CK165">
        <v>0</v>
      </c>
      <c r="CL165">
        <v>0</v>
      </c>
      <c r="CM165">
        <v>0</v>
      </c>
    </row>
    <row r="166" spans="82:91" x14ac:dyDescent="0.25">
      <c r="CD166">
        <v>5040</v>
      </c>
      <c r="CE166">
        <v>576</v>
      </c>
      <c r="CF166">
        <v>96</v>
      </c>
      <c r="CG166">
        <v>0</v>
      </c>
      <c r="CH166">
        <v>0</v>
      </c>
      <c r="CI166">
        <v>0</v>
      </c>
      <c r="CJ166">
        <v>0</v>
      </c>
      <c r="CK166">
        <v>0</v>
      </c>
      <c r="CL166">
        <v>0</v>
      </c>
      <c r="CM166">
        <v>0</v>
      </c>
    </row>
    <row r="167" spans="82:91" x14ac:dyDescent="0.25">
      <c r="CD167">
        <v>5040</v>
      </c>
      <c r="CE167">
        <v>576</v>
      </c>
      <c r="CF167">
        <v>96</v>
      </c>
      <c r="CG167">
        <v>0</v>
      </c>
      <c r="CH167">
        <v>0</v>
      </c>
      <c r="CI167">
        <v>0</v>
      </c>
      <c r="CJ167">
        <v>0</v>
      </c>
      <c r="CK167">
        <v>0</v>
      </c>
      <c r="CL167">
        <v>0</v>
      </c>
      <c r="CM167">
        <v>0</v>
      </c>
    </row>
    <row r="168" spans="82:91" x14ac:dyDescent="0.25">
      <c r="CD168">
        <v>5040</v>
      </c>
      <c r="CE168">
        <v>576</v>
      </c>
      <c r="CF168">
        <v>96</v>
      </c>
      <c r="CG168">
        <v>0</v>
      </c>
      <c r="CH168">
        <v>0</v>
      </c>
      <c r="CI168">
        <v>0</v>
      </c>
      <c r="CJ168">
        <v>0</v>
      </c>
      <c r="CK168">
        <v>0</v>
      </c>
      <c r="CL168">
        <v>0</v>
      </c>
      <c r="CM168">
        <v>0</v>
      </c>
    </row>
    <row r="169" spans="82:91" x14ac:dyDescent="0.25">
      <c r="CD169">
        <v>5040</v>
      </c>
      <c r="CE169">
        <v>576</v>
      </c>
      <c r="CF169">
        <v>96</v>
      </c>
      <c r="CG169">
        <v>0</v>
      </c>
      <c r="CH169">
        <v>0</v>
      </c>
      <c r="CI169">
        <v>0</v>
      </c>
      <c r="CJ169">
        <v>0</v>
      </c>
      <c r="CK169">
        <v>0</v>
      </c>
      <c r="CL169">
        <v>0</v>
      </c>
      <c r="CM169">
        <v>0</v>
      </c>
    </row>
    <row r="170" spans="82:91" x14ac:dyDescent="0.25">
      <c r="CD170">
        <v>5040</v>
      </c>
      <c r="CE170">
        <v>576</v>
      </c>
      <c r="CF170">
        <v>96</v>
      </c>
      <c r="CG170">
        <v>0</v>
      </c>
      <c r="CH170">
        <v>0</v>
      </c>
      <c r="CI170">
        <v>0</v>
      </c>
      <c r="CJ170">
        <v>0</v>
      </c>
      <c r="CK170">
        <v>0</v>
      </c>
      <c r="CL170">
        <v>0</v>
      </c>
      <c r="CM170">
        <v>0</v>
      </c>
    </row>
    <row r="171" spans="82:91" x14ac:dyDescent="0.25">
      <c r="CD171">
        <v>5040</v>
      </c>
      <c r="CE171">
        <v>576</v>
      </c>
      <c r="CF171">
        <v>96</v>
      </c>
      <c r="CG171">
        <v>0</v>
      </c>
      <c r="CH171">
        <v>0</v>
      </c>
      <c r="CI171">
        <v>0</v>
      </c>
      <c r="CJ171">
        <v>0</v>
      </c>
      <c r="CK171">
        <v>0</v>
      </c>
      <c r="CL171">
        <v>0</v>
      </c>
      <c r="CM171">
        <v>0</v>
      </c>
    </row>
    <row r="172" spans="82:91" x14ac:dyDescent="0.25">
      <c r="CD172">
        <v>5040</v>
      </c>
      <c r="CE172">
        <v>576</v>
      </c>
      <c r="CF172">
        <v>96</v>
      </c>
      <c r="CG172">
        <v>0</v>
      </c>
      <c r="CH172">
        <v>0</v>
      </c>
      <c r="CI172">
        <v>0</v>
      </c>
      <c r="CJ172">
        <v>0</v>
      </c>
      <c r="CK172">
        <v>0</v>
      </c>
      <c r="CL172">
        <v>0</v>
      </c>
      <c r="CM172">
        <v>0</v>
      </c>
    </row>
    <row r="173" spans="82:91" x14ac:dyDescent="0.25">
      <c r="CD173">
        <v>5040</v>
      </c>
      <c r="CE173">
        <v>576</v>
      </c>
      <c r="CF173">
        <v>96</v>
      </c>
      <c r="CG173">
        <v>0</v>
      </c>
      <c r="CH173">
        <v>0</v>
      </c>
      <c r="CI173">
        <v>0</v>
      </c>
      <c r="CJ173">
        <v>0</v>
      </c>
      <c r="CK173">
        <v>0</v>
      </c>
      <c r="CL173">
        <v>0</v>
      </c>
      <c r="CM173">
        <v>0</v>
      </c>
    </row>
    <row r="174" spans="82:91" x14ac:dyDescent="0.25">
      <c r="CD174">
        <v>5040</v>
      </c>
      <c r="CE174">
        <v>576</v>
      </c>
      <c r="CF174">
        <v>96</v>
      </c>
      <c r="CG174">
        <v>0</v>
      </c>
      <c r="CH174">
        <v>0</v>
      </c>
      <c r="CI174">
        <v>0</v>
      </c>
      <c r="CJ174">
        <v>0</v>
      </c>
      <c r="CK174">
        <v>0</v>
      </c>
      <c r="CL174">
        <v>0</v>
      </c>
      <c r="CM174">
        <v>0</v>
      </c>
    </row>
    <row r="175" spans="82:91" x14ac:dyDescent="0.25">
      <c r="CD175">
        <v>5040</v>
      </c>
      <c r="CE175">
        <v>576</v>
      </c>
      <c r="CF175">
        <v>96</v>
      </c>
      <c r="CG175">
        <v>0</v>
      </c>
      <c r="CH175">
        <v>0</v>
      </c>
      <c r="CI175">
        <v>0</v>
      </c>
      <c r="CJ175">
        <v>0</v>
      </c>
      <c r="CK175">
        <v>0</v>
      </c>
      <c r="CL175">
        <v>0</v>
      </c>
      <c r="CM175">
        <v>0</v>
      </c>
    </row>
    <row r="176" spans="82:91" x14ac:dyDescent="0.25">
      <c r="CD176">
        <v>5040</v>
      </c>
      <c r="CE176">
        <v>576</v>
      </c>
      <c r="CF176">
        <v>96</v>
      </c>
      <c r="CG176">
        <v>0</v>
      </c>
      <c r="CH176">
        <v>0</v>
      </c>
      <c r="CI176">
        <v>0</v>
      </c>
      <c r="CJ176">
        <v>0</v>
      </c>
      <c r="CK176">
        <v>0</v>
      </c>
      <c r="CL176">
        <v>0</v>
      </c>
      <c r="CM176">
        <v>0</v>
      </c>
    </row>
    <row r="177" spans="82:91" x14ac:dyDescent="0.25">
      <c r="CD177">
        <v>5040</v>
      </c>
      <c r="CE177">
        <v>576</v>
      </c>
      <c r="CF177">
        <v>96</v>
      </c>
      <c r="CG177">
        <v>0</v>
      </c>
      <c r="CH177">
        <v>0</v>
      </c>
      <c r="CI177">
        <v>0</v>
      </c>
      <c r="CJ177">
        <v>0</v>
      </c>
      <c r="CK177">
        <v>0</v>
      </c>
      <c r="CL177">
        <v>0</v>
      </c>
      <c r="CM177">
        <v>0</v>
      </c>
    </row>
    <row r="178" spans="82:91" x14ac:dyDescent="0.25">
      <c r="CD178">
        <v>5040</v>
      </c>
      <c r="CE178">
        <v>576</v>
      </c>
      <c r="CF178">
        <v>96</v>
      </c>
      <c r="CG178">
        <v>0</v>
      </c>
      <c r="CH178">
        <v>0</v>
      </c>
      <c r="CI178">
        <v>0</v>
      </c>
      <c r="CJ178">
        <v>0</v>
      </c>
      <c r="CK178">
        <v>0</v>
      </c>
      <c r="CL178">
        <v>0</v>
      </c>
      <c r="CM178">
        <v>0</v>
      </c>
    </row>
    <row r="179" spans="82:91" x14ac:dyDescent="0.25">
      <c r="CD179">
        <v>5040</v>
      </c>
      <c r="CE179">
        <v>576</v>
      </c>
      <c r="CF179">
        <v>96</v>
      </c>
      <c r="CG179">
        <v>0</v>
      </c>
      <c r="CH179">
        <v>0</v>
      </c>
      <c r="CI179">
        <v>0</v>
      </c>
      <c r="CJ179">
        <v>0</v>
      </c>
      <c r="CK179">
        <v>0</v>
      </c>
      <c r="CL179">
        <v>0</v>
      </c>
      <c r="CM179">
        <v>0</v>
      </c>
    </row>
    <row r="180" spans="82:91" x14ac:dyDescent="0.25">
      <c r="CD180">
        <v>5040</v>
      </c>
      <c r="CE180">
        <v>576</v>
      </c>
      <c r="CF180">
        <v>96</v>
      </c>
      <c r="CG180">
        <v>0</v>
      </c>
      <c r="CH180">
        <v>0</v>
      </c>
      <c r="CI180">
        <v>0</v>
      </c>
      <c r="CJ180">
        <v>0</v>
      </c>
      <c r="CK180">
        <v>0</v>
      </c>
      <c r="CL180">
        <v>0</v>
      </c>
      <c r="CM180">
        <v>0</v>
      </c>
    </row>
    <row r="181" spans="82:91" x14ac:dyDescent="0.25">
      <c r="CD181">
        <v>5040</v>
      </c>
      <c r="CE181">
        <v>576</v>
      </c>
      <c r="CF181">
        <v>96</v>
      </c>
      <c r="CG181">
        <v>0</v>
      </c>
      <c r="CH181">
        <v>0</v>
      </c>
      <c r="CI181">
        <v>0</v>
      </c>
      <c r="CJ181">
        <v>0</v>
      </c>
      <c r="CK181">
        <v>0</v>
      </c>
      <c r="CL181">
        <v>0</v>
      </c>
      <c r="CM181">
        <v>0</v>
      </c>
    </row>
    <row r="182" spans="82:91" x14ac:dyDescent="0.25">
      <c r="CD182">
        <v>5040</v>
      </c>
      <c r="CE182">
        <v>576</v>
      </c>
      <c r="CF182">
        <v>96</v>
      </c>
      <c r="CG182">
        <v>0</v>
      </c>
      <c r="CH182">
        <v>0</v>
      </c>
      <c r="CI182">
        <v>0</v>
      </c>
      <c r="CJ182">
        <v>0</v>
      </c>
      <c r="CK182">
        <v>0</v>
      </c>
      <c r="CL182">
        <v>0</v>
      </c>
      <c r="CM182">
        <v>0</v>
      </c>
    </row>
    <row r="183" spans="82:91" x14ac:dyDescent="0.25">
      <c r="CD183">
        <v>5040</v>
      </c>
      <c r="CE183">
        <v>576</v>
      </c>
      <c r="CF183">
        <v>96</v>
      </c>
      <c r="CG183">
        <v>0</v>
      </c>
      <c r="CH183">
        <v>0</v>
      </c>
      <c r="CI183">
        <v>0</v>
      </c>
      <c r="CJ183">
        <v>0</v>
      </c>
      <c r="CK183">
        <v>0</v>
      </c>
      <c r="CL183">
        <v>0</v>
      </c>
      <c r="CM183">
        <v>0</v>
      </c>
    </row>
    <row r="184" spans="82:91" x14ac:dyDescent="0.25">
      <c r="CD184">
        <v>5040</v>
      </c>
      <c r="CE184">
        <v>576</v>
      </c>
      <c r="CF184">
        <v>96</v>
      </c>
      <c r="CG184">
        <v>0</v>
      </c>
      <c r="CH184">
        <v>0</v>
      </c>
      <c r="CI184">
        <v>0</v>
      </c>
      <c r="CJ184">
        <v>0</v>
      </c>
      <c r="CK184">
        <v>0</v>
      </c>
      <c r="CL184">
        <v>0</v>
      </c>
      <c r="CM184">
        <v>0</v>
      </c>
    </row>
    <row r="185" spans="82:91" x14ac:dyDescent="0.25">
      <c r="CD185">
        <v>5040</v>
      </c>
      <c r="CE185">
        <v>576</v>
      </c>
      <c r="CF185">
        <v>96</v>
      </c>
      <c r="CG185">
        <v>0</v>
      </c>
      <c r="CH185">
        <v>0</v>
      </c>
      <c r="CI185">
        <v>0</v>
      </c>
      <c r="CJ185">
        <v>0</v>
      </c>
      <c r="CK185">
        <v>0</v>
      </c>
      <c r="CL185">
        <v>0</v>
      </c>
      <c r="CM185">
        <v>0</v>
      </c>
    </row>
    <row r="186" spans="82:91" x14ac:dyDescent="0.25">
      <c r="CD186">
        <v>5040</v>
      </c>
      <c r="CE186">
        <v>576</v>
      </c>
      <c r="CF186">
        <v>96</v>
      </c>
      <c r="CG186">
        <v>0</v>
      </c>
      <c r="CH186">
        <v>0</v>
      </c>
      <c r="CI186">
        <v>0</v>
      </c>
      <c r="CJ186">
        <v>0</v>
      </c>
      <c r="CK186">
        <v>0</v>
      </c>
      <c r="CL186">
        <v>0</v>
      </c>
      <c r="CM186">
        <v>0</v>
      </c>
    </row>
    <row r="187" spans="82:91" x14ac:dyDescent="0.25">
      <c r="CD187">
        <v>5040</v>
      </c>
      <c r="CE187">
        <v>576</v>
      </c>
      <c r="CF187">
        <v>96</v>
      </c>
      <c r="CG187">
        <v>0</v>
      </c>
      <c r="CH187">
        <v>0</v>
      </c>
      <c r="CI187">
        <v>0</v>
      </c>
      <c r="CJ187">
        <v>0</v>
      </c>
      <c r="CK187">
        <v>0</v>
      </c>
      <c r="CL187">
        <v>0</v>
      </c>
      <c r="CM187">
        <v>0</v>
      </c>
    </row>
    <row r="188" spans="82:91" x14ac:dyDescent="0.25">
      <c r="CD188">
        <v>5040</v>
      </c>
      <c r="CE188">
        <v>576</v>
      </c>
      <c r="CF188">
        <v>96</v>
      </c>
      <c r="CG188">
        <v>0</v>
      </c>
      <c r="CH188">
        <v>0</v>
      </c>
      <c r="CI188">
        <v>0</v>
      </c>
      <c r="CJ188">
        <v>0</v>
      </c>
      <c r="CK188">
        <v>0</v>
      </c>
      <c r="CL188">
        <v>0</v>
      </c>
      <c r="CM188">
        <v>0</v>
      </c>
    </row>
    <row r="189" spans="82:91" x14ac:dyDescent="0.25">
      <c r="CD189">
        <v>5040</v>
      </c>
      <c r="CE189">
        <v>576</v>
      </c>
      <c r="CF189">
        <v>96</v>
      </c>
      <c r="CG189">
        <v>0</v>
      </c>
      <c r="CH189">
        <v>0</v>
      </c>
      <c r="CI189">
        <v>0</v>
      </c>
      <c r="CJ189">
        <v>0</v>
      </c>
      <c r="CK189">
        <v>0</v>
      </c>
      <c r="CL189">
        <v>0</v>
      </c>
      <c r="CM189">
        <v>0</v>
      </c>
    </row>
    <row r="190" spans="82:91" x14ac:dyDescent="0.25">
      <c r="CD190">
        <v>5040</v>
      </c>
      <c r="CE190">
        <v>576</v>
      </c>
      <c r="CF190">
        <v>96</v>
      </c>
      <c r="CG190">
        <v>0</v>
      </c>
      <c r="CH190">
        <v>0</v>
      </c>
      <c r="CI190">
        <v>0</v>
      </c>
      <c r="CJ190">
        <v>0</v>
      </c>
      <c r="CK190">
        <v>0</v>
      </c>
      <c r="CL190">
        <v>0</v>
      </c>
      <c r="CM190">
        <v>0</v>
      </c>
    </row>
    <row r="191" spans="82:91" x14ac:dyDescent="0.25">
      <c r="CD191">
        <v>5040</v>
      </c>
      <c r="CE191">
        <v>576</v>
      </c>
      <c r="CF191">
        <v>96</v>
      </c>
      <c r="CG191">
        <v>0</v>
      </c>
      <c r="CH191">
        <v>0</v>
      </c>
      <c r="CI191">
        <v>0</v>
      </c>
      <c r="CJ191">
        <v>0</v>
      </c>
      <c r="CK191">
        <v>0</v>
      </c>
      <c r="CL191">
        <v>0</v>
      </c>
      <c r="CM191">
        <v>0</v>
      </c>
    </row>
    <row r="192" spans="82:91" x14ac:dyDescent="0.25">
      <c r="CD192">
        <v>5040</v>
      </c>
      <c r="CE192">
        <v>576</v>
      </c>
      <c r="CF192">
        <v>96</v>
      </c>
      <c r="CG192">
        <v>0</v>
      </c>
      <c r="CH192">
        <v>0</v>
      </c>
      <c r="CI192">
        <v>0</v>
      </c>
      <c r="CJ192">
        <v>0</v>
      </c>
      <c r="CK192">
        <v>0</v>
      </c>
      <c r="CL192">
        <v>0</v>
      </c>
      <c r="CM192">
        <v>0</v>
      </c>
    </row>
    <row r="193" spans="82:91" x14ac:dyDescent="0.25">
      <c r="CD193">
        <v>5040</v>
      </c>
      <c r="CE193">
        <v>576</v>
      </c>
      <c r="CF193">
        <v>96</v>
      </c>
      <c r="CG193">
        <v>0</v>
      </c>
      <c r="CH193">
        <v>0</v>
      </c>
      <c r="CI193">
        <v>0</v>
      </c>
      <c r="CJ193">
        <v>0</v>
      </c>
      <c r="CK193">
        <v>0</v>
      </c>
      <c r="CL193">
        <v>0</v>
      </c>
      <c r="CM193">
        <v>0</v>
      </c>
    </row>
    <row r="194" spans="82:91" x14ac:dyDescent="0.25">
      <c r="CD194">
        <v>5040</v>
      </c>
      <c r="CE194">
        <v>576</v>
      </c>
      <c r="CF194">
        <v>96</v>
      </c>
      <c r="CG194">
        <v>0</v>
      </c>
      <c r="CH194">
        <v>0</v>
      </c>
      <c r="CI194">
        <v>0</v>
      </c>
      <c r="CJ194">
        <v>0</v>
      </c>
      <c r="CK194">
        <v>0</v>
      </c>
      <c r="CL194">
        <v>0</v>
      </c>
      <c r="CM194">
        <v>0</v>
      </c>
    </row>
    <row r="195" spans="82:91" x14ac:dyDescent="0.25">
      <c r="CD195">
        <v>5040</v>
      </c>
      <c r="CE195">
        <v>576</v>
      </c>
      <c r="CF195">
        <v>96</v>
      </c>
      <c r="CG195">
        <v>0</v>
      </c>
      <c r="CH195">
        <v>0</v>
      </c>
      <c r="CI195">
        <v>0</v>
      </c>
      <c r="CJ195">
        <v>0</v>
      </c>
      <c r="CK195">
        <v>0</v>
      </c>
      <c r="CL195">
        <v>0</v>
      </c>
      <c r="CM195">
        <v>0</v>
      </c>
    </row>
    <row r="196" spans="82:91" x14ac:dyDescent="0.25">
      <c r="CD196">
        <v>5040</v>
      </c>
      <c r="CE196">
        <v>576</v>
      </c>
      <c r="CF196">
        <v>96</v>
      </c>
      <c r="CG196">
        <v>0</v>
      </c>
      <c r="CH196">
        <v>0</v>
      </c>
      <c r="CI196">
        <v>0</v>
      </c>
      <c r="CJ196">
        <v>0</v>
      </c>
      <c r="CK196">
        <v>0</v>
      </c>
      <c r="CL196">
        <v>0</v>
      </c>
      <c r="CM196">
        <v>0</v>
      </c>
    </row>
    <row r="197" spans="82:91" x14ac:dyDescent="0.25">
      <c r="CD197">
        <v>5040</v>
      </c>
      <c r="CE197">
        <v>576</v>
      </c>
      <c r="CF197">
        <v>96</v>
      </c>
      <c r="CG197">
        <v>0</v>
      </c>
      <c r="CH197">
        <v>0</v>
      </c>
      <c r="CI197">
        <v>0</v>
      </c>
      <c r="CJ197">
        <v>0</v>
      </c>
      <c r="CK197">
        <v>0</v>
      </c>
      <c r="CL197">
        <v>0</v>
      </c>
      <c r="CM197">
        <v>0</v>
      </c>
    </row>
    <row r="198" spans="82:91" x14ac:dyDescent="0.25">
      <c r="CD198">
        <v>5040</v>
      </c>
      <c r="CE198">
        <v>576</v>
      </c>
      <c r="CF198">
        <v>96</v>
      </c>
      <c r="CG198">
        <v>0</v>
      </c>
      <c r="CH198">
        <v>0</v>
      </c>
      <c r="CI198">
        <v>0</v>
      </c>
      <c r="CJ198">
        <v>0</v>
      </c>
      <c r="CK198">
        <v>0</v>
      </c>
      <c r="CL198">
        <v>0</v>
      </c>
      <c r="CM198">
        <v>0</v>
      </c>
    </row>
    <row r="199" spans="82:91" x14ac:dyDescent="0.25">
      <c r="CD199">
        <v>5040</v>
      </c>
      <c r="CE199">
        <v>576</v>
      </c>
      <c r="CF199">
        <v>96</v>
      </c>
      <c r="CG199">
        <v>0</v>
      </c>
      <c r="CH199">
        <v>0</v>
      </c>
      <c r="CI199">
        <v>0</v>
      </c>
      <c r="CJ199">
        <v>0</v>
      </c>
      <c r="CK199">
        <v>0</v>
      </c>
      <c r="CL199">
        <v>0</v>
      </c>
      <c r="CM199">
        <v>0</v>
      </c>
    </row>
    <row r="200" spans="82:91" x14ac:dyDescent="0.25">
      <c r="CD200">
        <v>5040</v>
      </c>
      <c r="CE200">
        <v>576</v>
      </c>
      <c r="CF200">
        <v>96</v>
      </c>
      <c r="CG200">
        <v>0</v>
      </c>
      <c r="CH200">
        <v>0</v>
      </c>
      <c r="CI200">
        <v>0</v>
      </c>
      <c r="CJ200">
        <v>0</v>
      </c>
      <c r="CK200">
        <v>0</v>
      </c>
      <c r="CL200">
        <v>0</v>
      </c>
      <c r="CM200">
        <v>0</v>
      </c>
    </row>
    <row r="201" spans="82:91" x14ac:dyDescent="0.25">
      <c r="CD201">
        <v>5040</v>
      </c>
      <c r="CE201">
        <v>576</v>
      </c>
      <c r="CF201">
        <v>96</v>
      </c>
      <c r="CG201">
        <v>0</v>
      </c>
      <c r="CH201">
        <v>0</v>
      </c>
      <c r="CI201">
        <v>0</v>
      </c>
      <c r="CJ201">
        <v>0</v>
      </c>
      <c r="CK201">
        <v>0</v>
      </c>
      <c r="CL201">
        <v>0</v>
      </c>
      <c r="CM201">
        <v>0</v>
      </c>
    </row>
    <row r="202" spans="82:91" x14ac:dyDescent="0.25">
      <c r="CD202">
        <v>5040</v>
      </c>
      <c r="CE202">
        <v>576</v>
      </c>
      <c r="CF202">
        <v>96</v>
      </c>
      <c r="CG202">
        <v>0</v>
      </c>
      <c r="CH202">
        <v>0</v>
      </c>
      <c r="CI202">
        <v>0</v>
      </c>
      <c r="CJ202">
        <v>0</v>
      </c>
      <c r="CK202">
        <v>0</v>
      </c>
      <c r="CL202">
        <v>0</v>
      </c>
      <c r="CM202">
        <v>0</v>
      </c>
    </row>
    <row r="203" spans="82:91" x14ac:dyDescent="0.25">
      <c r="CD203">
        <v>5040</v>
      </c>
      <c r="CE203">
        <v>576</v>
      </c>
      <c r="CF203">
        <v>96</v>
      </c>
      <c r="CG203">
        <v>0</v>
      </c>
      <c r="CH203">
        <v>0</v>
      </c>
      <c r="CI203">
        <v>0</v>
      </c>
      <c r="CJ203">
        <v>0</v>
      </c>
      <c r="CK203">
        <v>0</v>
      </c>
      <c r="CL203">
        <v>0</v>
      </c>
      <c r="CM203">
        <v>0</v>
      </c>
    </row>
    <row r="204" spans="82:91" x14ac:dyDescent="0.25">
      <c r="CD204">
        <v>5040</v>
      </c>
      <c r="CE204">
        <v>576</v>
      </c>
      <c r="CF204">
        <v>96</v>
      </c>
      <c r="CG204">
        <v>0</v>
      </c>
      <c r="CH204">
        <v>0</v>
      </c>
      <c r="CI204">
        <v>0</v>
      </c>
      <c r="CJ204">
        <v>0</v>
      </c>
      <c r="CK204">
        <v>0</v>
      </c>
      <c r="CL204">
        <v>0</v>
      </c>
      <c r="CM204">
        <v>0</v>
      </c>
    </row>
    <row r="205" spans="82:91" x14ac:dyDescent="0.25">
      <c r="CD205">
        <v>5040</v>
      </c>
      <c r="CE205">
        <v>576</v>
      </c>
      <c r="CF205">
        <v>96</v>
      </c>
      <c r="CG205">
        <v>0</v>
      </c>
      <c r="CH205">
        <v>0</v>
      </c>
      <c r="CI205">
        <v>0</v>
      </c>
      <c r="CJ205">
        <v>0</v>
      </c>
      <c r="CK205">
        <v>0</v>
      </c>
      <c r="CL205">
        <v>0</v>
      </c>
      <c r="CM205">
        <v>0</v>
      </c>
    </row>
    <row r="206" spans="82:91" x14ac:dyDescent="0.25">
      <c r="CD206">
        <v>5040</v>
      </c>
      <c r="CE206">
        <v>576</v>
      </c>
      <c r="CF206">
        <v>96</v>
      </c>
      <c r="CG206">
        <v>0</v>
      </c>
      <c r="CH206">
        <v>0</v>
      </c>
      <c r="CI206">
        <v>0</v>
      </c>
      <c r="CJ206">
        <v>0</v>
      </c>
      <c r="CK206">
        <v>0</v>
      </c>
      <c r="CL206">
        <v>0</v>
      </c>
      <c r="CM206">
        <v>0</v>
      </c>
    </row>
    <row r="207" spans="82:91" x14ac:dyDescent="0.25">
      <c r="CD207">
        <v>5040</v>
      </c>
      <c r="CE207">
        <v>576</v>
      </c>
      <c r="CF207">
        <v>96</v>
      </c>
      <c r="CG207">
        <v>0</v>
      </c>
      <c r="CH207">
        <v>0</v>
      </c>
      <c r="CI207">
        <v>0</v>
      </c>
      <c r="CJ207">
        <v>0</v>
      </c>
      <c r="CK207">
        <v>0</v>
      </c>
      <c r="CL207">
        <v>0</v>
      </c>
      <c r="CM207">
        <v>0</v>
      </c>
    </row>
    <row r="208" spans="82:91" x14ac:dyDescent="0.25">
      <c r="CD208">
        <v>5040</v>
      </c>
      <c r="CE208">
        <v>576</v>
      </c>
      <c r="CF208">
        <v>96</v>
      </c>
      <c r="CG208">
        <v>0</v>
      </c>
      <c r="CH208">
        <v>0</v>
      </c>
      <c r="CI208">
        <v>0</v>
      </c>
      <c r="CJ208">
        <v>0</v>
      </c>
      <c r="CK208">
        <v>0</v>
      </c>
      <c r="CL208">
        <v>0</v>
      </c>
      <c r="CM208">
        <v>0</v>
      </c>
    </row>
    <row r="209" spans="82:91" x14ac:dyDescent="0.25">
      <c r="CD209">
        <v>5040</v>
      </c>
      <c r="CE209">
        <v>576</v>
      </c>
      <c r="CF209">
        <v>96</v>
      </c>
      <c r="CG209">
        <v>0</v>
      </c>
      <c r="CH209">
        <v>0</v>
      </c>
      <c r="CI209">
        <v>0</v>
      </c>
      <c r="CJ209">
        <v>0</v>
      </c>
      <c r="CK209">
        <v>0</v>
      </c>
      <c r="CL209">
        <v>0</v>
      </c>
      <c r="CM209">
        <v>0</v>
      </c>
    </row>
    <row r="210" spans="82:91" x14ac:dyDescent="0.25">
      <c r="CD210">
        <v>5040</v>
      </c>
      <c r="CE210">
        <v>576</v>
      </c>
      <c r="CF210">
        <v>96</v>
      </c>
      <c r="CG210">
        <v>0</v>
      </c>
      <c r="CH210">
        <v>0</v>
      </c>
      <c r="CI210">
        <v>0</v>
      </c>
      <c r="CJ210">
        <v>0</v>
      </c>
      <c r="CK210">
        <v>0</v>
      </c>
      <c r="CL210">
        <v>0</v>
      </c>
      <c r="CM210">
        <v>0</v>
      </c>
    </row>
    <row r="211" spans="82:91" x14ac:dyDescent="0.25">
      <c r="CD211">
        <v>5040</v>
      </c>
      <c r="CE211">
        <v>576</v>
      </c>
      <c r="CF211">
        <v>96</v>
      </c>
      <c r="CG211">
        <v>0</v>
      </c>
      <c r="CH211">
        <v>0</v>
      </c>
      <c r="CI211">
        <v>0</v>
      </c>
      <c r="CJ211">
        <v>0</v>
      </c>
      <c r="CK211">
        <v>0</v>
      </c>
      <c r="CL211">
        <v>0</v>
      </c>
      <c r="CM211">
        <v>0</v>
      </c>
    </row>
    <row r="212" spans="82:91" x14ac:dyDescent="0.25">
      <c r="CD212">
        <v>5040</v>
      </c>
      <c r="CE212">
        <v>576</v>
      </c>
      <c r="CF212">
        <v>96</v>
      </c>
      <c r="CG212">
        <v>0</v>
      </c>
      <c r="CH212">
        <v>0</v>
      </c>
      <c r="CI212">
        <v>0</v>
      </c>
      <c r="CJ212">
        <v>0</v>
      </c>
      <c r="CK212">
        <v>0</v>
      </c>
      <c r="CL212">
        <v>0</v>
      </c>
      <c r="CM212">
        <v>0</v>
      </c>
    </row>
    <row r="213" spans="82:91" x14ac:dyDescent="0.25">
      <c r="CD213">
        <v>5040</v>
      </c>
      <c r="CE213">
        <v>576</v>
      </c>
      <c r="CF213">
        <v>96</v>
      </c>
      <c r="CG213">
        <v>0</v>
      </c>
      <c r="CH213">
        <v>0</v>
      </c>
      <c r="CI213">
        <v>0</v>
      </c>
      <c r="CJ213">
        <v>0</v>
      </c>
      <c r="CK213">
        <v>0</v>
      </c>
      <c r="CL213">
        <v>0</v>
      </c>
      <c r="CM213">
        <v>0</v>
      </c>
    </row>
    <row r="214" spans="82:91" x14ac:dyDescent="0.25">
      <c r="CD214">
        <v>5040</v>
      </c>
      <c r="CE214">
        <v>576</v>
      </c>
      <c r="CF214">
        <v>96</v>
      </c>
      <c r="CG214">
        <v>0</v>
      </c>
      <c r="CH214">
        <v>0</v>
      </c>
      <c r="CI214">
        <v>0</v>
      </c>
      <c r="CJ214">
        <v>0</v>
      </c>
      <c r="CK214">
        <v>0</v>
      </c>
      <c r="CL214">
        <v>0</v>
      </c>
      <c r="CM214">
        <v>0</v>
      </c>
    </row>
    <row r="215" spans="82:91" x14ac:dyDescent="0.25">
      <c r="CD215">
        <v>5040</v>
      </c>
      <c r="CE215">
        <v>576</v>
      </c>
      <c r="CF215">
        <v>96</v>
      </c>
      <c r="CG215">
        <v>0</v>
      </c>
      <c r="CH215">
        <v>0</v>
      </c>
      <c r="CI215">
        <v>0</v>
      </c>
      <c r="CJ215">
        <v>0</v>
      </c>
      <c r="CK215">
        <v>0</v>
      </c>
      <c r="CL215">
        <v>0</v>
      </c>
      <c r="CM215">
        <v>0</v>
      </c>
    </row>
    <row r="216" spans="82:91" x14ac:dyDescent="0.25">
      <c r="CD216">
        <v>5040</v>
      </c>
      <c r="CE216">
        <v>576</v>
      </c>
      <c r="CF216">
        <v>96</v>
      </c>
      <c r="CG216">
        <v>0</v>
      </c>
      <c r="CH216">
        <v>0</v>
      </c>
      <c r="CI216">
        <v>0</v>
      </c>
      <c r="CJ216">
        <v>0</v>
      </c>
      <c r="CK216">
        <v>0</v>
      </c>
      <c r="CL216">
        <v>0</v>
      </c>
      <c r="CM216">
        <v>0</v>
      </c>
    </row>
    <row r="217" spans="82:91" x14ac:dyDescent="0.25">
      <c r="CD217">
        <v>5040</v>
      </c>
      <c r="CE217">
        <v>576</v>
      </c>
      <c r="CF217">
        <v>96</v>
      </c>
      <c r="CG217">
        <v>0</v>
      </c>
      <c r="CH217">
        <v>0</v>
      </c>
      <c r="CI217">
        <v>0</v>
      </c>
      <c r="CJ217">
        <v>0</v>
      </c>
      <c r="CK217">
        <v>0</v>
      </c>
      <c r="CL217">
        <v>0</v>
      </c>
      <c r="CM217">
        <v>0</v>
      </c>
    </row>
    <row r="218" spans="82:91" x14ac:dyDescent="0.25">
      <c r="CD218">
        <v>5040</v>
      </c>
      <c r="CE218">
        <v>576</v>
      </c>
      <c r="CF218">
        <v>96</v>
      </c>
      <c r="CG218">
        <v>0</v>
      </c>
      <c r="CH218">
        <v>0</v>
      </c>
      <c r="CI218">
        <v>0</v>
      </c>
      <c r="CJ218">
        <v>0</v>
      </c>
      <c r="CK218">
        <v>0</v>
      </c>
      <c r="CL218">
        <v>0</v>
      </c>
      <c r="CM218">
        <v>0</v>
      </c>
    </row>
    <row r="219" spans="82:91" x14ac:dyDescent="0.25">
      <c r="CD219">
        <v>5040</v>
      </c>
      <c r="CE219">
        <v>576</v>
      </c>
      <c r="CF219">
        <v>96</v>
      </c>
      <c r="CG219">
        <v>0</v>
      </c>
      <c r="CH219">
        <v>0</v>
      </c>
      <c r="CI219">
        <v>0</v>
      </c>
      <c r="CJ219">
        <v>0</v>
      </c>
      <c r="CK219">
        <v>0</v>
      </c>
      <c r="CL219">
        <v>0</v>
      </c>
      <c r="CM219">
        <v>0</v>
      </c>
    </row>
    <row r="220" spans="82:91" x14ac:dyDescent="0.25">
      <c r="CD220">
        <v>5040</v>
      </c>
      <c r="CE220">
        <v>576</v>
      </c>
      <c r="CF220">
        <v>96</v>
      </c>
      <c r="CG220">
        <v>0</v>
      </c>
      <c r="CH220">
        <v>0</v>
      </c>
      <c r="CI220">
        <v>0</v>
      </c>
      <c r="CJ220">
        <v>0</v>
      </c>
      <c r="CK220">
        <v>0</v>
      </c>
      <c r="CL220">
        <v>0</v>
      </c>
      <c r="CM220">
        <v>0</v>
      </c>
    </row>
    <row r="221" spans="82:91" x14ac:dyDescent="0.25">
      <c r="CD221">
        <v>5040</v>
      </c>
      <c r="CE221">
        <v>576</v>
      </c>
      <c r="CF221">
        <v>96</v>
      </c>
      <c r="CG221">
        <v>0</v>
      </c>
      <c r="CH221">
        <v>0</v>
      </c>
      <c r="CI221">
        <v>0</v>
      </c>
      <c r="CJ221">
        <v>0</v>
      </c>
      <c r="CK221">
        <v>0</v>
      </c>
      <c r="CL221">
        <v>0</v>
      </c>
      <c r="CM221">
        <v>0</v>
      </c>
    </row>
    <row r="222" spans="82:91" x14ac:dyDescent="0.25">
      <c r="CD222">
        <v>5040</v>
      </c>
      <c r="CE222">
        <v>576</v>
      </c>
      <c r="CF222">
        <v>96</v>
      </c>
      <c r="CG222">
        <v>0</v>
      </c>
      <c r="CH222">
        <v>0</v>
      </c>
      <c r="CI222">
        <v>0</v>
      </c>
      <c r="CJ222">
        <v>0</v>
      </c>
      <c r="CK222">
        <v>0</v>
      </c>
      <c r="CL222">
        <v>0</v>
      </c>
      <c r="CM222">
        <v>0</v>
      </c>
    </row>
    <row r="223" spans="82:91" x14ac:dyDescent="0.25">
      <c r="CD223">
        <v>5040</v>
      </c>
      <c r="CE223">
        <v>576</v>
      </c>
      <c r="CF223">
        <v>96</v>
      </c>
      <c r="CG223">
        <v>0</v>
      </c>
      <c r="CH223">
        <v>0</v>
      </c>
      <c r="CI223">
        <v>0</v>
      </c>
      <c r="CJ223">
        <v>0</v>
      </c>
      <c r="CK223">
        <v>0</v>
      </c>
      <c r="CL223">
        <v>0</v>
      </c>
      <c r="CM223">
        <v>0</v>
      </c>
    </row>
    <row r="224" spans="82:91" x14ac:dyDescent="0.25">
      <c r="CD224">
        <v>5040</v>
      </c>
      <c r="CE224">
        <v>576</v>
      </c>
      <c r="CF224">
        <v>96</v>
      </c>
      <c r="CG224">
        <v>0</v>
      </c>
      <c r="CH224">
        <v>0</v>
      </c>
      <c r="CI224">
        <v>0</v>
      </c>
      <c r="CJ224">
        <v>0</v>
      </c>
      <c r="CK224">
        <v>0</v>
      </c>
      <c r="CL224">
        <v>0</v>
      </c>
      <c r="CM224">
        <v>0</v>
      </c>
    </row>
    <row r="225" spans="82:91" x14ac:dyDescent="0.25">
      <c r="CD225">
        <v>5040</v>
      </c>
      <c r="CE225">
        <v>576</v>
      </c>
      <c r="CF225">
        <v>96</v>
      </c>
      <c r="CG225">
        <v>0</v>
      </c>
      <c r="CH225">
        <v>0</v>
      </c>
      <c r="CI225">
        <v>0</v>
      </c>
      <c r="CJ225">
        <v>0</v>
      </c>
      <c r="CK225">
        <v>0</v>
      </c>
      <c r="CL225">
        <v>0</v>
      </c>
      <c r="CM225">
        <v>0</v>
      </c>
    </row>
    <row r="226" spans="82:91" x14ac:dyDescent="0.25">
      <c r="CD226">
        <v>5040</v>
      </c>
      <c r="CE226">
        <v>576</v>
      </c>
      <c r="CF226">
        <v>96</v>
      </c>
      <c r="CG226">
        <v>0</v>
      </c>
      <c r="CH226">
        <v>0</v>
      </c>
      <c r="CI226">
        <v>0</v>
      </c>
      <c r="CJ226">
        <v>0</v>
      </c>
      <c r="CK226">
        <v>0</v>
      </c>
      <c r="CL226">
        <v>0</v>
      </c>
      <c r="CM226">
        <v>0</v>
      </c>
    </row>
    <row r="227" spans="82:91" x14ac:dyDescent="0.25">
      <c r="CD227">
        <v>5040</v>
      </c>
      <c r="CE227">
        <v>576</v>
      </c>
      <c r="CF227">
        <v>96</v>
      </c>
      <c r="CG227">
        <v>0</v>
      </c>
      <c r="CH227">
        <v>0</v>
      </c>
      <c r="CI227">
        <v>0</v>
      </c>
      <c r="CJ227">
        <v>0</v>
      </c>
      <c r="CK227">
        <v>0</v>
      </c>
      <c r="CL227">
        <v>0</v>
      </c>
      <c r="CM227">
        <v>0</v>
      </c>
    </row>
    <row r="228" spans="82:91" x14ac:dyDescent="0.25">
      <c r="CD228">
        <v>5040</v>
      </c>
      <c r="CE228">
        <v>576</v>
      </c>
      <c r="CF228">
        <v>96</v>
      </c>
      <c r="CG228">
        <v>0</v>
      </c>
      <c r="CH228">
        <v>0</v>
      </c>
      <c r="CI228">
        <v>0</v>
      </c>
      <c r="CJ228">
        <v>0</v>
      </c>
      <c r="CK228">
        <v>0</v>
      </c>
      <c r="CL228">
        <v>0</v>
      </c>
      <c r="CM228">
        <v>0</v>
      </c>
    </row>
    <row r="229" spans="82:91" x14ac:dyDescent="0.25">
      <c r="CD229">
        <v>5040</v>
      </c>
      <c r="CE229">
        <v>576</v>
      </c>
      <c r="CF229">
        <v>96</v>
      </c>
      <c r="CG229">
        <v>0</v>
      </c>
      <c r="CH229">
        <v>0</v>
      </c>
      <c r="CI229">
        <v>0</v>
      </c>
      <c r="CJ229">
        <v>0</v>
      </c>
      <c r="CK229">
        <v>0</v>
      </c>
      <c r="CL229">
        <v>0</v>
      </c>
      <c r="CM229">
        <v>0</v>
      </c>
    </row>
    <row r="230" spans="82:91" x14ac:dyDescent="0.25">
      <c r="CD230">
        <v>5040</v>
      </c>
      <c r="CE230">
        <v>576</v>
      </c>
      <c r="CF230">
        <v>96</v>
      </c>
      <c r="CG230">
        <v>0</v>
      </c>
      <c r="CH230">
        <v>0</v>
      </c>
      <c r="CI230">
        <v>0</v>
      </c>
      <c r="CJ230">
        <v>0</v>
      </c>
      <c r="CK230">
        <v>0</v>
      </c>
      <c r="CL230">
        <v>0</v>
      </c>
      <c r="CM230">
        <v>0</v>
      </c>
    </row>
    <row r="231" spans="82:91" x14ac:dyDescent="0.25">
      <c r="CD231">
        <v>5040</v>
      </c>
      <c r="CE231">
        <v>576</v>
      </c>
      <c r="CF231">
        <v>96</v>
      </c>
      <c r="CG231">
        <v>0</v>
      </c>
      <c r="CH231">
        <v>0</v>
      </c>
      <c r="CI231">
        <v>0</v>
      </c>
      <c r="CJ231">
        <v>0</v>
      </c>
      <c r="CK231">
        <v>0</v>
      </c>
      <c r="CL231">
        <v>0</v>
      </c>
      <c r="CM231">
        <v>0</v>
      </c>
    </row>
    <row r="232" spans="82:91" x14ac:dyDescent="0.25">
      <c r="CD232">
        <v>5040</v>
      </c>
      <c r="CE232">
        <v>576</v>
      </c>
      <c r="CF232">
        <v>96</v>
      </c>
      <c r="CG232">
        <v>0</v>
      </c>
      <c r="CH232">
        <v>0</v>
      </c>
      <c r="CI232">
        <v>0</v>
      </c>
      <c r="CJ232">
        <v>0</v>
      </c>
      <c r="CK232">
        <v>0</v>
      </c>
      <c r="CL232">
        <v>0</v>
      </c>
      <c r="CM232">
        <v>0</v>
      </c>
    </row>
    <row r="233" spans="82:91" x14ac:dyDescent="0.25">
      <c r="CD233">
        <v>5040</v>
      </c>
      <c r="CE233">
        <v>576</v>
      </c>
      <c r="CF233">
        <v>96</v>
      </c>
      <c r="CG233">
        <v>0</v>
      </c>
      <c r="CH233">
        <v>0</v>
      </c>
      <c r="CI233">
        <v>0</v>
      </c>
      <c r="CJ233">
        <v>0</v>
      </c>
      <c r="CK233">
        <v>0</v>
      </c>
      <c r="CL233">
        <v>0</v>
      </c>
      <c r="CM233">
        <v>0</v>
      </c>
    </row>
    <row r="234" spans="82:91" x14ac:dyDescent="0.25">
      <c r="CD234">
        <v>5040</v>
      </c>
      <c r="CE234">
        <v>576</v>
      </c>
      <c r="CF234">
        <v>96</v>
      </c>
      <c r="CG234">
        <v>0</v>
      </c>
      <c r="CH234">
        <v>0</v>
      </c>
      <c r="CI234">
        <v>0</v>
      </c>
      <c r="CJ234">
        <v>0</v>
      </c>
      <c r="CK234">
        <v>0</v>
      </c>
      <c r="CL234">
        <v>0</v>
      </c>
      <c r="CM234">
        <v>0</v>
      </c>
    </row>
    <row r="235" spans="82:91" x14ac:dyDescent="0.25">
      <c r="CD235">
        <v>5040</v>
      </c>
      <c r="CE235">
        <v>576</v>
      </c>
      <c r="CF235">
        <v>96</v>
      </c>
      <c r="CG235">
        <v>0</v>
      </c>
      <c r="CH235">
        <v>0</v>
      </c>
      <c r="CI235">
        <v>0</v>
      </c>
      <c r="CJ235">
        <v>0</v>
      </c>
      <c r="CK235">
        <v>0</v>
      </c>
      <c r="CL235">
        <v>0</v>
      </c>
      <c r="CM235">
        <v>0</v>
      </c>
    </row>
    <row r="236" spans="82:91" x14ac:dyDescent="0.25">
      <c r="CD236">
        <v>5040</v>
      </c>
      <c r="CE236">
        <v>576</v>
      </c>
      <c r="CF236">
        <v>96</v>
      </c>
      <c r="CG236">
        <v>0</v>
      </c>
      <c r="CH236">
        <v>0</v>
      </c>
      <c r="CI236">
        <v>0</v>
      </c>
      <c r="CJ236">
        <v>0</v>
      </c>
      <c r="CK236">
        <v>0</v>
      </c>
      <c r="CL236">
        <v>0</v>
      </c>
      <c r="CM236">
        <v>0</v>
      </c>
    </row>
    <row r="237" spans="82:91" x14ac:dyDescent="0.25">
      <c r="CD237">
        <v>5040</v>
      </c>
      <c r="CE237">
        <v>576</v>
      </c>
      <c r="CF237">
        <v>96</v>
      </c>
      <c r="CG237">
        <v>0</v>
      </c>
      <c r="CH237">
        <v>0</v>
      </c>
      <c r="CI237">
        <v>0</v>
      </c>
      <c r="CJ237">
        <v>0</v>
      </c>
      <c r="CK237">
        <v>0</v>
      </c>
      <c r="CL237">
        <v>0</v>
      </c>
      <c r="CM237">
        <v>0</v>
      </c>
    </row>
    <row r="238" spans="82:91" x14ac:dyDescent="0.25">
      <c r="CD238">
        <v>5040</v>
      </c>
      <c r="CE238">
        <v>576</v>
      </c>
      <c r="CF238">
        <v>96</v>
      </c>
      <c r="CG238">
        <v>0</v>
      </c>
      <c r="CH238">
        <v>0</v>
      </c>
      <c r="CI238">
        <v>0</v>
      </c>
      <c r="CJ238">
        <v>0</v>
      </c>
      <c r="CK238">
        <v>0</v>
      </c>
      <c r="CL238">
        <v>0</v>
      </c>
      <c r="CM238">
        <v>0</v>
      </c>
    </row>
    <row r="239" spans="82:91" x14ac:dyDescent="0.25">
      <c r="CD239">
        <v>5040</v>
      </c>
      <c r="CE239">
        <v>576</v>
      </c>
      <c r="CF239">
        <v>96</v>
      </c>
      <c r="CG239">
        <v>0</v>
      </c>
      <c r="CH239">
        <v>0</v>
      </c>
      <c r="CI239">
        <v>0</v>
      </c>
      <c r="CJ239">
        <v>0</v>
      </c>
      <c r="CK239">
        <v>0</v>
      </c>
      <c r="CL239">
        <v>0</v>
      </c>
      <c r="CM239">
        <v>0</v>
      </c>
    </row>
    <row r="240" spans="82:91" x14ac:dyDescent="0.25">
      <c r="CD240">
        <v>5040</v>
      </c>
      <c r="CE240">
        <v>576</v>
      </c>
      <c r="CF240">
        <v>96</v>
      </c>
      <c r="CG240">
        <v>0</v>
      </c>
      <c r="CH240">
        <v>0</v>
      </c>
      <c r="CI240">
        <v>0</v>
      </c>
      <c r="CJ240">
        <v>0</v>
      </c>
      <c r="CK240">
        <v>0</v>
      </c>
      <c r="CL240">
        <v>0</v>
      </c>
      <c r="CM240">
        <v>0</v>
      </c>
    </row>
    <row r="241" spans="82:91" x14ac:dyDescent="0.25">
      <c r="CD241">
        <v>5040</v>
      </c>
      <c r="CE241">
        <v>576</v>
      </c>
      <c r="CF241">
        <v>96</v>
      </c>
      <c r="CG241">
        <v>0</v>
      </c>
      <c r="CH241">
        <v>0</v>
      </c>
      <c r="CI241">
        <v>0</v>
      </c>
      <c r="CJ241">
        <v>0</v>
      </c>
      <c r="CK241">
        <v>0</v>
      </c>
      <c r="CL241">
        <v>0</v>
      </c>
      <c r="CM241">
        <v>0</v>
      </c>
    </row>
    <row r="242" spans="82:91" x14ac:dyDescent="0.25">
      <c r="CD242">
        <v>5040</v>
      </c>
      <c r="CE242">
        <v>576</v>
      </c>
      <c r="CF242">
        <v>96</v>
      </c>
      <c r="CG242">
        <v>0</v>
      </c>
      <c r="CH242">
        <v>0</v>
      </c>
      <c r="CI242">
        <v>0</v>
      </c>
      <c r="CJ242">
        <v>0</v>
      </c>
      <c r="CK242">
        <v>0</v>
      </c>
      <c r="CL242">
        <v>0</v>
      </c>
      <c r="CM242">
        <v>0</v>
      </c>
    </row>
    <row r="243" spans="82:91" x14ac:dyDescent="0.25">
      <c r="CD243">
        <v>5040</v>
      </c>
      <c r="CE243">
        <v>576</v>
      </c>
      <c r="CF243">
        <v>96</v>
      </c>
      <c r="CG243">
        <v>0</v>
      </c>
      <c r="CH243">
        <v>0</v>
      </c>
      <c r="CI243">
        <v>0</v>
      </c>
      <c r="CJ243">
        <v>0</v>
      </c>
      <c r="CK243">
        <v>0</v>
      </c>
      <c r="CL243">
        <v>0</v>
      </c>
      <c r="CM243">
        <v>0</v>
      </c>
    </row>
    <row r="244" spans="82:91" x14ac:dyDescent="0.25">
      <c r="CD244">
        <v>5040</v>
      </c>
      <c r="CE244">
        <v>576</v>
      </c>
      <c r="CF244">
        <v>96</v>
      </c>
      <c r="CG244">
        <v>0</v>
      </c>
      <c r="CH244">
        <v>0</v>
      </c>
      <c r="CI244">
        <v>0</v>
      </c>
      <c r="CJ244">
        <v>0</v>
      </c>
      <c r="CK244">
        <v>0</v>
      </c>
      <c r="CL244">
        <v>0</v>
      </c>
      <c r="CM244">
        <v>0</v>
      </c>
    </row>
    <row r="245" spans="82:91" x14ac:dyDescent="0.25">
      <c r="CD245">
        <v>5040</v>
      </c>
      <c r="CE245">
        <v>576</v>
      </c>
      <c r="CF245">
        <v>96</v>
      </c>
      <c r="CG245">
        <v>0</v>
      </c>
      <c r="CH245">
        <v>0</v>
      </c>
      <c r="CI245">
        <v>0</v>
      </c>
      <c r="CJ245">
        <v>0</v>
      </c>
      <c r="CK245">
        <v>0</v>
      </c>
      <c r="CL245">
        <v>0</v>
      </c>
      <c r="CM245">
        <v>0</v>
      </c>
    </row>
    <row r="246" spans="82:91" x14ac:dyDescent="0.25">
      <c r="CD246">
        <v>5040</v>
      </c>
      <c r="CE246">
        <v>576</v>
      </c>
      <c r="CF246">
        <v>96</v>
      </c>
      <c r="CG246">
        <v>0</v>
      </c>
      <c r="CH246">
        <v>0</v>
      </c>
      <c r="CI246">
        <v>0</v>
      </c>
      <c r="CJ246">
        <v>0</v>
      </c>
      <c r="CK246">
        <v>0</v>
      </c>
      <c r="CL246">
        <v>0</v>
      </c>
      <c r="CM246">
        <v>0</v>
      </c>
    </row>
    <row r="247" spans="82:91" x14ac:dyDescent="0.25">
      <c r="CD247">
        <v>5040</v>
      </c>
      <c r="CE247">
        <v>576</v>
      </c>
      <c r="CF247">
        <v>96</v>
      </c>
      <c r="CG247">
        <v>0</v>
      </c>
      <c r="CH247">
        <v>0</v>
      </c>
      <c r="CI247">
        <v>0</v>
      </c>
      <c r="CJ247">
        <v>0</v>
      </c>
      <c r="CK247">
        <v>0</v>
      </c>
      <c r="CL247">
        <v>0</v>
      </c>
      <c r="CM247">
        <v>0</v>
      </c>
    </row>
    <row r="248" spans="82:91" x14ac:dyDescent="0.25">
      <c r="CD248">
        <v>5040</v>
      </c>
      <c r="CE248">
        <v>576</v>
      </c>
      <c r="CF248">
        <v>96</v>
      </c>
      <c r="CG248">
        <v>0</v>
      </c>
      <c r="CH248">
        <v>0</v>
      </c>
      <c r="CI248">
        <v>0</v>
      </c>
      <c r="CJ248">
        <v>0</v>
      </c>
      <c r="CK248">
        <v>0</v>
      </c>
      <c r="CL248">
        <v>0</v>
      </c>
      <c r="CM248">
        <v>0</v>
      </c>
    </row>
    <row r="249" spans="82:91" x14ac:dyDescent="0.25">
      <c r="CD249">
        <v>5040</v>
      </c>
      <c r="CE249">
        <v>576</v>
      </c>
      <c r="CF249">
        <v>96</v>
      </c>
      <c r="CG249">
        <v>0</v>
      </c>
      <c r="CH249">
        <v>0</v>
      </c>
      <c r="CI249">
        <v>0</v>
      </c>
      <c r="CJ249">
        <v>0</v>
      </c>
      <c r="CK249">
        <v>0</v>
      </c>
      <c r="CL249">
        <v>0</v>
      </c>
      <c r="CM249">
        <v>0</v>
      </c>
    </row>
    <row r="250" spans="82:91" x14ac:dyDescent="0.25">
      <c r="CD250">
        <v>5040</v>
      </c>
      <c r="CE250">
        <v>576</v>
      </c>
      <c r="CF250">
        <v>96</v>
      </c>
      <c r="CG250">
        <v>0</v>
      </c>
      <c r="CH250">
        <v>0</v>
      </c>
      <c r="CI250">
        <v>0</v>
      </c>
      <c r="CJ250">
        <v>0</v>
      </c>
      <c r="CK250">
        <v>0</v>
      </c>
      <c r="CL250">
        <v>0</v>
      </c>
      <c r="CM250">
        <v>0</v>
      </c>
    </row>
    <row r="251" spans="82:91" x14ac:dyDescent="0.25">
      <c r="CD251">
        <v>5040</v>
      </c>
      <c r="CE251">
        <v>576</v>
      </c>
      <c r="CF251">
        <v>96</v>
      </c>
      <c r="CG251">
        <v>0</v>
      </c>
      <c r="CH251">
        <v>0</v>
      </c>
      <c r="CI251">
        <v>0</v>
      </c>
      <c r="CJ251">
        <v>0</v>
      </c>
      <c r="CK251">
        <v>0</v>
      </c>
      <c r="CL251">
        <v>0</v>
      </c>
      <c r="CM251">
        <v>0</v>
      </c>
    </row>
    <row r="252" spans="82:91" x14ac:dyDescent="0.25">
      <c r="CD252">
        <v>5040</v>
      </c>
      <c r="CE252">
        <v>576</v>
      </c>
      <c r="CF252">
        <v>96</v>
      </c>
      <c r="CG252">
        <v>0</v>
      </c>
      <c r="CH252">
        <v>0</v>
      </c>
      <c r="CI252">
        <v>0</v>
      </c>
      <c r="CJ252">
        <v>0</v>
      </c>
      <c r="CK252">
        <v>0</v>
      </c>
      <c r="CL252">
        <v>0</v>
      </c>
      <c r="CM252">
        <v>0</v>
      </c>
    </row>
    <row r="253" spans="82:91" x14ac:dyDescent="0.25">
      <c r="CD253">
        <v>5040</v>
      </c>
      <c r="CE253">
        <v>576</v>
      </c>
      <c r="CF253">
        <v>96</v>
      </c>
      <c r="CG253">
        <v>0</v>
      </c>
      <c r="CH253">
        <v>0</v>
      </c>
      <c r="CI253">
        <v>0</v>
      </c>
      <c r="CJ253">
        <v>0</v>
      </c>
      <c r="CK253">
        <v>0</v>
      </c>
      <c r="CL253">
        <v>0</v>
      </c>
      <c r="CM253">
        <v>0</v>
      </c>
    </row>
    <row r="254" spans="82:91" x14ac:dyDescent="0.25">
      <c r="CD254">
        <v>5040</v>
      </c>
      <c r="CE254">
        <v>576</v>
      </c>
      <c r="CF254">
        <v>96</v>
      </c>
      <c r="CG254">
        <v>0</v>
      </c>
      <c r="CH254">
        <v>0</v>
      </c>
      <c r="CI254">
        <v>0</v>
      </c>
      <c r="CJ254">
        <v>0</v>
      </c>
      <c r="CK254">
        <v>0</v>
      </c>
      <c r="CL254">
        <v>0</v>
      </c>
      <c r="CM254">
        <v>0</v>
      </c>
    </row>
    <row r="255" spans="82:91" x14ac:dyDescent="0.25">
      <c r="CD255">
        <v>5040</v>
      </c>
      <c r="CE255">
        <v>576</v>
      </c>
      <c r="CF255">
        <v>96</v>
      </c>
      <c r="CG255">
        <v>0</v>
      </c>
      <c r="CH255">
        <v>0</v>
      </c>
      <c r="CI255">
        <v>0</v>
      </c>
      <c r="CJ255">
        <v>0</v>
      </c>
      <c r="CK255">
        <v>0</v>
      </c>
      <c r="CL255">
        <v>0</v>
      </c>
      <c r="CM255">
        <v>0</v>
      </c>
    </row>
    <row r="256" spans="82:91" x14ac:dyDescent="0.25">
      <c r="CD256">
        <v>5040</v>
      </c>
      <c r="CE256">
        <v>576</v>
      </c>
      <c r="CF256">
        <v>96</v>
      </c>
      <c r="CG256">
        <v>0</v>
      </c>
      <c r="CH256">
        <v>0</v>
      </c>
      <c r="CI256">
        <v>0</v>
      </c>
      <c r="CJ256">
        <v>0</v>
      </c>
      <c r="CK256">
        <v>0</v>
      </c>
      <c r="CL256">
        <v>0</v>
      </c>
      <c r="CM256">
        <v>0</v>
      </c>
    </row>
    <row r="257" spans="82:91" x14ac:dyDescent="0.25">
      <c r="CD257">
        <v>5040</v>
      </c>
      <c r="CE257">
        <v>576</v>
      </c>
      <c r="CF257">
        <v>96</v>
      </c>
      <c r="CG257">
        <v>0</v>
      </c>
      <c r="CH257">
        <v>0</v>
      </c>
      <c r="CI257">
        <v>0</v>
      </c>
      <c r="CJ257">
        <v>0</v>
      </c>
      <c r="CK257">
        <v>0</v>
      </c>
      <c r="CL257">
        <v>0</v>
      </c>
      <c r="CM257">
        <v>0</v>
      </c>
    </row>
    <row r="258" spans="82:91" x14ac:dyDescent="0.25">
      <c r="CD258">
        <v>5040</v>
      </c>
      <c r="CE258">
        <v>576</v>
      </c>
      <c r="CF258">
        <v>96</v>
      </c>
      <c r="CG258">
        <v>0</v>
      </c>
      <c r="CH258">
        <v>0</v>
      </c>
      <c r="CI258">
        <v>0</v>
      </c>
      <c r="CJ258">
        <v>0</v>
      </c>
      <c r="CK258">
        <v>0</v>
      </c>
      <c r="CL258">
        <v>0</v>
      </c>
      <c r="CM258">
        <v>0</v>
      </c>
    </row>
    <row r="259" spans="82:91" x14ac:dyDescent="0.25">
      <c r="CD259">
        <v>5040</v>
      </c>
      <c r="CE259">
        <v>576</v>
      </c>
      <c r="CF259">
        <v>96</v>
      </c>
      <c r="CG259">
        <v>0</v>
      </c>
      <c r="CH259">
        <v>0</v>
      </c>
      <c r="CI259">
        <v>0</v>
      </c>
      <c r="CJ259">
        <v>0</v>
      </c>
      <c r="CK259">
        <v>0</v>
      </c>
      <c r="CL259">
        <v>0</v>
      </c>
      <c r="CM259">
        <v>0</v>
      </c>
    </row>
    <row r="260" spans="82:91" x14ac:dyDescent="0.25">
      <c r="CD260">
        <v>5040</v>
      </c>
      <c r="CE260">
        <v>384</v>
      </c>
      <c r="CF260">
        <v>144</v>
      </c>
      <c r="CG260">
        <v>0</v>
      </c>
      <c r="CH260">
        <v>0</v>
      </c>
      <c r="CI260">
        <v>0</v>
      </c>
      <c r="CJ260">
        <v>0</v>
      </c>
      <c r="CK260">
        <v>0</v>
      </c>
      <c r="CL260">
        <v>0</v>
      </c>
      <c r="CM260">
        <v>0</v>
      </c>
    </row>
    <row r="261" spans="82:91" x14ac:dyDescent="0.25">
      <c r="CD261">
        <v>5040</v>
      </c>
      <c r="CE261">
        <v>384</v>
      </c>
      <c r="CF261">
        <v>144</v>
      </c>
      <c r="CG261">
        <v>0</v>
      </c>
      <c r="CH261">
        <v>0</v>
      </c>
      <c r="CI261">
        <v>0</v>
      </c>
      <c r="CJ261">
        <v>0</v>
      </c>
      <c r="CK261">
        <v>0</v>
      </c>
      <c r="CL261">
        <v>0</v>
      </c>
      <c r="CM261">
        <v>0</v>
      </c>
    </row>
    <row r="262" spans="82:91" x14ac:dyDescent="0.25">
      <c r="CD262">
        <v>5040</v>
      </c>
      <c r="CE262">
        <v>384</v>
      </c>
      <c r="CF262">
        <v>144</v>
      </c>
      <c r="CG262">
        <v>0</v>
      </c>
      <c r="CH262">
        <v>0</v>
      </c>
      <c r="CI262">
        <v>0</v>
      </c>
      <c r="CJ262">
        <v>0</v>
      </c>
      <c r="CK262">
        <v>0</v>
      </c>
      <c r="CL262">
        <v>0</v>
      </c>
      <c r="CM262">
        <v>0</v>
      </c>
    </row>
    <row r="263" spans="82:91" x14ac:dyDescent="0.25">
      <c r="CD263">
        <v>5040</v>
      </c>
      <c r="CE263">
        <v>384</v>
      </c>
      <c r="CF263">
        <v>144</v>
      </c>
      <c r="CG263">
        <v>0</v>
      </c>
      <c r="CH263">
        <v>0</v>
      </c>
      <c r="CI263">
        <v>0</v>
      </c>
      <c r="CJ263">
        <v>0</v>
      </c>
      <c r="CK263">
        <v>0</v>
      </c>
      <c r="CL263">
        <v>0</v>
      </c>
      <c r="CM263">
        <v>0</v>
      </c>
    </row>
    <row r="264" spans="82:91" x14ac:dyDescent="0.25">
      <c r="CD264">
        <v>5040</v>
      </c>
      <c r="CE264">
        <v>384</v>
      </c>
      <c r="CF264">
        <v>144</v>
      </c>
      <c r="CG264">
        <v>0</v>
      </c>
      <c r="CH264">
        <v>0</v>
      </c>
      <c r="CI264">
        <v>0</v>
      </c>
      <c r="CJ264">
        <v>0</v>
      </c>
      <c r="CK264">
        <v>0</v>
      </c>
      <c r="CL264">
        <v>0</v>
      </c>
      <c r="CM264">
        <v>0</v>
      </c>
    </row>
    <row r="265" spans="82:91" x14ac:dyDescent="0.25">
      <c r="CD265">
        <v>5040</v>
      </c>
      <c r="CE265">
        <v>384</v>
      </c>
      <c r="CF265">
        <v>144</v>
      </c>
      <c r="CG265">
        <v>0</v>
      </c>
      <c r="CH265">
        <v>0</v>
      </c>
      <c r="CI265">
        <v>0</v>
      </c>
      <c r="CJ265">
        <v>0</v>
      </c>
      <c r="CK265">
        <v>0</v>
      </c>
      <c r="CL265">
        <v>0</v>
      </c>
      <c r="CM265">
        <v>0</v>
      </c>
    </row>
    <row r="266" spans="82:91" x14ac:dyDescent="0.25">
      <c r="CD266">
        <v>5040</v>
      </c>
      <c r="CE266">
        <v>384</v>
      </c>
      <c r="CF266">
        <v>144</v>
      </c>
      <c r="CG266">
        <v>0</v>
      </c>
      <c r="CH266">
        <v>0</v>
      </c>
      <c r="CI266">
        <v>0</v>
      </c>
      <c r="CJ266">
        <v>0</v>
      </c>
      <c r="CK266">
        <v>0</v>
      </c>
      <c r="CL266">
        <v>0</v>
      </c>
      <c r="CM266">
        <v>0</v>
      </c>
    </row>
    <row r="267" spans="82:91" x14ac:dyDescent="0.25">
      <c r="CD267">
        <v>5040</v>
      </c>
      <c r="CE267">
        <v>384</v>
      </c>
      <c r="CF267">
        <v>144</v>
      </c>
      <c r="CG267">
        <v>0</v>
      </c>
      <c r="CH267">
        <v>0</v>
      </c>
      <c r="CI267">
        <v>0</v>
      </c>
      <c r="CJ267">
        <v>0</v>
      </c>
      <c r="CK267">
        <v>0</v>
      </c>
      <c r="CL267">
        <v>0</v>
      </c>
      <c r="CM267">
        <v>0</v>
      </c>
    </row>
    <row r="268" spans="82:91" x14ac:dyDescent="0.25">
      <c r="CD268">
        <v>5040</v>
      </c>
      <c r="CE268">
        <v>384</v>
      </c>
      <c r="CF268">
        <v>144</v>
      </c>
      <c r="CG268">
        <v>0</v>
      </c>
      <c r="CH268">
        <v>0</v>
      </c>
      <c r="CI268">
        <v>0</v>
      </c>
      <c r="CJ268">
        <v>0</v>
      </c>
      <c r="CK268">
        <v>0</v>
      </c>
      <c r="CL268">
        <v>0</v>
      </c>
      <c r="CM268">
        <v>0</v>
      </c>
    </row>
    <row r="269" spans="82:91" x14ac:dyDescent="0.25">
      <c r="CD269">
        <v>5040</v>
      </c>
      <c r="CE269">
        <v>384</v>
      </c>
      <c r="CF269">
        <v>144</v>
      </c>
      <c r="CG269">
        <v>0</v>
      </c>
      <c r="CH269">
        <v>0</v>
      </c>
      <c r="CI269">
        <v>0</v>
      </c>
      <c r="CJ269">
        <v>0</v>
      </c>
      <c r="CK269">
        <v>0</v>
      </c>
      <c r="CL269">
        <v>0</v>
      </c>
      <c r="CM269">
        <v>0</v>
      </c>
    </row>
    <row r="270" spans="82:91" x14ac:dyDescent="0.25">
      <c r="CD270">
        <v>5040</v>
      </c>
      <c r="CE270">
        <v>384</v>
      </c>
      <c r="CF270">
        <v>144</v>
      </c>
      <c r="CG270">
        <v>0</v>
      </c>
      <c r="CH270">
        <v>0</v>
      </c>
      <c r="CI270">
        <v>0</v>
      </c>
      <c r="CJ270">
        <v>0</v>
      </c>
      <c r="CK270">
        <v>0</v>
      </c>
      <c r="CL270">
        <v>0</v>
      </c>
      <c r="CM270">
        <v>0</v>
      </c>
    </row>
    <row r="271" spans="82:91" x14ac:dyDescent="0.25">
      <c r="CD271">
        <v>5040</v>
      </c>
      <c r="CE271">
        <v>384</v>
      </c>
      <c r="CF271">
        <v>144</v>
      </c>
      <c r="CG271">
        <v>0</v>
      </c>
      <c r="CH271">
        <v>0</v>
      </c>
      <c r="CI271">
        <v>0</v>
      </c>
      <c r="CJ271">
        <v>0</v>
      </c>
      <c r="CK271">
        <v>0</v>
      </c>
      <c r="CL271">
        <v>0</v>
      </c>
      <c r="CM271">
        <v>0</v>
      </c>
    </row>
    <row r="272" spans="82:91" x14ac:dyDescent="0.25">
      <c r="CD272">
        <v>5040</v>
      </c>
      <c r="CE272">
        <v>384</v>
      </c>
      <c r="CF272">
        <v>144</v>
      </c>
      <c r="CG272">
        <v>0</v>
      </c>
      <c r="CH272">
        <v>0</v>
      </c>
      <c r="CI272">
        <v>0</v>
      </c>
      <c r="CJ272">
        <v>0</v>
      </c>
      <c r="CK272">
        <v>0</v>
      </c>
      <c r="CL272">
        <v>0</v>
      </c>
      <c r="CM272">
        <v>0</v>
      </c>
    </row>
    <row r="273" spans="82:91" x14ac:dyDescent="0.25">
      <c r="CD273">
        <v>5040</v>
      </c>
      <c r="CE273">
        <v>384</v>
      </c>
      <c r="CF273">
        <v>144</v>
      </c>
      <c r="CG273">
        <v>0</v>
      </c>
      <c r="CH273">
        <v>0</v>
      </c>
      <c r="CI273">
        <v>0</v>
      </c>
      <c r="CJ273">
        <v>0</v>
      </c>
      <c r="CK273">
        <v>0</v>
      </c>
      <c r="CL273">
        <v>0</v>
      </c>
      <c r="CM273">
        <v>0</v>
      </c>
    </row>
    <row r="274" spans="82:91" x14ac:dyDescent="0.25">
      <c r="CD274">
        <v>5040</v>
      </c>
      <c r="CE274">
        <v>384</v>
      </c>
      <c r="CF274">
        <v>144</v>
      </c>
      <c r="CG274">
        <v>0</v>
      </c>
      <c r="CH274">
        <v>0</v>
      </c>
      <c r="CI274">
        <v>0</v>
      </c>
      <c r="CJ274">
        <v>0</v>
      </c>
      <c r="CK274">
        <v>0</v>
      </c>
      <c r="CL274">
        <v>0</v>
      </c>
      <c r="CM274">
        <v>0</v>
      </c>
    </row>
    <row r="275" spans="82:91" x14ac:dyDescent="0.25">
      <c r="CD275">
        <v>5040</v>
      </c>
      <c r="CE275">
        <v>384</v>
      </c>
      <c r="CF275">
        <v>144</v>
      </c>
      <c r="CG275">
        <v>0</v>
      </c>
      <c r="CH275">
        <v>0</v>
      </c>
      <c r="CI275">
        <v>0</v>
      </c>
      <c r="CJ275">
        <v>0</v>
      </c>
      <c r="CK275">
        <v>0</v>
      </c>
      <c r="CL275">
        <v>0</v>
      </c>
      <c r="CM275">
        <v>0</v>
      </c>
    </row>
    <row r="276" spans="82:91" x14ac:dyDescent="0.25">
      <c r="CD276">
        <v>5040</v>
      </c>
      <c r="CE276">
        <v>384</v>
      </c>
      <c r="CF276">
        <v>144</v>
      </c>
      <c r="CG276">
        <v>0</v>
      </c>
      <c r="CH276">
        <v>0</v>
      </c>
      <c r="CI276">
        <v>0</v>
      </c>
      <c r="CJ276">
        <v>0</v>
      </c>
      <c r="CK276">
        <v>0</v>
      </c>
      <c r="CL276">
        <v>0</v>
      </c>
      <c r="CM276">
        <v>0</v>
      </c>
    </row>
    <row r="277" spans="82:91" x14ac:dyDescent="0.25">
      <c r="CD277">
        <v>5040</v>
      </c>
      <c r="CE277">
        <v>384</v>
      </c>
      <c r="CF277">
        <v>144</v>
      </c>
      <c r="CG277">
        <v>0</v>
      </c>
      <c r="CH277">
        <v>0</v>
      </c>
      <c r="CI277">
        <v>0</v>
      </c>
      <c r="CJ277">
        <v>0</v>
      </c>
      <c r="CK277">
        <v>0</v>
      </c>
      <c r="CL277">
        <v>0</v>
      </c>
      <c r="CM277">
        <v>0</v>
      </c>
    </row>
    <row r="278" spans="82:91" x14ac:dyDescent="0.25">
      <c r="CD278">
        <v>5040</v>
      </c>
      <c r="CE278">
        <v>384</v>
      </c>
      <c r="CF278">
        <v>144</v>
      </c>
      <c r="CG278">
        <v>0</v>
      </c>
      <c r="CH278">
        <v>0</v>
      </c>
      <c r="CI278">
        <v>0</v>
      </c>
      <c r="CJ278">
        <v>0</v>
      </c>
      <c r="CK278">
        <v>0</v>
      </c>
      <c r="CL278">
        <v>0</v>
      </c>
      <c r="CM278">
        <v>0</v>
      </c>
    </row>
    <row r="279" spans="82:91" x14ac:dyDescent="0.25">
      <c r="CD279">
        <v>5040</v>
      </c>
      <c r="CE279">
        <v>384</v>
      </c>
      <c r="CF279">
        <v>144</v>
      </c>
      <c r="CG279">
        <v>0</v>
      </c>
      <c r="CH279">
        <v>0</v>
      </c>
      <c r="CI279">
        <v>0</v>
      </c>
      <c r="CJ279">
        <v>0</v>
      </c>
      <c r="CK279">
        <v>0</v>
      </c>
      <c r="CL279">
        <v>0</v>
      </c>
      <c r="CM279">
        <v>0</v>
      </c>
    </row>
    <row r="280" spans="82:91" x14ac:dyDescent="0.25">
      <c r="CD280">
        <v>5040</v>
      </c>
      <c r="CE280">
        <v>384</v>
      </c>
      <c r="CF280">
        <v>144</v>
      </c>
      <c r="CG280">
        <v>0</v>
      </c>
      <c r="CH280">
        <v>0</v>
      </c>
      <c r="CI280">
        <v>0</v>
      </c>
      <c r="CJ280">
        <v>0</v>
      </c>
      <c r="CK280">
        <v>0</v>
      </c>
      <c r="CL280">
        <v>0</v>
      </c>
      <c r="CM280">
        <v>0</v>
      </c>
    </row>
    <row r="281" spans="82:91" x14ac:dyDescent="0.25">
      <c r="CD281">
        <v>5040</v>
      </c>
      <c r="CE281">
        <v>384</v>
      </c>
      <c r="CF281">
        <v>144</v>
      </c>
      <c r="CG281">
        <v>0</v>
      </c>
      <c r="CH281">
        <v>0</v>
      </c>
      <c r="CI281">
        <v>0</v>
      </c>
      <c r="CJ281">
        <v>0</v>
      </c>
      <c r="CK281">
        <v>0</v>
      </c>
      <c r="CL281">
        <v>0</v>
      </c>
      <c r="CM281">
        <v>0</v>
      </c>
    </row>
    <row r="282" spans="82:91" x14ac:dyDescent="0.25">
      <c r="CD282">
        <v>5040</v>
      </c>
      <c r="CE282">
        <v>384</v>
      </c>
      <c r="CF282">
        <v>144</v>
      </c>
      <c r="CG282">
        <v>0</v>
      </c>
      <c r="CH282">
        <v>0</v>
      </c>
      <c r="CI282">
        <v>0</v>
      </c>
      <c r="CJ282">
        <v>0</v>
      </c>
      <c r="CK282">
        <v>0</v>
      </c>
      <c r="CL282">
        <v>0</v>
      </c>
      <c r="CM282">
        <v>0</v>
      </c>
    </row>
    <row r="283" spans="82:91" x14ac:dyDescent="0.25">
      <c r="CD283">
        <v>5040</v>
      </c>
      <c r="CE283">
        <v>384</v>
      </c>
      <c r="CF283">
        <v>144</v>
      </c>
      <c r="CG283">
        <v>0</v>
      </c>
      <c r="CH283">
        <v>0</v>
      </c>
      <c r="CI283">
        <v>0</v>
      </c>
      <c r="CJ283">
        <v>0</v>
      </c>
      <c r="CK283">
        <v>0</v>
      </c>
      <c r="CL283">
        <v>0</v>
      </c>
      <c r="CM283">
        <v>0</v>
      </c>
    </row>
    <row r="284" spans="82:91" x14ac:dyDescent="0.25">
      <c r="CD284">
        <v>5040</v>
      </c>
      <c r="CE284">
        <v>384</v>
      </c>
      <c r="CF284">
        <v>144</v>
      </c>
      <c r="CG284">
        <v>0</v>
      </c>
      <c r="CH284">
        <v>0</v>
      </c>
      <c r="CI284">
        <v>0</v>
      </c>
      <c r="CJ284">
        <v>0</v>
      </c>
      <c r="CK284">
        <v>0</v>
      </c>
      <c r="CL284">
        <v>0</v>
      </c>
      <c r="CM284">
        <v>0</v>
      </c>
    </row>
    <row r="285" spans="82:91" x14ac:dyDescent="0.25">
      <c r="CD285">
        <v>5040</v>
      </c>
      <c r="CE285">
        <v>384</v>
      </c>
      <c r="CF285">
        <v>144</v>
      </c>
      <c r="CG285">
        <v>0</v>
      </c>
      <c r="CH285">
        <v>0</v>
      </c>
      <c r="CI285">
        <v>0</v>
      </c>
      <c r="CJ285">
        <v>0</v>
      </c>
      <c r="CK285">
        <v>0</v>
      </c>
      <c r="CL285">
        <v>0</v>
      </c>
      <c r="CM285">
        <v>0</v>
      </c>
    </row>
    <row r="286" spans="82:91" x14ac:dyDescent="0.25">
      <c r="CD286">
        <v>5040</v>
      </c>
      <c r="CE286">
        <v>384</v>
      </c>
      <c r="CF286">
        <v>144</v>
      </c>
      <c r="CG286">
        <v>0</v>
      </c>
      <c r="CH286">
        <v>0</v>
      </c>
      <c r="CI286">
        <v>0</v>
      </c>
      <c r="CJ286">
        <v>0</v>
      </c>
      <c r="CK286">
        <v>0</v>
      </c>
      <c r="CL286">
        <v>0</v>
      </c>
      <c r="CM286">
        <v>0</v>
      </c>
    </row>
    <row r="287" spans="82:91" x14ac:dyDescent="0.25">
      <c r="CD287">
        <v>5040</v>
      </c>
      <c r="CE287">
        <v>384</v>
      </c>
      <c r="CF287">
        <v>144</v>
      </c>
      <c r="CG287">
        <v>0</v>
      </c>
      <c r="CH287">
        <v>0</v>
      </c>
      <c r="CI287">
        <v>0</v>
      </c>
      <c r="CJ287">
        <v>0</v>
      </c>
      <c r="CK287">
        <v>0</v>
      </c>
      <c r="CL287">
        <v>0</v>
      </c>
      <c r="CM287">
        <v>0</v>
      </c>
    </row>
    <row r="288" spans="82:91" x14ac:dyDescent="0.25">
      <c r="CD288">
        <v>5040</v>
      </c>
      <c r="CE288">
        <v>384</v>
      </c>
      <c r="CF288">
        <v>144</v>
      </c>
      <c r="CG288">
        <v>0</v>
      </c>
      <c r="CH288">
        <v>0</v>
      </c>
      <c r="CI288">
        <v>0</v>
      </c>
      <c r="CJ288">
        <v>0</v>
      </c>
      <c r="CK288">
        <v>0</v>
      </c>
      <c r="CL288">
        <v>0</v>
      </c>
      <c r="CM288">
        <v>0</v>
      </c>
    </row>
    <row r="289" spans="82:91" x14ac:dyDescent="0.25">
      <c r="CD289">
        <v>5040</v>
      </c>
      <c r="CE289">
        <v>384</v>
      </c>
      <c r="CF289">
        <v>144</v>
      </c>
      <c r="CG289">
        <v>0</v>
      </c>
      <c r="CH289">
        <v>0</v>
      </c>
      <c r="CI289">
        <v>0</v>
      </c>
      <c r="CJ289">
        <v>0</v>
      </c>
      <c r="CK289">
        <v>0</v>
      </c>
      <c r="CL289">
        <v>0</v>
      </c>
      <c r="CM289">
        <v>0</v>
      </c>
    </row>
    <row r="290" spans="82:91" x14ac:dyDescent="0.25">
      <c r="CD290">
        <v>5040</v>
      </c>
      <c r="CE290">
        <v>384</v>
      </c>
      <c r="CF290">
        <v>144</v>
      </c>
      <c r="CG290">
        <v>0</v>
      </c>
      <c r="CH290">
        <v>0</v>
      </c>
      <c r="CI290">
        <v>0</v>
      </c>
      <c r="CJ290">
        <v>0</v>
      </c>
      <c r="CK290">
        <v>0</v>
      </c>
      <c r="CL290">
        <v>0</v>
      </c>
      <c r="CM290">
        <v>0</v>
      </c>
    </row>
    <row r="291" spans="82:91" x14ac:dyDescent="0.25">
      <c r="CD291">
        <v>5040</v>
      </c>
      <c r="CE291">
        <v>384</v>
      </c>
      <c r="CF291">
        <v>144</v>
      </c>
      <c r="CG291">
        <v>0</v>
      </c>
      <c r="CH291">
        <v>0</v>
      </c>
      <c r="CI291">
        <v>0</v>
      </c>
      <c r="CJ291">
        <v>0</v>
      </c>
      <c r="CK291">
        <v>0</v>
      </c>
      <c r="CL291">
        <v>0</v>
      </c>
      <c r="CM291">
        <v>0</v>
      </c>
    </row>
    <row r="292" spans="82:91" x14ac:dyDescent="0.25">
      <c r="CD292">
        <v>5040</v>
      </c>
      <c r="CE292">
        <v>384</v>
      </c>
      <c r="CF292">
        <v>144</v>
      </c>
      <c r="CG292">
        <v>0</v>
      </c>
      <c r="CH292">
        <v>0</v>
      </c>
      <c r="CI292">
        <v>0</v>
      </c>
      <c r="CJ292">
        <v>0</v>
      </c>
      <c r="CK292">
        <v>0</v>
      </c>
      <c r="CL292">
        <v>0</v>
      </c>
      <c r="CM292">
        <v>0</v>
      </c>
    </row>
    <row r="293" spans="82:91" x14ac:dyDescent="0.25">
      <c r="CD293">
        <v>5040</v>
      </c>
      <c r="CE293">
        <v>384</v>
      </c>
      <c r="CF293">
        <v>144</v>
      </c>
      <c r="CG293">
        <v>0</v>
      </c>
      <c r="CH293">
        <v>0</v>
      </c>
      <c r="CI293">
        <v>0</v>
      </c>
      <c r="CJ293">
        <v>0</v>
      </c>
      <c r="CK293">
        <v>0</v>
      </c>
      <c r="CL293">
        <v>0</v>
      </c>
      <c r="CM293">
        <v>0</v>
      </c>
    </row>
    <row r="294" spans="82:91" x14ac:dyDescent="0.25">
      <c r="CD294">
        <v>5040</v>
      </c>
      <c r="CE294">
        <v>384</v>
      </c>
      <c r="CF294">
        <v>144</v>
      </c>
      <c r="CG294">
        <v>0</v>
      </c>
      <c r="CH294">
        <v>0</v>
      </c>
      <c r="CI294">
        <v>0</v>
      </c>
      <c r="CJ294">
        <v>0</v>
      </c>
      <c r="CK294">
        <v>0</v>
      </c>
      <c r="CL294">
        <v>0</v>
      </c>
      <c r="CM294">
        <v>0</v>
      </c>
    </row>
    <row r="295" spans="82:91" x14ac:dyDescent="0.25">
      <c r="CD295">
        <v>5040</v>
      </c>
      <c r="CE295">
        <v>384</v>
      </c>
      <c r="CF295">
        <v>144</v>
      </c>
      <c r="CG295">
        <v>0</v>
      </c>
      <c r="CH295">
        <v>0</v>
      </c>
      <c r="CI295">
        <v>0</v>
      </c>
      <c r="CJ295">
        <v>0</v>
      </c>
      <c r="CK295">
        <v>0</v>
      </c>
      <c r="CL295">
        <v>0</v>
      </c>
      <c r="CM295">
        <v>0</v>
      </c>
    </row>
    <row r="296" spans="82:91" x14ac:dyDescent="0.25">
      <c r="CD296">
        <v>5040</v>
      </c>
      <c r="CE296">
        <v>384</v>
      </c>
      <c r="CF296">
        <v>144</v>
      </c>
      <c r="CG296">
        <v>0</v>
      </c>
      <c r="CH296">
        <v>0</v>
      </c>
      <c r="CI296">
        <v>0</v>
      </c>
      <c r="CJ296">
        <v>0</v>
      </c>
      <c r="CK296">
        <v>0</v>
      </c>
      <c r="CL296">
        <v>0</v>
      </c>
      <c r="CM296">
        <v>0</v>
      </c>
    </row>
    <row r="297" spans="82:91" x14ac:dyDescent="0.25">
      <c r="CD297">
        <v>5040</v>
      </c>
      <c r="CE297">
        <v>384</v>
      </c>
      <c r="CF297">
        <v>144</v>
      </c>
      <c r="CG297">
        <v>0</v>
      </c>
      <c r="CH297">
        <v>0</v>
      </c>
      <c r="CI297">
        <v>0</v>
      </c>
      <c r="CJ297">
        <v>0</v>
      </c>
      <c r="CK297">
        <v>0</v>
      </c>
      <c r="CL297">
        <v>0</v>
      </c>
      <c r="CM297">
        <v>0</v>
      </c>
    </row>
    <row r="298" spans="82:91" x14ac:dyDescent="0.25">
      <c r="CD298">
        <v>5040</v>
      </c>
      <c r="CE298">
        <v>384</v>
      </c>
      <c r="CF298">
        <v>144</v>
      </c>
      <c r="CG298">
        <v>0</v>
      </c>
      <c r="CH298">
        <v>0</v>
      </c>
      <c r="CI298">
        <v>0</v>
      </c>
      <c r="CJ298">
        <v>0</v>
      </c>
      <c r="CK298">
        <v>0</v>
      </c>
      <c r="CL298">
        <v>0</v>
      </c>
      <c r="CM298">
        <v>0</v>
      </c>
    </row>
    <row r="299" spans="82:91" x14ac:dyDescent="0.25">
      <c r="CD299">
        <v>5040</v>
      </c>
      <c r="CE299">
        <v>384</v>
      </c>
      <c r="CF299">
        <v>144</v>
      </c>
      <c r="CG299">
        <v>0</v>
      </c>
      <c r="CH299">
        <v>0</v>
      </c>
      <c r="CI299">
        <v>0</v>
      </c>
      <c r="CJ299">
        <v>0</v>
      </c>
      <c r="CK299">
        <v>0</v>
      </c>
      <c r="CL299">
        <v>0</v>
      </c>
      <c r="CM299">
        <v>0</v>
      </c>
    </row>
    <row r="300" spans="82:91" x14ac:dyDescent="0.25">
      <c r="CD300">
        <v>5040</v>
      </c>
      <c r="CE300">
        <v>384</v>
      </c>
      <c r="CF300">
        <v>144</v>
      </c>
      <c r="CG300">
        <v>0</v>
      </c>
      <c r="CH300">
        <v>0</v>
      </c>
      <c r="CI300">
        <v>0</v>
      </c>
      <c r="CJ300">
        <v>0</v>
      </c>
      <c r="CK300">
        <v>0</v>
      </c>
      <c r="CL300">
        <v>0</v>
      </c>
      <c r="CM300">
        <v>0</v>
      </c>
    </row>
    <row r="301" spans="82:91" x14ac:dyDescent="0.25">
      <c r="CD301">
        <v>5040</v>
      </c>
      <c r="CE301">
        <v>384</v>
      </c>
      <c r="CF301">
        <v>144</v>
      </c>
      <c r="CG301">
        <v>0</v>
      </c>
      <c r="CH301">
        <v>0</v>
      </c>
      <c r="CI301">
        <v>0</v>
      </c>
      <c r="CJ301">
        <v>0</v>
      </c>
      <c r="CK301">
        <v>0</v>
      </c>
      <c r="CL301">
        <v>0</v>
      </c>
      <c r="CM301">
        <v>0</v>
      </c>
    </row>
    <row r="302" spans="82:91" x14ac:dyDescent="0.25">
      <c r="CD302">
        <v>5040</v>
      </c>
      <c r="CE302">
        <v>384</v>
      </c>
      <c r="CF302">
        <v>144</v>
      </c>
      <c r="CG302">
        <v>0</v>
      </c>
      <c r="CH302">
        <v>0</v>
      </c>
      <c r="CI302">
        <v>0</v>
      </c>
      <c r="CJ302">
        <v>0</v>
      </c>
      <c r="CK302">
        <v>0</v>
      </c>
      <c r="CL302">
        <v>0</v>
      </c>
      <c r="CM302">
        <v>0</v>
      </c>
    </row>
    <row r="303" spans="82:91" x14ac:dyDescent="0.25">
      <c r="CD303">
        <v>5040</v>
      </c>
      <c r="CE303">
        <v>384</v>
      </c>
      <c r="CF303">
        <v>144</v>
      </c>
      <c r="CG303">
        <v>0</v>
      </c>
      <c r="CH303">
        <v>0</v>
      </c>
      <c r="CI303">
        <v>0</v>
      </c>
      <c r="CJ303">
        <v>0</v>
      </c>
      <c r="CK303">
        <v>0</v>
      </c>
      <c r="CL303">
        <v>0</v>
      </c>
      <c r="CM303">
        <v>0</v>
      </c>
    </row>
    <row r="304" spans="82:91" x14ac:dyDescent="0.25">
      <c r="CD304">
        <v>5040</v>
      </c>
      <c r="CE304">
        <v>384</v>
      </c>
      <c r="CF304">
        <v>144</v>
      </c>
      <c r="CG304">
        <v>0</v>
      </c>
      <c r="CH304">
        <v>0</v>
      </c>
      <c r="CI304">
        <v>0</v>
      </c>
      <c r="CJ304">
        <v>0</v>
      </c>
      <c r="CK304">
        <v>0</v>
      </c>
      <c r="CL304">
        <v>0</v>
      </c>
      <c r="CM304">
        <v>0</v>
      </c>
    </row>
    <row r="305" spans="82:91" x14ac:dyDescent="0.25">
      <c r="CD305">
        <v>5040</v>
      </c>
      <c r="CE305">
        <v>384</v>
      </c>
      <c r="CF305">
        <v>144</v>
      </c>
      <c r="CG305">
        <v>0</v>
      </c>
      <c r="CH305">
        <v>0</v>
      </c>
      <c r="CI305">
        <v>0</v>
      </c>
      <c r="CJ305">
        <v>0</v>
      </c>
      <c r="CK305">
        <v>0</v>
      </c>
      <c r="CL305">
        <v>0</v>
      </c>
      <c r="CM305">
        <v>0</v>
      </c>
    </row>
    <row r="306" spans="82:91" x14ac:dyDescent="0.25">
      <c r="CD306">
        <v>5040</v>
      </c>
      <c r="CE306">
        <v>384</v>
      </c>
      <c r="CF306">
        <v>144</v>
      </c>
      <c r="CG306">
        <v>0</v>
      </c>
      <c r="CH306">
        <v>0</v>
      </c>
      <c r="CI306">
        <v>0</v>
      </c>
      <c r="CJ306">
        <v>0</v>
      </c>
      <c r="CK306">
        <v>0</v>
      </c>
      <c r="CL306">
        <v>0</v>
      </c>
      <c r="CM306">
        <v>0</v>
      </c>
    </row>
    <row r="307" spans="82:91" x14ac:dyDescent="0.25">
      <c r="CD307">
        <v>5040</v>
      </c>
      <c r="CE307">
        <v>384</v>
      </c>
      <c r="CF307">
        <v>144</v>
      </c>
      <c r="CG307">
        <v>0</v>
      </c>
      <c r="CH307">
        <v>0</v>
      </c>
      <c r="CI307">
        <v>0</v>
      </c>
      <c r="CJ307">
        <v>0</v>
      </c>
      <c r="CK307">
        <v>0</v>
      </c>
      <c r="CL307">
        <v>0</v>
      </c>
      <c r="CM307">
        <v>0</v>
      </c>
    </row>
    <row r="308" spans="82:91" x14ac:dyDescent="0.25">
      <c r="CD308">
        <v>5040</v>
      </c>
      <c r="CE308">
        <v>384</v>
      </c>
      <c r="CF308">
        <v>144</v>
      </c>
      <c r="CG308">
        <v>0</v>
      </c>
      <c r="CH308">
        <v>0</v>
      </c>
      <c r="CI308">
        <v>0</v>
      </c>
      <c r="CJ308">
        <v>0</v>
      </c>
      <c r="CK308">
        <v>0</v>
      </c>
      <c r="CL308">
        <v>0</v>
      </c>
      <c r="CM308">
        <v>0</v>
      </c>
    </row>
    <row r="309" spans="82:91" x14ac:dyDescent="0.25">
      <c r="CD309">
        <v>5040</v>
      </c>
      <c r="CE309">
        <v>384</v>
      </c>
      <c r="CF309">
        <v>144</v>
      </c>
      <c r="CG309">
        <v>0</v>
      </c>
      <c r="CH309">
        <v>0</v>
      </c>
      <c r="CI309">
        <v>0</v>
      </c>
      <c r="CJ309">
        <v>0</v>
      </c>
      <c r="CK309">
        <v>0</v>
      </c>
      <c r="CL309">
        <v>0</v>
      </c>
      <c r="CM309">
        <v>0</v>
      </c>
    </row>
    <row r="310" spans="82:91" x14ac:dyDescent="0.25">
      <c r="CD310">
        <v>5040</v>
      </c>
      <c r="CE310">
        <v>384</v>
      </c>
      <c r="CF310">
        <v>144</v>
      </c>
      <c r="CG310">
        <v>0</v>
      </c>
      <c r="CH310">
        <v>0</v>
      </c>
      <c r="CI310">
        <v>0</v>
      </c>
      <c r="CJ310">
        <v>0</v>
      </c>
      <c r="CK310">
        <v>0</v>
      </c>
      <c r="CL310">
        <v>0</v>
      </c>
      <c r="CM310">
        <v>0</v>
      </c>
    </row>
    <row r="311" spans="82:91" x14ac:dyDescent="0.25">
      <c r="CD311">
        <v>5040</v>
      </c>
      <c r="CE311">
        <v>384</v>
      </c>
      <c r="CF311">
        <v>144</v>
      </c>
      <c r="CG311">
        <v>0</v>
      </c>
      <c r="CH311">
        <v>0</v>
      </c>
      <c r="CI311">
        <v>0</v>
      </c>
      <c r="CJ311">
        <v>0</v>
      </c>
      <c r="CK311">
        <v>0</v>
      </c>
      <c r="CL311">
        <v>0</v>
      </c>
      <c r="CM311">
        <v>0</v>
      </c>
    </row>
    <row r="312" spans="82:91" x14ac:dyDescent="0.25">
      <c r="CD312">
        <v>5040</v>
      </c>
      <c r="CE312">
        <v>384</v>
      </c>
      <c r="CF312">
        <v>144</v>
      </c>
      <c r="CG312">
        <v>0</v>
      </c>
      <c r="CH312">
        <v>0</v>
      </c>
      <c r="CI312">
        <v>0</v>
      </c>
      <c r="CJ312">
        <v>0</v>
      </c>
      <c r="CK312">
        <v>0</v>
      </c>
      <c r="CL312">
        <v>0</v>
      </c>
      <c r="CM312">
        <v>0</v>
      </c>
    </row>
    <row r="313" spans="82:91" x14ac:dyDescent="0.25">
      <c r="CD313">
        <v>5040</v>
      </c>
      <c r="CE313">
        <v>384</v>
      </c>
      <c r="CF313">
        <v>144</v>
      </c>
      <c r="CG313">
        <v>0</v>
      </c>
      <c r="CH313">
        <v>0</v>
      </c>
      <c r="CI313">
        <v>0</v>
      </c>
      <c r="CJ313">
        <v>0</v>
      </c>
      <c r="CK313">
        <v>0</v>
      </c>
      <c r="CL313">
        <v>0</v>
      </c>
      <c r="CM313">
        <v>0</v>
      </c>
    </row>
    <row r="314" spans="82:91" x14ac:dyDescent="0.25">
      <c r="CD314">
        <v>5040</v>
      </c>
      <c r="CE314">
        <v>384</v>
      </c>
      <c r="CF314">
        <v>144</v>
      </c>
      <c r="CG314">
        <v>0</v>
      </c>
      <c r="CH314">
        <v>0</v>
      </c>
      <c r="CI314">
        <v>0</v>
      </c>
      <c r="CJ314">
        <v>0</v>
      </c>
      <c r="CK314">
        <v>0</v>
      </c>
      <c r="CL314">
        <v>0</v>
      </c>
      <c r="CM314">
        <v>0</v>
      </c>
    </row>
    <row r="315" spans="82:91" x14ac:dyDescent="0.25">
      <c r="CD315">
        <v>5040</v>
      </c>
      <c r="CE315">
        <v>384</v>
      </c>
      <c r="CF315">
        <v>144</v>
      </c>
      <c r="CG315">
        <v>0</v>
      </c>
      <c r="CH315">
        <v>0</v>
      </c>
      <c r="CI315">
        <v>0</v>
      </c>
      <c r="CJ315">
        <v>0</v>
      </c>
      <c r="CK315">
        <v>0</v>
      </c>
      <c r="CL315">
        <v>0</v>
      </c>
      <c r="CM315">
        <v>0</v>
      </c>
    </row>
    <row r="316" spans="82:91" x14ac:dyDescent="0.25">
      <c r="CD316">
        <v>5040</v>
      </c>
      <c r="CE316">
        <v>384</v>
      </c>
      <c r="CF316">
        <v>144</v>
      </c>
      <c r="CG316">
        <v>0</v>
      </c>
      <c r="CH316">
        <v>0</v>
      </c>
      <c r="CI316">
        <v>0</v>
      </c>
      <c r="CJ316">
        <v>0</v>
      </c>
      <c r="CK316">
        <v>0</v>
      </c>
      <c r="CL316">
        <v>0</v>
      </c>
      <c r="CM316">
        <v>0</v>
      </c>
    </row>
    <row r="317" spans="82:91" x14ac:dyDescent="0.25">
      <c r="CD317">
        <v>5040</v>
      </c>
      <c r="CE317">
        <v>384</v>
      </c>
      <c r="CF317">
        <v>144</v>
      </c>
      <c r="CG317">
        <v>0</v>
      </c>
      <c r="CH317">
        <v>0</v>
      </c>
      <c r="CI317">
        <v>0</v>
      </c>
      <c r="CJ317">
        <v>0</v>
      </c>
      <c r="CK317">
        <v>0</v>
      </c>
      <c r="CL317">
        <v>0</v>
      </c>
      <c r="CM317">
        <v>0</v>
      </c>
    </row>
    <row r="318" spans="82:91" x14ac:dyDescent="0.25">
      <c r="CD318">
        <v>5040</v>
      </c>
      <c r="CE318">
        <v>384</v>
      </c>
      <c r="CF318">
        <v>144</v>
      </c>
      <c r="CG318">
        <v>0</v>
      </c>
      <c r="CH318">
        <v>0</v>
      </c>
      <c r="CI318">
        <v>0</v>
      </c>
      <c r="CJ318">
        <v>0</v>
      </c>
      <c r="CK318">
        <v>0</v>
      </c>
      <c r="CL318">
        <v>0</v>
      </c>
      <c r="CM318">
        <v>0</v>
      </c>
    </row>
    <row r="319" spans="82:91" x14ac:dyDescent="0.25">
      <c r="CD319">
        <v>5040</v>
      </c>
      <c r="CE319">
        <v>384</v>
      </c>
      <c r="CF319">
        <v>144</v>
      </c>
      <c r="CG319">
        <v>0</v>
      </c>
      <c r="CH319">
        <v>0</v>
      </c>
      <c r="CI319">
        <v>0</v>
      </c>
      <c r="CJ319">
        <v>0</v>
      </c>
      <c r="CK319">
        <v>0</v>
      </c>
      <c r="CL319">
        <v>0</v>
      </c>
      <c r="CM319">
        <v>0</v>
      </c>
    </row>
    <row r="320" spans="82:91" x14ac:dyDescent="0.25">
      <c r="CD320">
        <v>5040</v>
      </c>
      <c r="CE320">
        <v>384</v>
      </c>
      <c r="CF320">
        <v>144</v>
      </c>
      <c r="CG320">
        <v>0</v>
      </c>
      <c r="CH320">
        <v>0</v>
      </c>
      <c r="CI320">
        <v>0</v>
      </c>
      <c r="CJ320">
        <v>0</v>
      </c>
      <c r="CK320">
        <v>0</v>
      </c>
      <c r="CL320">
        <v>0</v>
      </c>
      <c r="CM320">
        <v>0</v>
      </c>
    </row>
    <row r="321" spans="82:91" x14ac:dyDescent="0.25">
      <c r="CD321">
        <v>5040</v>
      </c>
      <c r="CE321">
        <v>384</v>
      </c>
      <c r="CF321">
        <v>144</v>
      </c>
      <c r="CG321">
        <v>0</v>
      </c>
      <c r="CH321">
        <v>0</v>
      </c>
      <c r="CI321">
        <v>0</v>
      </c>
      <c r="CJ321">
        <v>0</v>
      </c>
      <c r="CK321">
        <v>0</v>
      </c>
      <c r="CL321">
        <v>0</v>
      </c>
      <c r="CM321">
        <v>0</v>
      </c>
    </row>
    <row r="322" spans="82:91" x14ac:dyDescent="0.25">
      <c r="CD322">
        <v>5040</v>
      </c>
      <c r="CE322">
        <v>384</v>
      </c>
      <c r="CF322">
        <v>144</v>
      </c>
      <c r="CG322">
        <v>0</v>
      </c>
      <c r="CH322">
        <v>0</v>
      </c>
      <c r="CI322">
        <v>0</v>
      </c>
      <c r="CJ322">
        <v>0</v>
      </c>
      <c r="CK322">
        <v>0</v>
      </c>
      <c r="CL322">
        <v>0</v>
      </c>
      <c r="CM322">
        <v>0</v>
      </c>
    </row>
    <row r="323" spans="82:91" x14ac:dyDescent="0.25">
      <c r="CD323">
        <v>5040</v>
      </c>
      <c r="CE323">
        <v>384</v>
      </c>
      <c r="CF323">
        <v>144</v>
      </c>
      <c r="CG323">
        <v>0</v>
      </c>
      <c r="CH323">
        <v>0</v>
      </c>
      <c r="CI323">
        <v>0</v>
      </c>
      <c r="CJ323">
        <v>0</v>
      </c>
      <c r="CK323">
        <v>0</v>
      </c>
      <c r="CL323">
        <v>0</v>
      </c>
      <c r="CM323">
        <v>0</v>
      </c>
    </row>
    <row r="324" spans="82:91" x14ac:dyDescent="0.25">
      <c r="CD324">
        <v>5040</v>
      </c>
      <c r="CE324">
        <v>384</v>
      </c>
      <c r="CF324">
        <v>144</v>
      </c>
      <c r="CG324">
        <v>0</v>
      </c>
      <c r="CH324">
        <v>0</v>
      </c>
      <c r="CI324">
        <v>0</v>
      </c>
      <c r="CJ324">
        <v>0</v>
      </c>
      <c r="CK324">
        <v>0</v>
      </c>
      <c r="CL324">
        <v>0</v>
      </c>
      <c r="CM324">
        <v>0</v>
      </c>
    </row>
    <row r="325" spans="82:91" x14ac:dyDescent="0.25">
      <c r="CD325">
        <v>5040</v>
      </c>
      <c r="CE325">
        <v>384</v>
      </c>
      <c r="CF325">
        <v>144</v>
      </c>
      <c r="CG325">
        <v>0</v>
      </c>
      <c r="CH325">
        <v>0</v>
      </c>
      <c r="CI325">
        <v>0</v>
      </c>
      <c r="CJ325">
        <v>0</v>
      </c>
      <c r="CK325">
        <v>0</v>
      </c>
      <c r="CL325">
        <v>0</v>
      </c>
      <c r="CM325">
        <v>0</v>
      </c>
    </row>
    <row r="326" spans="82:91" x14ac:dyDescent="0.25">
      <c r="CD326">
        <v>5040</v>
      </c>
      <c r="CE326">
        <v>384</v>
      </c>
      <c r="CF326">
        <v>144</v>
      </c>
      <c r="CG326">
        <v>0</v>
      </c>
      <c r="CH326">
        <v>0</v>
      </c>
      <c r="CI326">
        <v>0</v>
      </c>
      <c r="CJ326">
        <v>0</v>
      </c>
      <c r="CK326">
        <v>0</v>
      </c>
      <c r="CL326">
        <v>0</v>
      </c>
      <c r="CM326">
        <v>0</v>
      </c>
    </row>
    <row r="327" spans="82:91" x14ac:dyDescent="0.25">
      <c r="CD327">
        <v>5040</v>
      </c>
      <c r="CE327">
        <v>384</v>
      </c>
      <c r="CF327">
        <v>144</v>
      </c>
      <c r="CG327">
        <v>0</v>
      </c>
      <c r="CH327">
        <v>0</v>
      </c>
      <c r="CI327">
        <v>0</v>
      </c>
      <c r="CJ327">
        <v>0</v>
      </c>
      <c r="CK327">
        <v>0</v>
      </c>
      <c r="CL327">
        <v>0</v>
      </c>
      <c r="CM327">
        <v>0</v>
      </c>
    </row>
    <row r="328" spans="82:91" x14ac:dyDescent="0.25">
      <c r="CD328">
        <v>5040</v>
      </c>
      <c r="CE328">
        <v>384</v>
      </c>
      <c r="CF328">
        <v>144</v>
      </c>
      <c r="CG328">
        <v>0</v>
      </c>
      <c r="CH328">
        <v>0</v>
      </c>
      <c r="CI328">
        <v>0</v>
      </c>
      <c r="CJ328">
        <v>0</v>
      </c>
      <c r="CK328">
        <v>0</v>
      </c>
      <c r="CL328">
        <v>0</v>
      </c>
      <c r="CM328">
        <v>0</v>
      </c>
    </row>
    <row r="329" spans="82:91" x14ac:dyDescent="0.25">
      <c r="CD329">
        <v>5040</v>
      </c>
      <c r="CE329">
        <v>384</v>
      </c>
      <c r="CF329">
        <v>144</v>
      </c>
      <c r="CG329">
        <v>0</v>
      </c>
      <c r="CH329">
        <v>0</v>
      </c>
      <c r="CI329">
        <v>0</v>
      </c>
      <c r="CJ329">
        <v>0</v>
      </c>
      <c r="CK329">
        <v>0</v>
      </c>
      <c r="CL329">
        <v>0</v>
      </c>
      <c r="CM329">
        <v>0</v>
      </c>
    </row>
    <row r="330" spans="82:91" x14ac:dyDescent="0.25">
      <c r="CD330">
        <v>5040</v>
      </c>
      <c r="CE330">
        <v>384</v>
      </c>
      <c r="CF330">
        <v>144</v>
      </c>
      <c r="CG330">
        <v>0</v>
      </c>
      <c r="CH330">
        <v>0</v>
      </c>
      <c r="CI330">
        <v>0</v>
      </c>
      <c r="CJ330">
        <v>0</v>
      </c>
      <c r="CK330">
        <v>0</v>
      </c>
      <c r="CL330">
        <v>0</v>
      </c>
      <c r="CM330">
        <v>0</v>
      </c>
    </row>
    <row r="331" spans="82:91" x14ac:dyDescent="0.25">
      <c r="CD331">
        <v>5040</v>
      </c>
      <c r="CE331">
        <v>384</v>
      </c>
      <c r="CF331">
        <v>144</v>
      </c>
      <c r="CG331">
        <v>0</v>
      </c>
      <c r="CH331">
        <v>0</v>
      </c>
      <c r="CI331">
        <v>0</v>
      </c>
      <c r="CJ331">
        <v>0</v>
      </c>
      <c r="CK331">
        <v>0</v>
      </c>
      <c r="CL331">
        <v>0</v>
      </c>
      <c r="CM331">
        <v>0</v>
      </c>
    </row>
    <row r="332" spans="82:91" x14ac:dyDescent="0.25">
      <c r="CD332">
        <v>5040</v>
      </c>
      <c r="CE332">
        <v>384</v>
      </c>
      <c r="CF332">
        <v>144</v>
      </c>
      <c r="CG332">
        <v>0</v>
      </c>
      <c r="CH332">
        <v>0</v>
      </c>
      <c r="CI332">
        <v>0</v>
      </c>
      <c r="CJ332">
        <v>0</v>
      </c>
      <c r="CK332">
        <v>0</v>
      </c>
      <c r="CL332">
        <v>0</v>
      </c>
      <c r="CM332">
        <v>0</v>
      </c>
    </row>
    <row r="333" spans="82:91" x14ac:dyDescent="0.25">
      <c r="CD333">
        <v>5040</v>
      </c>
      <c r="CE333">
        <v>384</v>
      </c>
      <c r="CF333">
        <v>144</v>
      </c>
      <c r="CG333">
        <v>0</v>
      </c>
      <c r="CH333">
        <v>0</v>
      </c>
      <c r="CI333">
        <v>0</v>
      </c>
      <c r="CJ333">
        <v>0</v>
      </c>
      <c r="CK333">
        <v>0</v>
      </c>
      <c r="CL333">
        <v>0</v>
      </c>
      <c r="CM333">
        <v>0</v>
      </c>
    </row>
    <row r="334" spans="82:91" x14ac:dyDescent="0.25">
      <c r="CD334">
        <v>5040</v>
      </c>
      <c r="CE334">
        <v>384</v>
      </c>
      <c r="CF334">
        <v>144</v>
      </c>
      <c r="CG334">
        <v>0</v>
      </c>
      <c r="CH334">
        <v>0</v>
      </c>
      <c r="CI334">
        <v>0</v>
      </c>
      <c r="CJ334">
        <v>0</v>
      </c>
      <c r="CK334">
        <v>0</v>
      </c>
      <c r="CL334">
        <v>0</v>
      </c>
      <c r="CM334">
        <v>0</v>
      </c>
    </row>
    <row r="335" spans="82:91" x14ac:dyDescent="0.25">
      <c r="CD335">
        <v>5040</v>
      </c>
      <c r="CE335">
        <v>384</v>
      </c>
      <c r="CF335">
        <v>144</v>
      </c>
      <c r="CG335">
        <v>0</v>
      </c>
      <c r="CH335">
        <v>0</v>
      </c>
      <c r="CI335">
        <v>0</v>
      </c>
      <c r="CJ335">
        <v>0</v>
      </c>
      <c r="CK335">
        <v>0</v>
      </c>
      <c r="CL335">
        <v>0</v>
      </c>
      <c r="CM335">
        <v>0</v>
      </c>
    </row>
    <row r="336" spans="82:91" x14ac:dyDescent="0.25">
      <c r="CD336">
        <v>5040</v>
      </c>
      <c r="CE336">
        <v>384</v>
      </c>
      <c r="CF336">
        <v>144</v>
      </c>
      <c r="CG336">
        <v>0</v>
      </c>
      <c r="CH336">
        <v>0</v>
      </c>
      <c r="CI336">
        <v>0</v>
      </c>
      <c r="CJ336">
        <v>0</v>
      </c>
      <c r="CK336">
        <v>0</v>
      </c>
      <c r="CL336">
        <v>0</v>
      </c>
      <c r="CM336">
        <v>0</v>
      </c>
    </row>
    <row r="337" spans="82:91" x14ac:dyDescent="0.25">
      <c r="CD337">
        <v>5040</v>
      </c>
      <c r="CE337">
        <v>384</v>
      </c>
      <c r="CF337">
        <v>144</v>
      </c>
      <c r="CG337">
        <v>0</v>
      </c>
      <c r="CH337">
        <v>0</v>
      </c>
      <c r="CI337">
        <v>0</v>
      </c>
      <c r="CJ337">
        <v>0</v>
      </c>
      <c r="CK337">
        <v>0</v>
      </c>
      <c r="CL337">
        <v>0</v>
      </c>
      <c r="CM337">
        <v>0</v>
      </c>
    </row>
    <row r="338" spans="82:91" x14ac:dyDescent="0.25">
      <c r="CD338">
        <v>5040</v>
      </c>
      <c r="CE338">
        <v>384</v>
      </c>
      <c r="CF338">
        <v>144</v>
      </c>
      <c r="CG338">
        <v>0</v>
      </c>
      <c r="CH338">
        <v>0</v>
      </c>
      <c r="CI338">
        <v>0</v>
      </c>
      <c r="CJ338">
        <v>0</v>
      </c>
      <c r="CK338">
        <v>0</v>
      </c>
      <c r="CL338">
        <v>0</v>
      </c>
      <c r="CM338">
        <v>0</v>
      </c>
    </row>
    <row r="339" spans="82:91" x14ac:dyDescent="0.25">
      <c r="CD339">
        <v>5040</v>
      </c>
      <c r="CE339">
        <v>384</v>
      </c>
      <c r="CF339">
        <v>144</v>
      </c>
      <c r="CG339">
        <v>0</v>
      </c>
      <c r="CH339">
        <v>0</v>
      </c>
      <c r="CI339">
        <v>0</v>
      </c>
      <c r="CJ339">
        <v>0</v>
      </c>
      <c r="CK339">
        <v>0</v>
      </c>
      <c r="CL339">
        <v>0</v>
      </c>
      <c r="CM339">
        <v>0</v>
      </c>
    </row>
    <row r="340" spans="82:91" x14ac:dyDescent="0.25">
      <c r="CD340">
        <v>5040</v>
      </c>
      <c r="CE340">
        <v>384</v>
      </c>
      <c r="CF340">
        <v>144</v>
      </c>
      <c r="CG340">
        <v>0</v>
      </c>
      <c r="CH340">
        <v>0</v>
      </c>
      <c r="CI340">
        <v>0</v>
      </c>
      <c r="CJ340">
        <v>0</v>
      </c>
      <c r="CK340">
        <v>0</v>
      </c>
      <c r="CL340">
        <v>0</v>
      </c>
      <c r="CM340">
        <v>0</v>
      </c>
    </row>
    <row r="341" spans="82:91" x14ac:dyDescent="0.25">
      <c r="CD341">
        <v>5040</v>
      </c>
      <c r="CE341">
        <v>384</v>
      </c>
      <c r="CF341">
        <v>144</v>
      </c>
      <c r="CG341">
        <v>0</v>
      </c>
      <c r="CH341">
        <v>0</v>
      </c>
      <c r="CI341">
        <v>0</v>
      </c>
      <c r="CJ341">
        <v>0</v>
      </c>
      <c r="CK341">
        <v>0</v>
      </c>
      <c r="CL341">
        <v>0</v>
      </c>
      <c r="CM341">
        <v>0</v>
      </c>
    </row>
    <row r="342" spans="82:91" x14ac:dyDescent="0.25">
      <c r="CD342">
        <v>5040</v>
      </c>
      <c r="CE342">
        <v>384</v>
      </c>
      <c r="CF342">
        <v>144</v>
      </c>
      <c r="CG342">
        <v>0</v>
      </c>
      <c r="CH342">
        <v>0</v>
      </c>
      <c r="CI342">
        <v>0</v>
      </c>
      <c r="CJ342">
        <v>0</v>
      </c>
      <c r="CK342">
        <v>0</v>
      </c>
      <c r="CL342">
        <v>0</v>
      </c>
      <c r="CM342">
        <v>0</v>
      </c>
    </row>
    <row r="343" spans="82:91" x14ac:dyDescent="0.25">
      <c r="CD343">
        <v>5040</v>
      </c>
      <c r="CE343">
        <v>384</v>
      </c>
      <c r="CF343">
        <v>144</v>
      </c>
      <c r="CG343">
        <v>0</v>
      </c>
      <c r="CH343">
        <v>0</v>
      </c>
      <c r="CI343">
        <v>0</v>
      </c>
      <c r="CJ343">
        <v>0</v>
      </c>
      <c r="CK343">
        <v>0</v>
      </c>
      <c r="CL343">
        <v>0</v>
      </c>
      <c r="CM343">
        <v>0</v>
      </c>
    </row>
    <row r="344" spans="82:91" x14ac:dyDescent="0.25">
      <c r="CD344">
        <v>5040</v>
      </c>
      <c r="CE344">
        <v>384</v>
      </c>
      <c r="CF344">
        <v>144</v>
      </c>
      <c r="CG344">
        <v>0</v>
      </c>
      <c r="CH344">
        <v>0</v>
      </c>
      <c r="CI344">
        <v>0</v>
      </c>
      <c r="CJ344">
        <v>0</v>
      </c>
      <c r="CK344">
        <v>0</v>
      </c>
      <c r="CL344">
        <v>0</v>
      </c>
      <c r="CM344">
        <v>0</v>
      </c>
    </row>
    <row r="345" spans="82:91" x14ac:dyDescent="0.25">
      <c r="CD345">
        <v>5040</v>
      </c>
      <c r="CE345">
        <v>384</v>
      </c>
      <c r="CF345">
        <v>144</v>
      </c>
      <c r="CG345">
        <v>0</v>
      </c>
      <c r="CH345">
        <v>0</v>
      </c>
      <c r="CI345">
        <v>0</v>
      </c>
      <c r="CJ345">
        <v>0</v>
      </c>
      <c r="CK345">
        <v>0</v>
      </c>
      <c r="CL345">
        <v>0</v>
      </c>
      <c r="CM345">
        <v>0</v>
      </c>
    </row>
    <row r="346" spans="82:91" x14ac:dyDescent="0.25">
      <c r="CD346">
        <v>5040</v>
      </c>
      <c r="CE346">
        <v>384</v>
      </c>
      <c r="CF346">
        <v>144</v>
      </c>
      <c r="CG346">
        <v>0</v>
      </c>
      <c r="CH346">
        <v>0</v>
      </c>
      <c r="CI346">
        <v>0</v>
      </c>
      <c r="CJ346">
        <v>0</v>
      </c>
      <c r="CK346">
        <v>0</v>
      </c>
      <c r="CL346">
        <v>0</v>
      </c>
      <c r="CM346">
        <v>0</v>
      </c>
    </row>
    <row r="347" spans="82:91" x14ac:dyDescent="0.25">
      <c r="CD347">
        <v>5040</v>
      </c>
      <c r="CE347">
        <v>384</v>
      </c>
      <c r="CF347">
        <v>144</v>
      </c>
      <c r="CG347">
        <v>0</v>
      </c>
      <c r="CH347">
        <v>0</v>
      </c>
      <c r="CI347">
        <v>0</v>
      </c>
      <c r="CJ347">
        <v>0</v>
      </c>
      <c r="CK347">
        <v>0</v>
      </c>
      <c r="CL347">
        <v>0</v>
      </c>
      <c r="CM347">
        <v>0</v>
      </c>
    </row>
    <row r="348" spans="82:91" x14ac:dyDescent="0.25">
      <c r="CD348">
        <v>5040</v>
      </c>
      <c r="CE348">
        <v>384</v>
      </c>
      <c r="CF348">
        <v>144</v>
      </c>
      <c r="CG348">
        <v>0</v>
      </c>
      <c r="CH348">
        <v>0</v>
      </c>
      <c r="CI348">
        <v>0</v>
      </c>
      <c r="CJ348">
        <v>0</v>
      </c>
      <c r="CK348">
        <v>0</v>
      </c>
      <c r="CL348">
        <v>0</v>
      </c>
      <c r="CM348">
        <v>0</v>
      </c>
    </row>
    <row r="349" spans="82:91" x14ac:dyDescent="0.25">
      <c r="CD349">
        <v>5040</v>
      </c>
      <c r="CE349">
        <v>384</v>
      </c>
      <c r="CF349">
        <v>144</v>
      </c>
      <c r="CG349">
        <v>0</v>
      </c>
      <c r="CH349">
        <v>0</v>
      </c>
      <c r="CI349">
        <v>0</v>
      </c>
      <c r="CJ349">
        <v>0</v>
      </c>
      <c r="CK349">
        <v>0</v>
      </c>
      <c r="CL349">
        <v>0</v>
      </c>
      <c r="CM349">
        <v>0</v>
      </c>
    </row>
    <row r="350" spans="82:91" x14ac:dyDescent="0.25">
      <c r="CD350">
        <v>5040</v>
      </c>
      <c r="CE350">
        <v>384</v>
      </c>
      <c r="CF350">
        <v>144</v>
      </c>
      <c r="CG350">
        <v>0</v>
      </c>
      <c r="CH350">
        <v>0</v>
      </c>
      <c r="CI350">
        <v>0</v>
      </c>
      <c r="CJ350">
        <v>0</v>
      </c>
      <c r="CK350">
        <v>0</v>
      </c>
      <c r="CL350">
        <v>0</v>
      </c>
      <c r="CM350">
        <v>0</v>
      </c>
    </row>
    <row r="351" spans="82:91" x14ac:dyDescent="0.25">
      <c r="CD351">
        <v>5040</v>
      </c>
      <c r="CE351">
        <v>384</v>
      </c>
      <c r="CF351">
        <v>144</v>
      </c>
      <c r="CG351">
        <v>0</v>
      </c>
      <c r="CH351">
        <v>0</v>
      </c>
      <c r="CI351">
        <v>0</v>
      </c>
      <c r="CJ351">
        <v>0</v>
      </c>
      <c r="CK351">
        <v>0</v>
      </c>
      <c r="CL351">
        <v>0</v>
      </c>
      <c r="CM351">
        <v>0</v>
      </c>
    </row>
    <row r="352" spans="82:91" x14ac:dyDescent="0.25">
      <c r="CD352">
        <v>5040</v>
      </c>
      <c r="CE352">
        <v>384</v>
      </c>
      <c r="CF352">
        <v>144</v>
      </c>
      <c r="CG352">
        <v>0</v>
      </c>
      <c r="CH352">
        <v>0</v>
      </c>
      <c r="CI352">
        <v>0</v>
      </c>
      <c r="CJ352">
        <v>0</v>
      </c>
      <c r="CK352">
        <v>0</v>
      </c>
      <c r="CL352">
        <v>0</v>
      </c>
      <c r="CM352">
        <v>0</v>
      </c>
    </row>
    <row r="353" spans="82:91" x14ac:dyDescent="0.25">
      <c r="CD353">
        <v>5040</v>
      </c>
      <c r="CE353">
        <v>384</v>
      </c>
      <c r="CF353">
        <v>144</v>
      </c>
      <c r="CG353">
        <v>0</v>
      </c>
      <c r="CH353">
        <v>0</v>
      </c>
      <c r="CI353">
        <v>0</v>
      </c>
      <c r="CJ353">
        <v>0</v>
      </c>
      <c r="CK353">
        <v>0</v>
      </c>
      <c r="CL353">
        <v>0</v>
      </c>
      <c r="CM353">
        <v>0</v>
      </c>
    </row>
    <row r="354" spans="82:91" x14ac:dyDescent="0.25">
      <c r="CD354">
        <v>5040</v>
      </c>
      <c r="CE354">
        <v>384</v>
      </c>
      <c r="CF354">
        <v>144</v>
      </c>
      <c r="CG354">
        <v>0</v>
      </c>
      <c r="CH354">
        <v>0</v>
      </c>
      <c r="CI354">
        <v>0</v>
      </c>
      <c r="CJ354">
        <v>0</v>
      </c>
      <c r="CK354">
        <v>0</v>
      </c>
      <c r="CL354">
        <v>0</v>
      </c>
      <c r="CM354">
        <v>0</v>
      </c>
    </row>
    <row r="355" spans="82:91" x14ac:dyDescent="0.25">
      <c r="CD355">
        <v>5040</v>
      </c>
      <c r="CE355">
        <v>384</v>
      </c>
      <c r="CF355">
        <v>144</v>
      </c>
      <c r="CG355">
        <v>0</v>
      </c>
      <c r="CH355">
        <v>0</v>
      </c>
      <c r="CI355">
        <v>0</v>
      </c>
      <c r="CJ355">
        <v>0</v>
      </c>
      <c r="CK355">
        <v>0</v>
      </c>
      <c r="CL355">
        <v>0</v>
      </c>
      <c r="CM355">
        <v>0</v>
      </c>
    </row>
    <row r="356" spans="82:91" x14ac:dyDescent="0.25">
      <c r="CD356">
        <v>5040</v>
      </c>
      <c r="CE356">
        <v>384</v>
      </c>
      <c r="CF356">
        <v>144</v>
      </c>
      <c r="CG356">
        <v>0</v>
      </c>
      <c r="CH356">
        <v>0</v>
      </c>
      <c r="CI356">
        <v>0</v>
      </c>
      <c r="CJ356">
        <v>0</v>
      </c>
      <c r="CK356">
        <v>0</v>
      </c>
      <c r="CL356">
        <v>0</v>
      </c>
      <c r="CM356">
        <v>0</v>
      </c>
    </row>
    <row r="357" spans="82:91" x14ac:dyDescent="0.25">
      <c r="CD357">
        <v>5040</v>
      </c>
      <c r="CE357">
        <v>384</v>
      </c>
      <c r="CF357">
        <v>144</v>
      </c>
      <c r="CG357">
        <v>0</v>
      </c>
      <c r="CH357">
        <v>0</v>
      </c>
      <c r="CI357">
        <v>0</v>
      </c>
      <c r="CJ357">
        <v>0</v>
      </c>
      <c r="CK357">
        <v>0</v>
      </c>
      <c r="CL357">
        <v>0</v>
      </c>
      <c r="CM357">
        <v>0</v>
      </c>
    </row>
    <row r="358" spans="82:91" x14ac:dyDescent="0.25">
      <c r="CD358">
        <v>5040</v>
      </c>
      <c r="CE358">
        <v>384</v>
      </c>
      <c r="CF358">
        <v>144</v>
      </c>
      <c r="CG358">
        <v>0</v>
      </c>
      <c r="CH358">
        <v>0</v>
      </c>
      <c r="CI358">
        <v>0</v>
      </c>
      <c r="CJ358">
        <v>0</v>
      </c>
      <c r="CK358">
        <v>0</v>
      </c>
      <c r="CL358">
        <v>0</v>
      </c>
      <c r="CM358">
        <v>0</v>
      </c>
    </row>
    <row r="359" spans="82:91" x14ac:dyDescent="0.25">
      <c r="CD359">
        <v>5040</v>
      </c>
      <c r="CE359">
        <v>384</v>
      </c>
      <c r="CF359">
        <v>144</v>
      </c>
      <c r="CG359">
        <v>0</v>
      </c>
      <c r="CH359">
        <v>0</v>
      </c>
      <c r="CI359">
        <v>0</v>
      </c>
      <c r="CJ359">
        <v>0</v>
      </c>
      <c r="CK359">
        <v>0</v>
      </c>
      <c r="CL359">
        <v>0</v>
      </c>
      <c r="CM359">
        <v>0</v>
      </c>
    </row>
    <row r="360" spans="82:91" x14ac:dyDescent="0.25">
      <c r="CD360">
        <v>5040</v>
      </c>
      <c r="CE360">
        <v>384</v>
      </c>
      <c r="CF360">
        <v>144</v>
      </c>
      <c r="CG360">
        <v>0</v>
      </c>
      <c r="CH360">
        <v>0</v>
      </c>
      <c r="CI360">
        <v>0</v>
      </c>
      <c r="CJ360">
        <v>0</v>
      </c>
      <c r="CK360">
        <v>0</v>
      </c>
      <c r="CL360">
        <v>0</v>
      </c>
      <c r="CM360">
        <v>0</v>
      </c>
    </row>
    <row r="361" spans="82:91" x14ac:dyDescent="0.25">
      <c r="CD361">
        <v>5040</v>
      </c>
      <c r="CE361">
        <v>384</v>
      </c>
      <c r="CF361">
        <v>144</v>
      </c>
      <c r="CG361">
        <v>0</v>
      </c>
      <c r="CH361">
        <v>0</v>
      </c>
      <c r="CI361">
        <v>0</v>
      </c>
      <c r="CJ361">
        <v>0</v>
      </c>
      <c r="CK361">
        <v>0</v>
      </c>
      <c r="CL361">
        <v>0</v>
      </c>
      <c r="CM361">
        <v>0</v>
      </c>
    </row>
    <row r="362" spans="82:91" x14ac:dyDescent="0.25">
      <c r="CD362">
        <v>5040</v>
      </c>
      <c r="CE362">
        <v>384</v>
      </c>
      <c r="CF362">
        <v>144</v>
      </c>
      <c r="CG362">
        <v>0</v>
      </c>
      <c r="CH362">
        <v>0</v>
      </c>
      <c r="CI362">
        <v>0</v>
      </c>
      <c r="CJ362">
        <v>0</v>
      </c>
      <c r="CK362">
        <v>0</v>
      </c>
      <c r="CL362">
        <v>0</v>
      </c>
      <c r="CM362">
        <v>0</v>
      </c>
    </row>
    <row r="363" spans="82:91" x14ac:dyDescent="0.25">
      <c r="CD363">
        <v>5040</v>
      </c>
      <c r="CE363">
        <v>384</v>
      </c>
      <c r="CF363">
        <v>144</v>
      </c>
      <c r="CG363">
        <v>0</v>
      </c>
      <c r="CH363">
        <v>0</v>
      </c>
      <c r="CI363">
        <v>0</v>
      </c>
      <c r="CJ363">
        <v>0</v>
      </c>
      <c r="CK363">
        <v>0</v>
      </c>
      <c r="CL363">
        <v>0</v>
      </c>
      <c r="CM363">
        <v>0</v>
      </c>
    </row>
    <row r="364" spans="82:91" x14ac:dyDescent="0.25">
      <c r="CD364">
        <v>5040</v>
      </c>
      <c r="CE364">
        <v>384</v>
      </c>
      <c r="CF364">
        <v>144</v>
      </c>
      <c r="CG364">
        <v>0</v>
      </c>
      <c r="CH364">
        <v>0</v>
      </c>
      <c r="CI364">
        <v>0</v>
      </c>
      <c r="CJ364">
        <v>0</v>
      </c>
      <c r="CK364">
        <v>0</v>
      </c>
      <c r="CL364">
        <v>0</v>
      </c>
      <c r="CM364">
        <v>0</v>
      </c>
    </row>
    <row r="365" spans="82:91" x14ac:dyDescent="0.25">
      <c r="CD365">
        <v>5040</v>
      </c>
      <c r="CE365">
        <v>384</v>
      </c>
      <c r="CF365">
        <v>144</v>
      </c>
      <c r="CG365">
        <v>0</v>
      </c>
      <c r="CH365">
        <v>0</v>
      </c>
      <c r="CI365">
        <v>0</v>
      </c>
      <c r="CJ365">
        <v>0</v>
      </c>
      <c r="CK365">
        <v>0</v>
      </c>
      <c r="CL365">
        <v>0</v>
      </c>
      <c r="CM365">
        <v>0</v>
      </c>
    </row>
    <row r="366" spans="82:91" x14ac:dyDescent="0.25">
      <c r="CD366">
        <v>5040</v>
      </c>
      <c r="CE366">
        <v>384</v>
      </c>
      <c r="CF366">
        <v>144</v>
      </c>
      <c r="CG366">
        <v>0</v>
      </c>
      <c r="CH366">
        <v>0</v>
      </c>
      <c r="CI366">
        <v>0</v>
      </c>
      <c r="CJ366">
        <v>0</v>
      </c>
      <c r="CK366">
        <v>0</v>
      </c>
      <c r="CL366">
        <v>0</v>
      </c>
      <c r="CM366">
        <v>0</v>
      </c>
    </row>
    <row r="367" spans="82:91" x14ac:dyDescent="0.25">
      <c r="CD367">
        <v>5040</v>
      </c>
      <c r="CE367">
        <v>384</v>
      </c>
      <c r="CF367">
        <v>144</v>
      </c>
      <c r="CG367">
        <v>0</v>
      </c>
      <c r="CH367">
        <v>0</v>
      </c>
      <c r="CI367">
        <v>0</v>
      </c>
      <c r="CJ367">
        <v>0</v>
      </c>
      <c r="CK367">
        <v>0</v>
      </c>
      <c r="CL367">
        <v>0</v>
      </c>
      <c r="CM367">
        <v>0</v>
      </c>
    </row>
    <row r="368" spans="82:91" x14ac:dyDescent="0.25">
      <c r="CD368">
        <v>5040</v>
      </c>
      <c r="CE368">
        <v>384</v>
      </c>
      <c r="CF368">
        <v>144</v>
      </c>
      <c r="CG368">
        <v>0</v>
      </c>
      <c r="CH368">
        <v>0</v>
      </c>
      <c r="CI368">
        <v>0</v>
      </c>
      <c r="CJ368">
        <v>0</v>
      </c>
      <c r="CK368">
        <v>0</v>
      </c>
      <c r="CL368">
        <v>0</v>
      </c>
      <c r="CM368">
        <v>0</v>
      </c>
    </row>
    <row r="369" spans="82:91" x14ac:dyDescent="0.25">
      <c r="CD369">
        <v>5040</v>
      </c>
      <c r="CE369">
        <v>384</v>
      </c>
      <c r="CF369">
        <v>144</v>
      </c>
      <c r="CG369">
        <v>0</v>
      </c>
      <c r="CH369">
        <v>0</v>
      </c>
      <c r="CI369">
        <v>0</v>
      </c>
      <c r="CJ369">
        <v>0</v>
      </c>
      <c r="CK369">
        <v>0</v>
      </c>
      <c r="CL369">
        <v>0</v>
      </c>
      <c r="CM369">
        <v>0</v>
      </c>
    </row>
    <row r="370" spans="82:91" x14ac:dyDescent="0.25">
      <c r="CD370">
        <v>5040</v>
      </c>
      <c r="CE370">
        <v>384</v>
      </c>
      <c r="CF370">
        <v>144</v>
      </c>
      <c r="CG370">
        <v>0</v>
      </c>
      <c r="CH370">
        <v>0</v>
      </c>
      <c r="CI370">
        <v>0</v>
      </c>
      <c r="CJ370">
        <v>0</v>
      </c>
      <c r="CK370">
        <v>0</v>
      </c>
      <c r="CL370">
        <v>0</v>
      </c>
      <c r="CM370">
        <v>0</v>
      </c>
    </row>
    <row r="371" spans="82:91" x14ac:dyDescent="0.25">
      <c r="CD371">
        <v>5040</v>
      </c>
      <c r="CE371">
        <v>384</v>
      </c>
      <c r="CF371">
        <v>144</v>
      </c>
      <c r="CG371">
        <v>0</v>
      </c>
      <c r="CH371">
        <v>0</v>
      </c>
      <c r="CI371">
        <v>0</v>
      </c>
      <c r="CJ371">
        <v>0</v>
      </c>
      <c r="CK371">
        <v>0</v>
      </c>
      <c r="CL371">
        <v>0</v>
      </c>
      <c r="CM371">
        <v>0</v>
      </c>
    </row>
    <row r="372" spans="82:91" x14ac:dyDescent="0.25">
      <c r="CD372">
        <v>5040</v>
      </c>
      <c r="CE372">
        <v>384</v>
      </c>
      <c r="CF372">
        <v>144</v>
      </c>
      <c r="CG372">
        <v>0</v>
      </c>
      <c r="CH372">
        <v>0</v>
      </c>
      <c r="CI372">
        <v>0</v>
      </c>
      <c r="CJ372">
        <v>0</v>
      </c>
      <c r="CK372">
        <v>0</v>
      </c>
      <c r="CL372">
        <v>0</v>
      </c>
      <c r="CM372">
        <v>0</v>
      </c>
    </row>
    <row r="373" spans="82:91" x14ac:dyDescent="0.25">
      <c r="CD373">
        <v>5040</v>
      </c>
      <c r="CE373">
        <v>384</v>
      </c>
      <c r="CF373">
        <v>144</v>
      </c>
      <c r="CG373">
        <v>0</v>
      </c>
      <c r="CH373">
        <v>0</v>
      </c>
      <c r="CI373">
        <v>0</v>
      </c>
      <c r="CJ373">
        <v>0</v>
      </c>
      <c r="CK373">
        <v>0</v>
      </c>
      <c r="CL373">
        <v>0</v>
      </c>
      <c r="CM373">
        <v>0</v>
      </c>
    </row>
    <row r="374" spans="82:91" x14ac:dyDescent="0.25">
      <c r="CD374">
        <v>5040</v>
      </c>
      <c r="CE374">
        <v>384</v>
      </c>
      <c r="CF374">
        <v>144</v>
      </c>
      <c r="CG374">
        <v>0</v>
      </c>
      <c r="CH374">
        <v>0</v>
      </c>
      <c r="CI374">
        <v>0</v>
      </c>
      <c r="CJ374">
        <v>0</v>
      </c>
      <c r="CK374">
        <v>0</v>
      </c>
      <c r="CL374">
        <v>0</v>
      </c>
      <c r="CM374">
        <v>0</v>
      </c>
    </row>
    <row r="375" spans="82:91" x14ac:dyDescent="0.25">
      <c r="CD375">
        <v>5040</v>
      </c>
      <c r="CE375">
        <v>384</v>
      </c>
      <c r="CF375">
        <v>144</v>
      </c>
      <c r="CG375">
        <v>0</v>
      </c>
      <c r="CH375">
        <v>0</v>
      </c>
      <c r="CI375">
        <v>0</v>
      </c>
      <c r="CJ375">
        <v>0</v>
      </c>
      <c r="CK375">
        <v>0</v>
      </c>
      <c r="CL375">
        <v>0</v>
      </c>
      <c r="CM375">
        <v>0</v>
      </c>
    </row>
    <row r="376" spans="82:91" x14ac:dyDescent="0.25">
      <c r="CD376">
        <v>5040</v>
      </c>
      <c r="CE376">
        <v>384</v>
      </c>
      <c r="CF376">
        <v>144</v>
      </c>
      <c r="CG376">
        <v>0</v>
      </c>
      <c r="CH376">
        <v>0</v>
      </c>
      <c r="CI376">
        <v>0</v>
      </c>
      <c r="CJ376">
        <v>0</v>
      </c>
      <c r="CK376">
        <v>0</v>
      </c>
      <c r="CL376">
        <v>0</v>
      </c>
      <c r="CM376">
        <v>0</v>
      </c>
    </row>
    <row r="377" spans="82:91" x14ac:dyDescent="0.25">
      <c r="CD377">
        <v>5040</v>
      </c>
      <c r="CE377">
        <v>384</v>
      </c>
      <c r="CF377">
        <v>144</v>
      </c>
      <c r="CG377">
        <v>0</v>
      </c>
      <c r="CH377">
        <v>0</v>
      </c>
      <c r="CI377">
        <v>0</v>
      </c>
      <c r="CJ377">
        <v>0</v>
      </c>
      <c r="CK377">
        <v>0</v>
      </c>
      <c r="CL377">
        <v>0</v>
      </c>
      <c r="CM377">
        <v>0</v>
      </c>
    </row>
    <row r="378" spans="82:91" x14ac:dyDescent="0.25">
      <c r="CD378">
        <v>5040</v>
      </c>
      <c r="CE378">
        <v>384</v>
      </c>
      <c r="CF378">
        <v>144</v>
      </c>
      <c r="CG378">
        <v>0</v>
      </c>
      <c r="CH378">
        <v>0</v>
      </c>
      <c r="CI378">
        <v>0</v>
      </c>
      <c r="CJ378">
        <v>0</v>
      </c>
      <c r="CK378">
        <v>0</v>
      </c>
      <c r="CL378">
        <v>0</v>
      </c>
      <c r="CM378">
        <v>0</v>
      </c>
    </row>
    <row r="379" spans="82:91" x14ac:dyDescent="0.25">
      <c r="CD379">
        <v>5040</v>
      </c>
      <c r="CE379">
        <v>384</v>
      </c>
      <c r="CF379">
        <v>144</v>
      </c>
      <c r="CG379">
        <v>0</v>
      </c>
      <c r="CH379">
        <v>0</v>
      </c>
      <c r="CI379">
        <v>0</v>
      </c>
      <c r="CJ379">
        <v>0</v>
      </c>
      <c r="CK379">
        <v>0</v>
      </c>
      <c r="CL379">
        <v>0</v>
      </c>
      <c r="CM379">
        <v>0</v>
      </c>
    </row>
    <row r="380" spans="82:91" x14ac:dyDescent="0.25">
      <c r="CD380">
        <v>5040</v>
      </c>
      <c r="CE380">
        <v>384</v>
      </c>
      <c r="CF380">
        <v>144</v>
      </c>
      <c r="CG380">
        <v>0</v>
      </c>
      <c r="CH380">
        <v>0</v>
      </c>
      <c r="CI380">
        <v>0</v>
      </c>
      <c r="CJ380">
        <v>0</v>
      </c>
      <c r="CK380">
        <v>0</v>
      </c>
      <c r="CL380">
        <v>0</v>
      </c>
      <c r="CM380">
        <v>0</v>
      </c>
    </row>
    <row r="381" spans="82:91" x14ac:dyDescent="0.25">
      <c r="CD381">
        <v>5040</v>
      </c>
      <c r="CE381">
        <v>384</v>
      </c>
      <c r="CF381">
        <v>144</v>
      </c>
      <c r="CG381">
        <v>0</v>
      </c>
      <c r="CH381">
        <v>0</v>
      </c>
      <c r="CI381">
        <v>0</v>
      </c>
      <c r="CJ381">
        <v>0</v>
      </c>
      <c r="CK381">
        <v>0</v>
      </c>
      <c r="CL381">
        <v>0</v>
      </c>
      <c r="CM381">
        <v>0</v>
      </c>
    </row>
    <row r="382" spans="82:91" x14ac:dyDescent="0.25">
      <c r="CD382">
        <v>5040</v>
      </c>
      <c r="CE382">
        <v>384</v>
      </c>
      <c r="CF382">
        <v>144</v>
      </c>
      <c r="CG382">
        <v>0</v>
      </c>
      <c r="CH382">
        <v>0</v>
      </c>
      <c r="CI382">
        <v>0</v>
      </c>
      <c r="CJ382">
        <v>0</v>
      </c>
      <c r="CK382">
        <v>0</v>
      </c>
      <c r="CL382">
        <v>0</v>
      </c>
      <c r="CM382">
        <v>0</v>
      </c>
    </row>
    <row r="383" spans="82:91" x14ac:dyDescent="0.25">
      <c r="CD383">
        <v>5040</v>
      </c>
      <c r="CE383">
        <v>384</v>
      </c>
      <c r="CF383">
        <v>144</v>
      </c>
      <c r="CG383">
        <v>0</v>
      </c>
      <c r="CH383">
        <v>0</v>
      </c>
      <c r="CI383">
        <v>0</v>
      </c>
      <c r="CJ383">
        <v>0</v>
      </c>
      <c r="CK383">
        <v>0</v>
      </c>
      <c r="CL383">
        <v>0</v>
      </c>
      <c r="CM383">
        <v>0</v>
      </c>
    </row>
    <row r="384" spans="82:91" x14ac:dyDescent="0.25">
      <c r="CD384">
        <v>5040</v>
      </c>
      <c r="CE384">
        <v>384</v>
      </c>
      <c r="CF384">
        <v>144</v>
      </c>
      <c r="CG384">
        <v>0</v>
      </c>
      <c r="CH384">
        <v>0</v>
      </c>
      <c r="CI384">
        <v>0</v>
      </c>
      <c r="CJ384">
        <v>0</v>
      </c>
      <c r="CK384">
        <v>0</v>
      </c>
      <c r="CL384">
        <v>0</v>
      </c>
      <c r="CM384">
        <v>0</v>
      </c>
    </row>
    <row r="385" spans="82:91" x14ac:dyDescent="0.25">
      <c r="CD385">
        <v>5040</v>
      </c>
      <c r="CE385">
        <v>384</v>
      </c>
      <c r="CF385">
        <v>144</v>
      </c>
      <c r="CG385">
        <v>0</v>
      </c>
      <c r="CH385">
        <v>0</v>
      </c>
      <c r="CI385">
        <v>0</v>
      </c>
      <c r="CJ385">
        <v>0</v>
      </c>
      <c r="CK385">
        <v>0</v>
      </c>
      <c r="CL385">
        <v>0</v>
      </c>
      <c r="CM385">
        <v>0</v>
      </c>
    </row>
    <row r="386" spans="82:91" x14ac:dyDescent="0.25">
      <c r="CD386">
        <v>5040</v>
      </c>
      <c r="CE386">
        <v>384</v>
      </c>
      <c r="CF386">
        <v>144</v>
      </c>
      <c r="CG386">
        <v>0</v>
      </c>
      <c r="CH386">
        <v>0</v>
      </c>
      <c r="CI386">
        <v>0</v>
      </c>
      <c r="CJ386">
        <v>0</v>
      </c>
      <c r="CK386">
        <v>0</v>
      </c>
      <c r="CL386">
        <v>0</v>
      </c>
      <c r="CM386">
        <v>0</v>
      </c>
    </row>
    <row r="387" spans="82:91" x14ac:dyDescent="0.25">
      <c r="CD387">
        <v>5040</v>
      </c>
      <c r="CE387">
        <v>384</v>
      </c>
      <c r="CF387">
        <v>144</v>
      </c>
      <c r="CG387">
        <v>0</v>
      </c>
      <c r="CH387">
        <v>0</v>
      </c>
      <c r="CI387">
        <v>0</v>
      </c>
      <c r="CJ387">
        <v>0</v>
      </c>
      <c r="CK387">
        <v>0</v>
      </c>
      <c r="CL387">
        <v>0</v>
      </c>
      <c r="CM387">
        <v>0</v>
      </c>
    </row>
    <row r="388" spans="82:91" x14ac:dyDescent="0.25">
      <c r="CD388">
        <v>5040</v>
      </c>
      <c r="CE388">
        <v>384</v>
      </c>
      <c r="CF388">
        <v>96</v>
      </c>
      <c r="CG388">
        <v>0</v>
      </c>
      <c r="CH388">
        <v>0</v>
      </c>
      <c r="CI388">
        <v>0</v>
      </c>
      <c r="CJ388">
        <v>0</v>
      </c>
      <c r="CK388">
        <v>0</v>
      </c>
      <c r="CL388">
        <v>0</v>
      </c>
      <c r="CM388">
        <v>0</v>
      </c>
    </row>
    <row r="389" spans="82:91" x14ac:dyDescent="0.25">
      <c r="CD389">
        <v>5040</v>
      </c>
      <c r="CE389">
        <v>384</v>
      </c>
      <c r="CF389">
        <v>96</v>
      </c>
      <c r="CG389">
        <v>0</v>
      </c>
      <c r="CH389">
        <v>0</v>
      </c>
      <c r="CI389">
        <v>0</v>
      </c>
      <c r="CJ389">
        <v>0</v>
      </c>
      <c r="CK389">
        <v>0</v>
      </c>
      <c r="CL389">
        <v>0</v>
      </c>
      <c r="CM389">
        <v>0</v>
      </c>
    </row>
    <row r="390" spans="82:91" x14ac:dyDescent="0.25">
      <c r="CD390">
        <v>5040</v>
      </c>
      <c r="CE390">
        <v>384</v>
      </c>
      <c r="CF390">
        <v>96</v>
      </c>
      <c r="CG390">
        <v>0</v>
      </c>
      <c r="CH390">
        <v>0</v>
      </c>
      <c r="CI390">
        <v>0</v>
      </c>
      <c r="CJ390">
        <v>0</v>
      </c>
      <c r="CK390">
        <v>0</v>
      </c>
      <c r="CL390">
        <v>0</v>
      </c>
      <c r="CM390">
        <v>0</v>
      </c>
    </row>
    <row r="391" spans="82:91" x14ac:dyDescent="0.25">
      <c r="CD391">
        <v>5040</v>
      </c>
      <c r="CE391">
        <v>384</v>
      </c>
      <c r="CF391">
        <v>96</v>
      </c>
      <c r="CG391">
        <v>0</v>
      </c>
      <c r="CH391">
        <v>0</v>
      </c>
      <c r="CI391">
        <v>0</v>
      </c>
      <c r="CJ391">
        <v>0</v>
      </c>
      <c r="CK391">
        <v>0</v>
      </c>
      <c r="CL391">
        <v>0</v>
      </c>
      <c r="CM391">
        <v>0</v>
      </c>
    </row>
    <row r="392" spans="82:91" x14ac:dyDescent="0.25">
      <c r="CD392">
        <v>5040</v>
      </c>
      <c r="CE392">
        <v>384</v>
      </c>
      <c r="CF392">
        <v>96</v>
      </c>
      <c r="CG392">
        <v>0</v>
      </c>
      <c r="CH392">
        <v>0</v>
      </c>
      <c r="CI392">
        <v>0</v>
      </c>
      <c r="CJ392">
        <v>0</v>
      </c>
      <c r="CK392">
        <v>0</v>
      </c>
      <c r="CL392">
        <v>0</v>
      </c>
      <c r="CM392">
        <v>0</v>
      </c>
    </row>
    <row r="393" spans="82:91" x14ac:dyDescent="0.25">
      <c r="CD393">
        <v>5040</v>
      </c>
      <c r="CE393">
        <v>384</v>
      </c>
      <c r="CF393">
        <v>96</v>
      </c>
      <c r="CG393">
        <v>0</v>
      </c>
      <c r="CH393">
        <v>0</v>
      </c>
      <c r="CI393">
        <v>0</v>
      </c>
      <c r="CJ393">
        <v>0</v>
      </c>
      <c r="CK393">
        <v>0</v>
      </c>
      <c r="CL393">
        <v>0</v>
      </c>
      <c r="CM393">
        <v>0</v>
      </c>
    </row>
    <row r="394" spans="82:91" x14ac:dyDescent="0.25">
      <c r="CD394">
        <v>5040</v>
      </c>
      <c r="CE394">
        <v>384</v>
      </c>
      <c r="CF394">
        <v>96</v>
      </c>
      <c r="CG394">
        <v>0</v>
      </c>
      <c r="CH394">
        <v>0</v>
      </c>
      <c r="CI394">
        <v>0</v>
      </c>
      <c r="CJ394">
        <v>0</v>
      </c>
      <c r="CK394">
        <v>0</v>
      </c>
      <c r="CL394">
        <v>0</v>
      </c>
      <c r="CM394">
        <v>0</v>
      </c>
    </row>
    <row r="395" spans="82:91" x14ac:dyDescent="0.25">
      <c r="CD395">
        <v>5040</v>
      </c>
      <c r="CE395">
        <v>384</v>
      </c>
      <c r="CF395">
        <v>96</v>
      </c>
      <c r="CG395">
        <v>0</v>
      </c>
      <c r="CH395">
        <v>0</v>
      </c>
      <c r="CI395">
        <v>0</v>
      </c>
      <c r="CJ395">
        <v>0</v>
      </c>
      <c r="CK395">
        <v>0</v>
      </c>
      <c r="CL395">
        <v>0</v>
      </c>
      <c r="CM395">
        <v>0</v>
      </c>
    </row>
    <row r="396" spans="82:91" x14ac:dyDescent="0.25">
      <c r="CD396">
        <v>5040</v>
      </c>
      <c r="CE396">
        <v>384</v>
      </c>
      <c r="CF396">
        <v>96</v>
      </c>
      <c r="CG396">
        <v>0</v>
      </c>
      <c r="CH396">
        <v>0</v>
      </c>
      <c r="CI396">
        <v>0</v>
      </c>
      <c r="CJ396">
        <v>0</v>
      </c>
      <c r="CK396">
        <v>0</v>
      </c>
      <c r="CL396">
        <v>0</v>
      </c>
      <c r="CM396">
        <v>0</v>
      </c>
    </row>
    <row r="397" spans="82:91" x14ac:dyDescent="0.25">
      <c r="CD397">
        <v>5040</v>
      </c>
      <c r="CE397">
        <v>384</v>
      </c>
      <c r="CF397">
        <v>96</v>
      </c>
      <c r="CG397">
        <v>0</v>
      </c>
      <c r="CH397">
        <v>0</v>
      </c>
      <c r="CI397">
        <v>0</v>
      </c>
      <c r="CJ397">
        <v>0</v>
      </c>
      <c r="CK397">
        <v>0</v>
      </c>
      <c r="CL397">
        <v>0</v>
      </c>
      <c r="CM397">
        <v>0</v>
      </c>
    </row>
    <row r="398" spans="82:91" x14ac:dyDescent="0.25">
      <c r="CD398">
        <v>5040</v>
      </c>
      <c r="CE398">
        <v>384</v>
      </c>
      <c r="CF398">
        <v>96</v>
      </c>
      <c r="CG398">
        <v>0</v>
      </c>
      <c r="CH398">
        <v>0</v>
      </c>
      <c r="CI398">
        <v>0</v>
      </c>
      <c r="CJ398">
        <v>0</v>
      </c>
      <c r="CK398">
        <v>0</v>
      </c>
      <c r="CL398">
        <v>0</v>
      </c>
      <c r="CM398">
        <v>0</v>
      </c>
    </row>
    <row r="399" spans="82:91" x14ac:dyDescent="0.25">
      <c r="CD399">
        <v>5040</v>
      </c>
      <c r="CE399">
        <v>384</v>
      </c>
      <c r="CF399">
        <v>96</v>
      </c>
      <c r="CG399">
        <v>0</v>
      </c>
      <c r="CH399">
        <v>0</v>
      </c>
      <c r="CI399">
        <v>0</v>
      </c>
      <c r="CJ399">
        <v>0</v>
      </c>
      <c r="CK399">
        <v>0</v>
      </c>
      <c r="CL399">
        <v>0</v>
      </c>
      <c r="CM399">
        <v>0</v>
      </c>
    </row>
    <row r="400" spans="82:91" x14ac:dyDescent="0.25">
      <c r="CD400">
        <v>5040</v>
      </c>
      <c r="CE400">
        <v>384</v>
      </c>
      <c r="CF400">
        <v>96</v>
      </c>
      <c r="CG400">
        <v>0</v>
      </c>
      <c r="CH400">
        <v>0</v>
      </c>
      <c r="CI400">
        <v>0</v>
      </c>
      <c r="CJ400">
        <v>0</v>
      </c>
      <c r="CK400">
        <v>0</v>
      </c>
      <c r="CL400">
        <v>0</v>
      </c>
      <c r="CM400">
        <v>0</v>
      </c>
    </row>
    <row r="401" spans="82:91" x14ac:dyDescent="0.25">
      <c r="CD401">
        <v>5040</v>
      </c>
      <c r="CE401">
        <v>384</v>
      </c>
      <c r="CF401">
        <v>96</v>
      </c>
      <c r="CG401">
        <v>0</v>
      </c>
      <c r="CH401">
        <v>0</v>
      </c>
      <c r="CI401">
        <v>0</v>
      </c>
      <c r="CJ401">
        <v>0</v>
      </c>
      <c r="CK401">
        <v>0</v>
      </c>
      <c r="CL401">
        <v>0</v>
      </c>
      <c r="CM401">
        <v>0</v>
      </c>
    </row>
    <row r="402" spans="82:91" x14ac:dyDescent="0.25">
      <c r="CD402">
        <v>5040</v>
      </c>
      <c r="CE402">
        <v>384</v>
      </c>
      <c r="CF402">
        <v>96</v>
      </c>
      <c r="CG402">
        <v>0</v>
      </c>
      <c r="CH402">
        <v>0</v>
      </c>
      <c r="CI402">
        <v>0</v>
      </c>
      <c r="CJ402">
        <v>0</v>
      </c>
      <c r="CK402">
        <v>0</v>
      </c>
      <c r="CL402">
        <v>0</v>
      </c>
      <c r="CM402">
        <v>0</v>
      </c>
    </row>
    <row r="403" spans="82:91" x14ac:dyDescent="0.25">
      <c r="CD403">
        <v>5040</v>
      </c>
      <c r="CE403">
        <v>384</v>
      </c>
      <c r="CF403">
        <v>96</v>
      </c>
      <c r="CG403">
        <v>0</v>
      </c>
      <c r="CH403">
        <v>0</v>
      </c>
      <c r="CI403">
        <v>0</v>
      </c>
      <c r="CJ403">
        <v>0</v>
      </c>
      <c r="CK403">
        <v>0</v>
      </c>
      <c r="CL403">
        <v>0</v>
      </c>
      <c r="CM403">
        <v>0</v>
      </c>
    </row>
    <row r="404" spans="82:91" x14ac:dyDescent="0.25">
      <c r="CD404">
        <v>5040</v>
      </c>
      <c r="CE404">
        <v>384</v>
      </c>
      <c r="CF404">
        <v>96</v>
      </c>
      <c r="CG404">
        <v>0</v>
      </c>
      <c r="CH404">
        <v>0</v>
      </c>
      <c r="CI404">
        <v>0</v>
      </c>
      <c r="CJ404">
        <v>0</v>
      </c>
      <c r="CK404">
        <v>0</v>
      </c>
      <c r="CL404">
        <v>0</v>
      </c>
      <c r="CM404">
        <v>0</v>
      </c>
    </row>
    <row r="405" spans="82:91" x14ac:dyDescent="0.25">
      <c r="CD405">
        <v>5040</v>
      </c>
      <c r="CE405">
        <v>384</v>
      </c>
      <c r="CF405">
        <v>96</v>
      </c>
      <c r="CG405">
        <v>0</v>
      </c>
      <c r="CH405">
        <v>0</v>
      </c>
      <c r="CI405">
        <v>0</v>
      </c>
      <c r="CJ405">
        <v>0</v>
      </c>
      <c r="CK405">
        <v>0</v>
      </c>
      <c r="CL405">
        <v>0</v>
      </c>
      <c r="CM405">
        <v>0</v>
      </c>
    </row>
    <row r="406" spans="82:91" x14ac:dyDescent="0.25">
      <c r="CD406">
        <v>5040</v>
      </c>
      <c r="CE406">
        <v>384</v>
      </c>
      <c r="CF406">
        <v>96</v>
      </c>
      <c r="CG406">
        <v>0</v>
      </c>
      <c r="CH406">
        <v>0</v>
      </c>
      <c r="CI406">
        <v>0</v>
      </c>
      <c r="CJ406">
        <v>0</v>
      </c>
      <c r="CK406">
        <v>0</v>
      </c>
      <c r="CL406">
        <v>0</v>
      </c>
      <c r="CM406">
        <v>0</v>
      </c>
    </row>
    <row r="407" spans="82:91" x14ac:dyDescent="0.25">
      <c r="CD407">
        <v>5040</v>
      </c>
      <c r="CE407">
        <v>384</v>
      </c>
      <c r="CF407">
        <v>96</v>
      </c>
      <c r="CG407">
        <v>0</v>
      </c>
      <c r="CH407">
        <v>0</v>
      </c>
      <c r="CI407">
        <v>0</v>
      </c>
      <c r="CJ407">
        <v>0</v>
      </c>
      <c r="CK407">
        <v>0</v>
      </c>
      <c r="CL407">
        <v>0</v>
      </c>
      <c r="CM407">
        <v>0</v>
      </c>
    </row>
    <row r="408" spans="82:91" x14ac:dyDescent="0.25">
      <c r="CD408">
        <v>5040</v>
      </c>
      <c r="CE408">
        <v>384</v>
      </c>
      <c r="CF408">
        <v>96</v>
      </c>
      <c r="CG408">
        <v>0</v>
      </c>
      <c r="CH408">
        <v>0</v>
      </c>
      <c r="CI408">
        <v>0</v>
      </c>
      <c r="CJ408">
        <v>0</v>
      </c>
      <c r="CK408">
        <v>0</v>
      </c>
      <c r="CL408">
        <v>0</v>
      </c>
      <c r="CM408">
        <v>0</v>
      </c>
    </row>
    <row r="409" spans="82:91" x14ac:dyDescent="0.25">
      <c r="CD409">
        <v>5040</v>
      </c>
      <c r="CE409">
        <v>384</v>
      </c>
      <c r="CF409">
        <v>96</v>
      </c>
      <c r="CG409">
        <v>0</v>
      </c>
      <c r="CH409">
        <v>0</v>
      </c>
      <c r="CI409">
        <v>0</v>
      </c>
      <c r="CJ409">
        <v>0</v>
      </c>
      <c r="CK409">
        <v>0</v>
      </c>
      <c r="CL409">
        <v>0</v>
      </c>
      <c r="CM409">
        <v>0</v>
      </c>
    </row>
    <row r="410" spans="82:91" x14ac:dyDescent="0.25">
      <c r="CD410">
        <v>5040</v>
      </c>
      <c r="CE410">
        <v>384</v>
      </c>
      <c r="CF410">
        <v>96</v>
      </c>
      <c r="CG410">
        <v>0</v>
      </c>
      <c r="CH410">
        <v>0</v>
      </c>
      <c r="CI410">
        <v>0</v>
      </c>
      <c r="CJ410">
        <v>0</v>
      </c>
      <c r="CK410">
        <v>0</v>
      </c>
      <c r="CL410">
        <v>0</v>
      </c>
      <c r="CM410">
        <v>0</v>
      </c>
    </row>
    <row r="411" spans="82:91" x14ac:dyDescent="0.25">
      <c r="CD411">
        <v>5040</v>
      </c>
      <c r="CE411">
        <v>384</v>
      </c>
      <c r="CF411">
        <v>96</v>
      </c>
      <c r="CG411">
        <v>0</v>
      </c>
      <c r="CH411">
        <v>0</v>
      </c>
      <c r="CI411">
        <v>0</v>
      </c>
      <c r="CJ411">
        <v>0</v>
      </c>
      <c r="CK411">
        <v>0</v>
      </c>
      <c r="CL411">
        <v>0</v>
      </c>
      <c r="CM411">
        <v>0</v>
      </c>
    </row>
    <row r="412" spans="82:91" x14ac:dyDescent="0.25">
      <c r="CD412">
        <v>5040</v>
      </c>
      <c r="CE412">
        <v>384</v>
      </c>
      <c r="CF412">
        <v>96</v>
      </c>
      <c r="CG412">
        <v>0</v>
      </c>
      <c r="CH412">
        <v>0</v>
      </c>
      <c r="CI412">
        <v>0</v>
      </c>
      <c r="CJ412">
        <v>0</v>
      </c>
      <c r="CK412">
        <v>0</v>
      </c>
      <c r="CL412">
        <v>0</v>
      </c>
      <c r="CM412">
        <v>0</v>
      </c>
    </row>
    <row r="413" spans="82:91" x14ac:dyDescent="0.25">
      <c r="CD413">
        <v>5040</v>
      </c>
      <c r="CE413">
        <v>384</v>
      </c>
      <c r="CF413">
        <v>96</v>
      </c>
      <c r="CG413">
        <v>0</v>
      </c>
      <c r="CH413">
        <v>0</v>
      </c>
      <c r="CI413">
        <v>0</v>
      </c>
      <c r="CJ413">
        <v>0</v>
      </c>
      <c r="CK413">
        <v>0</v>
      </c>
      <c r="CL413">
        <v>0</v>
      </c>
      <c r="CM413">
        <v>0</v>
      </c>
    </row>
    <row r="414" spans="82:91" x14ac:dyDescent="0.25">
      <c r="CD414">
        <v>5040</v>
      </c>
      <c r="CE414">
        <v>384</v>
      </c>
      <c r="CF414">
        <v>96</v>
      </c>
      <c r="CG414">
        <v>0</v>
      </c>
      <c r="CH414">
        <v>0</v>
      </c>
      <c r="CI414">
        <v>0</v>
      </c>
      <c r="CJ414">
        <v>0</v>
      </c>
      <c r="CK414">
        <v>0</v>
      </c>
      <c r="CL414">
        <v>0</v>
      </c>
      <c r="CM414">
        <v>0</v>
      </c>
    </row>
    <row r="415" spans="82:91" x14ac:dyDescent="0.25">
      <c r="CD415">
        <v>5040</v>
      </c>
      <c r="CE415">
        <v>384</v>
      </c>
      <c r="CF415">
        <v>96</v>
      </c>
      <c r="CG415">
        <v>0</v>
      </c>
      <c r="CH415">
        <v>0</v>
      </c>
      <c r="CI415">
        <v>0</v>
      </c>
      <c r="CJ415">
        <v>0</v>
      </c>
      <c r="CK415">
        <v>0</v>
      </c>
      <c r="CL415">
        <v>0</v>
      </c>
      <c r="CM415">
        <v>0</v>
      </c>
    </row>
    <row r="416" spans="82:91" x14ac:dyDescent="0.25">
      <c r="CD416">
        <v>5040</v>
      </c>
      <c r="CE416">
        <v>384</v>
      </c>
      <c r="CF416">
        <v>96</v>
      </c>
      <c r="CG416">
        <v>0</v>
      </c>
      <c r="CH416">
        <v>0</v>
      </c>
      <c r="CI416">
        <v>0</v>
      </c>
      <c r="CJ416">
        <v>0</v>
      </c>
      <c r="CK416">
        <v>0</v>
      </c>
      <c r="CL416">
        <v>0</v>
      </c>
      <c r="CM416">
        <v>0</v>
      </c>
    </row>
    <row r="417" spans="82:91" x14ac:dyDescent="0.25">
      <c r="CD417">
        <v>5040</v>
      </c>
      <c r="CE417">
        <v>384</v>
      </c>
      <c r="CF417">
        <v>96</v>
      </c>
      <c r="CG417">
        <v>0</v>
      </c>
      <c r="CH417">
        <v>0</v>
      </c>
      <c r="CI417">
        <v>0</v>
      </c>
      <c r="CJ417">
        <v>0</v>
      </c>
      <c r="CK417">
        <v>0</v>
      </c>
      <c r="CL417">
        <v>0</v>
      </c>
      <c r="CM417">
        <v>0</v>
      </c>
    </row>
    <row r="418" spans="82:91" x14ac:dyDescent="0.25">
      <c r="CD418">
        <v>5040</v>
      </c>
      <c r="CE418">
        <v>384</v>
      </c>
      <c r="CF418">
        <v>96</v>
      </c>
      <c r="CG418">
        <v>0</v>
      </c>
      <c r="CH418">
        <v>0</v>
      </c>
      <c r="CI418">
        <v>0</v>
      </c>
      <c r="CJ418">
        <v>0</v>
      </c>
      <c r="CK418">
        <v>0</v>
      </c>
      <c r="CL418">
        <v>0</v>
      </c>
      <c r="CM418">
        <v>0</v>
      </c>
    </row>
    <row r="419" spans="82:91" x14ac:dyDescent="0.25">
      <c r="CD419">
        <v>5040</v>
      </c>
      <c r="CE419">
        <v>384</v>
      </c>
      <c r="CF419">
        <v>96</v>
      </c>
      <c r="CG419">
        <v>0</v>
      </c>
      <c r="CH419">
        <v>0</v>
      </c>
      <c r="CI419">
        <v>0</v>
      </c>
      <c r="CJ419">
        <v>0</v>
      </c>
      <c r="CK419">
        <v>0</v>
      </c>
      <c r="CL419">
        <v>0</v>
      </c>
      <c r="CM419">
        <v>0</v>
      </c>
    </row>
    <row r="420" spans="82:91" x14ac:dyDescent="0.25">
      <c r="CD420">
        <v>5040</v>
      </c>
      <c r="CE420">
        <v>384</v>
      </c>
      <c r="CF420">
        <v>96</v>
      </c>
      <c r="CG420">
        <v>0</v>
      </c>
      <c r="CH420">
        <v>0</v>
      </c>
      <c r="CI420">
        <v>0</v>
      </c>
      <c r="CJ420">
        <v>0</v>
      </c>
      <c r="CK420">
        <v>0</v>
      </c>
      <c r="CL420">
        <v>0</v>
      </c>
      <c r="CM420">
        <v>0</v>
      </c>
    </row>
    <row r="421" spans="82:91" x14ac:dyDescent="0.25">
      <c r="CD421">
        <v>5040</v>
      </c>
      <c r="CE421">
        <v>384</v>
      </c>
      <c r="CF421">
        <v>96</v>
      </c>
      <c r="CG421">
        <v>0</v>
      </c>
      <c r="CH421">
        <v>0</v>
      </c>
      <c r="CI421">
        <v>0</v>
      </c>
      <c r="CJ421">
        <v>0</v>
      </c>
      <c r="CK421">
        <v>0</v>
      </c>
      <c r="CL421">
        <v>0</v>
      </c>
      <c r="CM421">
        <v>0</v>
      </c>
    </row>
    <row r="422" spans="82:91" x14ac:dyDescent="0.25">
      <c r="CD422">
        <v>5040</v>
      </c>
      <c r="CE422">
        <v>384</v>
      </c>
      <c r="CF422">
        <v>96</v>
      </c>
      <c r="CG422">
        <v>0</v>
      </c>
      <c r="CH422">
        <v>0</v>
      </c>
      <c r="CI422">
        <v>0</v>
      </c>
      <c r="CJ422">
        <v>0</v>
      </c>
      <c r="CK422">
        <v>0</v>
      </c>
      <c r="CL422">
        <v>0</v>
      </c>
      <c r="CM422">
        <v>0</v>
      </c>
    </row>
    <row r="423" spans="82:91" x14ac:dyDescent="0.25">
      <c r="CD423">
        <v>5040</v>
      </c>
      <c r="CE423">
        <v>384</v>
      </c>
      <c r="CF423">
        <v>96</v>
      </c>
      <c r="CG423">
        <v>0</v>
      </c>
      <c r="CH423">
        <v>0</v>
      </c>
      <c r="CI423">
        <v>0</v>
      </c>
      <c r="CJ423">
        <v>0</v>
      </c>
      <c r="CK423">
        <v>0</v>
      </c>
      <c r="CL423">
        <v>0</v>
      </c>
      <c r="CM423">
        <v>0</v>
      </c>
    </row>
    <row r="424" spans="82:91" x14ac:dyDescent="0.25">
      <c r="CD424">
        <v>5040</v>
      </c>
      <c r="CE424">
        <v>384</v>
      </c>
      <c r="CF424">
        <v>96</v>
      </c>
      <c r="CG424">
        <v>0</v>
      </c>
      <c r="CH424">
        <v>0</v>
      </c>
      <c r="CI424">
        <v>0</v>
      </c>
      <c r="CJ424">
        <v>0</v>
      </c>
      <c r="CK424">
        <v>0</v>
      </c>
      <c r="CL424">
        <v>0</v>
      </c>
      <c r="CM424">
        <v>0</v>
      </c>
    </row>
    <row r="425" spans="82:91" x14ac:dyDescent="0.25">
      <c r="CD425">
        <v>5040</v>
      </c>
      <c r="CE425">
        <v>384</v>
      </c>
      <c r="CF425">
        <v>96</v>
      </c>
      <c r="CG425">
        <v>0</v>
      </c>
      <c r="CH425">
        <v>0</v>
      </c>
      <c r="CI425">
        <v>0</v>
      </c>
      <c r="CJ425">
        <v>0</v>
      </c>
      <c r="CK425">
        <v>0</v>
      </c>
      <c r="CL425">
        <v>0</v>
      </c>
      <c r="CM425">
        <v>0</v>
      </c>
    </row>
    <row r="426" spans="82:91" x14ac:dyDescent="0.25">
      <c r="CD426">
        <v>5040</v>
      </c>
      <c r="CE426">
        <v>384</v>
      </c>
      <c r="CF426">
        <v>96</v>
      </c>
      <c r="CG426">
        <v>0</v>
      </c>
      <c r="CH426">
        <v>0</v>
      </c>
      <c r="CI426">
        <v>0</v>
      </c>
      <c r="CJ426">
        <v>0</v>
      </c>
      <c r="CK426">
        <v>0</v>
      </c>
      <c r="CL426">
        <v>0</v>
      </c>
      <c r="CM426">
        <v>0</v>
      </c>
    </row>
    <row r="427" spans="82:91" x14ac:dyDescent="0.25">
      <c r="CD427">
        <v>5040</v>
      </c>
      <c r="CE427">
        <v>384</v>
      </c>
      <c r="CF427">
        <v>96</v>
      </c>
      <c r="CG427">
        <v>0</v>
      </c>
      <c r="CH427">
        <v>0</v>
      </c>
      <c r="CI427">
        <v>0</v>
      </c>
      <c r="CJ427">
        <v>0</v>
      </c>
      <c r="CK427">
        <v>0</v>
      </c>
      <c r="CL427">
        <v>0</v>
      </c>
      <c r="CM427">
        <v>0</v>
      </c>
    </row>
    <row r="428" spans="82:91" x14ac:dyDescent="0.25">
      <c r="CD428">
        <v>5040</v>
      </c>
      <c r="CE428">
        <v>384</v>
      </c>
      <c r="CF428">
        <v>96</v>
      </c>
      <c r="CG428">
        <v>0</v>
      </c>
      <c r="CH428">
        <v>0</v>
      </c>
      <c r="CI428">
        <v>0</v>
      </c>
      <c r="CJ428">
        <v>0</v>
      </c>
      <c r="CK428">
        <v>0</v>
      </c>
      <c r="CL428">
        <v>0</v>
      </c>
      <c r="CM428">
        <v>0</v>
      </c>
    </row>
    <row r="429" spans="82:91" x14ac:dyDescent="0.25">
      <c r="CD429">
        <v>5040</v>
      </c>
      <c r="CE429">
        <v>384</v>
      </c>
      <c r="CF429">
        <v>96</v>
      </c>
      <c r="CG429">
        <v>0</v>
      </c>
      <c r="CH429">
        <v>0</v>
      </c>
      <c r="CI429">
        <v>0</v>
      </c>
      <c r="CJ429">
        <v>0</v>
      </c>
      <c r="CK429">
        <v>0</v>
      </c>
      <c r="CL429">
        <v>0</v>
      </c>
      <c r="CM429">
        <v>0</v>
      </c>
    </row>
    <row r="430" spans="82:91" x14ac:dyDescent="0.25">
      <c r="CD430">
        <v>5040</v>
      </c>
      <c r="CE430">
        <v>384</v>
      </c>
      <c r="CF430">
        <v>96</v>
      </c>
      <c r="CG430">
        <v>0</v>
      </c>
      <c r="CH430">
        <v>0</v>
      </c>
      <c r="CI430">
        <v>0</v>
      </c>
      <c r="CJ430">
        <v>0</v>
      </c>
      <c r="CK430">
        <v>0</v>
      </c>
      <c r="CL430">
        <v>0</v>
      </c>
      <c r="CM430">
        <v>0</v>
      </c>
    </row>
    <row r="431" spans="82:91" x14ac:dyDescent="0.25">
      <c r="CD431">
        <v>5040</v>
      </c>
      <c r="CE431">
        <v>384</v>
      </c>
      <c r="CF431">
        <v>96</v>
      </c>
      <c r="CG431">
        <v>0</v>
      </c>
      <c r="CH431">
        <v>0</v>
      </c>
      <c r="CI431">
        <v>0</v>
      </c>
      <c r="CJ431">
        <v>0</v>
      </c>
      <c r="CK431">
        <v>0</v>
      </c>
      <c r="CL431">
        <v>0</v>
      </c>
      <c r="CM431">
        <v>0</v>
      </c>
    </row>
    <row r="432" spans="82:91" x14ac:dyDescent="0.25">
      <c r="CD432">
        <v>5040</v>
      </c>
      <c r="CE432">
        <v>384</v>
      </c>
      <c r="CF432">
        <v>96</v>
      </c>
      <c r="CG432">
        <v>0</v>
      </c>
      <c r="CH432">
        <v>0</v>
      </c>
      <c r="CI432">
        <v>0</v>
      </c>
      <c r="CJ432">
        <v>0</v>
      </c>
      <c r="CK432">
        <v>0</v>
      </c>
      <c r="CL432">
        <v>0</v>
      </c>
      <c r="CM432">
        <v>0</v>
      </c>
    </row>
    <row r="433" spans="82:91" x14ac:dyDescent="0.25">
      <c r="CD433">
        <v>5040</v>
      </c>
      <c r="CE433">
        <v>384</v>
      </c>
      <c r="CF433">
        <v>96</v>
      </c>
      <c r="CG433">
        <v>0</v>
      </c>
      <c r="CH433">
        <v>0</v>
      </c>
      <c r="CI433">
        <v>0</v>
      </c>
      <c r="CJ433">
        <v>0</v>
      </c>
      <c r="CK433">
        <v>0</v>
      </c>
      <c r="CL433">
        <v>0</v>
      </c>
      <c r="CM433">
        <v>0</v>
      </c>
    </row>
    <row r="434" spans="82:91" x14ac:dyDescent="0.25">
      <c r="CD434">
        <v>5040</v>
      </c>
      <c r="CE434">
        <v>384</v>
      </c>
      <c r="CF434">
        <v>96</v>
      </c>
      <c r="CG434">
        <v>0</v>
      </c>
      <c r="CH434">
        <v>0</v>
      </c>
      <c r="CI434">
        <v>0</v>
      </c>
      <c r="CJ434">
        <v>0</v>
      </c>
      <c r="CK434">
        <v>0</v>
      </c>
      <c r="CL434">
        <v>0</v>
      </c>
      <c r="CM434">
        <v>0</v>
      </c>
    </row>
    <row r="435" spans="82:91" x14ac:dyDescent="0.25">
      <c r="CD435">
        <v>5040</v>
      </c>
      <c r="CE435">
        <v>384</v>
      </c>
      <c r="CF435">
        <v>96</v>
      </c>
      <c r="CG435">
        <v>0</v>
      </c>
      <c r="CH435">
        <v>0</v>
      </c>
      <c r="CI435">
        <v>0</v>
      </c>
      <c r="CJ435">
        <v>0</v>
      </c>
      <c r="CK435">
        <v>0</v>
      </c>
      <c r="CL435">
        <v>0</v>
      </c>
      <c r="CM435">
        <v>0</v>
      </c>
    </row>
    <row r="436" spans="82:91" x14ac:dyDescent="0.25">
      <c r="CD436">
        <v>5040</v>
      </c>
      <c r="CE436">
        <v>384</v>
      </c>
      <c r="CF436">
        <v>96</v>
      </c>
      <c r="CG436">
        <v>0</v>
      </c>
      <c r="CH436">
        <v>0</v>
      </c>
      <c r="CI436">
        <v>0</v>
      </c>
      <c r="CJ436">
        <v>0</v>
      </c>
      <c r="CK436">
        <v>0</v>
      </c>
      <c r="CL436">
        <v>0</v>
      </c>
      <c r="CM436">
        <v>0</v>
      </c>
    </row>
    <row r="437" spans="82:91" x14ac:dyDescent="0.25">
      <c r="CD437">
        <v>5040</v>
      </c>
      <c r="CE437">
        <v>384</v>
      </c>
      <c r="CF437">
        <v>96</v>
      </c>
      <c r="CG437">
        <v>0</v>
      </c>
      <c r="CH437">
        <v>0</v>
      </c>
      <c r="CI437">
        <v>0</v>
      </c>
      <c r="CJ437">
        <v>0</v>
      </c>
      <c r="CK437">
        <v>0</v>
      </c>
      <c r="CL437">
        <v>0</v>
      </c>
      <c r="CM437">
        <v>0</v>
      </c>
    </row>
    <row r="438" spans="82:91" x14ac:dyDescent="0.25">
      <c r="CD438">
        <v>5040</v>
      </c>
      <c r="CE438">
        <v>384</v>
      </c>
      <c r="CF438">
        <v>96</v>
      </c>
      <c r="CG438">
        <v>0</v>
      </c>
      <c r="CH438">
        <v>0</v>
      </c>
      <c r="CI438">
        <v>0</v>
      </c>
      <c r="CJ438">
        <v>0</v>
      </c>
      <c r="CK438">
        <v>0</v>
      </c>
      <c r="CL438">
        <v>0</v>
      </c>
      <c r="CM438">
        <v>0</v>
      </c>
    </row>
    <row r="439" spans="82:91" x14ac:dyDescent="0.25">
      <c r="CD439">
        <v>5040</v>
      </c>
      <c r="CE439">
        <v>384</v>
      </c>
      <c r="CF439">
        <v>96</v>
      </c>
      <c r="CG439">
        <v>0</v>
      </c>
      <c r="CH439">
        <v>0</v>
      </c>
      <c r="CI439">
        <v>0</v>
      </c>
      <c r="CJ439">
        <v>0</v>
      </c>
      <c r="CK439">
        <v>0</v>
      </c>
      <c r="CL439">
        <v>0</v>
      </c>
      <c r="CM439">
        <v>0</v>
      </c>
    </row>
    <row r="440" spans="82:91" x14ac:dyDescent="0.25">
      <c r="CD440">
        <v>5040</v>
      </c>
      <c r="CE440">
        <v>384</v>
      </c>
      <c r="CF440">
        <v>96</v>
      </c>
      <c r="CG440">
        <v>0</v>
      </c>
      <c r="CH440">
        <v>0</v>
      </c>
      <c r="CI440">
        <v>0</v>
      </c>
      <c r="CJ440">
        <v>0</v>
      </c>
      <c r="CK440">
        <v>0</v>
      </c>
      <c r="CL440">
        <v>0</v>
      </c>
      <c r="CM440">
        <v>0</v>
      </c>
    </row>
    <row r="441" spans="82:91" x14ac:dyDescent="0.25">
      <c r="CD441">
        <v>5040</v>
      </c>
      <c r="CE441">
        <v>384</v>
      </c>
      <c r="CF441">
        <v>96</v>
      </c>
      <c r="CG441">
        <v>0</v>
      </c>
      <c r="CH441">
        <v>0</v>
      </c>
      <c r="CI441">
        <v>0</v>
      </c>
      <c r="CJ441">
        <v>0</v>
      </c>
      <c r="CK441">
        <v>0</v>
      </c>
      <c r="CL441">
        <v>0</v>
      </c>
      <c r="CM441">
        <v>0</v>
      </c>
    </row>
    <row r="442" spans="82:91" x14ac:dyDescent="0.25">
      <c r="CD442">
        <v>5040</v>
      </c>
      <c r="CE442">
        <v>384</v>
      </c>
      <c r="CF442">
        <v>96</v>
      </c>
      <c r="CG442">
        <v>0</v>
      </c>
      <c r="CH442">
        <v>0</v>
      </c>
      <c r="CI442">
        <v>0</v>
      </c>
      <c r="CJ442">
        <v>0</v>
      </c>
      <c r="CK442">
        <v>0</v>
      </c>
      <c r="CL442">
        <v>0</v>
      </c>
      <c r="CM442">
        <v>0</v>
      </c>
    </row>
    <row r="443" spans="82:91" x14ac:dyDescent="0.25">
      <c r="CD443">
        <v>5040</v>
      </c>
      <c r="CE443">
        <v>384</v>
      </c>
      <c r="CF443">
        <v>96</v>
      </c>
      <c r="CG443">
        <v>0</v>
      </c>
      <c r="CH443">
        <v>0</v>
      </c>
      <c r="CI443">
        <v>0</v>
      </c>
      <c r="CJ443">
        <v>0</v>
      </c>
      <c r="CK443">
        <v>0</v>
      </c>
      <c r="CL443">
        <v>0</v>
      </c>
      <c r="CM443">
        <v>0</v>
      </c>
    </row>
    <row r="444" spans="82:91" x14ac:dyDescent="0.25">
      <c r="CD444">
        <v>5040</v>
      </c>
      <c r="CE444">
        <v>384</v>
      </c>
      <c r="CF444">
        <v>96</v>
      </c>
      <c r="CG444">
        <v>0</v>
      </c>
      <c r="CH444">
        <v>0</v>
      </c>
      <c r="CI444">
        <v>0</v>
      </c>
      <c r="CJ444">
        <v>0</v>
      </c>
      <c r="CK444">
        <v>0</v>
      </c>
      <c r="CL444">
        <v>0</v>
      </c>
      <c r="CM444">
        <v>0</v>
      </c>
    </row>
    <row r="445" spans="82:91" x14ac:dyDescent="0.25">
      <c r="CD445">
        <v>5040</v>
      </c>
      <c r="CE445">
        <v>384</v>
      </c>
      <c r="CF445">
        <v>96</v>
      </c>
      <c r="CG445">
        <v>0</v>
      </c>
      <c r="CH445">
        <v>0</v>
      </c>
      <c r="CI445">
        <v>0</v>
      </c>
      <c r="CJ445">
        <v>0</v>
      </c>
      <c r="CK445">
        <v>0</v>
      </c>
      <c r="CL445">
        <v>0</v>
      </c>
      <c r="CM445">
        <v>0</v>
      </c>
    </row>
    <row r="446" spans="82:91" x14ac:dyDescent="0.25">
      <c r="CD446">
        <v>5040</v>
      </c>
      <c r="CE446">
        <v>384</v>
      </c>
      <c r="CF446">
        <v>96</v>
      </c>
      <c r="CG446">
        <v>0</v>
      </c>
      <c r="CH446">
        <v>0</v>
      </c>
      <c r="CI446">
        <v>0</v>
      </c>
      <c r="CJ446">
        <v>0</v>
      </c>
      <c r="CK446">
        <v>0</v>
      </c>
      <c r="CL446">
        <v>0</v>
      </c>
      <c r="CM446">
        <v>0</v>
      </c>
    </row>
    <row r="447" spans="82:91" x14ac:dyDescent="0.25">
      <c r="CD447">
        <v>5040</v>
      </c>
      <c r="CE447">
        <v>384</v>
      </c>
      <c r="CF447">
        <v>96</v>
      </c>
      <c r="CG447">
        <v>0</v>
      </c>
      <c r="CH447">
        <v>0</v>
      </c>
      <c r="CI447">
        <v>0</v>
      </c>
      <c r="CJ447">
        <v>0</v>
      </c>
      <c r="CK447">
        <v>0</v>
      </c>
      <c r="CL447">
        <v>0</v>
      </c>
      <c r="CM447">
        <v>0</v>
      </c>
    </row>
    <row r="448" spans="82:91" x14ac:dyDescent="0.25">
      <c r="CD448">
        <v>5040</v>
      </c>
      <c r="CE448">
        <v>384</v>
      </c>
      <c r="CF448">
        <v>96</v>
      </c>
      <c r="CG448">
        <v>0</v>
      </c>
      <c r="CH448">
        <v>0</v>
      </c>
      <c r="CI448">
        <v>0</v>
      </c>
      <c r="CJ448">
        <v>0</v>
      </c>
      <c r="CK448">
        <v>0</v>
      </c>
      <c r="CL448">
        <v>0</v>
      </c>
      <c r="CM448">
        <v>0</v>
      </c>
    </row>
    <row r="449" spans="82:91" x14ac:dyDescent="0.25">
      <c r="CD449">
        <v>5040</v>
      </c>
      <c r="CE449">
        <v>384</v>
      </c>
      <c r="CF449">
        <v>96</v>
      </c>
      <c r="CG449">
        <v>0</v>
      </c>
      <c r="CH449">
        <v>0</v>
      </c>
      <c r="CI449">
        <v>0</v>
      </c>
      <c r="CJ449">
        <v>0</v>
      </c>
      <c r="CK449">
        <v>0</v>
      </c>
      <c r="CL449">
        <v>0</v>
      </c>
      <c r="CM449">
        <v>0</v>
      </c>
    </row>
    <row r="450" spans="82:91" x14ac:dyDescent="0.25">
      <c r="CD450">
        <v>5040</v>
      </c>
      <c r="CE450">
        <v>384</v>
      </c>
      <c r="CF450">
        <v>96</v>
      </c>
      <c r="CG450">
        <v>0</v>
      </c>
      <c r="CH450">
        <v>0</v>
      </c>
      <c r="CI450">
        <v>0</v>
      </c>
      <c r="CJ450">
        <v>0</v>
      </c>
      <c r="CK450">
        <v>0</v>
      </c>
      <c r="CL450">
        <v>0</v>
      </c>
      <c r="CM450">
        <v>0</v>
      </c>
    </row>
    <row r="451" spans="82:91" x14ac:dyDescent="0.25">
      <c r="CD451">
        <v>5040</v>
      </c>
      <c r="CE451">
        <v>384</v>
      </c>
      <c r="CF451">
        <v>96</v>
      </c>
      <c r="CG451">
        <v>0</v>
      </c>
      <c r="CH451">
        <v>0</v>
      </c>
      <c r="CI451">
        <v>0</v>
      </c>
      <c r="CJ451">
        <v>0</v>
      </c>
      <c r="CK451">
        <v>0</v>
      </c>
      <c r="CL451">
        <v>0</v>
      </c>
      <c r="CM451">
        <v>0</v>
      </c>
    </row>
    <row r="452" spans="82:91" x14ac:dyDescent="0.25">
      <c r="CD452">
        <v>5040</v>
      </c>
      <c r="CE452">
        <v>384</v>
      </c>
      <c r="CF452">
        <v>96</v>
      </c>
      <c r="CG452">
        <v>0</v>
      </c>
      <c r="CH452">
        <v>0</v>
      </c>
      <c r="CI452">
        <v>0</v>
      </c>
      <c r="CJ452">
        <v>0</v>
      </c>
      <c r="CK452">
        <v>0</v>
      </c>
      <c r="CL452">
        <v>0</v>
      </c>
      <c r="CM452">
        <v>0</v>
      </c>
    </row>
    <row r="453" spans="82:91" x14ac:dyDescent="0.25">
      <c r="CD453">
        <v>5040</v>
      </c>
      <c r="CE453">
        <v>384</v>
      </c>
      <c r="CF453">
        <v>96</v>
      </c>
      <c r="CG453">
        <v>0</v>
      </c>
      <c r="CH453">
        <v>0</v>
      </c>
      <c r="CI453">
        <v>0</v>
      </c>
      <c r="CJ453">
        <v>0</v>
      </c>
      <c r="CK453">
        <v>0</v>
      </c>
      <c r="CL453">
        <v>0</v>
      </c>
      <c r="CM453">
        <v>0</v>
      </c>
    </row>
    <row r="454" spans="82:91" x14ac:dyDescent="0.25">
      <c r="CD454">
        <v>5040</v>
      </c>
      <c r="CE454">
        <v>384</v>
      </c>
      <c r="CF454">
        <v>96</v>
      </c>
      <c r="CG454">
        <v>0</v>
      </c>
      <c r="CH454">
        <v>0</v>
      </c>
      <c r="CI454">
        <v>0</v>
      </c>
      <c r="CJ454">
        <v>0</v>
      </c>
      <c r="CK454">
        <v>0</v>
      </c>
      <c r="CL454">
        <v>0</v>
      </c>
      <c r="CM454">
        <v>0</v>
      </c>
    </row>
    <row r="455" spans="82:91" x14ac:dyDescent="0.25">
      <c r="CD455">
        <v>5040</v>
      </c>
      <c r="CE455">
        <v>384</v>
      </c>
      <c r="CF455">
        <v>96</v>
      </c>
      <c r="CG455">
        <v>0</v>
      </c>
      <c r="CH455">
        <v>0</v>
      </c>
      <c r="CI455">
        <v>0</v>
      </c>
      <c r="CJ455">
        <v>0</v>
      </c>
      <c r="CK455">
        <v>0</v>
      </c>
      <c r="CL455">
        <v>0</v>
      </c>
      <c r="CM455">
        <v>0</v>
      </c>
    </row>
    <row r="456" spans="82:91" x14ac:dyDescent="0.25">
      <c r="CD456">
        <v>5040</v>
      </c>
      <c r="CE456">
        <v>384</v>
      </c>
      <c r="CF456">
        <v>96</v>
      </c>
      <c r="CG456">
        <v>0</v>
      </c>
      <c r="CH456">
        <v>0</v>
      </c>
      <c r="CI456">
        <v>0</v>
      </c>
      <c r="CJ456">
        <v>0</v>
      </c>
      <c r="CK456">
        <v>0</v>
      </c>
      <c r="CL456">
        <v>0</v>
      </c>
      <c r="CM456">
        <v>0</v>
      </c>
    </row>
    <row r="457" spans="82:91" x14ac:dyDescent="0.25">
      <c r="CD457">
        <v>5040</v>
      </c>
      <c r="CE457">
        <v>384</v>
      </c>
      <c r="CF457">
        <v>96</v>
      </c>
      <c r="CG457">
        <v>0</v>
      </c>
      <c r="CH457">
        <v>0</v>
      </c>
      <c r="CI457">
        <v>0</v>
      </c>
      <c r="CJ457">
        <v>0</v>
      </c>
      <c r="CK457">
        <v>0</v>
      </c>
      <c r="CL457">
        <v>0</v>
      </c>
      <c r="CM457">
        <v>0</v>
      </c>
    </row>
    <row r="458" spans="82:91" x14ac:dyDescent="0.25">
      <c r="CD458">
        <v>5040</v>
      </c>
      <c r="CE458">
        <v>384</v>
      </c>
      <c r="CF458">
        <v>96</v>
      </c>
      <c r="CG458">
        <v>0</v>
      </c>
      <c r="CH458">
        <v>0</v>
      </c>
      <c r="CI458">
        <v>0</v>
      </c>
      <c r="CJ458">
        <v>0</v>
      </c>
      <c r="CK458">
        <v>0</v>
      </c>
      <c r="CL458">
        <v>0</v>
      </c>
      <c r="CM458">
        <v>0</v>
      </c>
    </row>
    <row r="459" spans="82:91" x14ac:dyDescent="0.25">
      <c r="CD459">
        <v>5040</v>
      </c>
      <c r="CE459">
        <v>384</v>
      </c>
      <c r="CF459">
        <v>96</v>
      </c>
      <c r="CG459">
        <v>0</v>
      </c>
      <c r="CH459">
        <v>0</v>
      </c>
      <c r="CI459">
        <v>0</v>
      </c>
      <c r="CJ459">
        <v>0</v>
      </c>
      <c r="CK459">
        <v>0</v>
      </c>
      <c r="CL459">
        <v>0</v>
      </c>
      <c r="CM459">
        <v>0</v>
      </c>
    </row>
    <row r="460" spans="82:91" x14ac:dyDescent="0.25">
      <c r="CD460">
        <v>5040</v>
      </c>
      <c r="CE460">
        <v>384</v>
      </c>
      <c r="CF460">
        <v>96</v>
      </c>
      <c r="CG460">
        <v>0</v>
      </c>
      <c r="CH460">
        <v>0</v>
      </c>
      <c r="CI460">
        <v>0</v>
      </c>
      <c r="CJ460">
        <v>0</v>
      </c>
      <c r="CK460">
        <v>0</v>
      </c>
      <c r="CL460">
        <v>0</v>
      </c>
      <c r="CM460">
        <v>0</v>
      </c>
    </row>
    <row r="461" spans="82:91" x14ac:dyDescent="0.25">
      <c r="CD461">
        <v>5040</v>
      </c>
      <c r="CE461">
        <v>384</v>
      </c>
      <c r="CF461">
        <v>96</v>
      </c>
      <c r="CG461">
        <v>0</v>
      </c>
      <c r="CH461">
        <v>0</v>
      </c>
      <c r="CI461">
        <v>0</v>
      </c>
      <c r="CJ461">
        <v>0</v>
      </c>
      <c r="CK461">
        <v>0</v>
      </c>
      <c r="CL461">
        <v>0</v>
      </c>
      <c r="CM461">
        <v>0</v>
      </c>
    </row>
    <row r="462" spans="82:91" x14ac:dyDescent="0.25">
      <c r="CD462">
        <v>5040</v>
      </c>
      <c r="CE462">
        <v>384</v>
      </c>
      <c r="CF462">
        <v>96</v>
      </c>
      <c r="CG462">
        <v>0</v>
      </c>
      <c r="CH462">
        <v>0</v>
      </c>
      <c r="CI462">
        <v>0</v>
      </c>
      <c r="CJ462">
        <v>0</v>
      </c>
      <c r="CK462">
        <v>0</v>
      </c>
      <c r="CL462">
        <v>0</v>
      </c>
      <c r="CM462">
        <v>0</v>
      </c>
    </row>
    <row r="463" spans="82:91" x14ac:dyDescent="0.25">
      <c r="CD463">
        <v>5040</v>
      </c>
      <c r="CE463">
        <v>384</v>
      </c>
      <c r="CF463">
        <v>96</v>
      </c>
      <c r="CG463">
        <v>0</v>
      </c>
      <c r="CH463">
        <v>0</v>
      </c>
      <c r="CI463">
        <v>0</v>
      </c>
      <c r="CJ463">
        <v>0</v>
      </c>
      <c r="CK463">
        <v>0</v>
      </c>
      <c r="CL463">
        <v>0</v>
      </c>
      <c r="CM463">
        <v>0</v>
      </c>
    </row>
    <row r="464" spans="82:91" x14ac:dyDescent="0.25">
      <c r="CD464">
        <v>5040</v>
      </c>
      <c r="CE464">
        <v>384</v>
      </c>
      <c r="CF464">
        <v>96</v>
      </c>
      <c r="CG464">
        <v>0</v>
      </c>
      <c r="CH464">
        <v>0</v>
      </c>
      <c r="CI464">
        <v>0</v>
      </c>
      <c r="CJ464">
        <v>0</v>
      </c>
      <c r="CK464">
        <v>0</v>
      </c>
      <c r="CL464">
        <v>0</v>
      </c>
      <c r="CM464">
        <v>0</v>
      </c>
    </row>
    <row r="465" spans="82:91" x14ac:dyDescent="0.25">
      <c r="CD465">
        <v>5040</v>
      </c>
      <c r="CE465">
        <v>384</v>
      </c>
      <c r="CF465">
        <v>96</v>
      </c>
      <c r="CG465">
        <v>0</v>
      </c>
      <c r="CH465">
        <v>0</v>
      </c>
      <c r="CI465">
        <v>0</v>
      </c>
      <c r="CJ465">
        <v>0</v>
      </c>
      <c r="CK465">
        <v>0</v>
      </c>
      <c r="CL465">
        <v>0</v>
      </c>
      <c r="CM465">
        <v>0</v>
      </c>
    </row>
    <row r="466" spans="82:91" x14ac:dyDescent="0.25">
      <c r="CD466">
        <v>5040</v>
      </c>
      <c r="CE466">
        <v>384</v>
      </c>
      <c r="CF466">
        <v>96</v>
      </c>
      <c r="CG466">
        <v>0</v>
      </c>
      <c r="CH466">
        <v>0</v>
      </c>
      <c r="CI466">
        <v>0</v>
      </c>
      <c r="CJ466">
        <v>0</v>
      </c>
      <c r="CK466">
        <v>0</v>
      </c>
      <c r="CL466">
        <v>0</v>
      </c>
      <c r="CM466">
        <v>0</v>
      </c>
    </row>
    <row r="467" spans="82:91" x14ac:dyDescent="0.25">
      <c r="CD467">
        <v>5040</v>
      </c>
      <c r="CE467">
        <v>384</v>
      </c>
      <c r="CF467">
        <v>96</v>
      </c>
      <c r="CG467">
        <v>0</v>
      </c>
      <c r="CH467">
        <v>0</v>
      </c>
      <c r="CI467">
        <v>0</v>
      </c>
      <c r="CJ467">
        <v>0</v>
      </c>
      <c r="CK467">
        <v>0</v>
      </c>
      <c r="CL467">
        <v>0</v>
      </c>
      <c r="CM467">
        <v>0</v>
      </c>
    </row>
    <row r="468" spans="82:91" x14ac:dyDescent="0.25">
      <c r="CD468">
        <v>5040</v>
      </c>
      <c r="CE468">
        <v>384</v>
      </c>
      <c r="CF468">
        <v>96</v>
      </c>
      <c r="CG468">
        <v>0</v>
      </c>
      <c r="CH468">
        <v>0</v>
      </c>
      <c r="CI468">
        <v>0</v>
      </c>
      <c r="CJ468">
        <v>0</v>
      </c>
      <c r="CK468">
        <v>0</v>
      </c>
      <c r="CL468">
        <v>0</v>
      </c>
      <c r="CM468">
        <v>0</v>
      </c>
    </row>
    <row r="469" spans="82:91" x14ac:dyDescent="0.25">
      <c r="CD469">
        <v>5040</v>
      </c>
      <c r="CE469">
        <v>384</v>
      </c>
      <c r="CF469">
        <v>96</v>
      </c>
      <c r="CG469">
        <v>0</v>
      </c>
      <c r="CH469">
        <v>0</v>
      </c>
      <c r="CI469">
        <v>0</v>
      </c>
      <c r="CJ469">
        <v>0</v>
      </c>
      <c r="CK469">
        <v>0</v>
      </c>
      <c r="CL469">
        <v>0</v>
      </c>
      <c r="CM469">
        <v>0</v>
      </c>
    </row>
    <row r="470" spans="82:91" x14ac:dyDescent="0.25">
      <c r="CD470">
        <v>5040</v>
      </c>
      <c r="CE470">
        <v>384</v>
      </c>
      <c r="CF470">
        <v>96</v>
      </c>
      <c r="CG470">
        <v>0</v>
      </c>
      <c r="CH470">
        <v>0</v>
      </c>
      <c r="CI470">
        <v>0</v>
      </c>
      <c r="CJ470">
        <v>0</v>
      </c>
      <c r="CK470">
        <v>0</v>
      </c>
      <c r="CL470">
        <v>0</v>
      </c>
      <c r="CM470">
        <v>0</v>
      </c>
    </row>
    <row r="471" spans="82:91" x14ac:dyDescent="0.25">
      <c r="CD471">
        <v>5040</v>
      </c>
      <c r="CE471">
        <v>384</v>
      </c>
      <c r="CF471">
        <v>96</v>
      </c>
      <c r="CG471">
        <v>0</v>
      </c>
      <c r="CH471">
        <v>0</v>
      </c>
      <c r="CI471">
        <v>0</v>
      </c>
      <c r="CJ471">
        <v>0</v>
      </c>
      <c r="CK471">
        <v>0</v>
      </c>
      <c r="CL471">
        <v>0</v>
      </c>
      <c r="CM471">
        <v>0</v>
      </c>
    </row>
    <row r="472" spans="82:91" x14ac:dyDescent="0.25">
      <c r="CD472">
        <v>5040</v>
      </c>
      <c r="CE472">
        <v>384</v>
      </c>
      <c r="CF472">
        <v>96</v>
      </c>
      <c r="CG472">
        <v>0</v>
      </c>
      <c r="CH472">
        <v>0</v>
      </c>
      <c r="CI472">
        <v>0</v>
      </c>
      <c r="CJ472">
        <v>0</v>
      </c>
      <c r="CK472">
        <v>0</v>
      </c>
      <c r="CL472">
        <v>0</v>
      </c>
      <c r="CM472">
        <v>0</v>
      </c>
    </row>
    <row r="473" spans="82:91" x14ac:dyDescent="0.25">
      <c r="CD473">
        <v>5040</v>
      </c>
      <c r="CE473">
        <v>384</v>
      </c>
      <c r="CF473">
        <v>96</v>
      </c>
      <c r="CG473">
        <v>0</v>
      </c>
      <c r="CH473">
        <v>0</v>
      </c>
      <c r="CI473">
        <v>0</v>
      </c>
      <c r="CJ473">
        <v>0</v>
      </c>
      <c r="CK473">
        <v>0</v>
      </c>
      <c r="CL473">
        <v>0</v>
      </c>
      <c r="CM473">
        <v>0</v>
      </c>
    </row>
    <row r="474" spans="82:91" x14ac:dyDescent="0.25">
      <c r="CD474">
        <v>5040</v>
      </c>
      <c r="CE474">
        <v>384</v>
      </c>
      <c r="CF474">
        <v>96</v>
      </c>
      <c r="CG474">
        <v>0</v>
      </c>
      <c r="CH474">
        <v>0</v>
      </c>
      <c r="CI474">
        <v>0</v>
      </c>
      <c r="CJ474">
        <v>0</v>
      </c>
      <c r="CK474">
        <v>0</v>
      </c>
      <c r="CL474">
        <v>0</v>
      </c>
      <c r="CM474">
        <v>0</v>
      </c>
    </row>
    <row r="475" spans="82:91" x14ac:dyDescent="0.25">
      <c r="CD475">
        <v>5040</v>
      </c>
      <c r="CE475">
        <v>384</v>
      </c>
      <c r="CF475">
        <v>96</v>
      </c>
      <c r="CG475">
        <v>0</v>
      </c>
      <c r="CH475">
        <v>0</v>
      </c>
      <c r="CI475">
        <v>0</v>
      </c>
      <c r="CJ475">
        <v>0</v>
      </c>
      <c r="CK475">
        <v>0</v>
      </c>
      <c r="CL475">
        <v>0</v>
      </c>
      <c r="CM475">
        <v>0</v>
      </c>
    </row>
    <row r="476" spans="82:91" x14ac:dyDescent="0.25">
      <c r="CD476">
        <v>5040</v>
      </c>
      <c r="CE476">
        <v>384</v>
      </c>
      <c r="CF476">
        <v>96</v>
      </c>
      <c r="CG476">
        <v>0</v>
      </c>
      <c r="CH476">
        <v>0</v>
      </c>
      <c r="CI476">
        <v>0</v>
      </c>
      <c r="CJ476">
        <v>0</v>
      </c>
      <c r="CK476">
        <v>0</v>
      </c>
      <c r="CL476">
        <v>0</v>
      </c>
      <c r="CM476">
        <v>0</v>
      </c>
    </row>
    <row r="477" spans="82:91" x14ac:dyDescent="0.25">
      <c r="CD477">
        <v>5040</v>
      </c>
      <c r="CE477">
        <v>384</v>
      </c>
      <c r="CF477">
        <v>96</v>
      </c>
      <c r="CG477">
        <v>0</v>
      </c>
      <c r="CH477">
        <v>0</v>
      </c>
      <c r="CI477">
        <v>0</v>
      </c>
      <c r="CJ477">
        <v>0</v>
      </c>
      <c r="CK477">
        <v>0</v>
      </c>
      <c r="CL477">
        <v>0</v>
      </c>
      <c r="CM477">
        <v>0</v>
      </c>
    </row>
    <row r="478" spans="82:91" x14ac:dyDescent="0.25">
      <c r="CD478">
        <v>5040</v>
      </c>
      <c r="CE478">
        <v>384</v>
      </c>
      <c r="CF478">
        <v>96</v>
      </c>
      <c r="CG478">
        <v>0</v>
      </c>
      <c r="CH478">
        <v>0</v>
      </c>
      <c r="CI478">
        <v>0</v>
      </c>
      <c r="CJ478">
        <v>0</v>
      </c>
      <c r="CK478">
        <v>0</v>
      </c>
      <c r="CL478">
        <v>0</v>
      </c>
      <c r="CM478">
        <v>0</v>
      </c>
    </row>
    <row r="479" spans="82:91" x14ac:dyDescent="0.25">
      <c r="CD479">
        <v>5040</v>
      </c>
      <c r="CE479">
        <v>384</v>
      </c>
      <c r="CF479">
        <v>96</v>
      </c>
      <c r="CG479">
        <v>0</v>
      </c>
      <c r="CH479">
        <v>0</v>
      </c>
      <c r="CI479">
        <v>0</v>
      </c>
      <c r="CJ479">
        <v>0</v>
      </c>
      <c r="CK479">
        <v>0</v>
      </c>
      <c r="CL479">
        <v>0</v>
      </c>
      <c r="CM479">
        <v>0</v>
      </c>
    </row>
    <row r="480" spans="82:91" x14ac:dyDescent="0.25">
      <c r="CD480">
        <v>5040</v>
      </c>
      <c r="CE480">
        <v>384</v>
      </c>
      <c r="CF480">
        <v>96</v>
      </c>
      <c r="CG480">
        <v>0</v>
      </c>
      <c r="CH480">
        <v>0</v>
      </c>
      <c r="CI480">
        <v>0</v>
      </c>
      <c r="CJ480">
        <v>0</v>
      </c>
      <c r="CK480">
        <v>0</v>
      </c>
      <c r="CL480">
        <v>0</v>
      </c>
      <c r="CM480">
        <v>0</v>
      </c>
    </row>
    <row r="481" spans="82:91" x14ac:dyDescent="0.25">
      <c r="CD481">
        <v>5040</v>
      </c>
      <c r="CE481">
        <v>384</v>
      </c>
      <c r="CF481">
        <v>96</v>
      </c>
      <c r="CG481">
        <v>0</v>
      </c>
      <c r="CH481">
        <v>0</v>
      </c>
      <c r="CI481">
        <v>0</v>
      </c>
      <c r="CJ481">
        <v>0</v>
      </c>
      <c r="CK481">
        <v>0</v>
      </c>
      <c r="CL481">
        <v>0</v>
      </c>
      <c r="CM481">
        <v>0</v>
      </c>
    </row>
    <row r="482" spans="82:91" x14ac:dyDescent="0.25">
      <c r="CD482">
        <v>5040</v>
      </c>
      <c r="CE482">
        <v>384</v>
      </c>
      <c r="CF482">
        <v>96</v>
      </c>
      <c r="CG482">
        <v>0</v>
      </c>
      <c r="CH482">
        <v>0</v>
      </c>
      <c r="CI482">
        <v>0</v>
      </c>
      <c r="CJ482">
        <v>0</v>
      </c>
      <c r="CK482">
        <v>0</v>
      </c>
      <c r="CL482">
        <v>0</v>
      </c>
      <c r="CM482">
        <v>0</v>
      </c>
    </row>
    <row r="483" spans="82:91" x14ac:dyDescent="0.25">
      <c r="CD483">
        <v>5040</v>
      </c>
      <c r="CE483">
        <v>384</v>
      </c>
      <c r="CF483">
        <v>96</v>
      </c>
      <c r="CG483">
        <v>0</v>
      </c>
      <c r="CH483">
        <v>0</v>
      </c>
      <c r="CI483">
        <v>0</v>
      </c>
      <c r="CJ483">
        <v>0</v>
      </c>
      <c r="CK483">
        <v>0</v>
      </c>
      <c r="CL483">
        <v>0</v>
      </c>
      <c r="CM483">
        <v>0</v>
      </c>
    </row>
    <row r="484" spans="82:91" x14ac:dyDescent="0.25">
      <c r="CD484">
        <v>5040</v>
      </c>
      <c r="CE484">
        <v>384</v>
      </c>
      <c r="CF484">
        <v>96</v>
      </c>
      <c r="CG484">
        <v>0</v>
      </c>
      <c r="CH484">
        <v>0</v>
      </c>
      <c r="CI484">
        <v>0</v>
      </c>
      <c r="CJ484">
        <v>0</v>
      </c>
      <c r="CK484">
        <v>0</v>
      </c>
      <c r="CL484">
        <v>0</v>
      </c>
      <c r="CM484">
        <v>0</v>
      </c>
    </row>
    <row r="485" spans="82:91" x14ac:dyDescent="0.25">
      <c r="CD485">
        <v>5040</v>
      </c>
      <c r="CE485">
        <v>384</v>
      </c>
      <c r="CF485">
        <v>96</v>
      </c>
      <c r="CG485">
        <v>0</v>
      </c>
      <c r="CH485">
        <v>0</v>
      </c>
      <c r="CI485">
        <v>0</v>
      </c>
      <c r="CJ485">
        <v>0</v>
      </c>
      <c r="CK485">
        <v>0</v>
      </c>
      <c r="CL485">
        <v>0</v>
      </c>
      <c r="CM485">
        <v>0</v>
      </c>
    </row>
    <row r="486" spans="82:91" x14ac:dyDescent="0.25">
      <c r="CD486">
        <v>5040</v>
      </c>
      <c r="CE486">
        <v>384</v>
      </c>
      <c r="CF486">
        <v>96</v>
      </c>
      <c r="CG486">
        <v>0</v>
      </c>
      <c r="CH486">
        <v>0</v>
      </c>
      <c r="CI486">
        <v>0</v>
      </c>
      <c r="CJ486">
        <v>0</v>
      </c>
      <c r="CK486">
        <v>0</v>
      </c>
      <c r="CL486">
        <v>0</v>
      </c>
      <c r="CM486">
        <v>0</v>
      </c>
    </row>
    <row r="487" spans="82:91" x14ac:dyDescent="0.25">
      <c r="CD487">
        <v>5040</v>
      </c>
      <c r="CE487">
        <v>384</v>
      </c>
      <c r="CF487">
        <v>96</v>
      </c>
      <c r="CG487">
        <v>0</v>
      </c>
      <c r="CH487">
        <v>0</v>
      </c>
      <c r="CI487">
        <v>0</v>
      </c>
      <c r="CJ487">
        <v>0</v>
      </c>
      <c r="CK487">
        <v>0</v>
      </c>
      <c r="CL487">
        <v>0</v>
      </c>
      <c r="CM487">
        <v>0</v>
      </c>
    </row>
    <row r="488" spans="82:91" x14ac:dyDescent="0.25">
      <c r="CD488">
        <v>5040</v>
      </c>
      <c r="CE488">
        <v>384</v>
      </c>
      <c r="CF488">
        <v>96</v>
      </c>
      <c r="CG488">
        <v>0</v>
      </c>
      <c r="CH488">
        <v>0</v>
      </c>
      <c r="CI488">
        <v>0</v>
      </c>
      <c r="CJ488">
        <v>0</v>
      </c>
      <c r="CK488">
        <v>0</v>
      </c>
      <c r="CL488">
        <v>0</v>
      </c>
      <c r="CM488">
        <v>0</v>
      </c>
    </row>
    <row r="489" spans="82:91" x14ac:dyDescent="0.25">
      <c r="CD489">
        <v>5040</v>
      </c>
      <c r="CE489">
        <v>384</v>
      </c>
      <c r="CF489">
        <v>96</v>
      </c>
      <c r="CG489">
        <v>0</v>
      </c>
      <c r="CH489">
        <v>0</v>
      </c>
      <c r="CI489">
        <v>0</v>
      </c>
      <c r="CJ489">
        <v>0</v>
      </c>
      <c r="CK489">
        <v>0</v>
      </c>
      <c r="CL489">
        <v>0</v>
      </c>
      <c r="CM489">
        <v>0</v>
      </c>
    </row>
    <row r="490" spans="82:91" x14ac:dyDescent="0.25">
      <c r="CD490">
        <v>5040</v>
      </c>
      <c r="CE490">
        <v>384</v>
      </c>
      <c r="CF490">
        <v>96</v>
      </c>
      <c r="CG490">
        <v>0</v>
      </c>
      <c r="CH490">
        <v>0</v>
      </c>
      <c r="CI490">
        <v>0</v>
      </c>
      <c r="CJ490">
        <v>0</v>
      </c>
      <c r="CK490">
        <v>0</v>
      </c>
      <c r="CL490">
        <v>0</v>
      </c>
      <c r="CM490">
        <v>0</v>
      </c>
    </row>
    <row r="491" spans="82:91" x14ac:dyDescent="0.25">
      <c r="CD491">
        <v>5040</v>
      </c>
      <c r="CE491">
        <v>384</v>
      </c>
      <c r="CF491">
        <v>96</v>
      </c>
      <c r="CG491">
        <v>0</v>
      </c>
      <c r="CH491">
        <v>0</v>
      </c>
      <c r="CI491">
        <v>0</v>
      </c>
      <c r="CJ491">
        <v>0</v>
      </c>
      <c r="CK491">
        <v>0</v>
      </c>
      <c r="CL491">
        <v>0</v>
      </c>
      <c r="CM491">
        <v>0</v>
      </c>
    </row>
    <row r="492" spans="82:91" x14ac:dyDescent="0.25">
      <c r="CD492">
        <v>5040</v>
      </c>
      <c r="CE492">
        <v>384</v>
      </c>
      <c r="CF492">
        <v>96</v>
      </c>
      <c r="CG492">
        <v>0</v>
      </c>
      <c r="CH492">
        <v>0</v>
      </c>
      <c r="CI492">
        <v>0</v>
      </c>
      <c r="CJ492">
        <v>0</v>
      </c>
      <c r="CK492">
        <v>0</v>
      </c>
      <c r="CL492">
        <v>0</v>
      </c>
      <c r="CM492">
        <v>0</v>
      </c>
    </row>
    <row r="493" spans="82:91" x14ac:dyDescent="0.25">
      <c r="CD493">
        <v>5040</v>
      </c>
      <c r="CE493">
        <v>384</v>
      </c>
      <c r="CF493">
        <v>96</v>
      </c>
      <c r="CG493">
        <v>0</v>
      </c>
      <c r="CH493">
        <v>0</v>
      </c>
      <c r="CI493">
        <v>0</v>
      </c>
      <c r="CJ493">
        <v>0</v>
      </c>
      <c r="CK493">
        <v>0</v>
      </c>
      <c r="CL493">
        <v>0</v>
      </c>
      <c r="CM493">
        <v>0</v>
      </c>
    </row>
    <row r="494" spans="82:91" x14ac:dyDescent="0.25">
      <c r="CD494">
        <v>5040</v>
      </c>
      <c r="CE494">
        <v>384</v>
      </c>
      <c r="CF494">
        <v>96</v>
      </c>
      <c r="CG494">
        <v>0</v>
      </c>
      <c r="CH494">
        <v>0</v>
      </c>
      <c r="CI494">
        <v>0</v>
      </c>
      <c r="CJ494">
        <v>0</v>
      </c>
      <c r="CK494">
        <v>0</v>
      </c>
      <c r="CL494">
        <v>0</v>
      </c>
      <c r="CM494">
        <v>0</v>
      </c>
    </row>
    <row r="495" spans="82:91" x14ac:dyDescent="0.25">
      <c r="CD495">
        <v>5040</v>
      </c>
      <c r="CE495">
        <v>384</v>
      </c>
      <c r="CF495">
        <v>96</v>
      </c>
      <c r="CG495">
        <v>0</v>
      </c>
      <c r="CH495">
        <v>0</v>
      </c>
      <c r="CI495">
        <v>0</v>
      </c>
      <c r="CJ495">
        <v>0</v>
      </c>
      <c r="CK495">
        <v>0</v>
      </c>
      <c r="CL495">
        <v>0</v>
      </c>
      <c r="CM495">
        <v>0</v>
      </c>
    </row>
    <row r="496" spans="82:91" x14ac:dyDescent="0.25">
      <c r="CD496">
        <v>5040</v>
      </c>
      <c r="CE496">
        <v>384</v>
      </c>
      <c r="CF496">
        <v>96</v>
      </c>
      <c r="CG496">
        <v>0</v>
      </c>
      <c r="CH496">
        <v>0</v>
      </c>
      <c r="CI496">
        <v>0</v>
      </c>
      <c r="CJ496">
        <v>0</v>
      </c>
      <c r="CK496">
        <v>0</v>
      </c>
      <c r="CL496">
        <v>0</v>
      </c>
      <c r="CM496">
        <v>0</v>
      </c>
    </row>
    <row r="497" spans="82:91" x14ac:dyDescent="0.25">
      <c r="CD497">
        <v>5040</v>
      </c>
      <c r="CE497">
        <v>384</v>
      </c>
      <c r="CF497">
        <v>96</v>
      </c>
      <c r="CG497">
        <v>0</v>
      </c>
      <c r="CH497">
        <v>0</v>
      </c>
      <c r="CI497">
        <v>0</v>
      </c>
      <c r="CJ497">
        <v>0</v>
      </c>
      <c r="CK497">
        <v>0</v>
      </c>
      <c r="CL497">
        <v>0</v>
      </c>
      <c r="CM497">
        <v>0</v>
      </c>
    </row>
    <row r="498" spans="82:91" x14ac:dyDescent="0.25">
      <c r="CD498">
        <v>5040</v>
      </c>
      <c r="CE498">
        <v>384</v>
      </c>
      <c r="CF498">
        <v>96</v>
      </c>
      <c r="CG498">
        <v>0</v>
      </c>
      <c r="CH498">
        <v>0</v>
      </c>
      <c r="CI498">
        <v>0</v>
      </c>
      <c r="CJ498">
        <v>0</v>
      </c>
      <c r="CK498">
        <v>0</v>
      </c>
      <c r="CL498">
        <v>0</v>
      </c>
      <c r="CM498">
        <v>0</v>
      </c>
    </row>
    <row r="499" spans="82:91" x14ac:dyDescent="0.25">
      <c r="CD499">
        <v>5040</v>
      </c>
      <c r="CE499">
        <v>384</v>
      </c>
      <c r="CF499">
        <v>96</v>
      </c>
      <c r="CG499">
        <v>0</v>
      </c>
      <c r="CH499">
        <v>0</v>
      </c>
      <c r="CI499">
        <v>0</v>
      </c>
      <c r="CJ499">
        <v>0</v>
      </c>
      <c r="CK499">
        <v>0</v>
      </c>
      <c r="CL499">
        <v>0</v>
      </c>
      <c r="CM499">
        <v>0</v>
      </c>
    </row>
    <row r="500" spans="82:91" x14ac:dyDescent="0.25">
      <c r="CD500">
        <v>5040</v>
      </c>
      <c r="CE500">
        <v>384</v>
      </c>
      <c r="CF500">
        <v>96</v>
      </c>
      <c r="CG500">
        <v>0</v>
      </c>
      <c r="CH500">
        <v>0</v>
      </c>
      <c r="CI500">
        <v>0</v>
      </c>
      <c r="CJ500">
        <v>0</v>
      </c>
      <c r="CK500">
        <v>0</v>
      </c>
      <c r="CL500">
        <v>0</v>
      </c>
      <c r="CM500">
        <v>0</v>
      </c>
    </row>
    <row r="501" spans="82:91" x14ac:dyDescent="0.25">
      <c r="CD501">
        <v>5040</v>
      </c>
      <c r="CE501">
        <v>384</v>
      </c>
      <c r="CF501">
        <v>96</v>
      </c>
      <c r="CG501">
        <v>0</v>
      </c>
      <c r="CH501">
        <v>0</v>
      </c>
      <c r="CI501">
        <v>0</v>
      </c>
      <c r="CJ501">
        <v>0</v>
      </c>
      <c r="CK501">
        <v>0</v>
      </c>
      <c r="CL501">
        <v>0</v>
      </c>
      <c r="CM501">
        <v>0</v>
      </c>
    </row>
    <row r="502" spans="82:91" x14ac:dyDescent="0.25">
      <c r="CD502">
        <v>5040</v>
      </c>
      <c r="CE502">
        <v>384</v>
      </c>
      <c r="CF502">
        <v>96</v>
      </c>
      <c r="CG502">
        <v>0</v>
      </c>
      <c r="CH502">
        <v>0</v>
      </c>
      <c r="CI502">
        <v>0</v>
      </c>
      <c r="CJ502">
        <v>0</v>
      </c>
      <c r="CK502">
        <v>0</v>
      </c>
      <c r="CL502">
        <v>0</v>
      </c>
      <c r="CM502">
        <v>0</v>
      </c>
    </row>
    <row r="503" spans="82:91" x14ac:dyDescent="0.25">
      <c r="CD503">
        <v>5040</v>
      </c>
      <c r="CE503">
        <v>384</v>
      </c>
      <c r="CF503">
        <v>96</v>
      </c>
      <c r="CG503">
        <v>0</v>
      </c>
      <c r="CH503">
        <v>0</v>
      </c>
      <c r="CI503">
        <v>0</v>
      </c>
      <c r="CJ503">
        <v>0</v>
      </c>
      <c r="CK503">
        <v>0</v>
      </c>
      <c r="CL503">
        <v>0</v>
      </c>
      <c r="CM503">
        <v>0</v>
      </c>
    </row>
    <row r="504" spans="82:91" x14ac:dyDescent="0.25">
      <c r="CD504">
        <v>5040</v>
      </c>
      <c r="CE504">
        <v>384</v>
      </c>
      <c r="CF504">
        <v>96</v>
      </c>
      <c r="CG504">
        <v>0</v>
      </c>
      <c r="CH504">
        <v>0</v>
      </c>
      <c r="CI504">
        <v>0</v>
      </c>
      <c r="CJ504">
        <v>0</v>
      </c>
      <c r="CK504">
        <v>0</v>
      </c>
      <c r="CL504">
        <v>0</v>
      </c>
      <c r="CM504">
        <v>0</v>
      </c>
    </row>
    <row r="505" spans="82:91" x14ac:dyDescent="0.25">
      <c r="CD505">
        <v>5040</v>
      </c>
      <c r="CE505">
        <v>384</v>
      </c>
      <c r="CF505">
        <v>96</v>
      </c>
      <c r="CG505">
        <v>0</v>
      </c>
      <c r="CH505">
        <v>0</v>
      </c>
      <c r="CI505">
        <v>0</v>
      </c>
      <c r="CJ505">
        <v>0</v>
      </c>
      <c r="CK505">
        <v>0</v>
      </c>
      <c r="CL505">
        <v>0</v>
      </c>
      <c r="CM505">
        <v>0</v>
      </c>
    </row>
    <row r="506" spans="82:91" x14ac:dyDescent="0.25">
      <c r="CD506">
        <v>5040</v>
      </c>
      <c r="CE506">
        <v>384</v>
      </c>
      <c r="CF506">
        <v>96</v>
      </c>
      <c r="CG506">
        <v>0</v>
      </c>
      <c r="CH506">
        <v>0</v>
      </c>
      <c r="CI506">
        <v>0</v>
      </c>
      <c r="CJ506">
        <v>0</v>
      </c>
      <c r="CK506">
        <v>0</v>
      </c>
      <c r="CL506">
        <v>0</v>
      </c>
      <c r="CM506">
        <v>0</v>
      </c>
    </row>
    <row r="507" spans="82:91" x14ac:dyDescent="0.25">
      <c r="CD507">
        <v>5040</v>
      </c>
      <c r="CE507">
        <v>384</v>
      </c>
      <c r="CF507">
        <v>96</v>
      </c>
      <c r="CG507">
        <v>0</v>
      </c>
      <c r="CH507">
        <v>0</v>
      </c>
      <c r="CI507">
        <v>0</v>
      </c>
      <c r="CJ507">
        <v>0</v>
      </c>
      <c r="CK507">
        <v>0</v>
      </c>
      <c r="CL507">
        <v>0</v>
      </c>
      <c r="CM507">
        <v>0</v>
      </c>
    </row>
    <row r="508" spans="82:91" x14ac:dyDescent="0.25">
      <c r="CD508">
        <v>5040</v>
      </c>
      <c r="CE508">
        <v>384</v>
      </c>
      <c r="CF508">
        <v>96</v>
      </c>
      <c r="CG508">
        <v>0</v>
      </c>
      <c r="CH508">
        <v>0</v>
      </c>
      <c r="CI508">
        <v>0</v>
      </c>
      <c r="CJ508">
        <v>0</v>
      </c>
      <c r="CK508">
        <v>0</v>
      </c>
      <c r="CL508">
        <v>0</v>
      </c>
      <c r="CM508">
        <v>0</v>
      </c>
    </row>
    <row r="509" spans="82:91" x14ac:dyDescent="0.25">
      <c r="CD509">
        <v>5040</v>
      </c>
      <c r="CE509">
        <v>384</v>
      </c>
      <c r="CF509">
        <v>96</v>
      </c>
      <c r="CG509">
        <v>0</v>
      </c>
      <c r="CH509">
        <v>0</v>
      </c>
      <c r="CI509">
        <v>0</v>
      </c>
      <c r="CJ509">
        <v>0</v>
      </c>
      <c r="CK509">
        <v>0</v>
      </c>
      <c r="CL509">
        <v>0</v>
      </c>
      <c r="CM509">
        <v>0</v>
      </c>
    </row>
    <row r="510" spans="82:91" x14ac:dyDescent="0.25">
      <c r="CD510">
        <v>5040</v>
      </c>
      <c r="CE510">
        <v>384</v>
      </c>
      <c r="CF510">
        <v>96</v>
      </c>
      <c r="CG510">
        <v>0</v>
      </c>
      <c r="CH510">
        <v>0</v>
      </c>
      <c r="CI510">
        <v>0</v>
      </c>
      <c r="CJ510">
        <v>0</v>
      </c>
      <c r="CK510">
        <v>0</v>
      </c>
      <c r="CL510">
        <v>0</v>
      </c>
      <c r="CM510">
        <v>0</v>
      </c>
    </row>
    <row r="511" spans="82:91" x14ac:dyDescent="0.25">
      <c r="CD511">
        <v>5040</v>
      </c>
      <c r="CE511">
        <v>384</v>
      </c>
      <c r="CF511">
        <v>96</v>
      </c>
      <c r="CG511">
        <v>0</v>
      </c>
      <c r="CH511">
        <v>0</v>
      </c>
      <c r="CI511">
        <v>0</v>
      </c>
      <c r="CJ511">
        <v>0</v>
      </c>
      <c r="CK511">
        <v>0</v>
      </c>
      <c r="CL511">
        <v>0</v>
      </c>
      <c r="CM511">
        <v>0</v>
      </c>
    </row>
    <row r="512" spans="82:91" x14ac:dyDescent="0.25">
      <c r="CD512">
        <v>5040</v>
      </c>
      <c r="CE512">
        <v>384</v>
      </c>
      <c r="CF512">
        <v>96</v>
      </c>
      <c r="CG512">
        <v>0</v>
      </c>
      <c r="CH512">
        <v>0</v>
      </c>
      <c r="CI512">
        <v>0</v>
      </c>
      <c r="CJ512">
        <v>0</v>
      </c>
      <c r="CK512">
        <v>0</v>
      </c>
      <c r="CL512">
        <v>0</v>
      </c>
      <c r="CM512">
        <v>0</v>
      </c>
    </row>
    <row r="513" spans="82:91" x14ac:dyDescent="0.25">
      <c r="CD513">
        <v>5040</v>
      </c>
      <c r="CE513">
        <v>384</v>
      </c>
      <c r="CF513">
        <v>96</v>
      </c>
      <c r="CG513">
        <v>0</v>
      </c>
      <c r="CH513">
        <v>0</v>
      </c>
      <c r="CI513">
        <v>0</v>
      </c>
      <c r="CJ513">
        <v>0</v>
      </c>
      <c r="CK513">
        <v>0</v>
      </c>
      <c r="CL513">
        <v>0</v>
      </c>
      <c r="CM513">
        <v>0</v>
      </c>
    </row>
    <row r="514" spans="82:91" x14ac:dyDescent="0.25">
      <c r="CD514">
        <v>5040</v>
      </c>
      <c r="CE514">
        <v>384</v>
      </c>
      <c r="CF514">
        <v>96</v>
      </c>
      <c r="CG514">
        <v>0</v>
      </c>
      <c r="CH514">
        <v>0</v>
      </c>
      <c r="CI514">
        <v>0</v>
      </c>
      <c r="CJ514">
        <v>0</v>
      </c>
      <c r="CK514">
        <v>0</v>
      </c>
      <c r="CL514">
        <v>0</v>
      </c>
      <c r="CM514">
        <v>0</v>
      </c>
    </row>
    <row r="515" spans="82:91" x14ac:dyDescent="0.25">
      <c r="CD515">
        <v>5040</v>
      </c>
      <c r="CE515">
        <v>384</v>
      </c>
      <c r="CF515">
        <v>96</v>
      </c>
      <c r="CG515">
        <v>0</v>
      </c>
      <c r="CH515">
        <v>0</v>
      </c>
      <c r="CI515">
        <v>0</v>
      </c>
      <c r="CJ515">
        <v>0</v>
      </c>
      <c r="CK515">
        <v>0</v>
      </c>
      <c r="CL515">
        <v>0</v>
      </c>
      <c r="CM515">
        <v>0</v>
      </c>
    </row>
    <row r="516" spans="82:91" x14ac:dyDescent="0.25">
      <c r="CD516">
        <v>3360</v>
      </c>
      <c r="CE516">
        <v>576</v>
      </c>
      <c r="CF516">
        <v>144</v>
      </c>
      <c r="CG516">
        <v>0</v>
      </c>
      <c r="CH516">
        <v>0</v>
      </c>
      <c r="CI516">
        <v>0</v>
      </c>
      <c r="CJ516">
        <v>0</v>
      </c>
      <c r="CK516">
        <v>0</v>
      </c>
      <c r="CL516">
        <v>0</v>
      </c>
      <c r="CM516">
        <v>0</v>
      </c>
    </row>
    <row r="517" spans="82:91" x14ac:dyDescent="0.25">
      <c r="CD517">
        <v>3360</v>
      </c>
      <c r="CE517">
        <v>576</v>
      </c>
      <c r="CF517">
        <v>144</v>
      </c>
      <c r="CG517">
        <v>0</v>
      </c>
      <c r="CH517">
        <v>0</v>
      </c>
      <c r="CI517">
        <v>0</v>
      </c>
      <c r="CJ517">
        <v>0</v>
      </c>
      <c r="CK517">
        <v>0</v>
      </c>
      <c r="CL517">
        <v>0</v>
      </c>
      <c r="CM517">
        <v>0</v>
      </c>
    </row>
    <row r="518" spans="82:91" x14ac:dyDescent="0.25">
      <c r="CD518">
        <v>3360</v>
      </c>
      <c r="CE518">
        <v>576</v>
      </c>
      <c r="CF518">
        <v>144</v>
      </c>
      <c r="CG518">
        <v>0</v>
      </c>
      <c r="CH518">
        <v>0</v>
      </c>
      <c r="CI518">
        <v>0</v>
      </c>
      <c r="CJ518">
        <v>0</v>
      </c>
      <c r="CK518">
        <v>0</v>
      </c>
      <c r="CL518">
        <v>0</v>
      </c>
      <c r="CM518">
        <v>0</v>
      </c>
    </row>
    <row r="519" spans="82:91" x14ac:dyDescent="0.25">
      <c r="CD519">
        <v>3360</v>
      </c>
      <c r="CE519">
        <v>576</v>
      </c>
      <c r="CF519">
        <v>144</v>
      </c>
      <c r="CG519">
        <v>0</v>
      </c>
      <c r="CH519">
        <v>0</v>
      </c>
      <c r="CI519">
        <v>0</v>
      </c>
      <c r="CJ519">
        <v>0</v>
      </c>
      <c r="CK519">
        <v>0</v>
      </c>
      <c r="CL519">
        <v>0</v>
      </c>
      <c r="CM519">
        <v>0</v>
      </c>
    </row>
    <row r="520" spans="82:91" x14ac:dyDescent="0.25">
      <c r="CD520">
        <v>3360</v>
      </c>
      <c r="CE520">
        <v>576</v>
      </c>
      <c r="CF520">
        <v>144</v>
      </c>
      <c r="CG520">
        <v>0</v>
      </c>
      <c r="CH520">
        <v>0</v>
      </c>
      <c r="CI520">
        <v>0</v>
      </c>
      <c r="CJ520">
        <v>0</v>
      </c>
      <c r="CK520">
        <v>0</v>
      </c>
      <c r="CL520">
        <v>0</v>
      </c>
      <c r="CM520">
        <v>0</v>
      </c>
    </row>
    <row r="521" spans="82:91" x14ac:dyDescent="0.25">
      <c r="CD521">
        <v>3360</v>
      </c>
      <c r="CE521">
        <v>576</v>
      </c>
      <c r="CF521">
        <v>144</v>
      </c>
      <c r="CG521">
        <v>0</v>
      </c>
      <c r="CH521">
        <v>0</v>
      </c>
      <c r="CI521">
        <v>0</v>
      </c>
      <c r="CJ521">
        <v>0</v>
      </c>
      <c r="CK521">
        <v>0</v>
      </c>
      <c r="CL521">
        <v>0</v>
      </c>
      <c r="CM521">
        <v>0</v>
      </c>
    </row>
    <row r="522" spans="82:91" x14ac:dyDescent="0.25">
      <c r="CD522">
        <v>3360</v>
      </c>
      <c r="CE522">
        <v>576</v>
      </c>
      <c r="CF522">
        <v>144</v>
      </c>
      <c r="CG522">
        <v>0</v>
      </c>
      <c r="CH522">
        <v>0</v>
      </c>
      <c r="CI522">
        <v>0</v>
      </c>
      <c r="CJ522">
        <v>0</v>
      </c>
      <c r="CK522">
        <v>0</v>
      </c>
      <c r="CL522">
        <v>0</v>
      </c>
      <c r="CM522">
        <v>0</v>
      </c>
    </row>
    <row r="523" spans="82:91" x14ac:dyDescent="0.25">
      <c r="CD523">
        <v>3360</v>
      </c>
      <c r="CE523">
        <v>576</v>
      </c>
      <c r="CF523">
        <v>144</v>
      </c>
      <c r="CG523">
        <v>0</v>
      </c>
      <c r="CH523">
        <v>0</v>
      </c>
      <c r="CI523">
        <v>0</v>
      </c>
      <c r="CJ523">
        <v>0</v>
      </c>
      <c r="CK523">
        <v>0</v>
      </c>
      <c r="CL523">
        <v>0</v>
      </c>
      <c r="CM523">
        <v>0</v>
      </c>
    </row>
    <row r="524" spans="82:91" x14ac:dyDescent="0.25">
      <c r="CD524">
        <v>3360</v>
      </c>
      <c r="CE524">
        <v>576</v>
      </c>
      <c r="CF524">
        <v>144</v>
      </c>
      <c r="CG524">
        <v>0</v>
      </c>
      <c r="CH524">
        <v>0</v>
      </c>
      <c r="CI524">
        <v>0</v>
      </c>
      <c r="CJ524">
        <v>0</v>
      </c>
      <c r="CK524">
        <v>0</v>
      </c>
      <c r="CL524">
        <v>0</v>
      </c>
      <c r="CM524">
        <v>0</v>
      </c>
    </row>
    <row r="525" spans="82:91" x14ac:dyDescent="0.25">
      <c r="CD525">
        <v>3360</v>
      </c>
      <c r="CE525">
        <v>576</v>
      </c>
      <c r="CF525">
        <v>144</v>
      </c>
      <c r="CG525">
        <v>0</v>
      </c>
      <c r="CH525">
        <v>0</v>
      </c>
      <c r="CI525">
        <v>0</v>
      </c>
      <c r="CJ525">
        <v>0</v>
      </c>
      <c r="CK525">
        <v>0</v>
      </c>
      <c r="CL525">
        <v>0</v>
      </c>
      <c r="CM525">
        <v>0</v>
      </c>
    </row>
    <row r="526" spans="82:91" x14ac:dyDescent="0.25">
      <c r="CD526">
        <v>3360</v>
      </c>
      <c r="CE526">
        <v>576</v>
      </c>
      <c r="CF526">
        <v>144</v>
      </c>
      <c r="CG526">
        <v>0</v>
      </c>
      <c r="CH526">
        <v>0</v>
      </c>
      <c r="CI526">
        <v>0</v>
      </c>
      <c r="CJ526">
        <v>0</v>
      </c>
      <c r="CK526">
        <v>0</v>
      </c>
      <c r="CL526">
        <v>0</v>
      </c>
      <c r="CM526">
        <v>0</v>
      </c>
    </row>
    <row r="527" spans="82:91" x14ac:dyDescent="0.25">
      <c r="CD527">
        <v>3360</v>
      </c>
      <c r="CE527">
        <v>576</v>
      </c>
      <c r="CF527">
        <v>144</v>
      </c>
      <c r="CG527">
        <v>0</v>
      </c>
      <c r="CH527">
        <v>0</v>
      </c>
      <c r="CI527">
        <v>0</v>
      </c>
      <c r="CJ527">
        <v>0</v>
      </c>
      <c r="CK527">
        <v>0</v>
      </c>
      <c r="CL527">
        <v>0</v>
      </c>
      <c r="CM527">
        <v>0</v>
      </c>
    </row>
    <row r="528" spans="82:91" x14ac:dyDescent="0.25">
      <c r="CD528">
        <v>3360</v>
      </c>
      <c r="CE528">
        <v>576</v>
      </c>
      <c r="CF528">
        <v>144</v>
      </c>
      <c r="CG528">
        <v>0</v>
      </c>
      <c r="CH528">
        <v>0</v>
      </c>
      <c r="CI528">
        <v>0</v>
      </c>
      <c r="CJ528">
        <v>0</v>
      </c>
      <c r="CK528">
        <v>0</v>
      </c>
      <c r="CL528">
        <v>0</v>
      </c>
      <c r="CM528">
        <v>0</v>
      </c>
    </row>
    <row r="529" spans="82:91" x14ac:dyDescent="0.25">
      <c r="CD529">
        <v>3360</v>
      </c>
      <c r="CE529">
        <v>576</v>
      </c>
      <c r="CF529">
        <v>144</v>
      </c>
      <c r="CG529">
        <v>0</v>
      </c>
      <c r="CH529">
        <v>0</v>
      </c>
      <c r="CI529">
        <v>0</v>
      </c>
      <c r="CJ529">
        <v>0</v>
      </c>
      <c r="CK529">
        <v>0</v>
      </c>
      <c r="CL529">
        <v>0</v>
      </c>
      <c r="CM529">
        <v>0</v>
      </c>
    </row>
    <row r="530" spans="82:91" x14ac:dyDescent="0.25">
      <c r="CD530">
        <v>3360</v>
      </c>
      <c r="CE530">
        <v>576</v>
      </c>
      <c r="CF530">
        <v>144</v>
      </c>
      <c r="CG530">
        <v>0</v>
      </c>
      <c r="CH530">
        <v>0</v>
      </c>
      <c r="CI530">
        <v>0</v>
      </c>
      <c r="CJ530">
        <v>0</v>
      </c>
      <c r="CK530">
        <v>0</v>
      </c>
      <c r="CL530">
        <v>0</v>
      </c>
      <c r="CM530">
        <v>0</v>
      </c>
    </row>
    <row r="531" spans="82:91" x14ac:dyDescent="0.25">
      <c r="CD531">
        <v>3360</v>
      </c>
      <c r="CE531">
        <v>576</v>
      </c>
      <c r="CF531">
        <v>144</v>
      </c>
      <c r="CG531">
        <v>0</v>
      </c>
      <c r="CH531">
        <v>0</v>
      </c>
      <c r="CI531">
        <v>0</v>
      </c>
      <c r="CJ531">
        <v>0</v>
      </c>
      <c r="CK531">
        <v>0</v>
      </c>
      <c r="CL531">
        <v>0</v>
      </c>
      <c r="CM531">
        <v>0</v>
      </c>
    </row>
    <row r="532" spans="82:91" x14ac:dyDescent="0.25">
      <c r="CD532">
        <v>3360</v>
      </c>
      <c r="CE532">
        <v>576</v>
      </c>
      <c r="CF532">
        <v>144</v>
      </c>
      <c r="CG532">
        <v>0</v>
      </c>
      <c r="CH532">
        <v>0</v>
      </c>
      <c r="CI532">
        <v>0</v>
      </c>
      <c r="CJ532">
        <v>0</v>
      </c>
      <c r="CK532">
        <v>0</v>
      </c>
      <c r="CL532">
        <v>0</v>
      </c>
      <c r="CM532">
        <v>0</v>
      </c>
    </row>
    <row r="533" spans="82:91" x14ac:dyDescent="0.25">
      <c r="CD533">
        <v>3360</v>
      </c>
      <c r="CE533">
        <v>576</v>
      </c>
      <c r="CF533">
        <v>144</v>
      </c>
      <c r="CG533">
        <v>0</v>
      </c>
      <c r="CH533">
        <v>0</v>
      </c>
      <c r="CI533">
        <v>0</v>
      </c>
      <c r="CJ533">
        <v>0</v>
      </c>
      <c r="CK533">
        <v>0</v>
      </c>
      <c r="CL533">
        <v>0</v>
      </c>
      <c r="CM533">
        <v>0</v>
      </c>
    </row>
    <row r="534" spans="82:91" x14ac:dyDescent="0.25">
      <c r="CD534">
        <v>3360</v>
      </c>
      <c r="CE534">
        <v>576</v>
      </c>
      <c r="CF534">
        <v>144</v>
      </c>
      <c r="CG534">
        <v>0</v>
      </c>
      <c r="CH534">
        <v>0</v>
      </c>
      <c r="CI534">
        <v>0</v>
      </c>
      <c r="CJ534">
        <v>0</v>
      </c>
      <c r="CK534">
        <v>0</v>
      </c>
      <c r="CL534">
        <v>0</v>
      </c>
      <c r="CM534">
        <v>0</v>
      </c>
    </row>
    <row r="535" spans="82:91" x14ac:dyDescent="0.25">
      <c r="CD535">
        <v>3360</v>
      </c>
      <c r="CE535">
        <v>576</v>
      </c>
      <c r="CF535">
        <v>144</v>
      </c>
      <c r="CG535">
        <v>0</v>
      </c>
      <c r="CH535">
        <v>0</v>
      </c>
      <c r="CI535">
        <v>0</v>
      </c>
      <c r="CJ535">
        <v>0</v>
      </c>
      <c r="CK535">
        <v>0</v>
      </c>
      <c r="CL535">
        <v>0</v>
      </c>
      <c r="CM535">
        <v>0</v>
      </c>
    </row>
    <row r="536" spans="82:91" x14ac:dyDescent="0.25">
      <c r="CD536">
        <v>3360</v>
      </c>
      <c r="CE536">
        <v>576</v>
      </c>
      <c r="CF536">
        <v>144</v>
      </c>
      <c r="CG536">
        <v>0</v>
      </c>
      <c r="CH536">
        <v>0</v>
      </c>
      <c r="CI536">
        <v>0</v>
      </c>
      <c r="CJ536">
        <v>0</v>
      </c>
      <c r="CK536">
        <v>0</v>
      </c>
      <c r="CL536">
        <v>0</v>
      </c>
      <c r="CM536">
        <v>0</v>
      </c>
    </row>
    <row r="537" spans="82:91" x14ac:dyDescent="0.25">
      <c r="CD537">
        <v>3360</v>
      </c>
      <c r="CE537">
        <v>576</v>
      </c>
      <c r="CF537">
        <v>144</v>
      </c>
      <c r="CG537">
        <v>0</v>
      </c>
      <c r="CH537">
        <v>0</v>
      </c>
      <c r="CI537">
        <v>0</v>
      </c>
      <c r="CJ537">
        <v>0</v>
      </c>
      <c r="CK537">
        <v>0</v>
      </c>
      <c r="CL537">
        <v>0</v>
      </c>
      <c r="CM537">
        <v>0</v>
      </c>
    </row>
    <row r="538" spans="82:91" x14ac:dyDescent="0.25">
      <c r="CD538">
        <v>3360</v>
      </c>
      <c r="CE538">
        <v>576</v>
      </c>
      <c r="CF538">
        <v>144</v>
      </c>
      <c r="CG538">
        <v>0</v>
      </c>
      <c r="CH538">
        <v>0</v>
      </c>
      <c r="CI538">
        <v>0</v>
      </c>
      <c r="CJ538">
        <v>0</v>
      </c>
      <c r="CK538">
        <v>0</v>
      </c>
      <c r="CL538">
        <v>0</v>
      </c>
      <c r="CM538">
        <v>0</v>
      </c>
    </row>
    <row r="539" spans="82:91" x14ac:dyDescent="0.25">
      <c r="CD539">
        <v>3360</v>
      </c>
      <c r="CE539">
        <v>576</v>
      </c>
      <c r="CF539">
        <v>144</v>
      </c>
      <c r="CG539">
        <v>0</v>
      </c>
      <c r="CH539">
        <v>0</v>
      </c>
      <c r="CI539">
        <v>0</v>
      </c>
      <c r="CJ539">
        <v>0</v>
      </c>
      <c r="CK539">
        <v>0</v>
      </c>
      <c r="CL539">
        <v>0</v>
      </c>
      <c r="CM539">
        <v>0</v>
      </c>
    </row>
    <row r="540" spans="82:91" x14ac:dyDescent="0.25">
      <c r="CD540">
        <v>3360</v>
      </c>
      <c r="CE540">
        <v>576</v>
      </c>
      <c r="CF540">
        <v>144</v>
      </c>
      <c r="CG540">
        <v>0</v>
      </c>
      <c r="CH540">
        <v>0</v>
      </c>
      <c r="CI540">
        <v>0</v>
      </c>
      <c r="CJ540">
        <v>0</v>
      </c>
      <c r="CK540">
        <v>0</v>
      </c>
      <c r="CL540">
        <v>0</v>
      </c>
      <c r="CM540">
        <v>0</v>
      </c>
    </row>
    <row r="541" spans="82:91" x14ac:dyDescent="0.25">
      <c r="CD541">
        <v>3360</v>
      </c>
      <c r="CE541">
        <v>576</v>
      </c>
      <c r="CF541">
        <v>144</v>
      </c>
      <c r="CG541">
        <v>0</v>
      </c>
      <c r="CH541">
        <v>0</v>
      </c>
      <c r="CI541">
        <v>0</v>
      </c>
      <c r="CJ541">
        <v>0</v>
      </c>
      <c r="CK541">
        <v>0</v>
      </c>
      <c r="CL541">
        <v>0</v>
      </c>
      <c r="CM541">
        <v>0</v>
      </c>
    </row>
    <row r="542" spans="82:91" x14ac:dyDescent="0.25">
      <c r="CD542">
        <v>3360</v>
      </c>
      <c r="CE542">
        <v>576</v>
      </c>
      <c r="CF542">
        <v>144</v>
      </c>
      <c r="CG542">
        <v>0</v>
      </c>
      <c r="CH542">
        <v>0</v>
      </c>
      <c r="CI542">
        <v>0</v>
      </c>
      <c r="CJ542">
        <v>0</v>
      </c>
      <c r="CK542">
        <v>0</v>
      </c>
      <c r="CL542">
        <v>0</v>
      </c>
      <c r="CM542">
        <v>0</v>
      </c>
    </row>
    <row r="543" spans="82:91" x14ac:dyDescent="0.25">
      <c r="CD543">
        <v>3360</v>
      </c>
      <c r="CE543">
        <v>576</v>
      </c>
      <c r="CF543">
        <v>144</v>
      </c>
      <c r="CG543">
        <v>0</v>
      </c>
      <c r="CH543">
        <v>0</v>
      </c>
      <c r="CI543">
        <v>0</v>
      </c>
      <c r="CJ543">
        <v>0</v>
      </c>
      <c r="CK543">
        <v>0</v>
      </c>
      <c r="CL543">
        <v>0</v>
      </c>
      <c r="CM543">
        <v>0</v>
      </c>
    </row>
    <row r="544" spans="82:91" x14ac:dyDescent="0.25">
      <c r="CD544">
        <v>3360</v>
      </c>
      <c r="CE544">
        <v>576</v>
      </c>
      <c r="CF544">
        <v>144</v>
      </c>
      <c r="CG544">
        <v>0</v>
      </c>
      <c r="CH544">
        <v>0</v>
      </c>
      <c r="CI544">
        <v>0</v>
      </c>
      <c r="CJ544">
        <v>0</v>
      </c>
      <c r="CK544">
        <v>0</v>
      </c>
      <c r="CL544">
        <v>0</v>
      </c>
      <c r="CM544">
        <v>0</v>
      </c>
    </row>
    <row r="545" spans="82:91" x14ac:dyDescent="0.25">
      <c r="CD545">
        <v>3360</v>
      </c>
      <c r="CE545">
        <v>576</v>
      </c>
      <c r="CF545">
        <v>144</v>
      </c>
      <c r="CG545">
        <v>0</v>
      </c>
      <c r="CH545">
        <v>0</v>
      </c>
      <c r="CI545">
        <v>0</v>
      </c>
      <c r="CJ545">
        <v>0</v>
      </c>
      <c r="CK545">
        <v>0</v>
      </c>
      <c r="CL545">
        <v>0</v>
      </c>
      <c r="CM545">
        <v>0</v>
      </c>
    </row>
    <row r="546" spans="82:91" x14ac:dyDescent="0.25">
      <c r="CD546">
        <v>3360</v>
      </c>
      <c r="CE546">
        <v>576</v>
      </c>
      <c r="CF546">
        <v>144</v>
      </c>
      <c r="CG546">
        <v>0</v>
      </c>
      <c r="CH546">
        <v>0</v>
      </c>
      <c r="CI546">
        <v>0</v>
      </c>
      <c r="CJ546">
        <v>0</v>
      </c>
      <c r="CK546">
        <v>0</v>
      </c>
      <c r="CL546">
        <v>0</v>
      </c>
      <c r="CM546">
        <v>0</v>
      </c>
    </row>
    <row r="547" spans="82:91" x14ac:dyDescent="0.25">
      <c r="CD547">
        <v>3360</v>
      </c>
      <c r="CE547">
        <v>576</v>
      </c>
      <c r="CF547">
        <v>144</v>
      </c>
      <c r="CG547">
        <v>0</v>
      </c>
      <c r="CH547">
        <v>0</v>
      </c>
      <c r="CI547">
        <v>0</v>
      </c>
      <c r="CJ547">
        <v>0</v>
      </c>
      <c r="CK547">
        <v>0</v>
      </c>
      <c r="CL547">
        <v>0</v>
      </c>
      <c r="CM547">
        <v>0</v>
      </c>
    </row>
    <row r="548" spans="82:91" x14ac:dyDescent="0.25">
      <c r="CD548">
        <v>3360</v>
      </c>
      <c r="CE548">
        <v>576</v>
      </c>
      <c r="CF548">
        <v>144</v>
      </c>
      <c r="CG548">
        <v>0</v>
      </c>
      <c r="CH548">
        <v>0</v>
      </c>
      <c r="CI548">
        <v>0</v>
      </c>
      <c r="CJ548">
        <v>0</v>
      </c>
      <c r="CK548">
        <v>0</v>
      </c>
      <c r="CL548">
        <v>0</v>
      </c>
      <c r="CM548">
        <v>0</v>
      </c>
    </row>
    <row r="549" spans="82:91" x14ac:dyDescent="0.25">
      <c r="CD549">
        <v>3360</v>
      </c>
      <c r="CE549">
        <v>576</v>
      </c>
      <c r="CF549">
        <v>144</v>
      </c>
      <c r="CG549">
        <v>0</v>
      </c>
      <c r="CH549">
        <v>0</v>
      </c>
      <c r="CI549">
        <v>0</v>
      </c>
      <c r="CJ549">
        <v>0</v>
      </c>
      <c r="CK549">
        <v>0</v>
      </c>
      <c r="CL549">
        <v>0</v>
      </c>
      <c r="CM549">
        <v>0</v>
      </c>
    </row>
    <row r="550" spans="82:91" x14ac:dyDescent="0.25">
      <c r="CD550">
        <v>3360</v>
      </c>
      <c r="CE550">
        <v>576</v>
      </c>
      <c r="CF550">
        <v>144</v>
      </c>
      <c r="CG550">
        <v>0</v>
      </c>
      <c r="CH550">
        <v>0</v>
      </c>
      <c r="CI550">
        <v>0</v>
      </c>
      <c r="CJ550">
        <v>0</v>
      </c>
      <c r="CK550">
        <v>0</v>
      </c>
      <c r="CL550">
        <v>0</v>
      </c>
      <c r="CM550">
        <v>0</v>
      </c>
    </row>
    <row r="551" spans="82:91" x14ac:dyDescent="0.25">
      <c r="CD551">
        <v>3360</v>
      </c>
      <c r="CE551">
        <v>576</v>
      </c>
      <c r="CF551">
        <v>144</v>
      </c>
      <c r="CG551">
        <v>0</v>
      </c>
      <c r="CH551">
        <v>0</v>
      </c>
      <c r="CI551">
        <v>0</v>
      </c>
      <c r="CJ551">
        <v>0</v>
      </c>
      <c r="CK551">
        <v>0</v>
      </c>
      <c r="CL551">
        <v>0</v>
      </c>
      <c r="CM551">
        <v>0</v>
      </c>
    </row>
    <row r="552" spans="82:91" x14ac:dyDescent="0.25">
      <c r="CD552">
        <v>3360</v>
      </c>
      <c r="CE552">
        <v>576</v>
      </c>
      <c r="CF552">
        <v>144</v>
      </c>
      <c r="CG552">
        <v>0</v>
      </c>
      <c r="CH552">
        <v>0</v>
      </c>
      <c r="CI552">
        <v>0</v>
      </c>
      <c r="CJ552">
        <v>0</v>
      </c>
      <c r="CK552">
        <v>0</v>
      </c>
      <c r="CL552">
        <v>0</v>
      </c>
      <c r="CM552">
        <v>0</v>
      </c>
    </row>
    <row r="553" spans="82:91" x14ac:dyDescent="0.25">
      <c r="CD553">
        <v>3360</v>
      </c>
      <c r="CE553">
        <v>576</v>
      </c>
      <c r="CF553">
        <v>144</v>
      </c>
      <c r="CG553">
        <v>0</v>
      </c>
      <c r="CH553">
        <v>0</v>
      </c>
      <c r="CI553">
        <v>0</v>
      </c>
      <c r="CJ553">
        <v>0</v>
      </c>
      <c r="CK553">
        <v>0</v>
      </c>
      <c r="CL553">
        <v>0</v>
      </c>
      <c r="CM553">
        <v>0</v>
      </c>
    </row>
    <row r="554" spans="82:91" x14ac:dyDescent="0.25">
      <c r="CD554">
        <v>3360</v>
      </c>
      <c r="CE554">
        <v>576</v>
      </c>
      <c r="CF554">
        <v>144</v>
      </c>
      <c r="CG554">
        <v>0</v>
      </c>
      <c r="CH554">
        <v>0</v>
      </c>
      <c r="CI554">
        <v>0</v>
      </c>
      <c r="CJ554">
        <v>0</v>
      </c>
      <c r="CK554">
        <v>0</v>
      </c>
      <c r="CL554">
        <v>0</v>
      </c>
      <c r="CM554">
        <v>0</v>
      </c>
    </row>
    <row r="555" spans="82:91" x14ac:dyDescent="0.25">
      <c r="CD555">
        <v>3360</v>
      </c>
      <c r="CE555">
        <v>576</v>
      </c>
      <c r="CF555">
        <v>144</v>
      </c>
      <c r="CG555">
        <v>0</v>
      </c>
      <c r="CH555">
        <v>0</v>
      </c>
      <c r="CI555">
        <v>0</v>
      </c>
      <c r="CJ555">
        <v>0</v>
      </c>
      <c r="CK555">
        <v>0</v>
      </c>
      <c r="CL555">
        <v>0</v>
      </c>
      <c r="CM555">
        <v>0</v>
      </c>
    </row>
    <row r="556" spans="82:91" x14ac:dyDescent="0.25">
      <c r="CD556">
        <v>3360</v>
      </c>
      <c r="CE556">
        <v>576</v>
      </c>
      <c r="CF556">
        <v>144</v>
      </c>
      <c r="CG556">
        <v>0</v>
      </c>
      <c r="CH556">
        <v>0</v>
      </c>
      <c r="CI556">
        <v>0</v>
      </c>
      <c r="CJ556">
        <v>0</v>
      </c>
      <c r="CK556">
        <v>0</v>
      </c>
      <c r="CL556">
        <v>0</v>
      </c>
      <c r="CM556">
        <v>0</v>
      </c>
    </row>
    <row r="557" spans="82:91" x14ac:dyDescent="0.25">
      <c r="CD557">
        <v>3360</v>
      </c>
      <c r="CE557">
        <v>576</v>
      </c>
      <c r="CF557">
        <v>144</v>
      </c>
      <c r="CG557">
        <v>0</v>
      </c>
      <c r="CH557">
        <v>0</v>
      </c>
      <c r="CI557">
        <v>0</v>
      </c>
      <c r="CJ557">
        <v>0</v>
      </c>
      <c r="CK557">
        <v>0</v>
      </c>
      <c r="CL557">
        <v>0</v>
      </c>
      <c r="CM557">
        <v>0</v>
      </c>
    </row>
    <row r="558" spans="82:91" x14ac:dyDescent="0.25">
      <c r="CD558">
        <v>3360</v>
      </c>
      <c r="CE558">
        <v>576</v>
      </c>
      <c r="CF558">
        <v>144</v>
      </c>
      <c r="CG558">
        <v>0</v>
      </c>
      <c r="CH558">
        <v>0</v>
      </c>
      <c r="CI558">
        <v>0</v>
      </c>
      <c r="CJ558">
        <v>0</v>
      </c>
      <c r="CK558">
        <v>0</v>
      </c>
      <c r="CL558">
        <v>0</v>
      </c>
      <c r="CM558">
        <v>0</v>
      </c>
    </row>
    <row r="559" spans="82:91" x14ac:dyDescent="0.25">
      <c r="CD559">
        <v>3360</v>
      </c>
      <c r="CE559">
        <v>576</v>
      </c>
      <c r="CF559">
        <v>144</v>
      </c>
      <c r="CG559">
        <v>0</v>
      </c>
      <c r="CH559">
        <v>0</v>
      </c>
      <c r="CI559">
        <v>0</v>
      </c>
      <c r="CJ559">
        <v>0</v>
      </c>
      <c r="CK559">
        <v>0</v>
      </c>
      <c r="CL559">
        <v>0</v>
      </c>
      <c r="CM559">
        <v>0</v>
      </c>
    </row>
    <row r="560" spans="82:91" x14ac:dyDescent="0.25">
      <c r="CD560">
        <v>3360</v>
      </c>
      <c r="CE560">
        <v>576</v>
      </c>
      <c r="CF560">
        <v>144</v>
      </c>
      <c r="CG560">
        <v>0</v>
      </c>
      <c r="CH560">
        <v>0</v>
      </c>
      <c r="CI560">
        <v>0</v>
      </c>
      <c r="CJ560">
        <v>0</v>
      </c>
      <c r="CK560">
        <v>0</v>
      </c>
      <c r="CL560">
        <v>0</v>
      </c>
      <c r="CM560">
        <v>0</v>
      </c>
    </row>
    <row r="561" spans="82:91" x14ac:dyDescent="0.25">
      <c r="CD561">
        <v>3360</v>
      </c>
      <c r="CE561">
        <v>576</v>
      </c>
      <c r="CF561">
        <v>144</v>
      </c>
      <c r="CG561">
        <v>0</v>
      </c>
      <c r="CH561">
        <v>0</v>
      </c>
      <c r="CI561">
        <v>0</v>
      </c>
      <c r="CJ561">
        <v>0</v>
      </c>
      <c r="CK561">
        <v>0</v>
      </c>
      <c r="CL561">
        <v>0</v>
      </c>
      <c r="CM561">
        <v>0</v>
      </c>
    </row>
    <row r="562" spans="82:91" x14ac:dyDescent="0.25">
      <c r="CD562">
        <v>3360</v>
      </c>
      <c r="CE562">
        <v>576</v>
      </c>
      <c r="CF562">
        <v>144</v>
      </c>
      <c r="CG562">
        <v>0</v>
      </c>
      <c r="CH562">
        <v>0</v>
      </c>
      <c r="CI562">
        <v>0</v>
      </c>
      <c r="CJ562">
        <v>0</v>
      </c>
      <c r="CK562">
        <v>0</v>
      </c>
      <c r="CL562">
        <v>0</v>
      </c>
      <c r="CM562">
        <v>0</v>
      </c>
    </row>
    <row r="563" spans="82:91" x14ac:dyDescent="0.25">
      <c r="CD563">
        <v>3360</v>
      </c>
      <c r="CE563">
        <v>576</v>
      </c>
      <c r="CF563">
        <v>144</v>
      </c>
      <c r="CG563">
        <v>0</v>
      </c>
      <c r="CH563">
        <v>0</v>
      </c>
      <c r="CI563">
        <v>0</v>
      </c>
      <c r="CJ563">
        <v>0</v>
      </c>
      <c r="CK563">
        <v>0</v>
      </c>
      <c r="CL563">
        <v>0</v>
      </c>
      <c r="CM563">
        <v>0</v>
      </c>
    </row>
    <row r="564" spans="82:91" x14ac:dyDescent="0.25">
      <c r="CD564">
        <v>3360</v>
      </c>
      <c r="CE564">
        <v>576</v>
      </c>
      <c r="CF564">
        <v>144</v>
      </c>
      <c r="CG564">
        <v>0</v>
      </c>
      <c r="CH564">
        <v>0</v>
      </c>
      <c r="CI564">
        <v>0</v>
      </c>
      <c r="CJ564">
        <v>0</v>
      </c>
      <c r="CK564">
        <v>0</v>
      </c>
      <c r="CL564">
        <v>0</v>
      </c>
      <c r="CM564">
        <v>0</v>
      </c>
    </row>
    <row r="565" spans="82:91" x14ac:dyDescent="0.25">
      <c r="CD565">
        <v>3360</v>
      </c>
      <c r="CE565">
        <v>576</v>
      </c>
      <c r="CF565">
        <v>144</v>
      </c>
      <c r="CG565">
        <v>0</v>
      </c>
      <c r="CH565">
        <v>0</v>
      </c>
      <c r="CI565">
        <v>0</v>
      </c>
      <c r="CJ565">
        <v>0</v>
      </c>
      <c r="CK565">
        <v>0</v>
      </c>
      <c r="CL565">
        <v>0</v>
      </c>
      <c r="CM565">
        <v>0</v>
      </c>
    </row>
    <row r="566" spans="82:91" x14ac:dyDescent="0.25">
      <c r="CD566">
        <v>3360</v>
      </c>
      <c r="CE566">
        <v>576</v>
      </c>
      <c r="CF566">
        <v>144</v>
      </c>
      <c r="CG566">
        <v>0</v>
      </c>
      <c r="CH566">
        <v>0</v>
      </c>
      <c r="CI566">
        <v>0</v>
      </c>
      <c r="CJ566">
        <v>0</v>
      </c>
      <c r="CK566">
        <v>0</v>
      </c>
      <c r="CL566">
        <v>0</v>
      </c>
      <c r="CM566">
        <v>0</v>
      </c>
    </row>
    <row r="567" spans="82:91" x14ac:dyDescent="0.25">
      <c r="CD567">
        <v>3360</v>
      </c>
      <c r="CE567">
        <v>576</v>
      </c>
      <c r="CF567">
        <v>144</v>
      </c>
      <c r="CG567">
        <v>0</v>
      </c>
      <c r="CH567">
        <v>0</v>
      </c>
      <c r="CI567">
        <v>0</v>
      </c>
      <c r="CJ567">
        <v>0</v>
      </c>
      <c r="CK567">
        <v>0</v>
      </c>
      <c r="CL567">
        <v>0</v>
      </c>
      <c r="CM567">
        <v>0</v>
      </c>
    </row>
    <row r="568" spans="82:91" x14ac:dyDescent="0.25">
      <c r="CD568">
        <v>3360</v>
      </c>
      <c r="CE568">
        <v>576</v>
      </c>
      <c r="CF568">
        <v>144</v>
      </c>
      <c r="CG568">
        <v>0</v>
      </c>
      <c r="CH568">
        <v>0</v>
      </c>
      <c r="CI568">
        <v>0</v>
      </c>
      <c r="CJ568">
        <v>0</v>
      </c>
      <c r="CK568">
        <v>0</v>
      </c>
      <c r="CL568">
        <v>0</v>
      </c>
      <c r="CM568">
        <v>0</v>
      </c>
    </row>
    <row r="569" spans="82:91" x14ac:dyDescent="0.25">
      <c r="CD569">
        <v>3360</v>
      </c>
      <c r="CE569">
        <v>576</v>
      </c>
      <c r="CF569">
        <v>144</v>
      </c>
      <c r="CG569">
        <v>0</v>
      </c>
      <c r="CH569">
        <v>0</v>
      </c>
      <c r="CI569">
        <v>0</v>
      </c>
      <c r="CJ569">
        <v>0</v>
      </c>
      <c r="CK569">
        <v>0</v>
      </c>
      <c r="CL569">
        <v>0</v>
      </c>
      <c r="CM569">
        <v>0</v>
      </c>
    </row>
    <row r="570" spans="82:91" x14ac:dyDescent="0.25">
      <c r="CD570">
        <v>3360</v>
      </c>
      <c r="CE570">
        <v>576</v>
      </c>
      <c r="CF570">
        <v>144</v>
      </c>
      <c r="CG570">
        <v>0</v>
      </c>
      <c r="CH570">
        <v>0</v>
      </c>
      <c r="CI570">
        <v>0</v>
      </c>
      <c r="CJ570">
        <v>0</v>
      </c>
      <c r="CK570">
        <v>0</v>
      </c>
      <c r="CL570">
        <v>0</v>
      </c>
      <c r="CM570">
        <v>0</v>
      </c>
    </row>
    <row r="571" spans="82:91" x14ac:dyDescent="0.25">
      <c r="CD571">
        <v>3360</v>
      </c>
      <c r="CE571">
        <v>576</v>
      </c>
      <c r="CF571">
        <v>144</v>
      </c>
      <c r="CG571">
        <v>0</v>
      </c>
      <c r="CH571">
        <v>0</v>
      </c>
      <c r="CI571">
        <v>0</v>
      </c>
      <c r="CJ571">
        <v>0</v>
      </c>
      <c r="CK571">
        <v>0</v>
      </c>
      <c r="CL571">
        <v>0</v>
      </c>
      <c r="CM571">
        <v>0</v>
      </c>
    </row>
    <row r="572" spans="82:91" x14ac:dyDescent="0.25">
      <c r="CD572">
        <v>3360</v>
      </c>
      <c r="CE572">
        <v>576</v>
      </c>
      <c r="CF572">
        <v>144</v>
      </c>
      <c r="CG572">
        <v>0</v>
      </c>
      <c r="CH572">
        <v>0</v>
      </c>
      <c r="CI572">
        <v>0</v>
      </c>
      <c r="CJ572">
        <v>0</v>
      </c>
      <c r="CK572">
        <v>0</v>
      </c>
      <c r="CL572">
        <v>0</v>
      </c>
      <c r="CM572">
        <v>0</v>
      </c>
    </row>
    <row r="573" spans="82:91" x14ac:dyDescent="0.25">
      <c r="CD573">
        <v>3360</v>
      </c>
      <c r="CE573">
        <v>576</v>
      </c>
      <c r="CF573">
        <v>144</v>
      </c>
      <c r="CG573">
        <v>0</v>
      </c>
      <c r="CH573">
        <v>0</v>
      </c>
      <c r="CI573">
        <v>0</v>
      </c>
      <c r="CJ573">
        <v>0</v>
      </c>
      <c r="CK573">
        <v>0</v>
      </c>
      <c r="CL573">
        <v>0</v>
      </c>
      <c r="CM573">
        <v>0</v>
      </c>
    </row>
    <row r="574" spans="82:91" x14ac:dyDescent="0.25">
      <c r="CD574">
        <v>3360</v>
      </c>
      <c r="CE574">
        <v>576</v>
      </c>
      <c r="CF574">
        <v>144</v>
      </c>
      <c r="CG574">
        <v>0</v>
      </c>
      <c r="CH574">
        <v>0</v>
      </c>
      <c r="CI574">
        <v>0</v>
      </c>
      <c r="CJ574">
        <v>0</v>
      </c>
      <c r="CK574">
        <v>0</v>
      </c>
      <c r="CL574">
        <v>0</v>
      </c>
      <c r="CM574">
        <v>0</v>
      </c>
    </row>
    <row r="575" spans="82:91" x14ac:dyDescent="0.25">
      <c r="CD575">
        <v>3360</v>
      </c>
      <c r="CE575">
        <v>576</v>
      </c>
      <c r="CF575">
        <v>144</v>
      </c>
      <c r="CG575">
        <v>0</v>
      </c>
      <c r="CH575">
        <v>0</v>
      </c>
      <c r="CI575">
        <v>0</v>
      </c>
      <c r="CJ575">
        <v>0</v>
      </c>
      <c r="CK575">
        <v>0</v>
      </c>
      <c r="CL575">
        <v>0</v>
      </c>
      <c r="CM575">
        <v>0</v>
      </c>
    </row>
    <row r="576" spans="82:91" x14ac:dyDescent="0.25">
      <c r="CD576">
        <v>3360</v>
      </c>
      <c r="CE576">
        <v>576</v>
      </c>
      <c r="CF576">
        <v>144</v>
      </c>
      <c r="CG576">
        <v>0</v>
      </c>
      <c r="CH576">
        <v>0</v>
      </c>
      <c r="CI576">
        <v>0</v>
      </c>
      <c r="CJ576">
        <v>0</v>
      </c>
      <c r="CK576">
        <v>0</v>
      </c>
      <c r="CL576">
        <v>0</v>
      </c>
      <c r="CM576">
        <v>0</v>
      </c>
    </row>
    <row r="577" spans="82:91" x14ac:dyDescent="0.25">
      <c r="CD577">
        <v>3360</v>
      </c>
      <c r="CE577">
        <v>576</v>
      </c>
      <c r="CF577">
        <v>144</v>
      </c>
      <c r="CG577">
        <v>0</v>
      </c>
      <c r="CH577">
        <v>0</v>
      </c>
      <c r="CI577">
        <v>0</v>
      </c>
      <c r="CJ577">
        <v>0</v>
      </c>
      <c r="CK577">
        <v>0</v>
      </c>
      <c r="CL577">
        <v>0</v>
      </c>
      <c r="CM577">
        <v>0</v>
      </c>
    </row>
    <row r="578" spans="82:91" x14ac:dyDescent="0.25">
      <c r="CD578">
        <v>3360</v>
      </c>
      <c r="CE578">
        <v>576</v>
      </c>
      <c r="CF578">
        <v>144</v>
      </c>
      <c r="CG578">
        <v>0</v>
      </c>
      <c r="CH578">
        <v>0</v>
      </c>
      <c r="CI578">
        <v>0</v>
      </c>
      <c r="CJ578">
        <v>0</v>
      </c>
      <c r="CK578">
        <v>0</v>
      </c>
      <c r="CL578">
        <v>0</v>
      </c>
      <c r="CM578">
        <v>0</v>
      </c>
    </row>
    <row r="579" spans="82:91" x14ac:dyDescent="0.25">
      <c r="CD579">
        <v>3360</v>
      </c>
      <c r="CE579">
        <v>576</v>
      </c>
      <c r="CF579">
        <v>144</v>
      </c>
      <c r="CG579">
        <v>0</v>
      </c>
      <c r="CH579">
        <v>0</v>
      </c>
      <c r="CI579">
        <v>0</v>
      </c>
      <c r="CJ579">
        <v>0</v>
      </c>
      <c r="CK579">
        <v>0</v>
      </c>
      <c r="CL579">
        <v>0</v>
      </c>
      <c r="CM579">
        <v>0</v>
      </c>
    </row>
    <row r="580" spans="82:91" x14ac:dyDescent="0.25">
      <c r="CD580">
        <v>3360</v>
      </c>
      <c r="CE580">
        <v>576</v>
      </c>
      <c r="CF580">
        <v>144</v>
      </c>
      <c r="CG580">
        <v>0</v>
      </c>
      <c r="CH580">
        <v>0</v>
      </c>
      <c r="CI580">
        <v>0</v>
      </c>
      <c r="CJ580">
        <v>0</v>
      </c>
      <c r="CK580">
        <v>0</v>
      </c>
      <c r="CL580">
        <v>0</v>
      </c>
      <c r="CM580">
        <v>0</v>
      </c>
    </row>
    <row r="581" spans="82:91" x14ac:dyDescent="0.25">
      <c r="CD581">
        <v>3360</v>
      </c>
      <c r="CE581">
        <v>576</v>
      </c>
      <c r="CF581">
        <v>144</v>
      </c>
      <c r="CG581">
        <v>0</v>
      </c>
      <c r="CH581">
        <v>0</v>
      </c>
      <c r="CI581">
        <v>0</v>
      </c>
      <c r="CJ581">
        <v>0</v>
      </c>
      <c r="CK581">
        <v>0</v>
      </c>
      <c r="CL581">
        <v>0</v>
      </c>
      <c r="CM581">
        <v>0</v>
      </c>
    </row>
    <row r="582" spans="82:91" x14ac:dyDescent="0.25">
      <c r="CD582">
        <v>3360</v>
      </c>
      <c r="CE582">
        <v>576</v>
      </c>
      <c r="CF582">
        <v>144</v>
      </c>
      <c r="CG582">
        <v>0</v>
      </c>
      <c r="CH582">
        <v>0</v>
      </c>
      <c r="CI582">
        <v>0</v>
      </c>
      <c r="CJ582">
        <v>0</v>
      </c>
      <c r="CK582">
        <v>0</v>
      </c>
      <c r="CL582">
        <v>0</v>
      </c>
      <c r="CM582">
        <v>0</v>
      </c>
    </row>
    <row r="583" spans="82:91" x14ac:dyDescent="0.25">
      <c r="CD583">
        <v>3360</v>
      </c>
      <c r="CE583">
        <v>576</v>
      </c>
      <c r="CF583">
        <v>144</v>
      </c>
      <c r="CG583">
        <v>0</v>
      </c>
      <c r="CH583">
        <v>0</v>
      </c>
      <c r="CI583">
        <v>0</v>
      </c>
      <c r="CJ583">
        <v>0</v>
      </c>
      <c r="CK583">
        <v>0</v>
      </c>
      <c r="CL583">
        <v>0</v>
      </c>
      <c r="CM583">
        <v>0</v>
      </c>
    </row>
    <row r="584" spans="82:91" x14ac:dyDescent="0.25">
      <c r="CD584">
        <v>3360</v>
      </c>
      <c r="CE584">
        <v>576</v>
      </c>
      <c r="CF584">
        <v>144</v>
      </c>
      <c r="CG584">
        <v>0</v>
      </c>
      <c r="CH584">
        <v>0</v>
      </c>
      <c r="CI584">
        <v>0</v>
      </c>
      <c r="CJ584">
        <v>0</v>
      </c>
      <c r="CK584">
        <v>0</v>
      </c>
      <c r="CL584">
        <v>0</v>
      </c>
      <c r="CM584">
        <v>0</v>
      </c>
    </row>
    <row r="585" spans="82:91" x14ac:dyDescent="0.25">
      <c r="CD585">
        <v>3360</v>
      </c>
      <c r="CE585">
        <v>576</v>
      </c>
      <c r="CF585">
        <v>144</v>
      </c>
      <c r="CG585">
        <v>0</v>
      </c>
      <c r="CH585">
        <v>0</v>
      </c>
      <c r="CI585">
        <v>0</v>
      </c>
      <c r="CJ585">
        <v>0</v>
      </c>
      <c r="CK585">
        <v>0</v>
      </c>
      <c r="CL585">
        <v>0</v>
      </c>
      <c r="CM585">
        <v>0</v>
      </c>
    </row>
    <row r="586" spans="82:91" x14ac:dyDescent="0.25">
      <c r="CD586">
        <v>3360</v>
      </c>
      <c r="CE586">
        <v>576</v>
      </c>
      <c r="CF586">
        <v>144</v>
      </c>
      <c r="CG586">
        <v>0</v>
      </c>
      <c r="CH586">
        <v>0</v>
      </c>
      <c r="CI586">
        <v>0</v>
      </c>
      <c r="CJ586">
        <v>0</v>
      </c>
      <c r="CK586">
        <v>0</v>
      </c>
      <c r="CL586">
        <v>0</v>
      </c>
      <c r="CM586">
        <v>0</v>
      </c>
    </row>
    <row r="587" spans="82:91" x14ac:dyDescent="0.25">
      <c r="CD587">
        <v>3360</v>
      </c>
      <c r="CE587">
        <v>576</v>
      </c>
      <c r="CF587">
        <v>144</v>
      </c>
      <c r="CG587">
        <v>0</v>
      </c>
      <c r="CH587">
        <v>0</v>
      </c>
      <c r="CI587">
        <v>0</v>
      </c>
      <c r="CJ587">
        <v>0</v>
      </c>
      <c r="CK587">
        <v>0</v>
      </c>
      <c r="CL587">
        <v>0</v>
      </c>
      <c r="CM587">
        <v>0</v>
      </c>
    </row>
    <row r="588" spans="82:91" x14ac:dyDescent="0.25">
      <c r="CD588">
        <v>3360</v>
      </c>
      <c r="CE588">
        <v>576</v>
      </c>
      <c r="CF588">
        <v>144</v>
      </c>
      <c r="CG588">
        <v>0</v>
      </c>
      <c r="CH588">
        <v>0</v>
      </c>
      <c r="CI588">
        <v>0</v>
      </c>
      <c r="CJ588">
        <v>0</v>
      </c>
      <c r="CK588">
        <v>0</v>
      </c>
      <c r="CL588">
        <v>0</v>
      </c>
      <c r="CM588">
        <v>0</v>
      </c>
    </row>
    <row r="589" spans="82:91" x14ac:dyDescent="0.25">
      <c r="CD589">
        <v>3360</v>
      </c>
      <c r="CE589">
        <v>576</v>
      </c>
      <c r="CF589">
        <v>144</v>
      </c>
      <c r="CG589">
        <v>0</v>
      </c>
      <c r="CH589">
        <v>0</v>
      </c>
      <c r="CI589">
        <v>0</v>
      </c>
      <c r="CJ589">
        <v>0</v>
      </c>
      <c r="CK589">
        <v>0</v>
      </c>
      <c r="CL589">
        <v>0</v>
      </c>
      <c r="CM589">
        <v>0</v>
      </c>
    </row>
    <row r="590" spans="82:91" x14ac:dyDescent="0.25">
      <c r="CD590">
        <v>3360</v>
      </c>
      <c r="CE590">
        <v>576</v>
      </c>
      <c r="CF590">
        <v>144</v>
      </c>
      <c r="CG590">
        <v>0</v>
      </c>
      <c r="CH590">
        <v>0</v>
      </c>
      <c r="CI590">
        <v>0</v>
      </c>
      <c r="CJ590">
        <v>0</v>
      </c>
      <c r="CK590">
        <v>0</v>
      </c>
      <c r="CL590">
        <v>0</v>
      </c>
      <c r="CM590">
        <v>0</v>
      </c>
    </row>
    <row r="591" spans="82:91" x14ac:dyDescent="0.25">
      <c r="CD591">
        <v>3360</v>
      </c>
      <c r="CE591">
        <v>576</v>
      </c>
      <c r="CF591">
        <v>144</v>
      </c>
      <c r="CG591">
        <v>0</v>
      </c>
      <c r="CH591">
        <v>0</v>
      </c>
      <c r="CI591">
        <v>0</v>
      </c>
      <c r="CJ591">
        <v>0</v>
      </c>
      <c r="CK591">
        <v>0</v>
      </c>
      <c r="CL591">
        <v>0</v>
      </c>
      <c r="CM591">
        <v>0</v>
      </c>
    </row>
    <row r="592" spans="82:91" x14ac:dyDescent="0.25">
      <c r="CD592">
        <v>3360</v>
      </c>
      <c r="CE592">
        <v>576</v>
      </c>
      <c r="CF592">
        <v>144</v>
      </c>
      <c r="CG592">
        <v>0</v>
      </c>
      <c r="CH592">
        <v>0</v>
      </c>
      <c r="CI592">
        <v>0</v>
      </c>
      <c r="CJ592">
        <v>0</v>
      </c>
      <c r="CK592">
        <v>0</v>
      </c>
      <c r="CL592">
        <v>0</v>
      </c>
      <c r="CM592">
        <v>0</v>
      </c>
    </row>
    <row r="593" spans="82:91" x14ac:dyDescent="0.25">
      <c r="CD593">
        <v>3360</v>
      </c>
      <c r="CE593">
        <v>576</v>
      </c>
      <c r="CF593">
        <v>144</v>
      </c>
      <c r="CG593">
        <v>0</v>
      </c>
      <c r="CH593">
        <v>0</v>
      </c>
      <c r="CI593">
        <v>0</v>
      </c>
      <c r="CJ593">
        <v>0</v>
      </c>
      <c r="CK593">
        <v>0</v>
      </c>
      <c r="CL593">
        <v>0</v>
      </c>
      <c r="CM593">
        <v>0</v>
      </c>
    </row>
    <row r="594" spans="82:91" x14ac:dyDescent="0.25">
      <c r="CD594">
        <v>3360</v>
      </c>
      <c r="CE594">
        <v>576</v>
      </c>
      <c r="CF594">
        <v>144</v>
      </c>
      <c r="CG594">
        <v>0</v>
      </c>
      <c r="CH594">
        <v>0</v>
      </c>
      <c r="CI594">
        <v>0</v>
      </c>
      <c r="CJ594">
        <v>0</v>
      </c>
      <c r="CK594">
        <v>0</v>
      </c>
      <c r="CL594">
        <v>0</v>
      </c>
      <c r="CM594">
        <v>0</v>
      </c>
    </row>
    <row r="595" spans="82:91" x14ac:dyDescent="0.25">
      <c r="CD595">
        <v>3360</v>
      </c>
      <c r="CE595">
        <v>576</v>
      </c>
      <c r="CF595">
        <v>144</v>
      </c>
      <c r="CG595">
        <v>0</v>
      </c>
      <c r="CH595">
        <v>0</v>
      </c>
      <c r="CI595">
        <v>0</v>
      </c>
      <c r="CJ595">
        <v>0</v>
      </c>
      <c r="CK595">
        <v>0</v>
      </c>
      <c r="CL595">
        <v>0</v>
      </c>
      <c r="CM595">
        <v>0</v>
      </c>
    </row>
    <row r="596" spans="82:91" x14ac:dyDescent="0.25">
      <c r="CD596">
        <v>3360</v>
      </c>
      <c r="CE596">
        <v>576</v>
      </c>
      <c r="CF596">
        <v>144</v>
      </c>
      <c r="CG596">
        <v>0</v>
      </c>
      <c r="CH596">
        <v>0</v>
      </c>
      <c r="CI596">
        <v>0</v>
      </c>
      <c r="CJ596">
        <v>0</v>
      </c>
      <c r="CK596">
        <v>0</v>
      </c>
      <c r="CL596">
        <v>0</v>
      </c>
      <c r="CM596">
        <v>0</v>
      </c>
    </row>
    <row r="597" spans="82:91" x14ac:dyDescent="0.25">
      <c r="CD597">
        <v>3360</v>
      </c>
      <c r="CE597">
        <v>576</v>
      </c>
      <c r="CF597">
        <v>144</v>
      </c>
      <c r="CG597">
        <v>0</v>
      </c>
      <c r="CH597">
        <v>0</v>
      </c>
      <c r="CI597">
        <v>0</v>
      </c>
      <c r="CJ597">
        <v>0</v>
      </c>
      <c r="CK597">
        <v>0</v>
      </c>
      <c r="CL597">
        <v>0</v>
      </c>
      <c r="CM597">
        <v>0</v>
      </c>
    </row>
    <row r="598" spans="82:91" x14ac:dyDescent="0.25">
      <c r="CD598">
        <v>3360</v>
      </c>
      <c r="CE598">
        <v>576</v>
      </c>
      <c r="CF598">
        <v>144</v>
      </c>
      <c r="CG598">
        <v>0</v>
      </c>
      <c r="CH598">
        <v>0</v>
      </c>
      <c r="CI598">
        <v>0</v>
      </c>
      <c r="CJ598">
        <v>0</v>
      </c>
      <c r="CK598">
        <v>0</v>
      </c>
      <c r="CL598">
        <v>0</v>
      </c>
      <c r="CM598">
        <v>0</v>
      </c>
    </row>
    <row r="599" spans="82:91" x14ac:dyDescent="0.25">
      <c r="CD599">
        <v>3360</v>
      </c>
      <c r="CE599">
        <v>576</v>
      </c>
      <c r="CF599">
        <v>144</v>
      </c>
      <c r="CG599">
        <v>0</v>
      </c>
      <c r="CH599">
        <v>0</v>
      </c>
      <c r="CI599">
        <v>0</v>
      </c>
      <c r="CJ599">
        <v>0</v>
      </c>
      <c r="CK599">
        <v>0</v>
      </c>
      <c r="CL599">
        <v>0</v>
      </c>
      <c r="CM599">
        <v>0</v>
      </c>
    </row>
    <row r="600" spans="82:91" x14ac:dyDescent="0.25">
      <c r="CD600">
        <v>3360</v>
      </c>
      <c r="CE600">
        <v>576</v>
      </c>
      <c r="CF600">
        <v>144</v>
      </c>
      <c r="CG600">
        <v>0</v>
      </c>
      <c r="CH600">
        <v>0</v>
      </c>
      <c r="CI600">
        <v>0</v>
      </c>
      <c r="CJ600">
        <v>0</v>
      </c>
      <c r="CK600">
        <v>0</v>
      </c>
      <c r="CL600">
        <v>0</v>
      </c>
      <c r="CM600">
        <v>0</v>
      </c>
    </row>
    <row r="601" spans="82:91" x14ac:dyDescent="0.25">
      <c r="CD601">
        <v>3360</v>
      </c>
      <c r="CE601">
        <v>576</v>
      </c>
      <c r="CF601">
        <v>144</v>
      </c>
      <c r="CG601">
        <v>0</v>
      </c>
      <c r="CH601">
        <v>0</v>
      </c>
      <c r="CI601">
        <v>0</v>
      </c>
      <c r="CJ601">
        <v>0</v>
      </c>
      <c r="CK601">
        <v>0</v>
      </c>
      <c r="CL601">
        <v>0</v>
      </c>
      <c r="CM601">
        <v>0</v>
      </c>
    </row>
    <row r="602" spans="82:91" x14ac:dyDescent="0.25">
      <c r="CD602">
        <v>3360</v>
      </c>
      <c r="CE602">
        <v>576</v>
      </c>
      <c r="CF602">
        <v>144</v>
      </c>
      <c r="CG602">
        <v>0</v>
      </c>
      <c r="CH602">
        <v>0</v>
      </c>
      <c r="CI602">
        <v>0</v>
      </c>
      <c r="CJ602">
        <v>0</v>
      </c>
      <c r="CK602">
        <v>0</v>
      </c>
      <c r="CL602">
        <v>0</v>
      </c>
      <c r="CM602">
        <v>0</v>
      </c>
    </row>
    <row r="603" spans="82:91" x14ac:dyDescent="0.25">
      <c r="CD603">
        <v>3360</v>
      </c>
      <c r="CE603">
        <v>576</v>
      </c>
      <c r="CF603">
        <v>144</v>
      </c>
      <c r="CG603">
        <v>0</v>
      </c>
      <c r="CH603">
        <v>0</v>
      </c>
      <c r="CI603">
        <v>0</v>
      </c>
      <c r="CJ603">
        <v>0</v>
      </c>
      <c r="CK603">
        <v>0</v>
      </c>
      <c r="CL603">
        <v>0</v>
      </c>
      <c r="CM603">
        <v>0</v>
      </c>
    </row>
    <row r="604" spans="82:91" x14ac:dyDescent="0.25">
      <c r="CD604">
        <v>3360</v>
      </c>
      <c r="CE604">
        <v>576</v>
      </c>
      <c r="CF604">
        <v>144</v>
      </c>
      <c r="CG604">
        <v>0</v>
      </c>
      <c r="CH604">
        <v>0</v>
      </c>
      <c r="CI604">
        <v>0</v>
      </c>
      <c r="CJ604">
        <v>0</v>
      </c>
      <c r="CK604">
        <v>0</v>
      </c>
      <c r="CL604">
        <v>0</v>
      </c>
      <c r="CM604">
        <v>0</v>
      </c>
    </row>
    <row r="605" spans="82:91" x14ac:dyDescent="0.25">
      <c r="CD605">
        <v>3360</v>
      </c>
      <c r="CE605">
        <v>576</v>
      </c>
      <c r="CF605">
        <v>144</v>
      </c>
      <c r="CG605">
        <v>0</v>
      </c>
      <c r="CH605">
        <v>0</v>
      </c>
      <c r="CI605">
        <v>0</v>
      </c>
      <c r="CJ605">
        <v>0</v>
      </c>
      <c r="CK605">
        <v>0</v>
      </c>
      <c r="CL605">
        <v>0</v>
      </c>
      <c r="CM605">
        <v>0</v>
      </c>
    </row>
    <row r="606" spans="82:91" x14ac:dyDescent="0.25">
      <c r="CD606">
        <v>3360</v>
      </c>
      <c r="CE606">
        <v>576</v>
      </c>
      <c r="CF606">
        <v>144</v>
      </c>
      <c r="CG606">
        <v>0</v>
      </c>
      <c r="CH606">
        <v>0</v>
      </c>
      <c r="CI606">
        <v>0</v>
      </c>
      <c r="CJ606">
        <v>0</v>
      </c>
      <c r="CK606">
        <v>0</v>
      </c>
      <c r="CL606">
        <v>0</v>
      </c>
      <c r="CM606">
        <v>0</v>
      </c>
    </row>
    <row r="607" spans="82:91" x14ac:dyDescent="0.25">
      <c r="CD607">
        <v>3360</v>
      </c>
      <c r="CE607">
        <v>576</v>
      </c>
      <c r="CF607">
        <v>144</v>
      </c>
      <c r="CG607">
        <v>0</v>
      </c>
      <c r="CH607">
        <v>0</v>
      </c>
      <c r="CI607">
        <v>0</v>
      </c>
      <c r="CJ607">
        <v>0</v>
      </c>
      <c r="CK607">
        <v>0</v>
      </c>
      <c r="CL607">
        <v>0</v>
      </c>
      <c r="CM607">
        <v>0</v>
      </c>
    </row>
    <row r="608" spans="82:91" x14ac:dyDescent="0.25">
      <c r="CD608">
        <v>3360</v>
      </c>
      <c r="CE608">
        <v>576</v>
      </c>
      <c r="CF608">
        <v>144</v>
      </c>
      <c r="CG608">
        <v>0</v>
      </c>
      <c r="CH608">
        <v>0</v>
      </c>
      <c r="CI608">
        <v>0</v>
      </c>
      <c r="CJ608">
        <v>0</v>
      </c>
      <c r="CK608">
        <v>0</v>
      </c>
      <c r="CL608">
        <v>0</v>
      </c>
      <c r="CM608">
        <v>0</v>
      </c>
    </row>
    <row r="609" spans="82:91" x14ac:dyDescent="0.25">
      <c r="CD609">
        <v>3360</v>
      </c>
      <c r="CE609">
        <v>576</v>
      </c>
      <c r="CF609">
        <v>144</v>
      </c>
      <c r="CG609">
        <v>0</v>
      </c>
      <c r="CH609">
        <v>0</v>
      </c>
      <c r="CI609">
        <v>0</v>
      </c>
      <c r="CJ609">
        <v>0</v>
      </c>
      <c r="CK609">
        <v>0</v>
      </c>
      <c r="CL609">
        <v>0</v>
      </c>
      <c r="CM609">
        <v>0</v>
      </c>
    </row>
    <row r="610" spans="82:91" x14ac:dyDescent="0.25">
      <c r="CD610">
        <v>3360</v>
      </c>
      <c r="CE610">
        <v>576</v>
      </c>
      <c r="CF610">
        <v>144</v>
      </c>
      <c r="CG610">
        <v>0</v>
      </c>
      <c r="CH610">
        <v>0</v>
      </c>
      <c r="CI610">
        <v>0</v>
      </c>
      <c r="CJ610">
        <v>0</v>
      </c>
      <c r="CK610">
        <v>0</v>
      </c>
      <c r="CL610">
        <v>0</v>
      </c>
      <c r="CM610">
        <v>0</v>
      </c>
    </row>
    <row r="611" spans="82:91" x14ac:dyDescent="0.25">
      <c r="CD611">
        <v>3360</v>
      </c>
      <c r="CE611">
        <v>576</v>
      </c>
      <c r="CF611">
        <v>144</v>
      </c>
      <c r="CG611">
        <v>0</v>
      </c>
      <c r="CH611">
        <v>0</v>
      </c>
      <c r="CI611">
        <v>0</v>
      </c>
      <c r="CJ611">
        <v>0</v>
      </c>
      <c r="CK611">
        <v>0</v>
      </c>
      <c r="CL611">
        <v>0</v>
      </c>
      <c r="CM611">
        <v>0</v>
      </c>
    </row>
    <row r="612" spans="82:91" x14ac:dyDescent="0.25">
      <c r="CD612">
        <v>3360</v>
      </c>
      <c r="CE612">
        <v>576</v>
      </c>
      <c r="CF612">
        <v>144</v>
      </c>
      <c r="CG612">
        <v>0</v>
      </c>
      <c r="CH612">
        <v>0</v>
      </c>
      <c r="CI612">
        <v>0</v>
      </c>
      <c r="CJ612">
        <v>0</v>
      </c>
      <c r="CK612">
        <v>0</v>
      </c>
      <c r="CL612">
        <v>0</v>
      </c>
      <c r="CM612">
        <v>0</v>
      </c>
    </row>
    <row r="613" spans="82:91" x14ac:dyDescent="0.25">
      <c r="CD613">
        <v>3360</v>
      </c>
      <c r="CE613">
        <v>576</v>
      </c>
      <c r="CF613">
        <v>144</v>
      </c>
      <c r="CG613">
        <v>0</v>
      </c>
      <c r="CH613">
        <v>0</v>
      </c>
      <c r="CI613">
        <v>0</v>
      </c>
      <c r="CJ613">
        <v>0</v>
      </c>
      <c r="CK613">
        <v>0</v>
      </c>
      <c r="CL613">
        <v>0</v>
      </c>
      <c r="CM613">
        <v>0</v>
      </c>
    </row>
    <row r="614" spans="82:91" x14ac:dyDescent="0.25">
      <c r="CD614">
        <v>3360</v>
      </c>
      <c r="CE614">
        <v>576</v>
      </c>
      <c r="CF614">
        <v>144</v>
      </c>
      <c r="CG614">
        <v>0</v>
      </c>
      <c r="CH614">
        <v>0</v>
      </c>
      <c r="CI614">
        <v>0</v>
      </c>
      <c r="CJ614">
        <v>0</v>
      </c>
      <c r="CK614">
        <v>0</v>
      </c>
      <c r="CL614">
        <v>0</v>
      </c>
      <c r="CM614">
        <v>0</v>
      </c>
    </row>
    <row r="615" spans="82:91" x14ac:dyDescent="0.25">
      <c r="CD615">
        <v>3360</v>
      </c>
      <c r="CE615">
        <v>576</v>
      </c>
      <c r="CF615">
        <v>144</v>
      </c>
      <c r="CG615">
        <v>0</v>
      </c>
      <c r="CH615">
        <v>0</v>
      </c>
      <c r="CI615">
        <v>0</v>
      </c>
      <c r="CJ615">
        <v>0</v>
      </c>
      <c r="CK615">
        <v>0</v>
      </c>
      <c r="CL615">
        <v>0</v>
      </c>
      <c r="CM615">
        <v>0</v>
      </c>
    </row>
    <row r="616" spans="82:91" x14ac:dyDescent="0.25">
      <c r="CD616">
        <v>3360</v>
      </c>
      <c r="CE616">
        <v>576</v>
      </c>
      <c r="CF616">
        <v>144</v>
      </c>
      <c r="CG616">
        <v>0</v>
      </c>
      <c r="CH616">
        <v>0</v>
      </c>
      <c r="CI616">
        <v>0</v>
      </c>
      <c r="CJ616">
        <v>0</v>
      </c>
      <c r="CK616">
        <v>0</v>
      </c>
      <c r="CL616">
        <v>0</v>
      </c>
      <c r="CM616">
        <v>0</v>
      </c>
    </row>
    <row r="617" spans="82:91" x14ac:dyDescent="0.25">
      <c r="CD617">
        <v>3360</v>
      </c>
      <c r="CE617">
        <v>576</v>
      </c>
      <c r="CF617">
        <v>144</v>
      </c>
      <c r="CG617">
        <v>0</v>
      </c>
      <c r="CH617">
        <v>0</v>
      </c>
      <c r="CI617">
        <v>0</v>
      </c>
      <c r="CJ617">
        <v>0</v>
      </c>
      <c r="CK617">
        <v>0</v>
      </c>
      <c r="CL617">
        <v>0</v>
      </c>
      <c r="CM617">
        <v>0</v>
      </c>
    </row>
    <row r="618" spans="82:91" x14ac:dyDescent="0.25">
      <c r="CD618">
        <v>3360</v>
      </c>
      <c r="CE618">
        <v>576</v>
      </c>
      <c r="CF618">
        <v>144</v>
      </c>
      <c r="CG618">
        <v>0</v>
      </c>
      <c r="CH618">
        <v>0</v>
      </c>
      <c r="CI618">
        <v>0</v>
      </c>
      <c r="CJ618">
        <v>0</v>
      </c>
      <c r="CK618">
        <v>0</v>
      </c>
      <c r="CL618">
        <v>0</v>
      </c>
      <c r="CM618">
        <v>0</v>
      </c>
    </row>
    <row r="619" spans="82:91" x14ac:dyDescent="0.25">
      <c r="CD619">
        <v>3360</v>
      </c>
      <c r="CE619">
        <v>576</v>
      </c>
      <c r="CF619">
        <v>144</v>
      </c>
      <c r="CG619">
        <v>0</v>
      </c>
      <c r="CH619">
        <v>0</v>
      </c>
      <c r="CI619">
        <v>0</v>
      </c>
      <c r="CJ619">
        <v>0</v>
      </c>
      <c r="CK619">
        <v>0</v>
      </c>
      <c r="CL619">
        <v>0</v>
      </c>
      <c r="CM619">
        <v>0</v>
      </c>
    </row>
    <row r="620" spans="82:91" x14ac:dyDescent="0.25">
      <c r="CD620">
        <v>3360</v>
      </c>
      <c r="CE620">
        <v>576</v>
      </c>
      <c r="CF620">
        <v>144</v>
      </c>
      <c r="CG620">
        <v>0</v>
      </c>
      <c r="CH620">
        <v>0</v>
      </c>
      <c r="CI620">
        <v>0</v>
      </c>
      <c r="CJ620">
        <v>0</v>
      </c>
      <c r="CK620">
        <v>0</v>
      </c>
      <c r="CL620">
        <v>0</v>
      </c>
      <c r="CM620">
        <v>0</v>
      </c>
    </row>
    <row r="621" spans="82:91" x14ac:dyDescent="0.25">
      <c r="CD621">
        <v>3360</v>
      </c>
      <c r="CE621">
        <v>576</v>
      </c>
      <c r="CF621">
        <v>144</v>
      </c>
      <c r="CG621">
        <v>0</v>
      </c>
      <c r="CH621">
        <v>0</v>
      </c>
      <c r="CI621">
        <v>0</v>
      </c>
      <c r="CJ621">
        <v>0</v>
      </c>
      <c r="CK621">
        <v>0</v>
      </c>
      <c r="CL621">
        <v>0</v>
      </c>
      <c r="CM621">
        <v>0</v>
      </c>
    </row>
    <row r="622" spans="82:91" x14ac:dyDescent="0.25">
      <c r="CD622">
        <v>3360</v>
      </c>
      <c r="CE622">
        <v>576</v>
      </c>
      <c r="CF622">
        <v>144</v>
      </c>
      <c r="CG622">
        <v>0</v>
      </c>
      <c r="CH622">
        <v>0</v>
      </c>
      <c r="CI622">
        <v>0</v>
      </c>
      <c r="CJ622">
        <v>0</v>
      </c>
      <c r="CK622">
        <v>0</v>
      </c>
      <c r="CL622">
        <v>0</v>
      </c>
      <c r="CM622">
        <v>0</v>
      </c>
    </row>
    <row r="623" spans="82:91" x14ac:dyDescent="0.25">
      <c r="CD623">
        <v>3360</v>
      </c>
      <c r="CE623">
        <v>576</v>
      </c>
      <c r="CF623">
        <v>144</v>
      </c>
      <c r="CG623">
        <v>0</v>
      </c>
      <c r="CH623">
        <v>0</v>
      </c>
      <c r="CI623">
        <v>0</v>
      </c>
      <c r="CJ623">
        <v>0</v>
      </c>
      <c r="CK623">
        <v>0</v>
      </c>
      <c r="CL623">
        <v>0</v>
      </c>
      <c r="CM623">
        <v>0</v>
      </c>
    </row>
    <row r="624" spans="82:91" x14ac:dyDescent="0.25">
      <c r="CD624">
        <v>3360</v>
      </c>
      <c r="CE624">
        <v>576</v>
      </c>
      <c r="CF624">
        <v>144</v>
      </c>
      <c r="CG624">
        <v>0</v>
      </c>
      <c r="CH624">
        <v>0</v>
      </c>
      <c r="CI624">
        <v>0</v>
      </c>
      <c r="CJ624">
        <v>0</v>
      </c>
      <c r="CK624">
        <v>0</v>
      </c>
      <c r="CL624">
        <v>0</v>
      </c>
      <c r="CM624">
        <v>0</v>
      </c>
    </row>
    <row r="625" spans="82:91" x14ac:dyDescent="0.25">
      <c r="CD625">
        <v>3360</v>
      </c>
      <c r="CE625">
        <v>576</v>
      </c>
      <c r="CF625">
        <v>144</v>
      </c>
      <c r="CG625">
        <v>0</v>
      </c>
      <c r="CH625">
        <v>0</v>
      </c>
      <c r="CI625">
        <v>0</v>
      </c>
      <c r="CJ625">
        <v>0</v>
      </c>
      <c r="CK625">
        <v>0</v>
      </c>
      <c r="CL625">
        <v>0</v>
      </c>
      <c r="CM625">
        <v>0</v>
      </c>
    </row>
    <row r="626" spans="82:91" x14ac:dyDescent="0.25">
      <c r="CD626">
        <v>3360</v>
      </c>
      <c r="CE626">
        <v>576</v>
      </c>
      <c r="CF626">
        <v>144</v>
      </c>
      <c r="CG626">
        <v>0</v>
      </c>
      <c r="CH626">
        <v>0</v>
      </c>
      <c r="CI626">
        <v>0</v>
      </c>
      <c r="CJ626">
        <v>0</v>
      </c>
      <c r="CK626">
        <v>0</v>
      </c>
      <c r="CL626">
        <v>0</v>
      </c>
      <c r="CM626">
        <v>0</v>
      </c>
    </row>
    <row r="627" spans="82:91" x14ac:dyDescent="0.25">
      <c r="CD627">
        <v>3360</v>
      </c>
      <c r="CE627">
        <v>576</v>
      </c>
      <c r="CF627">
        <v>144</v>
      </c>
      <c r="CG627">
        <v>0</v>
      </c>
      <c r="CH627">
        <v>0</v>
      </c>
      <c r="CI627">
        <v>0</v>
      </c>
      <c r="CJ627">
        <v>0</v>
      </c>
      <c r="CK627">
        <v>0</v>
      </c>
      <c r="CL627">
        <v>0</v>
      </c>
      <c r="CM627">
        <v>0</v>
      </c>
    </row>
    <row r="628" spans="82:91" x14ac:dyDescent="0.25">
      <c r="CD628">
        <v>3360</v>
      </c>
      <c r="CE628">
        <v>576</v>
      </c>
      <c r="CF628">
        <v>144</v>
      </c>
      <c r="CG628">
        <v>0</v>
      </c>
      <c r="CH628">
        <v>0</v>
      </c>
      <c r="CI628">
        <v>0</v>
      </c>
      <c r="CJ628">
        <v>0</v>
      </c>
      <c r="CK628">
        <v>0</v>
      </c>
      <c r="CL628">
        <v>0</v>
      </c>
      <c r="CM628">
        <v>0</v>
      </c>
    </row>
    <row r="629" spans="82:91" x14ac:dyDescent="0.25">
      <c r="CD629">
        <v>3360</v>
      </c>
      <c r="CE629">
        <v>576</v>
      </c>
      <c r="CF629">
        <v>144</v>
      </c>
      <c r="CG629">
        <v>0</v>
      </c>
      <c r="CH629">
        <v>0</v>
      </c>
      <c r="CI629">
        <v>0</v>
      </c>
      <c r="CJ629">
        <v>0</v>
      </c>
      <c r="CK629">
        <v>0</v>
      </c>
      <c r="CL629">
        <v>0</v>
      </c>
      <c r="CM629">
        <v>0</v>
      </c>
    </row>
    <row r="630" spans="82:91" x14ac:dyDescent="0.25">
      <c r="CD630">
        <v>3360</v>
      </c>
      <c r="CE630">
        <v>576</v>
      </c>
      <c r="CF630">
        <v>144</v>
      </c>
      <c r="CG630">
        <v>0</v>
      </c>
      <c r="CH630">
        <v>0</v>
      </c>
      <c r="CI630">
        <v>0</v>
      </c>
      <c r="CJ630">
        <v>0</v>
      </c>
      <c r="CK630">
        <v>0</v>
      </c>
      <c r="CL630">
        <v>0</v>
      </c>
      <c r="CM630">
        <v>0</v>
      </c>
    </row>
    <row r="631" spans="82:91" x14ac:dyDescent="0.25">
      <c r="CD631">
        <v>3360</v>
      </c>
      <c r="CE631">
        <v>576</v>
      </c>
      <c r="CF631">
        <v>144</v>
      </c>
      <c r="CG631">
        <v>0</v>
      </c>
      <c r="CH631">
        <v>0</v>
      </c>
      <c r="CI631">
        <v>0</v>
      </c>
      <c r="CJ631">
        <v>0</v>
      </c>
      <c r="CK631">
        <v>0</v>
      </c>
      <c r="CL631">
        <v>0</v>
      </c>
      <c r="CM631">
        <v>0</v>
      </c>
    </row>
    <row r="632" spans="82:91" x14ac:dyDescent="0.25">
      <c r="CD632">
        <v>3360</v>
      </c>
      <c r="CE632">
        <v>576</v>
      </c>
      <c r="CF632">
        <v>144</v>
      </c>
      <c r="CG632">
        <v>0</v>
      </c>
      <c r="CH632">
        <v>0</v>
      </c>
      <c r="CI632">
        <v>0</v>
      </c>
      <c r="CJ632">
        <v>0</v>
      </c>
      <c r="CK632">
        <v>0</v>
      </c>
      <c r="CL632">
        <v>0</v>
      </c>
      <c r="CM632">
        <v>0</v>
      </c>
    </row>
    <row r="633" spans="82:91" x14ac:dyDescent="0.25">
      <c r="CD633">
        <v>3360</v>
      </c>
      <c r="CE633">
        <v>576</v>
      </c>
      <c r="CF633">
        <v>144</v>
      </c>
      <c r="CG633">
        <v>0</v>
      </c>
      <c r="CH633">
        <v>0</v>
      </c>
      <c r="CI633">
        <v>0</v>
      </c>
      <c r="CJ633">
        <v>0</v>
      </c>
      <c r="CK633">
        <v>0</v>
      </c>
      <c r="CL633">
        <v>0</v>
      </c>
      <c r="CM633">
        <v>0</v>
      </c>
    </row>
    <row r="634" spans="82:91" x14ac:dyDescent="0.25">
      <c r="CD634">
        <v>3360</v>
      </c>
      <c r="CE634">
        <v>576</v>
      </c>
      <c r="CF634">
        <v>144</v>
      </c>
      <c r="CG634">
        <v>0</v>
      </c>
      <c r="CH634">
        <v>0</v>
      </c>
      <c r="CI634">
        <v>0</v>
      </c>
      <c r="CJ634">
        <v>0</v>
      </c>
      <c r="CK634">
        <v>0</v>
      </c>
      <c r="CL634">
        <v>0</v>
      </c>
      <c r="CM634">
        <v>0</v>
      </c>
    </row>
    <row r="635" spans="82:91" x14ac:dyDescent="0.25">
      <c r="CD635">
        <v>3360</v>
      </c>
      <c r="CE635">
        <v>576</v>
      </c>
      <c r="CF635">
        <v>144</v>
      </c>
      <c r="CG635">
        <v>0</v>
      </c>
      <c r="CH635">
        <v>0</v>
      </c>
      <c r="CI635">
        <v>0</v>
      </c>
      <c r="CJ635">
        <v>0</v>
      </c>
      <c r="CK635">
        <v>0</v>
      </c>
      <c r="CL635">
        <v>0</v>
      </c>
      <c r="CM635">
        <v>0</v>
      </c>
    </row>
    <row r="636" spans="82:91" x14ac:dyDescent="0.25">
      <c r="CD636">
        <v>3360</v>
      </c>
      <c r="CE636">
        <v>576</v>
      </c>
      <c r="CF636">
        <v>144</v>
      </c>
      <c r="CG636">
        <v>0</v>
      </c>
      <c r="CH636">
        <v>0</v>
      </c>
      <c r="CI636">
        <v>0</v>
      </c>
      <c r="CJ636">
        <v>0</v>
      </c>
      <c r="CK636">
        <v>0</v>
      </c>
      <c r="CL636">
        <v>0</v>
      </c>
      <c r="CM636">
        <v>0</v>
      </c>
    </row>
    <row r="637" spans="82:91" x14ac:dyDescent="0.25">
      <c r="CD637">
        <v>3360</v>
      </c>
      <c r="CE637">
        <v>576</v>
      </c>
      <c r="CF637">
        <v>144</v>
      </c>
      <c r="CG637">
        <v>0</v>
      </c>
      <c r="CH637">
        <v>0</v>
      </c>
      <c r="CI637">
        <v>0</v>
      </c>
      <c r="CJ637">
        <v>0</v>
      </c>
      <c r="CK637">
        <v>0</v>
      </c>
      <c r="CL637">
        <v>0</v>
      </c>
      <c r="CM637">
        <v>0</v>
      </c>
    </row>
    <row r="638" spans="82:91" x14ac:dyDescent="0.25">
      <c r="CD638">
        <v>3360</v>
      </c>
      <c r="CE638">
        <v>576</v>
      </c>
      <c r="CF638">
        <v>144</v>
      </c>
      <c r="CG638">
        <v>0</v>
      </c>
      <c r="CH638">
        <v>0</v>
      </c>
      <c r="CI638">
        <v>0</v>
      </c>
      <c r="CJ638">
        <v>0</v>
      </c>
      <c r="CK638">
        <v>0</v>
      </c>
      <c r="CL638">
        <v>0</v>
      </c>
      <c r="CM638">
        <v>0</v>
      </c>
    </row>
    <row r="639" spans="82:91" x14ac:dyDescent="0.25">
      <c r="CD639">
        <v>3360</v>
      </c>
      <c r="CE639">
        <v>576</v>
      </c>
      <c r="CF639">
        <v>144</v>
      </c>
      <c r="CG639">
        <v>0</v>
      </c>
      <c r="CH639">
        <v>0</v>
      </c>
      <c r="CI639">
        <v>0</v>
      </c>
      <c r="CJ639">
        <v>0</v>
      </c>
      <c r="CK639">
        <v>0</v>
      </c>
      <c r="CL639">
        <v>0</v>
      </c>
      <c r="CM639">
        <v>0</v>
      </c>
    </row>
    <row r="640" spans="82:91" x14ac:dyDescent="0.25">
      <c r="CD640">
        <v>3360</v>
      </c>
      <c r="CE640">
        <v>576</v>
      </c>
      <c r="CF640">
        <v>144</v>
      </c>
      <c r="CG640">
        <v>0</v>
      </c>
      <c r="CH640">
        <v>0</v>
      </c>
      <c r="CI640">
        <v>0</v>
      </c>
      <c r="CJ640">
        <v>0</v>
      </c>
      <c r="CK640">
        <v>0</v>
      </c>
      <c r="CL640">
        <v>0</v>
      </c>
      <c r="CM640">
        <v>0</v>
      </c>
    </row>
    <row r="641" spans="82:91" x14ac:dyDescent="0.25">
      <c r="CD641">
        <v>3360</v>
      </c>
      <c r="CE641">
        <v>576</v>
      </c>
      <c r="CF641">
        <v>144</v>
      </c>
      <c r="CG641">
        <v>0</v>
      </c>
      <c r="CH641">
        <v>0</v>
      </c>
      <c r="CI641">
        <v>0</v>
      </c>
      <c r="CJ641">
        <v>0</v>
      </c>
      <c r="CK641">
        <v>0</v>
      </c>
      <c r="CL641">
        <v>0</v>
      </c>
      <c r="CM641">
        <v>0</v>
      </c>
    </row>
    <row r="642" spans="82:91" x14ac:dyDescent="0.25">
      <c r="CD642">
        <v>3360</v>
      </c>
      <c r="CE642">
        <v>576</v>
      </c>
      <c r="CF642">
        <v>144</v>
      </c>
      <c r="CG642">
        <v>0</v>
      </c>
      <c r="CH642">
        <v>0</v>
      </c>
      <c r="CI642">
        <v>0</v>
      </c>
      <c r="CJ642">
        <v>0</v>
      </c>
      <c r="CK642">
        <v>0</v>
      </c>
      <c r="CL642">
        <v>0</v>
      </c>
      <c r="CM642">
        <v>0</v>
      </c>
    </row>
    <row r="643" spans="82:91" x14ac:dyDescent="0.25">
      <c r="CD643">
        <v>3360</v>
      </c>
      <c r="CE643">
        <v>576</v>
      </c>
      <c r="CF643">
        <v>144</v>
      </c>
      <c r="CG643">
        <v>0</v>
      </c>
      <c r="CH643">
        <v>0</v>
      </c>
      <c r="CI643">
        <v>0</v>
      </c>
      <c r="CJ643">
        <v>0</v>
      </c>
      <c r="CK643">
        <v>0</v>
      </c>
      <c r="CL643">
        <v>0</v>
      </c>
      <c r="CM643">
        <v>0</v>
      </c>
    </row>
    <row r="644" spans="82:91" x14ac:dyDescent="0.25">
      <c r="CD644">
        <v>3360</v>
      </c>
      <c r="CE644">
        <v>576</v>
      </c>
      <c r="CF644">
        <v>96</v>
      </c>
      <c r="CG644">
        <v>0</v>
      </c>
      <c r="CH644">
        <v>0</v>
      </c>
      <c r="CI644">
        <v>0</v>
      </c>
      <c r="CJ644">
        <v>0</v>
      </c>
      <c r="CK644">
        <v>0</v>
      </c>
      <c r="CL644">
        <v>0</v>
      </c>
      <c r="CM644">
        <v>0</v>
      </c>
    </row>
    <row r="645" spans="82:91" x14ac:dyDescent="0.25">
      <c r="CD645">
        <v>3360</v>
      </c>
      <c r="CE645">
        <v>576</v>
      </c>
      <c r="CF645">
        <v>96</v>
      </c>
      <c r="CG645">
        <v>0</v>
      </c>
      <c r="CH645">
        <v>0</v>
      </c>
      <c r="CI645">
        <v>0</v>
      </c>
      <c r="CJ645">
        <v>0</v>
      </c>
      <c r="CK645">
        <v>0</v>
      </c>
      <c r="CL645">
        <v>0</v>
      </c>
      <c r="CM645">
        <v>0</v>
      </c>
    </row>
    <row r="646" spans="82:91" x14ac:dyDescent="0.25">
      <c r="CD646">
        <v>3360</v>
      </c>
      <c r="CE646">
        <v>576</v>
      </c>
      <c r="CF646">
        <v>96</v>
      </c>
      <c r="CG646">
        <v>0</v>
      </c>
      <c r="CH646">
        <v>0</v>
      </c>
      <c r="CI646">
        <v>0</v>
      </c>
      <c r="CJ646">
        <v>0</v>
      </c>
      <c r="CK646">
        <v>0</v>
      </c>
      <c r="CL646">
        <v>0</v>
      </c>
      <c r="CM646">
        <v>0</v>
      </c>
    </row>
    <row r="647" spans="82:91" x14ac:dyDescent="0.25">
      <c r="CD647">
        <v>3360</v>
      </c>
      <c r="CE647">
        <v>576</v>
      </c>
      <c r="CF647">
        <v>96</v>
      </c>
      <c r="CG647">
        <v>0</v>
      </c>
      <c r="CH647">
        <v>0</v>
      </c>
      <c r="CI647">
        <v>0</v>
      </c>
      <c r="CJ647">
        <v>0</v>
      </c>
      <c r="CK647">
        <v>0</v>
      </c>
      <c r="CL647">
        <v>0</v>
      </c>
      <c r="CM647">
        <v>0</v>
      </c>
    </row>
    <row r="648" spans="82:91" x14ac:dyDescent="0.25">
      <c r="CD648">
        <v>3360</v>
      </c>
      <c r="CE648">
        <v>576</v>
      </c>
      <c r="CF648">
        <v>96</v>
      </c>
      <c r="CG648">
        <v>0</v>
      </c>
      <c r="CH648">
        <v>0</v>
      </c>
      <c r="CI648">
        <v>0</v>
      </c>
      <c r="CJ648">
        <v>0</v>
      </c>
      <c r="CK648">
        <v>0</v>
      </c>
      <c r="CL648">
        <v>0</v>
      </c>
      <c r="CM648">
        <v>0</v>
      </c>
    </row>
    <row r="649" spans="82:91" x14ac:dyDescent="0.25">
      <c r="CD649">
        <v>3360</v>
      </c>
      <c r="CE649">
        <v>576</v>
      </c>
      <c r="CF649">
        <v>96</v>
      </c>
      <c r="CG649">
        <v>0</v>
      </c>
      <c r="CH649">
        <v>0</v>
      </c>
      <c r="CI649">
        <v>0</v>
      </c>
      <c r="CJ649">
        <v>0</v>
      </c>
      <c r="CK649">
        <v>0</v>
      </c>
      <c r="CL649">
        <v>0</v>
      </c>
      <c r="CM649">
        <v>0</v>
      </c>
    </row>
    <row r="650" spans="82:91" x14ac:dyDescent="0.25">
      <c r="CD650">
        <v>3360</v>
      </c>
      <c r="CE650">
        <v>576</v>
      </c>
      <c r="CF650">
        <v>96</v>
      </c>
      <c r="CG650">
        <v>0</v>
      </c>
      <c r="CH650">
        <v>0</v>
      </c>
      <c r="CI650">
        <v>0</v>
      </c>
      <c r="CJ650">
        <v>0</v>
      </c>
      <c r="CK650">
        <v>0</v>
      </c>
      <c r="CL650">
        <v>0</v>
      </c>
      <c r="CM650">
        <v>0</v>
      </c>
    </row>
    <row r="651" spans="82:91" x14ac:dyDescent="0.25">
      <c r="CD651">
        <v>3360</v>
      </c>
      <c r="CE651">
        <v>576</v>
      </c>
      <c r="CF651">
        <v>96</v>
      </c>
      <c r="CG651">
        <v>0</v>
      </c>
      <c r="CH651">
        <v>0</v>
      </c>
      <c r="CI651">
        <v>0</v>
      </c>
      <c r="CJ651">
        <v>0</v>
      </c>
      <c r="CK651">
        <v>0</v>
      </c>
      <c r="CL651">
        <v>0</v>
      </c>
      <c r="CM651">
        <v>0</v>
      </c>
    </row>
    <row r="652" spans="82:91" x14ac:dyDescent="0.25">
      <c r="CD652">
        <v>3360</v>
      </c>
      <c r="CE652">
        <v>576</v>
      </c>
      <c r="CF652">
        <v>96</v>
      </c>
      <c r="CG652">
        <v>0</v>
      </c>
      <c r="CH652">
        <v>0</v>
      </c>
      <c r="CI652">
        <v>0</v>
      </c>
      <c r="CJ652">
        <v>0</v>
      </c>
      <c r="CK652">
        <v>0</v>
      </c>
      <c r="CL652">
        <v>0</v>
      </c>
      <c r="CM652">
        <v>0</v>
      </c>
    </row>
    <row r="653" spans="82:91" x14ac:dyDescent="0.25">
      <c r="CD653">
        <v>3360</v>
      </c>
      <c r="CE653">
        <v>576</v>
      </c>
      <c r="CF653">
        <v>96</v>
      </c>
      <c r="CG653">
        <v>0</v>
      </c>
      <c r="CH653">
        <v>0</v>
      </c>
      <c r="CI653">
        <v>0</v>
      </c>
      <c r="CJ653">
        <v>0</v>
      </c>
      <c r="CK653">
        <v>0</v>
      </c>
      <c r="CL653">
        <v>0</v>
      </c>
      <c r="CM653">
        <v>0</v>
      </c>
    </row>
    <row r="654" spans="82:91" x14ac:dyDescent="0.25">
      <c r="CD654">
        <v>3360</v>
      </c>
      <c r="CE654">
        <v>576</v>
      </c>
      <c r="CF654">
        <v>96</v>
      </c>
      <c r="CG654">
        <v>0</v>
      </c>
      <c r="CH654">
        <v>0</v>
      </c>
      <c r="CI654">
        <v>0</v>
      </c>
      <c r="CJ654">
        <v>0</v>
      </c>
      <c r="CK654">
        <v>0</v>
      </c>
      <c r="CL654">
        <v>0</v>
      </c>
      <c r="CM654">
        <v>0</v>
      </c>
    </row>
    <row r="655" spans="82:91" x14ac:dyDescent="0.25">
      <c r="CD655">
        <v>3360</v>
      </c>
      <c r="CE655">
        <v>576</v>
      </c>
      <c r="CF655">
        <v>96</v>
      </c>
      <c r="CG655">
        <v>0</v>
      </c>
      <c r="CH655">
        <v>0</v>
      </c>
      <c r="CI655">
        <v>0</v>
      </c>
      <c r="CJ655">
        <v>0</v>
      </c>
      <c r="CK655">
        <v>0</v>
      </c>
      <c r="CL655">
        <v>0</v>
      </c>
      <c r="CM655">
        <v>0</v>
      </c>
    </row>
    <row r="656" spans="82:91" x14ac:dyDescent="0.25">
      <c r="CD656">
        <v>3360</v>
      </c>
      <c r="CE656">
        <v>576</v>
      </c>
      <c r="CF656">
        <v>96</v>
      </c>
      <c r="CG656">
        <v>0</v>
      </c>
      <c r="CH656">
        <v>0</v>
      </c>
      <c r="CI656">
        <v>0</v>
      </c>
      <c r="CJ656">
        <v>0</v>
      </c>
      <c r="CK656">
        <v>0</v>
      </c>
      <c r="CL656">
        <v>0</v>
      </c>
      <c r="CM656">
        <v>0</v>
      </c>
    </row>
    <row r="657" spans="82:91" x14ac:dyDescent="0.25">
      <c r="CD657">
        <v>3360</v>
      </c>
      <c r="CE657">
        <v>576</v>
      </c>
      <c r="CF657">
        <v>96</v>
      </c>
      <c r="CG657">
        <v>0</v>
      </c>
      <c r="CH657">
        <v>0</v>
      </c>
      <c r="CI657">
        <v>0</v>
      </c>
      <c r="CJ657">
        <v>0</v>
      </c>
      <c r="CK657">
        <v>0</v>
      </c>
      <c r="CL657">
        <v>0</v>
      </c>
      <c r="CM657">
        <v>0</v>
      </c>
    </row>
    <row r="658" spans="82:91" x14ac:dyDescent="0.25">
      <c r="CD658">
        <v>3360</v>
      </c>
      <c r="CE658">
        <v>576</v>
      </c>
      <c r="CF658">
        <v>96</v>
      </c>
      <c r="CG658">
        <v>0</v>
      </c>
      <c r="CH658">
        <v>0</v>
      </c>
      <c r="CI658">
        <v>0</v>
      </c>
      <c r="CJ658">
        <v>0</v>
      </c>
      <c r="CK658">
        <v>0</v>
      </c>
      <c r="CL658">
        <v>0</v>
      </c>
      <c r="CM658">
        <v>0</v>
      </c>
    </row>
    <row r="659" spans="82:91" x14ac:dyDescent="0.25">
      <c r="CD659">
        <v>3360</v>
      </c>
      <c r="CE659">
        <v>576</v>
      </c>
      <c r="CF659">
        <v>96</v>
      </c>
      <c r="CG659">
        <v>0</v>
      </c>
      <c r="CH659">
        <v>0</v>
      </c>
      <c r="CI659">
        <v>0</v>
      </c>
      <c r="CJ659">
        <v>0</v>
      </c>
      <c r="CK659">
        <v>0</v>
      </c>
      <c r="CL659">
        <v>0</v>
      </c>
      <c r="CM659">
        <v>0</v>
      </c>
    </row>
    <row r="660" spans="82:91" x14ac:dyDescent="0.25">
      <c r="CD660">
        <v>3360</v>
      </c>
      <c r="CE660">
        <v>576</v>
      </c>
      <c r="CF660">
        <v>96</v>
      </c>
      <c r="CG660">
        <v>0</v>
      </c>
      <c r="CH660">
        <v>0</v>
      </c>
      <c r="CI660">
        <v>0</v>
      </c>
      <c r="CJ660">
        <v>0</v>
      </c>
      <c r="CK660">
        <v>0</v>
      </c>
      <c r="CL660">
        <v>0</v>
      </c>
      <c r="CM660">
        <v>0</v>
      </c>
    </row>
    <row r="661" spans="82:91" x14ac:dyDescent="0.25">
      <c r="CD661">
        <v>3360</v>
      </c>
      <c r="CE661">
        <v>576</v>
      </c>
      <c r="CF661">
        <v>96</v>
      </c>
      <c r="CG661">
        <v>0</v>
      </c>
      <c r="CH661">
        <v>0</v>
      </c>
      <c r="CI661">
        <v>0</v>
      </c>
      <c r="CJ661">
        <v>0</v>
      </c>
      <c r="CK661">
        <v>0</v>
      </c>
      <c r="CL661">
        <v>0</v>
      </c>
      <c r="CM661">
        <v>0</v>
      </c>
    </row>
    <row r="662" spans="82:91" x14ac:dyDescent="0.25">
      <c r="CD662">
        <v>3360</v>
      </c>
      <c r="CE662">
        <v>576</v>
      </c>
      <c r="CF662">
        <v>96</v>
      </c>
      <c r="CG662">
        <v>0</v>
      </c>
      <c r="CH662">
        <v>0</v>
      </c>
      <c r="CI662">
        <v>0</v>
      </c>
      <c r="CJ662">
        <v>0</v>
      </c>
      <c r="CK662">
        <v>0</v>
      </c>
      <c r="CL662">
        <v>0</v>
      </c>
      <c r="CM662">
        <v>0</v>
      </c>
    </row>
    <row r="663" spans="82:91" x14ac:dyDescent="0.25">
      <c r="CD663">
        <v>3360</v>
      </c>
      <c r="CE663">
        <v>576</v>
      </c>
      <c r="CF663">
        <v>96</v>
      </c>
      <c r="CG663">
        <v>0</v>
      </c>
      <c r="CH663">
        <v>0</v>
      </c>
      <c r="CI663">
        <v>0</v>
      </c>
      <c r="CJ663">
        <v>0</v>
      </c>
      <c r="CK663">
        <v>0</v>
      </c>
      <c r="CL663">
        <v>0</v>
      </c>
      <c r="CM663">
        <v>0</v>
      </c>
    </row>
    <row r="664" spans="82:91" x14ac:dyDescent="0.25">
      <c r="CD664">
        <v>3360</v>
      </c>
      <c r="CE664">
        <v>576</v>
      </c>
      <c r="CF664">
        <v>96</v>
      </c>
      <c r="CG664">
        <v>0</v>
      </c>
      <c r="CH664">
        <v>0</v>
      </c>
      <c r="CI664">
        <v>0</v>
      </c>
      <c r="CJ664">
        <v>0</v>
      </c>
      <c r="CK664">
        <v>0</v>
      </c>
      <c r="CL664">
        <v>0</v>
      </c>
      <c r="CM664">
        <v>0</v>
      </c>
    </row>
    <row r="665" spans="82:91" x14ac:dyDescent="0.25">
      <c r="CD665">
        <v>3360</v>
      </c>
      <c r="CE665">
        <v>576</v>
      </c>
      <c r="CF665">
        <v>96</v>
      </c>
      <c r="CG665">
        <v>0</v>
      </c>
      <c r="CH665">
        <v>0</v>
      </c>
      <c r="CI665">
        <v>0</v>
      </c>
      <c r="CJ665">
        <v>0</v>
      </c>
      <c r="CK665">
        <v>0</v>
      </c>
      <c r="CL665">
        <v>0</v>
      </c>
      <c r="CM665">
        <v>0</v>
      </c>
    </row>
    <row r="666" spans="82:91" x14ac:dyDescent="0.25">
      <c r="CD666">
        <v>3360</v>
      </c>
      <c r="CE666">
        <v>576</v>
      </c>
      <c r="CF666">
        <v>96</v>
      </c>
      <c r="CG666">
        <v>0</v>
      </c>
      <c r="CH666">
        <v>0</v>
      </c>
      <c r="CI666">
        <v>0</v>
      </c>
      <c r="CJ666">
        <v>0</v>
      </c>
      <c r="CK666">
        <v>0</v>
      </c>
      <c r="CL666">
        <v>0</v>
      </c>
      <c r="CM666">
        <v>0</v>
      </c>
    </row>
    <row r="667" spans="82:91" x14ac:dyDescent="0.25">
      <c r="CD667">
        <v>3360</v>
      </c>
      <c r="CE667">
        <v>576</v>
      </c>
      <c r="CF667">
        <v>96</v>
      </c>
      <c r="CG667">
        <v>0</v>
      </c>
      <c r="CH667">
        <v>0</v>
      </c>
      <c r="CI667">
        <v>0</v>
      </c>
      <c r="CJ667">
        <v>0</v>
      </c>
      <c r="CK667">
        <v>0</v>
      </c>
      <c r="CL667">
        <v>0</v>
      </c>
      <c r="CM667">
        <v>0</v>
      </c>
    </row>
    <row r="668" spans="82:91" x14ac:dyDescent="0.25">
      <c r="CD668">
        <v>3360</v>
      </c>
      <c r="CE668">
        <v>576</v>
      </c>
      <c r="CF668">
        <v>96</v>
      </c>
      <c r="CG668">
        <v>0</v>
      </c>
      <c r="CH668">
        <v>0</v>
      </c>
      <c r="CI668">
        <v>0</v>
      </c>
      <c r="CJ668">
        <v>0</v>
      </c>
      <c r="CK668">
        <v>0</v>
      </c>
      <c r="CL668">
        <v>0</v>
      </c>
      <c r="CM668">
        <v>0</v>
      </c>
    </row>
    <row r="669" spans="82:91" x14ac:dyDescent="0.25">
      <c r="CD669">
        <v>3360</v>
      </c>
      <c r="CE669">
        <v>576</v>
      </c>
      <c r="CF669">
        <v>96</v>
      </c>
      <c r="CG669">
        <v>0</v>
      </c>
      <c r="CH669">
        <v>0</v>
      </c>
      <c r="CI669">
        <v>0</v>
      </c>
      <c r="CJ669">
        <v>0</v>
      </c>
      <c r="CK669">
        <v>0</v>
      </c>
      <c r="CL669">
        <v>0</v>
      </c>
      <c r="CM669">
        <v>0</v>
      </c>
    </row>
    <row r="670" spans="82:91" x14ac:dyDescent="0.25">
      <c r="CD670">
        <v>3360</v>
      </c>
      <c r="CE670">
        <v>576</v>
      </c>
      <c r="CF670">
        <v>96</v>
      </c>
      <c r="CG670">
        <v>0</v>
      </c>
      <c r="CH670">
        <v>0</v>
      </c>
      <c r="CI670">
        <v>0</v>
      </c>
      <c r="CJ670">
        <v>0</v>
      </c>
      <c r="CK670">
        <v>0</v>
      </c>
      <c r="CL670">
        <v>0</v>
      </c>
      <c r="CM670">
        <v>0</v>
      </c>
    </row>
    <row r="671" spans="82:91" x14ac:dyDescent="0.25">
      <c r="CD671">
        <v>3360</v>
      </c>
      <c r="CE671">
        <v>576</v>
      </c>
      <c r="CF671">
        <v>96</v>
      </c>
      <c r="CG671">
        <v>0</v>
      </c>
      <c r="CH671">
        <v>0</v>
      </c>
      <c r="CI671">
        <v>0</v>
      </c>
      <c r="CJ671">
        <v>0</v>
      </c>
      <c r="CK671">
        <v>0</v>
      </c>
      <c r="CL671">
        <v>0</v>
      </c>
      <c r="CM671">
        <v>0</v>
      </c>
    </row>
    <row r="672" spans="82:91" x14ac:dyDescent="0.25">
      <c r="CD672">
        <v>3360</v>
      </c>
      <c r="CE672">
        <v>576</v>
      </c>
      <c r="CF672">
        <v>96</v>
      </c>
      <c r="CG672">
        <v>0</v>
      </c>
      <c r="CH672">
        <v>0</v>
      </c>
      <c r="CI672">
        <v>0</v>
      </c>
      <c r="CJ672">
        <v>0</v>
      </c>
      <c r="CK672">
        <v>0</v>
      </c>
      <c r="CL672">
        <v>0</v>
      </c>
      <c r="CM672">
        <v>0</v>
      </c>
    </row>
    <row r="673" spans="82:91" x14ac:dyDescent="0.25">
      <c r="CD673">
        <v>3360</v>
      </c>
      <c r="CE673">
        <v>576</v>
      </c>
      <c r="CF673">
        <v>96</v>
      </c>
      <c r="CG673">
        <v>0</v>
      </c>
      <c r="CH673">
        <v>0</v>
      </c>
      <c r="CI673">
        <v>0</v>
      </c>
      <c r="CJ673">
        <v>0</v>
      </c>
      <c r="CK673">
        <v>0</v>
      </c>
      <c r="CL673">
        <v>0</v>
      </c>
      <c r="CM673">
        <v>0</v>
      </c>
    </row>
    <row r="674" spans="82:91" x14ac:dyDescent="0.25">
      <c r="CD674">
        <v>3360</v>
      </c>
      <c r="CE674">
        <v>576</v>
      </c>
      <c r="CF674">
        <v>96</v>
      </c>
      <c r="CG674">
        <v>0</v>
      </c>
      <c r="CH674">
        <v>0</v>
      </c>
      <c r="CI674">
        <v>0</v>
      </c>
      <c r="CJ674">
        <v>0</v>
      </c>
      <c r="CK674">
        <v>0</v>
      </c>
      <c r="CL674">
        <v>0</v>
      </c>
      <c r="CM674">
        <v>0</v>
      </c>
    </row>
    <row r="675" spans="82:91" x14ac:dyDescent="0.25">
      <c r="CD675">
        <v>3360</v>
      </c>
      <c r="CE675">
        <v>576</v>
      </c>
      <c r="CF675">
        <v>96</v>
      </c>
      <c r="CG675">
        <v>0</v>
      </c>
      <c r="CH675">
        <v>0</v>
      </c>
      <c r="CI675">
        <v>0</v>
      </c>
      <c r="CJ675">
        <v>0</v>
      </c>
      <c r="CK675">
        <v>0</v>
      </c>
      <c r="CL675">
        <v>0</v>
      </c>
      <c r="CM675">
        <v>0</v>
      </c>
    </row>
    <row r="676" spans="82:91" x14ac:dyDescent="0.25">
      <c r="CD676">
        <v>3360</v>
      </c>
      <c r="CE676">
        <v>576</v>
      </c>
      <c r="CF676">
        <v>96</v>
      </c>
      <c r="CG676">
        <v>0</v>
      </c>
      <c r="CH676">
        <v>0</v>
      </c>
      <c r="CI676">
        <v>0</v>
      </c>
      <c r="CJ676">
        <v>0</v>
      </c>
      <c r="CK676">
        <v>0</v>
      </c>
      <c r="CL676">
        <v>0</v>
      </c>
      <c r="CM676">
        <v>0</v>
      </c>
    </row>
    <row r="677" spans="82:91" x14ac:dyDescent="0.25">
      <c r="CD677">
        <v>3360</v>
      </c>
      <c r="CE677">
        <v>576</v>
      </c>
      <c r="CF677">
        <v>96</v>
      </c>
      <c r="CG677">
        <v>0</v>
      </c>
      <c r="CH677">
        <v>0</v>
      </c>
      <c r="CI677">
        <v>0</v>
      </c>
      <c r="CJ677">
        <v>0</v>
      </c>
      <c r="CK677">
        <v>0</v>
      </c>
      <c r="CL677">
        <v>0</v>
      </c>
      <c r="CM677">
        <v>0</v>
      </c>
    </row>
    <row r="678" spans="82:91" x14ac:dyDescent="0.25">
      <c r="CD678">
        <v>3360</v>
      </c>
      <c r="CE678">
        <v>576</v>
      </c>
      <c r="CF678">
        <v>96</v>
      </c>
      <c r="CG678">
        <v>0</v>
      </c>
      <c r="CH678">
        <v>0</v>
      </c>
      <c r="CI678">
        <v>0</v>
      </c>
      <c r="CJ678">
        <v>0</v>
      </c>
      <c r="CK678">
        <v>0</v>
      </c>
      <c r="CL678">
        <v>0</v>
      </c>
      <c r="CM678">
        <v>0</v>
      </c>
    </row>
    <row r="679" spans="82:91" x14ac:dyDescent="0.25">
      <c r="CD679">
        <v>3360</v>
      </c>
      <c r="CE679">
        <v>576</v>
      </c>
      <c r="CF679">
        <v>96</v>
      </c>
      <c r="CG679">
        <v>0</v>
      </c>
      <c r="CH679">
        <v>0</v>
      </c>
      <c r="CI679">
        <v>0</v>
      </c>
      <c r="CJ679">
        <v>0</v>
      </c>
      <c r="CK679">
        <v>0</v>
      </c>
      <c r="CL679">
        <v>0</v>
      </c>
      <c r="CM679">
        <v>0</v>
      </c>
    </row>
    <row r="680" spans="82:91" x14ac:dyDescent="0.25">
      <c r="CD680">
        <v>3360</v>
      </c>
      <c r="CE680">
        <v>576</v>
      </c>
      <c r="CF680">
        <v>96</v>
      </c>
      <c r="CG680">
        <v>0</v>
      </c>
      <c r="CH680">
        <v>0</v>
      </c>
      <c r="CI680">
        <v>0</v>
      </c>
      <c r="CJ680">
        <v>0</v>
      </c>
      <c r="CK680">
        <v>0</v>
      </c>
      <c r="CL680">
        <v>0</v>
      </c>
      <c r="CM680">
        <v>0</v>
      </c>
    </row>
    <row r="681" spans="82:91" x14ac:dyDescent="0.25">
      <c r="CD681">
        <v>3360</v>
      </c>
      <c r="CE681">
        <v>576</v>
      </c>
      <c r="CF681">
        <v>96</v>
      </c>
      <c r="CG681">
        <v>0</v>
      </c>
      <c r="CH681">
        <v>0</v>
      </c>
      <c r="CI681">
        <v>0</v>
      </c>
      <c r="CJ681">
        <v>0</v>
      </c>
      <c r="CK681">
        <v>0</v>
      </c>
      <c r="CL681">
        <v>0</v>
      </c>
      <c r="CM681">
        <v>0</v>
      </c>
    </row>
    <row r="682" spans="82:91" x14ac:dyDescent="0.25">
      <c r="CD682">
        <v>3360</v>
      </c>
      <c r="CE682">
        <v>576</v>
      </c>
      <c r="CF682">
        <v>96</v>
      </c>
      <c r="CG682">
        <v>0</v>
      </c>
      <c r="CH682">
        <v>0</v>
      </c>
      <c r="CI682">
        <v>0</v>
      </c>
      <c r="CJ682">
        <v>0</v>
      </c>
      <c r="CK682">
        <v>0</v>
      </c>
      <c r="CL682">
        <v>0</v>
      </c>
      <c r="CM682">
        <v>0</v>
      </c>
    </row>
    <row r="683" spans="82:91" x14ac:dyDescent="0.25">
      <c r="CD683">
        <v>3360</v>
      </c>
      <c r="CE683">
        <v>576</v>
      </c>
      <c r="CF683">
        <v>96</v>
      </c>
      <c r="CG683">
        <v>0</v>
      </c>
      <c r="CH683">
        <v>0</v>
      </c>
      <c r="CI683">
        <v>0</v>
      </c>
      <c r="CJ683">
        <v>0</v>
      </c>
      <c r="CK683">
        <v>0</v>
      </c>
      <c r="CL683">
        <v>0</v>
      </c>
      <c r="CM683">
        <v>0</v>
      </c>
    </row>
    <row r="684" spans="82:91" x14ac:dyDescent="0.25">
      <c r="CD684">
        <v>3360</v>
      </c>
      <c r="CE684">
        <v>576</v>
      </c>
      <c r="CF684">
        <v>96</v>
      </c>
      <c r="CG684">
        <v>0</v>
      </c>
      <c r="CH684">
        <v>0</v>
      </c>
      <c r="CI684">
        <v>0</v>
      </c>
      <c r="CJ684">
        <v>0</v>
      </c>
      <c r="CK684">
        <v>0</v>
      </c>
      <c r="CL684">
        <v>0</v>
      </c>
      <c r="CM684">
        <v>0</v>
      </c>
    </row>
    <row r="685" spans="82:91" x14ac:dyDescent="0.25">
      <c r="CD685">
        <v>3360</v>
      </c>
      <c r="CE685">
        <v>576</v>
      </c>
      <c r="CF685">
        <v>96</v>
      </c>
      <c r="CG685">
        <v>0</v>
      </c>
      <c r="CH685">
        <v>0</v>
      </c>
      <c r="CI685">
        <v>0</v>
      </c>
      <c r="CJ685">
        <v>0</v>
      </c>
      <c r="CK685">
        <v>0</v>
      </c>
      <c r="CL685">
        <v>0</v>
      </c>
      <c r="CM685">
        <v>0</v>
      </c>
    </row>
    <row r="686" spans="82:91" x14ac:dyDescent="0.25">
      <c r="CD686">
        <v>3360</v>
      </c>
      <c r="CE686">
        <v>576</v>
      </c>
      <c r="CF686">
        <v>96</v>
      </c>
      <c r="CG686">
        <v>0</v>
      </c>
      <c r="CH686">
        <v>0</v>
      </c>
      <c r="CI686">
        <v>0</v>
      </c>
      <c r="CJ686">
        <v>0</v>
      </c>
      <c r="CK686">
        <v>0</v>
      </c>
      <c r="CL686">
        <v>0</v>
      </c>
      <c r="CM686">
        <v>0</v>
      </c>
    </row>
    <row r="687" spans="82:91" x14ac:dyDescent="0.25">
      <c r="CD687">
        <v>3360</v>
      </c>
      <c r="CE687">
        <v>576</v>
      </c>
      <c r="CF687">
        <v>96</v>
      </c>
      <c r="CG687">
        <v>0</v>
      </c>
      <c r="CH687">
        <v>0</v>
      </c>
      <c r="CI687">
        <v>0</v>
      </c>
      <c r="CJ687">
        <v>0</v>
      </c>
      <c r="CK687">
        <v>0</v>
      </c>
      <c r="CL687">
        <v>0</v>
      </c>
      <c r="CM687">
        <v>0</v>
      </c>
    </row>
    <row r="688" spans="82:91" x14ac:dyDescent="0.25">
      <c r="CD688">
        <v>3360</v>
      </c>
      <c r="CE688">
        <v>576</v>
      </c>
      <c r="CF688">
        <v>96</v>
      </c>
      <c r="CG688">
        <v>0</v>
      </c>
      <c r="CH688">
        <v>0</v>
      </c>
      <c r="CI688">
        <v>0</v>
      </c>
      <c r="CJ688">
        <v>0</v>
      </c>
      <c r="CK688">
        <v>0</v>
      </c>
      <c r="CL688">
        <v>0</v>
      </c>
      <c r="CM688">
        <v>0</v>
      </c>
    </row>
    <row r="689" spans="82:91" x14ac:dyDescent="0.25">
      <c r="CD689">
        <v>3360</v>
      </c>
      <c r="CE689">
        <v>576</v>
      </c>
      <c r="CF689">
        <v>96</v>
      </c>
      <c r="CG689">
        <v>0</v>
      </c>
      <c r="CH689">
        <v>0</v>
      </c>
      <c r="CI689">
        <v>0</v>
      </c>
      <c r="CJ689">
        <v>0</v>
      </c>
      <c r="CK689">
        <v>0</v>
      </c>
      <c r="CL689">
        <v>0</v>
      </c>
      <c r="CM689">
        <v>0</v>
      </c>
    </row>
    <row r="690" spans="82:91" x14ac:dyDescent="0.25">
      <c r="CD690">
        <v>3360</v>
      </c>
      <c r="CE690">
        <v>576</v>
      </c>
      <c r="CF690">
        <v>96</v>
      </c>
      <c r="CG690">
        <v>0</v>
      </c>
      <c r="CH690">
        <v>0</v>
      </c>
      <c r="CI690">
        <v>0</v>
      </c>
      <c r="CJ690">
        <v>0</v>
      </c>
      <c r="CK690">
        <v>0</v>
      </c>
      <c r="CL690">
        <v>0</v>
      </c>
      <c r="CM690">
        <v>0</v>
      </c>
    </row>
    <row r="691" spans="82:91" x14ac:dyDescent="0.25">
      <c r="CD691">
        <v>3360</v>
      </c>
      <c r="CE691">
        <v>576</v>
      </c>
      <c r="CF691">
        <v>96</v>
      </c>
      <c r="CG691">
        <v>0</v>
      </c>
      <c r="CH691">
        <v>0</v>
      </c>
      <c r="CI691">
        <v>0</v>
      </c>
      <c r="CJ691">
        <v>0</v>
      </c>
      <c r="CK691">
        <v>0</v>
      </c>
      <c r="CL691">
        <v>0</v>
      </c>
      <c r="CM691">
        <v>0</v>
      </c>
    </row>
    <row r="692" spans="82:91" x14ac:dyDescent="0.25">
      <c r="CD692">
        <v>3360</v>
      </c>
      <c r="CE692">
        <v>576</v>
      </c>
      <c r="CF692">
        <v>96</v>
      </c>
      <c r="CG692">
        <v>0</v>
      </c>
      <c r="CH692">
        <v>0</v>
      </c>
      <c r="CI692">
        <v>0</v>
      </c>
      <c r="CJ692">
        <v>0</v>
      </c>
      <c r="CK692">
        <v>0</v>
      </c>
      <c r="CL692">
        <v>0</v>
      </c>
      <c r="CM692">
        <v>0</v>
      </c>
    </row>
    <row r="693" spans="82:91" x14ac:dyDescent="0.25">
      <c r="CD693">
        <v>3360</v>
      </c>
      <c r="CE693">
        <v>576</v>
      </c>
      <c r="CF693">
        <v>96</v>
      </c>
      <c r="CG693">
        <v>0</v>
      </c>
      <c r="CH693">
        <v>0</v>
      </c>
      <c r="CI693">
        <v>0</v>
      </c>
      <c r="CJ693">
        <v>0</v>
      </c>
      <c r="CK693">
        <v>0</v>
      </c>
      <c r="CL693">
        <v>0</v>
      </c>
      <c r="CM693">
        <v>0</v>
      </c>
    </row>
    <row r="694" spans="82:91" x14ac:dyDescent="0.25">
      <c r="CD694">
        <v>3360</v>
      </c>
      <c r="CE694">
        <v>576</v>
      </c>
      <c r="CF694">
        <v>96</v>
      </c>
      <c r="CG694">
        <v>0</v>
      </c>
      <c r="CH694">
        <v>0</v>
      </c>
      <c r="CI694">
        <v>0</v>
      </c>
      <c r="CJ694">
        <v>0</v>
      </c>
      <c r="CK694">
        <v>0</v>
      </c>
      <c r="CL694">
        <v>0</v>
      </c>
      <c r="CM694">
        <v>0</v>
      </c>
    </row>
    <row r="695" spans="82:91" x14ac:dyDescent="0.25">
      <c r="CD695">
        <v>3360</v>
      </c>
      <c r="CE695">
        <v>576</v>
      </c>
      <c r="CF695">
        <v>96</v>
      </c>
      <c r="CG695">
        <v>0</v>
      </c>
      <c r="CH695">
        <v>0</v>
      </c>
      <c r="CI695">
        <v>0</v>
      </c>
      <c r="CJ695">
        <v>0</v>
      </c>
      <c r="CK695">
        <v>0</v>
      </c>
      <c r="CL695">
        <v>0</v>
      </c>
      <c r="CM695">
        <v>0</v>
      </c>
    </row>
    <row r="696" spans="82:91" x14ac:dyDescent="0.25">
      <c r="CD696">
        <v>3360</v>
      </c>
      <c r="CE696">
        <v>576</v>
      </c>
      <c r="CF696">
        <v>96</v>
      </c>
      <c r="CG696">
        <v>0</v>
      </c>
      <c r="CH696">
        <v>0</v>
      </c>
      <c r="CI696">
        <v>0</v>
      </c>
      <c r="CJ696">
        <v>0</v>
      </c>
      <c r="CK696">
        <v>0</v>
      </c>
      <c r="CL696">
        <v>0</v>
      </c>
      <c r="CM696">
        <v>0</v>
      </c>
    </row>
    <row r="697" spans="82:91" x14ac:dyDescent="0.25">
      <c r="CD697">
        <v>3360</v>
      </c>
      <c r="CE697">
        <v>576</v>
      </c>
      <c r="CF697">
        <v>96</v>
      </c>
      <c r="CG697">
        <v>0</v>
      </c>
      <c r="CH697">
        <v>0</v>
      </c>
      <c r="CI697">
        <v>0</v>
      </c>
      <c r="CJ697">
        <v>0</v>
      </c>
      <c r="CK697">
        <v>0</v>
      </c>
      <c r="CL697">
        <v>0</v>
      </c>
      <c r="CM697">
        <v>0</v>
      </c>
    </row>
    <row r="698" spans="82:91" x14ac:dyDescent="0.25">
      <c r="CD698">
        <v>3360</v>
      </c>
      <c r="CE698">
        <v>576</v>
      </c>
      <c r="CF698">
        <v>96</v>
      </c>
      <c r="CG698">
        <v>0</v>
      </c>
      <c r="CH698">
        <v>0</v>
      </c>
      <c r="CI698">
        <v>0</v>
      </c>
      <c r="CJ698">
        <v>0</v>
      </c>
      <c r="CK698">
        <v>0</v>
      </c>
      <c r="CL698">
        <v>0</v>
      </c>
      <c r="CM698">
        <v>0</v>
      </c>
    </row>
    <row r="699" spans="82:91" x14ac:dyDescent="0.25">
      <c r="CD699">
        <v>3360</v>
      </c>
      <c r="CE699">
        <v>576</v>
      </c>
      <c r="CF699">
        <v>96</v>
      </c>
      <c r="CG699">
        <v>0</v>
      </c>
      <c r="CH699">
        <v>0</v>
      </c>
      <c r="CI699">
        <v>0</v>
      </c>
      <c r="CJ699">
        <v>0</v>
      </c>
      <c r="CK699">
        <v>0</v>
      </c>
      <c r="CL699">
        <v>0</v>
      </c>
      <c r="CM699">
        <v>0</v>
      </c>
    </row>
    <row r="700" spans="82:91" x14ac:dyDescent="0.25">
      <c r="CD700">
        <v>3360</v>
      </c>
      <c r="CE700">
        <v>576</v>
      </c>
      <c r="CF700">
        <v>96</v>
      </c>
      <c r="CG700">
        <v>0</v>
      </c>
      <c r="CH700">
        <v>0</v>
      </c>
      <c r="CI700">
        <v>0</v>
      </c>
      <c r="CJ700">
        <v>0</v>
      </c>
      <c r="CK700">
        <v>0</v>
      </c>
      <c r="CL700">
        <v>0</v>
      </c>
      <c r="CM700">
        <v>0</v>
      </c>
    </row>
    <row r="701" spans="82:91" x14ac:dyDescent="0.25">
      <c r="CD701">
        <v>3360</v>
      </c>
      <c r="CE701">
        <v>576</v>
      </c>
      <c r="CF701">
        <v>96</v>
      </c>
      <c r="CG701">
        <v>0</v>
      </c>
      <c r="CH701">
        <v>0</v>
      </c>
      <c r="CI701">
        <v>0</v>
      </c>
      <c r="CJ701">
        <v>0</v>
      </c>
      <c r="CK701">
        <v>0</v>
      </c>
      <c r="CL701">
        <v>0</v>
      </c>
      <c r="CM701">
        <v>0</v>
      </c>
    </row>
    <row r="702" spans="82:91" x14ac:dyDescent="0.25">
      <c r="CD702">
        <v>3360</v>
      </c>
      <c r="CE702">
        <v>576</v>
      </c>
      <c r="CF702">
        <v>96</v>
      </c>
      <c r="CG702">
        <v>0</v>
      </c>
      <c r="CH702">
        <v>0</v>
      </c>
      <c r="CI702">
        <v>0</v>
      </c>
      <c r="CJ702">
        <v>0</v>
      </c>
      <c r="CK702">
        <v>0</v>
      </c>
      <c r="CL702">
        <v>0</v>
      </c>
      <c r="CM702">
        <v>0</v>
      </c>
    </row>
    <row r="703" spans="82:91" x14ac:dyDescent="0.25">
      <c r="CD703">
        <v>3360</v>
      </c>
      <c r="CE703">
        <v>576</v>
      </c>
      <c r="CF703">
        <v>96</v>
      </c>
      <c r="CG703">
        <v>0</v>
      </c>
      <c r="CH703">
        <v>0</v>
      </c>
      <c r="CI703">
        <v>0</v>
      </c>
      <c r="CJ703">
        <v>0</v>
      </c>
      <c r="CK703">
        <v>0</v>
      </c>
      <c r="CL703">
        <v>0</v>
      </c>
      <c r="CM703">
        <v>0</v>
      </c>
    </row>
    <row r="704" spans="82:91" x14ac:dyDescent="0.25">
      <c r="CD704">
        <v>3360</v>
      </c>
      <c r="CE704">
        <v>576</v>
      </c>
      <c r="CF704">
        <v>96</v>
      </c>
      <c r="CG704">
        <v>0</v>
      </c>
      <c r="CH704">
        <v>0</v>
      </c>
      <c r="CI704">
        <v>0</v>
      </c>
      <c r="CJ704">
        <v>0</v>
      </c>
      <c r="CK704">
        <v>0</v>
      </c>
      <c r="CL704">
        <v>0</v>
      </c>
      <c r="CM704">
        <v>0</v>
      </c>
    </row>
    <row r="705" spans="82:91" x14ac:dyDescent="0.25">
      <c r="CD705">
        <v>3360</v>
      </c>
      <c r="CE705">
        <v>576</v>
      </c>
      <c r="CF705">
        <v>96</v>
      </c>
      <c r="CG705">
        <v>0</v>
      </c>
      <c r="CH705">
        <v>0</v>
      </c>
      <c r="CI705">
        <v>0</v>
      </c>
      <c r="CJ705">
        <v>0</v>
      </c>
      <c r="CK705">
        <v>0</v>
      </c>
      <c r="CL705">
        <v>0</v>
      </c>
      <c r="CM705">
        <v>0</v>
      </c>
    </row>
    <row r="706" spans="82:91" x14ac:dyDescent="0.25">
      <c r="CD706">
        <v>3360</v>
      </c>
      <c r="CE706">
        <v>576</v>
      </c>
      <c r="CF706">
        <v>96</v>
      </c>
      <c r="CG706">
        <v>0</v>
      </c>
      <c r="CH706">
        <v>0</v>
      </c>
      <c r="CI706">
        <v>0</v>
      </c>
      <c r="CJ706">
        <v>0</v>
      </c>
      <c r="CK706">
        <v>0</v>
      </c>
      <c r="CL706">
        <v>0</v>
      </c>
      <c r="CM706">
        <v>0</v>
      </c>
    </row>
    <row r="707" spans="82:91" x14ac:dyDescent="0.25">
      <c r="CD707">
        <v>3360</v>
      </c>
      <c r="CE707">
        <v>576</v>
      </c>
      <c r="CF707">
        <v>96</v>
      </c>
      <c r="CG707">
        <v>0</v>
      </c>
      <c r="CH707">
        <v>0</v>
      </c>
      <c r="CI707">
        <v>0</v>
      </c>
      <c r="CJ707">
        <v>0</v>
      </c>
      <c r="CK707">
        <v>0</v>
      </c>
      <c r="CL707">
        <v>0</v>
      </c>
      <c r="CM707">
        <v>0</v>
      </c>
    </row>
    <row r="708" spans="82:91" x14ac:dyDescent="0.25">
      <c r="CD708">
        <v>3360</v>
      </c>
      <c r="CE708">
        <v>576</v>
      </c>
      <c r="CF708">
        <v>96</v>
      </c>
      <c r="CG708">
        <v>0</v>
      </c>
      <c r="CH708">
        <v>0</v>
      </c>
      <c r="CI708">
        <v>0</v>
      </c>
      <c r="CJ708">
        <v>0</v>
      </c>
      <c r="CK708">
        <v>0</v>
      </c>
      <c r="CL708">
        <v>0</v>
      </c>
      <c r="CM708">
        <v>0</v>
      </c>
    </row>
    <row r="709" spans="82:91" x14ac:dyDescent="0.25">
      <c r="CD709">
        <v>3360</v>
      </c>
      <c r="CE709">
        <v>576</v>
      </c>
      <c r="CF709">
        <v>96</v>
      </c>
      <c r="CG709">
        <v>0</v>
      </c>
      <c r="CH709">
        <v>0</v>
      </c>
      <c r="CI709">
        <v>0</v>
      </c>
      <c r="CJ709">
        <v>0</v>
      </c>
      <c r="CK709">
        <v>0</v>
      </c>
      <c r="CL709">
        <v>0</v>
      </c>
      <c r="CM709">
        <v>0</v>
      </c>
    </row>
    <row r="710" spans="82:91" x14ac:dyDescent="0.25">
      <c r="CD710">
        <v>3360</v>
      </c>
      <c r="CE710">
        <v>576</v>
      </c>
      <c r="CF710">
        <v>96</v>
      </c>
      <c r="CG710">
        <v>0</v>
      </c>
      <c r="CH710">
        <v>0</v>
      </c>
      <c r="CI710">
        <v>0</v>
      </c>
      <c r="CJ710">
        <v>0</v>
      </c>
      <c r="CK710">
        <v>0</v>
      </c>
      <c r="CL710">
        <v>0</v>
      </c>
      <c r="CM710">
        <v>0</v>
      </c>
    </row>
    <row r="711" spans="82:91" x14ac:dyDescent="0.25">
      <c r="CD711">
        <v>3360</v>
      </c>
      <c r="CE711">
        <v>576</v>
      </c>
      <c r="CF711">
        <v>96</v>
      </c>
      <c r="CG711">
        <v>0</v>
      </c>
      <c r="CH711">
        <v>0</v>
      </c>
      <c r="CI711">
        <v>0</v>
      </c>
      <c r="CJ711">
        <v>0</v>
      </c>
      <c r="CK711">
        <v>0</v>
      </c>
      <c r="CL711">
        <v>0</v>
      </c>
      <c r="CM711">
        <v>0</v>
      </c>
    </row>
    <row r="712" spans="82:91" x14ac:dyDescent="0.25">
      <c r="CD712">
        <v>3360</v>
      </c>
      <c r="CE712">
        <v>576</v>
      </c>
      <c r="CF712">
        <v>96</v>
      </c>
      <c r="CG712">
        <v>0</v>
      </c>
      <c r="CH712">
        <v>0</v>
      </c>
      <c r="CI712">
        <v>0</v>
      </c>
      <c r="CJ712">
        <v>0</v>
      </c>
      <c r="CK712">
        <v>0</v>
      </c>
      <c r="CL712">
        <v>0</v>
      </c>
      <c r="CM712">
        <v>0</v>
      </c>
    </row>
    <row r="713" spans="82:91" x14ac:dyDescent="0.25">
      <c r="CD713">
        <v>3360</v>
      </c>
      <c r="CE713">
        <v>576</v>
      </c>
      <c r="CF713">
        <v>96</v>
      </c>
      <c r="CG713">
        <v>0</v>
      </c>
      <c r="CH713">
        <v>0</v>
      </c>
      <c r="CI713">
        <v>0</v>
      </c>
      <c r="CJ713">
        <v>0</v>
      </c>
      <c r="CK713">
        <v>0</v>
      </c>
      <c r="CL713">
        <v>0</v>
      </c>
      <c r="CM713">
        <v>0</v>
      </c>
    </row>
    <row r="714" spans="82:91" x14ac:dyDescent="0.25">
      <c r="CD714">
        <v>3360</v>
      </c>
      <c r="CE714">
        <v>576</v>
      </c>
      <c r="CF714">
        <v>96</v>
      </c>
      <c r="CG714">
        <v>0</v>
      </c>
      <c r="CH714">
        <v>0</v>
      </c>
      <c r="CI714">
        <v>0</v>
      </c>
      <c r="CJ714">
        <v>0</v>
      </c>
      <c r="CK714">
        <v>0</v>
      </c>
      <c r="CL714">
        <v>0</v>
      </c>
      <c r="CM714">
        <v>0</v>
      </c>
    </row>
    <row r="715" spans="82:91" x14ac:dyDescent="0.25">
      <c r="CD715">
        <v>3360</v>
      </c>
      <c r="CE715">
        <v>576</v>
      </c>
      <c r="CF715">
        <v>96</v>
      </c>
      <c r="CG715">
        <v>0</v>
      </c>
      <c r="CH715">
        <v>0</v>
      </c>
      <c r="CI715">
        <v>0</v>
      </c>
      <c r="CJ715">
        <v>0</v>
      </c>
      <c r="CK715">
        <v>0</v>
      </c>
      <c r="CL715">
        <v>0</v>
      </c>
      <c r="CM715">
        <v>0</v>
      </c>
    </row>
    <row r="716" spans="82:91" x14ac:dyDescent="0.25">
      <c r="CD716">
        <v>3360</v>
      </c>
      <c r="CE716">
        <v>576</v>
      </c>
      <c r="CF716">
        <v>96</v>
      </c>
      <c r="CG716">
        <v>0</v>
      </c>
      <c r="CH716">
        <v>0</v>
      </c>
      <c r="CI716">
        <v>0</v>
      </c>
      <c r="CJ716">
        <v>0</v>
      </c>
      <c r="CK716">
        <v>0</v>
      </c>
      <c r="CL716">
        <v>0</v>
      </c>
      <c r="CM716">
        <v>0</v>
      </c>
    </row>
    <row r="717" spans="82:91" x14ac:dyDescent="0.25">
      <c r="CD717">
        <v>3360</v>
      </c>
      <c r="CE717">
        <v>576</v>
      </c>
      <c r="CF717">
        <v>96</v>
      </c>
      <c r="CG717">
        <v>0</v>
      </c>
      <c r="CH717">
        <v>0</v>
      </c>
      <c r="CI717">
        <v>0</v>
      </c>
      <c r="CJ717">
        <v>0</v>
      </c>
      <c r="CK717">
        <v>0</v>
      </c>
      <c r="CL717">
        <v>0</v>
      </c>
      <c r="CM717">
        <v>0</v>
      </c>
    </row>
    <row r="718" spans="82:91" x14ac:dyDescent="0.25">
      <c r="CD718">
        <v>3360</v>
      </c>
      <c r="CE718">
        <v>576</v>
      </c>
      <c r="CF718">
        <v>96</v>
      </c>
      <c r="CG718">
        <v>0</v>
      </c>
      <c r="CH718">
        <v>0</v>
      </c>
      <c r="CI718">
        <v>0</v>
      </c>
      <c r="CJ718">
        <v>0</v>
      </c>
      <c r="CK718">
        <v>0</v>
      </c>
      <c r="CL718">
        <v>0</v>
      </c>
      <c r="CM718">
        <v>0</v>
      </c>
    </row>
    <row r="719" spans="82:91" x14ac:dyDescent="0.25">
      <c r="CD719">
        <v>3360</v>
      </c>
      <c r="CE719">
        <v>576</v>
      </c>
      <c r="CF719">
        <v>96</v>
      </c>
      <c r="CG719">
        <v>0</v>
      </c>
      <c r="CH719">
        <v>0</v>
      </c>
      <c r="CI719">
        <v>0</v>
      </c>
      <c r="CJ719">
        <v>0</v>
      </c>
      <c r="CK719">
        <v>0</v>
      </c>
      <c r="CL719">
        <v>0</v>
      </c>
      <c r="CM719">
        <v>0</v>
      </c>
    </row>
    <row r="720" spans="82:91" x14ac:dyDescent="0.25">
      <c r="CD720">
        <v>3360</v>
      </c>
      <c r="CE720">
        <v>576</v>
      </c>
      <c r="CF720">
        <v>96</v>
      </c>
      <c r="CG720">
        <v>0</v>
      </c>
      <c r="CH720">
        <v>0</v>
      </c>
      <c r="CI720">
        <v>0</v>
      </c>
      <c r="CJ720">
        <v>0</v>
      </c>
      <c r="CK720">
        <v>0</v>
      </c>
      <c r="CL720">
        <v>0</v>
      </c>
      <c r="CM720">
        <v>0</v>
      </c>
    </row>
    <row r="721" spans="82:91" x14ac:dyDescent="0.25">
      <c r="CD721">
        <v>3360</v>
      </c>
      <c r="CE721">
        <v>576</v>
      </c>
      <c r="CF721">
        <v>96</v>
      </c>
      <c r="CG721">
        <v>0</v>
      </c>
      <c r="CH721">
        <v>0</v>
      </c>
      <c r="CI721">
        <v>0</v>
      </c>
      <c r="CJ721">
        <v>0</v>
      </c>
      <c r="CK721">
        <v>0</v>
      </c>
      <c r="CL721">
        <v>0</v>
      </c>
      <c r="CM721">
        <v>0</v>
      </c>
    </row>
    <row r="722" spans="82:91" x14ac:dyDescent="0.25">
      <c r="CD722">
        <v>3360</v>
      </c>
      <c r="CE722">
        <v>576</v>
      </c>
      <c r="CF722">
        <v>96</v>
      </c>
      <c r="CG722">
        <v>0</v>
      </c>
      <c r="CH722">
        <v>0</v>
      </c>
      <c r="CI722">
        <v>0</v>
      </c>
      <c r="CJ722">
        <v>0</v>
      </c>
      <c r="CK722">
        <v>0</v>
      </c>
      <c r="CL722">
        <v>0</v>
      </c>
      <c r="CM722">
        <v>0</v>
      </c>
    </row>
    <row r="723" spans="82:91" x14ac:dyDescent="0.25">
      <c r="CD723">
        <v>3360</v>
      </c>
      <c r="CE723">
        <v>576</v>
      </c>
      <c r="CF723">
        <v>96</v>
      </c>
      <c r="CG723">
        <v>0</v>
      </c>
      <c r="CH723">
        <v>0</v>
      </c>
      <c r="CI723">
        <v>0</v>
      </c>
      <c r="CJ723">
        <v>0</v>
      </c>
      <c r="CK723">
        <v>0</v>
      </c>
      <c r="CL723">
        <v>0</v>
      </c>
      <c r="CM723">
        <v>0</v>
      </c>
    </row>
    <row r="724" spans="82:91" x14ac:dyDescent="0.25">
      <c r="CD724">
        <v>3360</v>
      </c>
      <c r="CE724">
        <v>576</v>
      </c>
      <c r="CF724">
        <v>96</v>
      </c>
      <c r="CG724">
        <v>0</v>
      </c>
      <c r="CH724">
        <v>0</v>
      </c>
      <c r="CI724">
        <v>0</v>
      </c>
      <c r="CJ724">
        <v>0</v>
      </c>
      <c r="CK724">
        <v>0</v>
      </c>
      <c r="CL724">
        <v>0</v>
      </c>
      <c r="CM724">
        <v>0</v>
      </c>
    </row>
    <row r="725" spans="82:91" x14ac:dyDescent="0.25">
      <c r="CD725">
        <v>3360</v>
      </c>
      <c r="CE725">
        <v>576</v>
      </c>
      <c r="CF725">
        <v>96</v>
      </c>
      <c r="CG725">
        <v>0</v>
      </c>
      <c r="CH725">
        <v>0</v>
      </c>
      <c r="CI725">
        <v>0</v>
      </c>
      <c r="CJ725">
        <v>0</v>
      </c>
      <c r="CK725">
        <v>0</v>
      </c>
      <c r="CL725">
        <v>0</v>
      </c>
      <c r="CM725">
        <v>0</v>
      </c>
    </row>
    <row r="726" spans="82:91" x14ac:dyDescent="0.25">
      <c r="CD726">
        <v>3360</v>
      </c>
      <c r="CE726">
        <v>576</v>
      </c>
      <c r="CF726">
        <v>96</v>
      </c>
      <c r="CG726">
        <v>0</v>
      </c>
      <c r="CH726">
        <v>0</v>
      </c>
      <c r="CI726">
        <v>0</v>
      </c>
      <c r="CJ726">
        <v>0</v>
      </c>
      <c r="CK726">
        <v>0</v>
      </c>
      <c r="CL726">
        <v>0</v>
      </c>
      <c r="CM726">
        <v>0</v>
      </c>
    </row>
    <row r="727" spans="82:91" x14ac:dyDescent="0.25">
      <c r="CD727">
        <v>3360</v>
      </c>
      <c r="CE727">
        <v>576</v>
      </c>
      <c r="CF727">
        <v>96</v>
      </c>
      <c r="CG727">
        <v>0</v>
      </c>
      <c r="CH727">
        <v>0</v>
      </c>
      <c r="CI727">
        <v>0</v>
      </c>
      <c r="CJ727">
        <v>0</v>
      </c>
      <c r="CK727">
        <v>0</v>
      </c>
      <c r="CL727">
        <v>0</v>
      </c>
      <c r="CM727">
        <v>0</v>
      </c>
    </row>
    <row r="728" spans="82:91" x14ac:dyDescent="0.25">
      <c r="CD728">
        <v>3360</v>
      </c>
      <c r="CE728">
        <v>576</v>
      </c>
      <c r="CF728">
        <v>96</v>
      </c>
      <c r="CG728">
        <v>0</v>
      </c>
      <c r="CH728">
        <v>0</v>
      </c>
      <c r="CI728">
        <v>0</v>
      </c>
      <c r="CJ728">
        <v>0</v>
      </c>
      <c r="CK728">
        <v>0</v>
      </c>
      <c r="CL728">
        <v>0</v>
      </c>
      <c r="CM728">
        <v>0</v>
      </c>
    </row>
    <row r="729" spans="82:91" x14ac:dyDescent="0.25">
      <c r="CD729">
        <v>3360</v>
      </c>
      <c r="CE729">
        <v>576</v>
      </c>
      <c r="CF729">
        <v>96</v>
      </c>
      <c r="CG729">
        <v>0</v>
      </c>
      <c r="CH729">
        <v>0</v>
      </c>
      <c r="CI729">
        <v>0</v>
      </c>
      <c r="CJ729">
        <v>0</v>
      </c>
      <c r="CK729">
        <v>0</v>
      </c>
      <c r="CL729">
        <v>0</v>
      </c>
      <c r="CM729">
        <v>0</v>
      </c>
    </row>
    <row r="730" spans="82:91" x14ac:dyDescent="0.25">
      <c r="CD730">
        <v>3360</v>
      </c>
      <c r="CE730">
        <v>576</v>
      </c>
      <c r="CF730">
        <v>96</v>
      </c>
      <c r="CG730">
        <v>0</v>
      </c>
      <c r="CH730">
        <v>0</v>
      </c>
      <c r="CI730">
        <v>0</v>
      </c>
      <c r="CJ730">
        <v>0</v>
      </c>
      <c r="CK730">
        <v>0</v>
      </c>
      <c r="CL730">
        <v>0</v>
      </c>
      <c r="CM730">
        <v>0</v>
      </c>
    </row>
    <row r="731" spans="82:91" x14ac:dyDescent="0.25">
      <c r="CD731">
        <v>3360</v>
      </c>
      <c r="CE731">
        <v>576</v>
      </c>
      <c r="CF731">
        <v>96</v>
      </c>
      <c r="CG731">
        <v>0</v>
      </c>
      <c r="CH731">
        <v>0</v>
      </c>
      <c r="CI731">
        <v>0</v>
      </c>
      <c r="CJ731">
        <v>0</v>
      </c>
      <c r="CK731">
        <v>0</v>
      </c>
      <c r="CL731">
        <v>0</v>
      </c>
      <c r="CM731">
        <v>0</v>
      </c>
    </row>
    <row r="732" spans="82:91" x14ac:dyDescent="0.25">
      <c r="CD732">
        <v>3360</v>
      </c>
      <c r="CE732">
        <v>576</v>
      </c>
      <c r="CF732">
        <v>96</v>
      </c>
      <c r="CG732">
        <v>0</v>
      </c>
      <c r="CH732">
        <v>0</v>
      </c>
      <c r="CI732">
        <v>0</v>
      </c>
      <c r="CJ732">
        <v>0</v>
      </c>
      <c r="CK732">
        <v>0</v>
      </c>
      <c r="CL732">
        <v>0</v>
      </c>
      <c r="CM732">
        <v>0</v>
      </c>
    </row>
    <row r="733" spans="82:91" x14ac:dyDescent="0.25">
      <c r="CD733">
        <v>3360</v>
      </c>
      <c r="CE733">
        <v>576</v>
      </c>
      <c r="CF733">
        <v>96</v>
      </c>
      <c r="CG733">
        <v>0</v>
      </c>
      <c r="CH733">
        <v>0</v>
      </c>
      <c r="CI733">
        <v>0</v>
      </c>
      <c r="CJ733">
        <v>0</v>
      </c>
      <c r="CK733">
        <v>0</v>
      </c>
      <c r="CL733">
        <v>0</v>
      </c>
      <c r="CM733">
        <v>0</v>
      </c>
    </row>
    <row r="734" spans="82:91" x14ac:dyDescent="0.25">
      <c r="CD734">
        <v>3360</v>
      </c>
      <c r="CE734">
        <v>576</v>
      </c>
      <c r="CF734">
        <v>96</v>
      </c>
      <c r="CG734">
        <v>0</v>
      </c>
      <c r="CH734">
        <v>0</v>
      </c>
      <c r="CI734">
        <v>0</v>
      </c>
      <c r="CJ734">
        <v>0</v>
      </c>
      <c r="CK734">
        <v>0</v>
      </c>
      <c r="CL734">
        <v>0</v>
      </c>
      <c r="CM734">
        <v>0</v>
      </c>
    </row>
    <row r="735" spans="82:91" x14ac:dyDescent="0.25">
      <c r="CD735">
        <v>3360</v>
      </c>
      <c r="CE735">
        <v>576</v>
      </c>
      <c r="CF735">
        <v>96</v>
      </c>
      <c r="CG735">
        <v>0</v>
      </c>
      <c r="CH735">
        <v>0</v>
      </c>
      <c r="CI735">
        <v>0</v>
      </c>
      <c r="CJ735">
        <v>0</v>
      </c>
      <c r="CK735">
        <v>0</v>
      </c>
      <c r="CL735">
        <v>0</v>
      </c>
      <c r="CM735">
        <v>0</v>
      </c>
    </row>
    <row r="736" spans="82:91" x14ac:dyDescent="0.25">
      <c r="CD736">
        <v>3360</v>
      </c>
      <c r="CE736">
        <v>576</v>
      </c>
      <c r="CF736">
        <v>96</v>
      </c>
      <c r="CG736">
        <v>0</v>
      </c>
      <c r="CH736">
        <v>0</v>
      </c>
      <c r="CI736">
        <v>0</v>
      </c>
      <c r="CJ736">
        <v>0</v>
      </c>
      <c r="CK736">
        <v>0</v>
      </c>
      <c r="CL736">
        <v>0</v>
      </c>
      <c r="CM736">
        <v>0</v>
      </c>
    </row>
    <row r="737" spans="82:91" x14ac:dyDescent="0.25">
      <c r="CD737">
        <v>3360</v>
      </c>
      <c r="CE737">
        <v>576</v>
      </c>
      <c r="CF737">
        <v>96</v>
      </c>
      <c r="CG737">
        <v>0</v>
      </c>
      <c r="CH737">
        <v>0</v>
      </c>
      <c r="CI737">
        <v>0</v>
      </c>
      <c r="CJ737">
        <v>0</v>
      </c>
      <c r="CK737">
        <v>0</v>
      </c>
      <c r="CL737">
        <v>0</v>
      </c>
      <c r="CM737">
        <v>0</v>
      </c>
    </row>
    <row r="738" spans="82:91" x14ac:dyDescent="0.25">
      <c r="CD738">
        <v>3360</v>
      </c>
      <c r="CE738">
        <v>576</v>
      </c>
      <c r="CF738">
        <v>96</v>
      </c>
      <c r="CG738">
        <v>0</v>
      </c>
      <c r="CH738">
        <v>0</v>
      </c>
      <c r="CI738">
        <v>0</v>
      </c>
      <c r="CJ738">
        <v>0</v>
      </c>
      <c r="CK738">
        <v>0</v>
      </c>
      <c r="CL738">
        <v>0</v>
      </c>
      <c r="CM738">
        <v>0</v>
      </c>
    </row>
    <row r="739" spans="82:91" x14ac:dyDescent="0.25">
      <c r="CD739">
        <v>3360</v>
      </c>
      <c r="CE739">
        <v>576</v>
      </c>
      <c r="CF739">
        <v>96</v>
      </c>
      <c r="CG739">
        <v>0</v>
      </c>
      <c r="CH739">
        <v>0</v>
      </c>
      <c r="CI739">
        <v>0</v>
      </c>
      <c r="CJ739">
        <v>0</v>
      </c>
      <c r="CK739">
        <v>0</v>
      </c>
      <c r="CL739">
        <v>0</v>
      </c>
      <c r="CM739">
        <v>0</v>
      </c>
    </row>
    <row r="740" spans="82:91" x14ac:dyDescent="0.25">
      <c r="CD740">
        <v>3360</v>
      </c>
      <c r="CE740">
        <v>576</v>
      </c>
      <c r="CF740">
        <v>96</v>
      </c>
      <c r="CG740">
        <v>0</v>
      </c>
      <c r="CH740">
        <v>0</v>
      </c>
      <c r="CI740">
        <v>0</v>
      </c>
      <c r="CJ740">
        <v>0</v>
      </c>
      <c r="CK740">
        <v>0</v>
      </c>
      <c r="CL740">
        <v>0</v>
      </c>
      <c r="CM740">
        <v>0</v>
      </c>
    </row>
    <row r="741" spans="82:91" x14ac:dyDescent="0.25">
      <c r="CD741">
        <v>3360</v>
      </c>
      <c r="CE741">
        <v>576</v>
      </c>
      <c r="CF741">
        <v>96</v>
      </c>
      <c r="CG741">
        <v>0</v>
      </c>
      <c r="CH741">
        <v>0</v>
      </c>
      <c r="CI741">
        <v>0</v>
      </c>
      <c r="CJ741">
        <v>0</v>
      </c>
      <c r="CK741">
        <v>0</v>
      </c>
      <c r="CL741">
        <v>0</v>
      </c>
      <c r="CM741">
        <v>0</v>
      </c>
    </row>
    <row r="742" spans="82:91" x14ac:dyDescent="0.25">
      <c r="CD742">
        <v>3360</v>
      </c>
      <c r="CE742">
        <v>576</v>
      </c>
      <c r="CF742">
        <v>96</v>
      </c>
      <c r="CG742">
        <v>0</v>
      </c>
      <c r="CH742">
        <v>0</v>
      </c>
      <c r="CI742">
        <v>0</v>
      </c>
      <c r="CJ742">
        <v>0</v>
      </c>
      <c r="CK742">
        <v>0</v>
      </c>
      <c r="CL742">
        <v>0</v>
      </c>
      <c r="CM742">
        <v>0</v>
      </c>
    </row>
    <row r="743" spans="82:91" x14ac:dyDescent="0.25">
      <c r="CD743">
        <v>3360</v>
      </c>
      <c r="CE743">
        <v>576</v>
      </c>
      <c r="CF743">
        <v>96</v>
      </c>
      <c r="CG743">
        <v>0</v>
      </c>
      <c r="CH743">
        <v>0</v>
      </c>
      <c r="CI743">
        <v>0</v>
      </c>
      <c r="CJ743">
        <v>0</v>
      </c>
      <c r="CK743">
        <v>0</v>
      </c>
      <c r="CL743">
        <v>0</v>
      </c>
      <c r="CM743">
        <v>0</v>
      </c>
    </row>
    <row r="744" spans="82:91" x14ac:dyDescent="0.25">
      <c r="CD744">
        <v>3360</v>
      </c>
      <c r="CE744">
        <v>576</v>
      </c>
      <c r="CF744">
        <v>96</v>
      </c>
      <c r="CG744">
        <v>0</v>
      </c>
      <c r="CH744">
        <v>0</v>
      </c>
      <c r="CI744">
        <v>0</v>
      </c>
      <c r="CJ744">
        <v>0</v>
      </c>
      <c r="CK744">
        <v>0</v>
      </c>
      <c r="CL744">
        <v>0</v>
      </c>
      <c r="CM744">
        <v>0</v>
      </c>
    </row>
    <row r="745" spans="82:91" x14ac:dyDescent="0.25">
      <c r="CD745">
        <v>3360</v>
      </c>
      <c r="CE745">
        <v>576</v>
      </c>
      <c r="CF745">
        <v>96</v>
      </c>
      <c r="CG745">
        <v>0</v>
      </c>
      <c r="CH745">
        <v>0</v>
      </c>
      <c r="CI745">
        <v>0</v>
      </c>
      <c r="CJ745">
        <v>0</v>
      </c>
      <c r="CK745">
        <v>0</v>
      </c>
      <c r="CL745">
        <v>0</v>
      </c>
      <c r="CM745">
        <v>0</v>
      </c>
    </row>
    <row r="746" spans="82:91" x14ac:dyDescent="0.25">
      <c r="CD746">
        <v>3360</v>
      </c>
      <c r="CE746">
        <v>576</v>
      </c>
      <c r="CF746">
        <v>96</v>
      </c>
      <c r="CG746">
        <v>0</v>
      </c>
      <c r="CH746">
        <v>0</v>
      </c>
      <c r="CI746">
        <v>0</v>
      </c>
      <c r="CJ746">
        <v>0</v>
      </c>
      <c r="CK746">
        <v>0</v>
      </c>
      <c r="CL746">
        <v>0</v>
      </c>
      <c r="CM746">
        <v>0</v>
      </c>
    </row>
    <row r="747" spans="82:91" x14ac:dyDescent="0.25">
      <c r="CD747">
        <v>3360</v>
      </c>
      <c r="CE747">
        <v>576</v>
      </c>
      <c r="CF747">
        <v>96</v>
      </c>
      <c r="CG747">
        <v>0</v>
      </c>
      <c r="CH747">
        <v>0</v>
      </c>
      <c r="CI747">
        <v>0</v>
      </c>
      <c r="CJ747">
        <v>0</v>
      </c>
      <c r="CK747">
        <v>0</v>
      </c>
      <c r="CL747">
        <v>0</v>
      </c>
      <c r="CM747">
        <v>0</v>
      </c>
    </row>
    <row r="748" spans="82:91" x14ac:dyDescent="0.25">
      <c r="CD748">
        <v>3360</v>
      </c>
      <c r="CE748">
        <v>576</v>
      </c>
      <c r="CF748">
        <v>96</v>
      </c>
      <c r="CG748">
        <v>0</v>
      </c>
      <c r="CH748">
        <v>0</v>
      </c>
      <c r="CI748">
        <v>0</v>
      </c>
      <c r="CJ748">
        <v>0</v>
      </c>
      <c r="CK748">
        <v>0</v>
      </c>
      <c r="CL748">
        <v>0</v>
      </c>
      <c r="CM748">
        <v>0</v>
      </c>
    </row>
    <row r="749" spans="82:91" x14ac:dyDescent="0.25">
      <c r="CD749">
        <v>3360</v>
      </c>
      <c r="CE749">
        <v>576</v>
      </c>
      <c r="CF749">
        <v>96</v>
      </c>
      <c r="CG749">
        <v>0</v>
      </c>
      <c r="CH749">
        <v>0</v>
      </c>
      <c r="CI749">
        <v>0</v>
      </c>
      <c r="CJ749">
        <v>0</v>
      </c>
      <c r="CK749">
        <v>0</v>
      </c>
      <c r="CL749">
        <v>0</v>
      </c>
      <c r="CM749">
        <v>0</v>
      </c>
    </row>
    <row r="750" spans="82:91" x14ac:dyDescent="0.25">
      <c r="CD750">
        <v>3360</v>
      </c>
      <c r="CE750">
        <v>576</v>
      </c>
      <c r="CF750">
        <v>96</v>
      </c>
      <c r="CG750">
        <v>0</v>
      </c>
      <c r="CH750">
        <v>0</v>
      </c>
      <c r="CI750">
        <v>0</v>
      </c>
      <c r="CJ750">
        <v>0</v>
      </c>
      <c r="CK750">
        <v>0</v>
      </c>
      <c r="CL750">
        <v>0</v>
      </c>
      <c r="CM750">
        <v>0</v>
      </c>
    </row>
    <row r="751" spans="82:91" x14ac:dyDescent="0.25">
      <c r="CD751">
        <v>3360</v>
      </c>
      <c r="CE751">
        <v>576</v>
      </c>
      <c r="CF751">
        <v>96</v>
      </c>
      <c r="CG751">
        <v>0</v>
      </c>
      <c r="CH751">
        <v>0</v>
      </c>
      <c r="CI751">
        <v>0</v>
      </c>
      <c r="CJ751">
        <v>0</v>
      </c>
      <c r="CK751">
        <v>0</v>
      </c>
      <c r="CL751">
        <v>0</v>
      </c>
      <c r="CM751">
        <v>0</v>
      </c>
    </row>
    <row r="752" spans="82:91" x14ac:dyDescent="0.25">
      <c r="CD752">
        <v>3360</v>
      </c>
      <c r="CE752">
        <v>576</v>
      </c>
      <c r="CF752">
        <v>96</v>
      </c>
      <c r="CG752">
        <v>0</v>
      </c>
      <c r="CH752">
        <v>0</v>
      </c>
      <c r="CI752">
        <v>0</v>
      </c>
      <c r="CJ752">
        <v>0</v>
      </c>
      <c r="CK752">
        <v>0</v>
      </c>
      <c r="CL752">
        <v>0</v>
      </c>
      <c r="CM752">
        <v>0</v>
      </c>
    </row>
    <row r="753" spans="82:91" x14ac:dyDescent="0.25">
      <c r="CD753">
        <v>3360</v>
      </c>
      <c r="CE753">
        <v>576</v>
      </c>
      <c r="CF753">
        <v>96</v>
      </c>
      <c r="CG753">
        <v>0</v>
      </c>
      <c r="CH753">
        <v>0</v>
      </c>
      <c r="CI753">
        <v>0</v>
      </c>
      <c r="CJ753">
        <v>0</v>
      </c>
      <c r="CK753">
        <v>0</v>
      </c>
      <c r="CL753">
        <v>0</v>
      </c>
      <c r="CM753">
        <v>0</v>
      </c>
    </row>
    <row r="754" spans="82:91" x14ac:dyDescent="0.25">
      <c r="CD754">
        <v>3360</v>
      </c>
      <c r="CE754">
        <v>576</v>
      </c>
      <c r="CF754">
        <v>96</v>
      </c>
      <c r="CG754">
        <v>0</v>
      </c>
      <c r="CH754">
        <v>0</v>
      </c>
      <c r="CI754">
        <v>0</v>
      </c>
      <c r="CJ754">
        <v>0</v>
      </c>
      <c r="CK754">
        <v>0</v>
      </c>
      <c r="CL754">
        <v>0</v>
      </c>
      <c r="CM754">
        <v>0</v>
      </c>
    </row>
    <row r="755" spans="82:91" x14ac:dyDescent="0.25">
      <c r="CD755">
        <v>3360</v>
      </c>
      <c r="CE755">
        <v>576</v>
      </c>
      <c r="CF755">
        <v>96</v>
      </c>
      <c r="CG755">
        <v>0</v>
      </c>
      <c r="CH755">
        <v>0</v>
      </c>
      <c r="CI755">
        <v>0</v>
      </c>
      <c r="CJ755">
        <v>0</v>
      </c>
      <c r="CK755">
        <v>0</v>
      </c>
      <c r="CL755">
        <v>0</v>
      </c>
      <c r="CM755">
        <v>0</v>
      </c>
    </row>
    <row r="756" spans="82:91" x14ac:dyDescent="0.25">
      <c r="CD756">
        <v>3360</v>
      </c>
      <c r="CE756">
        <v>576</v>
      </c>
      <c r="CF756">
        <v>96</v>
      </c>
      <c r="CG756">
        <v>0</v>
      </c>
      <c r="CH756">
        <v>0</v>
      </c>
      <c r="CI756">
        <v>0</v>
      </c>
      <c r="CJ756">
        <v>0</v>
      </c>
      <c r="CK756">
        <v>0</v>
      </c>
      <c r="CL756">
        <v>0</v>
      </c>
      <c r="CM756">
        <v>0</v>
      </c>
    </row>
    <row r="757" spans="82:91" x14ac:dyDescent="0.25">
      <c r="CD757">
        <v>3360</v>
      </c>
      <c r="CE757">
        <v>576</v>
      </c>
      <c r="CF757">
        <v>96</v>
      </c>
      <c r="CG757">
        <v>0</v>
      </c>
      <c r="CH757">
        <v>0</v>
      </c>
      <c r="CI757">
        <v>0</v>
      </c>
      <c r="CJ757">
        <v>0</v>
      </c>
      <c r="CK757">
        <v>0</v>
      </c>
      <c r="CL757">
        <v>0</v>
      </c>
      <c r="CM757">
        <v>0</v>
      </c>
    </row>
    <row r="758" spans="82:91" x14ac:dyDescent="0.25">
      <c r="CD758">
        <v>3360</v>
      </c>
      <c r="CE758">
        <v>576</v>
      </c>
      <c r="CF758">
        <v>96</v>
      </c>
      <c r="CG758">
        <v>0</v>
      </c>
      <c r="CH758">
        <v>0</v>
      </c>
      <c r="CI758">
        <v>0</v>
      </c>
      <c r="CJ758">
        <v>0</v>
      </c>
      <c r="CK758">
        <v>0</v>
      </c>
      <c r="CL758">
        <v>0</v>
      </c>
      <c r="CM758">
        <v>0</v>
      </c>
    </row>
    <row r="759" spans="82:91" x14ac:dyDescent="0.25">
      <c r="CD759">
        <v>3360</v>
      </c>
      <c r="CE759">
        <v>576</v>
      </c>
      <c r="CF759">
        <v>96</v>
      </c>
      <c r="CG759">
        <v>0</v>
      </c>
      <c r="CH759">
        <v>0</v>
      </c>
      <c r="CI759">
        <v>0</v>
      </c>
      <c r="CJ759">
        <v>0</v>
      </c>
      <c r="CK759">
        <v>0</v>
      </c>
      <c r="CL759">
        <v>0</v>
      </c>
      <c r="CM759">
        <v>0</v>
      </c>
    </row>
    <row r="760" spans="82:91" x14ac:dyDescent="0.25">
      <c r="CD760">
        <v>3360</v>
      </c>
      <c r="CE760">
        <v>576</v>
      </c>
      <c r="CF760">
        <v>96</v>
      </c>
      <c r="CG760">
        <v>0</v>
      </c>
      <c r="CH760">
        <v>0</v>
      </c>
      <c r="CI760">
        <v>0</v>
      </c>
      <c r="CJ760">
        <v>0</v>
      </c>
      <c r="CK760">
        <v>0</v>
      </c>
      <c r="CL760">
        <v>0</v>
      </c>
      <c r="CM760">
        <v>0</v>
      </c>
    </row>
    <row r="761" spans="82:91" x14ac:dyDescent="0.25">
      <c r="CD761">
        <v>3360</v>
      </c>
      <c r="CE761">
        <v>576</v>
      </c>
      <c r="CF761">
        <v>96</v>
      </c>
      <c r="CG761">
        <v>0</v>
      </c>
      <c r="CH761">
        <v>0</v>
      </c>
      <c r="CI761">
        <v>0</v>
      </c>
      <c r="CJ761">
        <v>0</v>
      </c>
      <c r="CK761">
        <v>0</v>
      </c>
      <c r="CL761">
        <v>0</v>
      </c>
      <c r="CM761">
        <v>0</v>
      </c>
    </row>
    <row r="762" spans="82:91" x14ac:dyDescent="0.25">
      <c r="CD762">
        <v>3360</v>
      </c>
      <c r="CE762">
        <v>576</v>
      </c>
      <c r="CF762">
        <v>96</v>
      </c>
      <c r="CG762">
        <v>0</v>
      </c>
      <c r="CH762">
        <v>0</v>
      </c>
      <c r="CI762">
        <v>0</v>
      </c>
      <c r="CJ762">
        <v>0</v>
      </c>
      <c r="CK762">
        <v>0</v>
      </c>
      <c r="CL762">
        <v>0</v>
      </c>
      <c r="CM762">
        <v>0</v>
      </c>
    </row>
    <row r="763" spans="82:91" x14ac:dyDescent="0.25">
      <c r="CD763">
        <v>3360</v>
      </c>
      <c r="CE763">
        <v>576</v>
      </c>
      <c r="CF763">
        <v>96</v>
      </c>
      <c r="CG763">
        <v>0</v>
      </c>
      <c r="CH763">
        <v>0</v>
      </c>
      <c r="CI763">
        <v>0</v>
      </c>
      <c r="CJ763">
        <v>0</v>
      </c>
      <c r="CK763">
        <v>0</v>
      </c>
      <c r="CL763">
        <v>0</v>
      </c>
      <c r="CM763">
        <v>0</v>
      </c>
    </row>
    <row r="764" spans="82:91" x14ac:dyDescent="0.25">
      <c r="CD764">
        <v>3360</v>
      </c>
      <c r="CE764">
        <v>576</v>
      </c>
      <c r="CF764">
        <v>96</v>
      </c>
      <c r="CG764">
        <v>0</v>
      </c>
      <c r="CH764">
        <v>0</v>
      </c>
      <c r="CI764">
        <v>0</v>
      </c>
      <c r="CJ764">
        <v>0</v>
      </c>
      <c r="CK764">
        <v>0</v>
      </c>
      <c r="CL764">
        <v>0</v>
      </c>
      <c r="CM764">
        <v>0</v>
      </c>
    </row>
    <row r="765" spans="82:91" x14ac:dyDescent="0.25">
      <c r="CD765">
        <v>3360</v>
      </c>
      <c r="CE765">
        <v>576</v>
      </c>
      <c r="CF765">
        <v>96</v>
      </c>
      <c r="CG765">
        <v>0</v>
      </c>
      <c r="CH765">
        <v>0</v>
      </c>
      <c r="CI765">
        <v>0</v>
      </c>
      <c r="CJ765">
        <v>0</v>
      </c>
      <c r="CK765">
        <v>0</v>
      </c>
      <c r="CL765">
        <v>0</v>
      </c>
      <c r="CM765">
        <v>0</v>
      </c>
    </row>
    <row r="766" spans="82:91" x14ac:dyDescent="0.25">
      <c r="CD766">
        <v>3360</v>
      </c>
      <c r="CE766">
        <v>576</v>
      </c>
      <c r="CF766">
        <v>96</v>
      </c>
      <c r="CG766">
        <v>0</v>
      </c>
      <c r="CH766">
        <v>0</v>
      </c>
      <c r="CI766">
        <v>0</v>
      </c>
      <c r="CJ766">
        <v>0</v>
      </c>
      <c r="CK766">
        <v>0</v>
      </c>
      <c r="CL766">
        <v>0</v>
      </c>
      <c r="CM766">
        <v>0</v>
      </c>
    </row>
    <row r="767" spans="82:91" x14ac:dyDescent="0.25">
      <c r="CD767">
        <v>3360</v>
      </c>
      <c r="CE767">
        <v>576</v>
      </c>
      <c r="CF767">
        <v>96</v>
      </c>
      <c r="CG767">
        <v>0</v>
      </c>
      <c r="CH767">
        <v>0</v>
      </c>
      <c r="CI767">
        <v>0</v>
      </c>
      <c r="CJ767">
        <v>0</v>
      </c>
      <c r="CK767">
        <v>0</v>
      </c>
      <c r="CL767">
        <v>0</v>
      </c>
      <c r="CM767">
        <v>0</v>
      </c>
    </row>
    <row r="768" spans="82:91" x14ac:dyDescent="0.25">
      <c r="CD768">
        <v>3360</v>
      </c>
      <c r="CE768">
        <v>576</v>
      </c>
      <c r="CF768">
        <v>96</v>
      </c>
      <c r="CG768">
        <v>0</v>
      </c>
      <c r="CH768">
        <v>0</v>
      </c>
      <c r="CI768">
        <v>0</v>
      </c>
      <c r="CJ768">
        <v>0</v>
      </c>
      <c r="CK768">
        <v>0</v>
      </c>
      <c r="CL768">
        <v>0</v>
      </c>
      <c r="CM768">
        <v>0</v>
      </c>
    </row>
    <row r="769" spans="82:91" x14ac:dyDescent="0.25">
      <c r="CD769">
        <v>3360</v>
      </c>
      <c r="CE769">
        <v>576</v>
      </c>
      <c r="CF769">
        <v>96</v>
      </c>
      <c r="CG769">
        <v>0</v>
      </c>
      <c r="CH769">
        <v>0</v>
      </c>
      <c r="CI769">
        <v>0</v>
      </c>
      <c r="CJ769">
        <v>0</v>
      </c>
      <c r="CK769">
        <v>0</v>
      </c>
      <c r="CL769">
        <v>0</v>
      </c>
      <c r="CM769">
        <v>0</v>
      </c>
    </row>
    <row r="770" spans="82:91" x14ac:dyDescent="0.25">
      <c r="CD770">
        <v>3360</v>
      </c>
      <c r="CE770">
        <v>576</v>
      </c>
      <c r="CF770">
        <v>96</v>
      </c>
      <c r="CG770">
        <v>0</v>
      </c>
      <c r="CH770">
        <v>0</v>
      </c>
      <c r="CI770">
        <v>0</v>
      </c>
      <c r="CJ770">
        <v>0</v>
      </c>
      <c r="CK770">
        <v>0</v>
      </c>
      <c r="CL770">
        <v>0</v>
      </c>
      <c r="CM770">
        <v>0</v>
      </c>
    </row>
    <row r="771" spans="82:91" x14ac:dyDescent="0.25">
      <c r="CD771">
        <v>3360</v>
      </c>
      <c r="CE771">
        <v>576</v>
      </c>
      <c r="CF771">
        <v>96</v>
      </c>
      <c r="CG771">
        <v>0</v>
      </c>
      <c r="CH771">
        <v>0</v>
      </c>
      <c r="CI771">
        <v>0</v>
      </c>
      <c r="CJ771">
        <v>0</v>
      </c>
      <c r="CK771">
        <v>0</v>
      </c>
      <c r="CL771">
        <v>0</v>
      </c>
      <c r="CM771">
        <v>0</v>
      </c>
    </row>
    <row r="772" spans="82:91" x14ac:dyDescent="0.25">
      <c r="CD772">
        <v>3360</v>
      </c>
      <c r="CE772">
        <v>384</v>
      </c>
      <c r="CF772">
        <v>144</v>
      </c>
      <c r="CG772">
        <v>0</v>
      </c>
      <c r="CH772">
        <v>0</v>
      </c>
      <c r="CI772">
        <v>0</v>
      </c>
      <c r="CJ772">
        <v>0</v>
      </c>
      <c r="CK772">
        <v>0</v>
      </c>
      <c r="CL772">
        <v>0</v>
      </c>
      <c r="CM772">
        <v>0</v>
      </c>
    </row>
    <row r="773" spans="82:91" x14ac:dyDescent="0.25">
      <c r="CD773">
        <v>3360</v>
      </c>
      <c r="CE773">
        <v>384</v>
      </c>
      <c r="CF773">
        <v>144</v>
      </c>
      <c r="CG773">
        <v>0</v>
      </c>
      <c r="CH773">
        <v>0</v>
      </c>
      <c r="CI773">
        <v>0</v>
      </c>
      <c r="CJ773">
        <v>0</v>
      </c>
      <c r="CK773">
        <v>0</v>
      </c>
      <c r="CL773">
        <v>0</v>
      </c>
      <c r="CM773">
        <v>0</v>
      </c>
    </row>
    <row r="774" spans="82:91" x14ac:dyDescent="0.25">
      <c r="CD774">
        <v>3360</v>
      </c>
      <c r="CE774">
        <v>384</v>
      </c>
      <c r="CF774">
        <v>144</v>
      </c>
      <c r="CG774">
        <v>0</v>
      </c>
      <c r="CH774">
        <v>0</v>
      </c>
      <c r="CI774">
        <v>0</v>
      </c>
      <c r="CJ774">
        <v>0</v>
      </c>
      <c r="CK774">
        <v>0</v>
      </c>
      <c r="CL774">
        <v>0</v>
      </c>
      <c r="CM774">
        <v>0</v>
      </c>
    </row>
    <row r="775" spans="82:91" x14ac:dyDescent="0.25">
      <c r="CD775">
        <v>3360</v>
      </c>
      <c r="CE775">
        <v>384</v>
      </c>
      <c r="CF775">
        <v>144</v>
      </c>
      <c r="CG775">
        <v>0</v>
      </c>
      <c r="CH775">
        <v>0</v>
      </c>
      <c r="CI775">
        <v>0</v>
      </c>
      <c r="CJ775">
        <v>0</v>
      </c>
      <c r="CK775">
        <v>0</v>
      </c>
      <c r="CL775">
        <v>0</v>
      </c>
      <c r="CM775">
        <v>0</v>
      </c>
    </row>
    <row r="776" spans="82:91" x14ac:dyDescent="0.25">
      <c r="CD776">
        <v>3360</v>
      </c>
      <c r="CE776">
        <v>384</v>
      </c>
      <c r="CF776">
        <v>144</v>
      </c>
      <c r="CG776">
        <v>0</v>
      </c>
      <c r="CH776">
        <v>0</v>
      </c>
      <c r="CI776">
        <v>0</v>
      </c>
      <c r="CJ776">
        <v>0</v>
      </c>
      <c r="CK776">
        <v>0</v>
      </c>
      <c r="CL776">
        <v>0</v>
      </c>
      <c r="CM776">
        <v>0</v>
      </c>
    </row>
    <row r="777" spans="82:91" x14ac:dyDescent="0.25">
      <c r="CD777">
        <v>3360</v>
      </c>
      <c r="CE777">
        <v>384</v>
      </c>
      <c r="CF777">
        <v>144</v>
      </c>
      <c r="CG777">
        <v>0</v>
      </c>
      <c r="CH777">
        <v>0</v>
      </c>
      <c r="CI777">
        <v>0</v>
      </c>
      <c r="CJ777">
        <v>0</v>
      </c>
      <c r="CK777">
        <v>0</v>
      </c>
      <c r="CL777">
        <v>0</v>
      </c>
      <c r="CM777">
        <v>0</v>
      </c>
    </row>
    <row r="778" spans="82:91" x14ac:dyDescent="0.25">
      <c r="CD778">
        <v>3360</v>
      </c>
      <c r="CE778">
        <v>384</v>
      </c>
      <c r="CF778">
        <v>144</v>
      </c>
      <c r="CG778">
        <v>0</v>
      </c>
      <c r="CH778">
        <v>0</v>
      </c>
      <c r="CI778">
        <v>0</v>
      </c>
      <c r="CJ778">
        <v>0</v>
      </c>
      <c r="CK778">
        <v>0</v>
      </c>
      <c r="CL778">
        <v>0</v>
      </c>
      <c r="CM778">
        <v>0</v>
      </c>
    </row>
    <row r="779" spans="82:91" x14ac:dyDescent="0.25">
      <c r="CD779">
        <v>3360</v>
      </c>
      <c r="CE779">
        <v>384</v>
      </c>
      <c r="CF779">
        <v>144</v>
      </c>
      <c r="CG779">
        <v>0</v>
      </c>
      <c r="CH779">
        <v>0</v>
      </c>
      <c r="CI779">
        <v>0</v>
      </c>
      <c r="CJ779">
        <v>0</v>
      </c>
      <c r="CK779">
        <v>0</v>
      </c>
      <c r="CL779">
        <v>0</v>
      </c>
      <c r="CM779">
        <v>0</v>
      </c>
    </row>
    <row r="780" spans="82:91" x14ac:dyDescent="0.25">
      <c r="CD780">
        <v>3360</v>
      </c>
      <c r="CE780">
        <v>384</v>
      </c>
      <c r="CF780">
        <v>144</v>
      </c>
      <c r="CG780">
        <v>0</v>
      </c>
      <c r="CH780">
        <v>0</v>
      </c>
      <c r="CI780">
        <v>0</v>
      </c>
      <c r="CJ780">
        <v>0</v>
      </c>
      <c r="CK780">
        <v>0</v>
      </c>
      <c r="CL780">
        <v>0</v>
      </c>
      <c r="CM780">
        <v>0</v>
      </c>
    </row>
    <row r="781" spans="82:91" x14ac:dyDescent="0.25">
      <c r="CD781">
        <v>3360</v>
      </c>
      <c r="CE781">
        <v>384</v>
      </c>
      <c r="CF781">
        <v>144</v>
      </c>
      <c r="CG781">
        <v>0</v>
      </c>
      <c r="CH781">
        <v>0</v>
      </c>
      <c r="CI781">
        <v>0</v>
      </c>
      <c r="CJ781">
        <v>0</v>
      </c>
      <c r="CK781">
        <v>0</v>
      </c>
      <c r="CL781">
        <v>0</v>
      </c>
      <c r="CM781">
        <v>0</v>
      </c>
    </row>
    <row r="782" spans="82:91" x14ac:dyDescent="0.25">
      <c r="CD782">
        <v>3360</v>
      </c>
      <c r="CE782">
        <v>384</v>
      </c>
      <c r="CF782">
        <v>144</v>
      </c>
      <c r="CG782">
        <v>0</v>
      </c>
      <c r="CH782">
        <v>0</v>
      </c>
      <c r="CI782">
        <v>0</v>
      </c>
      <c r="CJ782">
        <v>0</v>
      </c>
      <c r="CK782">
        <v>0</v>
      </c>
      <c r="CL782">
        <v>0</v>
      </c>
      <c r="CM782">
        <v>0</v>
      </c>
    </row>
    <row r="783" spans="82:91" x14ac:dyDescent="0.25">
      <c r="CD783">
        <v>3360</v>
      </c>
      <c r="CE783">
        <v>384</v>
      </c>
      <c r="CF783">
        <v>144</v>
      </c>
      <c r="CG783">
        <v>0</v>
      </c>
      <c r="CH783">
        <v>0</v>
      </c>
      <c r="CI783">
        <v>0</v>
      </c>
      <c r="CJ783">
        <v>0</v>
      </c>
      <c r="CK783">
        <v>0</v>
      </c>
      <c r="CL783">
        <v>0</v>
      </c>
      <c r="CM783">
        <v>0</v>
      </c>
    </row>
    <row r="784" spans="82:91" x14ac:dyDescent="0.25">
      <c r="CD784">
        <v>3360</v>
      </c>
      <c r="CE784">
        <v>384</v>
      </c>
      <c r="CF784">
        <v>144</v>
      </c>
      <c r="CG784">
        <v>0</v>
      </c>
      <c r="CH784">
        <v>0</v>
      </c>
      <c r="CI784">
        <v>0</v>
      </c>
      <c r="CJ784">
        <v>0</v>
      </c>
      <c r="CK784">
        <v>0</v>
      </c>
      <c r="CL784">
        <v>0</v>
      </c>
      <c r="CM784">
        <v>0</v>
      </c>
    </row>
    <row r="785" spans="82:91" x14ac:dyDescent="0.25">
      <c r="CD785">
        <v>3360</v>
      </c>
      <c r="CE785">
        <v>384</v>
      </c>
      <c r="CF785">
        <v>144</v>
      </c>
      <c r="CG785">
        <v>0</v>
      </c>
      <c r="CH785">
        <v>0</v>
      </c>
      <c r="CI785">
        <v>0</v>
      </c>
      <c r="CJ785">
        <v>0</v>
      </c>
      <c r="CK785">
        <v>0</v>
      </c>
      <c r="CL785">
        <v>0</v>
      </c>
      <c r="CM785">
        <v>0</v>
      </c>
    </row>
    <row r="786" spans="82:91" x14ac:dyDescent="0.25">
      <c r="CD786">
        <v>3360</v>
      </c>
      <c r="CE786">
        <v>384</v>
      </c>
      <c r="CF786">
        <v>144</v>
      </c>
      <c r="CG786">
        <v>0</v>
      </c>
      <c r="CH786">
        <v>0</v>
      </c>
      <c r="CI786">
        <v>0</v>
      </c>
      <c r="CJ786">
        <v>0</v>
      </c>
      <c r="CK786">
        <v>0</v>
      </c>
      <c r="CL786">
        <v>0</v>
      </c>
      <c r="CM786">
        <v>0</v>
      </c>
    </row>
    <row r="787" spans="82:91" x14ac:dyDescent="0.25">
      <c r="CD787">
        <v>3360</v>
      </c>
      <c r="CE787">
        <v>384</v>
      </c>
      <c r="CF787">
        <v>144</v>
      </c>
      <c r="CG787">
        <v>0</v>
      </c>
      <c r="CH787">
        <v>0</v>
      </c>
      <c r="CI787">
        <v>0</v>
      </c>
      <c r="CJ787">
        <v>0</v>
      </c>
      <c r="CK787">
        <v>0</v>
      </c>
      <c r="CL787">
        <v>0</v>
      </c>
      <c r="CM787">
        <v>0</v>
      </c>
    </row>
    <row r="788" spans="82:91" x14ac:dyDescent="0.25">
      <c r="CD788">
        <v>3360</v>
      </c>
      <c r="CE788">
        <v>384</v>
      </c>
      <c r="CF788">
        <v>144</v>
      </c>
      <c r="CG788">
        <v>0</v>
      </c>
      <c r="CH788">
        <v>0</v>
      </c>
      <c r="CI788">
        <v>0</v>
      </c>
      <c r="CJ788">
        <v>0</v>
      </c>
      <c r="CK788">
        <v>0</v>
      </c>
      <c r="CL788">
        <v>0</v>
      </c>
      <c r="CM788">
        <v>0</v>
      </c>
    </row>
    <row r="789" spans="82:91" x14ac:dyDescent="0.25">
      <c r="CD789">
        <v>3360</v>
      </c>
      <c r="CE789">
        <v>384</v>
      </c>
      <c r="CF789">
        <v>144</v>
      </c>
      <c r="CG789">
        <v>0</v>
      </c>
      <c r="CH789">
        <v>0</v>
      </c>
      <c r="CI789">
        <v>0</v>
      </c>
      <c r="CJ789">
        <v>0</v>
      </c>
      <c r="CK789">
        <v>0</v>
      </c>
      <c r="CL789">
        <v>0</v>
      </c>
      <c r="CM789">
        <v>0</v>
      </c>
    </row>
    <row r="790" spans="82:91" x14ac:dyDescent="0.25">
      <c r="CD790">
        <v>3360</v>
      </c>
      <c r="CE790">
        <v>384</v>
      </c>
      <c r="CF790">
        <v>144</v>
      </c>
      <c r="CG790">
        <v>0</v>
      </c>
      <c r="CH790">
        <v>0</v>
      </c>
      <c r="CI790">
        <v>0</v>
      </c>
      <c r="CJ790">
        <v>0</v>
      </c>
      <c r="CK790">
        <v>0</v>
      </c>
      <c r="CL790">
        <v>0</v>
      </c>
      <c r="CM790">
        <v>0</v>
      </c>
    </row>
    <row r="791" spans="82:91" x14ac:dyDescent="0.25">
      <c r="CD791">
        <v>3360</v>
      </c>
      <c r="CE791">
        <v>384</v>
      </c>
      <c r="CF791">
        <v>144</v>
      </c>
      <c r="CG791">
        <v>0</v>
      </c>
      <c r="CH791">
        <v>0</v>
      </c>
      <c r="CI791">
        <v>0</v>
      </c>
      <c r="CJ791">
        <v>0</v>
      </c>
      <c r="CK791">
        <v>0</v>
      </c>
      <c r="CL791">
        <v>0</v>
      </c>
      <c r="CM791">
        <v>0</v>
      </c>
    </row>
    <row r="792" spans="82:91" x14ac:dyDescent="0.25">
      <c r="CD792">
        <v>3360</v>
      </c>
      <c r="CE792">
        <v>384</v>
      </c>
      <c r="CF792">
        <v>144</v>
      </c>
      <c r="CG792">
        <v>0</v>
      </c>
      <c r="CH792">
        <v>0</v>
      </c>
      <c r="CI792">
        <v>0</v>
      </c>
      <c r="CJ792">
        <v>0</v>
      </c>
      <c r="CK792">
        <v>0</v>
      </c>
      <c r="CL792">
        <v>0</v>
      </c>
      <c r="CM792">
        <v>0</v>
      </c>
    </row>
    <row r="793" spans="82:91" x14ac:dyDescent="0.25">
      <c r="CD793">
        <v>3360</v>
      </c>
      <c r="CE793">
        <v>384</v>
      </c>
      <c r="CF793">
        <v>144</v>
      </c>
      <c r="CG793">
        <v>0</v>
      </c>
      <c r="CH793">
        <v>0</v>
      </c>
      <c r="CI793">
        <v>0</v>
      </c>
      <c r="CJ793">
        <v>0</v>
      </c>
      <c r="CK793">
        <v>0</v>
      </c>
      <c r="CL793">
        <v>0</v>
      </c>
      <c r="CM793">
        <v>0</v>
      </c>
    </row>
    <row r="794" spans="82:91" x14ac:dyDescent="0.25">
      <c r="CD794">
        <v>3360</v>
      </c>
      <c r="CE794">
        <v>384</v>
      </c>
      <c r="CF794">
        <v>144</v>
      </c>
      <c r="CG794">
        <v>0</v>
      </c>
      <c r="CH794">
        <v>0</v>
      </c>
      <c r="CI794">
        <v>0</v>
      </c>
      <c r="CJ794">
        <v>0</v>
      </c>
      <c r="CK794">
        <v>0</v>
      </c>
      <c r="CL794">
        <v>0</v>
      </c>
      <c r="CM794">
        <v>0</v>
      </c>
    </row>
    <row r="795" spans="82:91" x14ac:dyDescent="0.25">
      <c r="CD795">
        <v>3360</v>
      </c>
      <c r="CE795">
        <v>384</v>
      </c>
      <c r="CF795">
        <v>144</v>
      </c>
      <c r="CG795">
        <v>0</v>
      </c>
      <c r="CH795">
        <v>0</v>
      </c>
      <c r="CI795">
        <v>0</v>
      </c>
      <c r="CJ795">
        <v>0</v>
      </c>
      <c r="CK795">
        <v>0</v>
      </c>
      <c r="CL795">
        <v>0</v>
      </c>
      <c r="CM795">
        <v>0</v>
      </c>
    </row>
    <row r="796" spans="82:91" x14ac:dyDescent="0.25">
      <c r="CD796">
        <v>3360</v>
      </c>
      <c r="CE796">
        <v>384</v>
      </c>
      <c r="CF796">
        <v>144</v>
      </c>
      <c r="CG796">
        <v>0</v>
      </c>
      <c r="CH796">
        <v>0</v>
      </c>
      <c r="CI796">
        <v>0</v>
      </c>
      <c r="CJ796">
        <v>0</v>
      </c>
      <c r="CK796">
        <v>0</v>
      </c>
      <c r="CL796">
        <v>0</v>
      </c>
      <c r="CM796">
        <v>0</v>
      </c>
    </row>
    <row r="797" spans="82:91" x14ac:dyDescent="0.25">
      <c r="CD797">
        <v>3360</v>
      </c>
      <c r="CE797">
        <v>384</v>
      </c>
      <c r="CF797">
        <v>144</v>
      </c>
      <c r="CG797">
        <v>0</v>
      </c>
      <c r="CH797">
        <v>0</v>
      </c>
      <c r="CI797">
        <v>0</v>
      </c>
      <c r="CJ797">
        <v>0</v>
      </c>
      <c r="CK797">
        <v>0</v>
      </c>
      <c r="CL797">
        <v>0</v>
      </c>
      <c r="CM797">
        <v>0</v>
      </c>
    </row>
    <row r="798" spans="82:91" x14ac:dyDescent="0.25">
      <c r="CD798">
        <v>3360</v>
      </c>
      <c r="CE798">
        <v>384</v>
      </c>
      <c r="CF798">
        <v>144</v>
      </c>
      <c r="CG798">
        <v>0</v>
      </c>
      <c r="CH798">
        <v>0</v>
      </c>
      <c r="CI798">
        <v>0</v>
      </c>
      <c r="CJ798">
        <v>0</v>
      </c>
      <c r="CK798">
        <v>0</v>
      </c>
      <c r="CL798">
        <v>0</v>
      </c>
      <c r="CM798">
        <v>0</v>
      </c>
    </row>
    <row r="799" spans="82:91" x14ac:dyDescent="0.25">
      <c r="CD799">
        <v>3360</v>
      </c>
      <c r="CE799">
        <v>384</v>
      </c>
      <c r="CF799">
        <v>144</v>
      </c>
      <c r="CG799">
        <v>0</v>
      </c>
      <c r="CH799">
        <v>0</v>
      </c>
      <c r="CI799">
        <v>0</v>
      </c>
      <c r="CJ799">
        <v>0</v>
      </c>
      <c r="CK799">
        <v>0</v>
      </c>
      <c r="CL799">
        <v>0</v>
      </c>
      <c r="CM799">
        <v>0</v>
      </c>
    </row>
    <row r="800" spans="82:91" x14ac:dyDescent="0.25">
      <c r="CD800">
        <v>3360</v>
      </c>
      <c r="CE800">
        <v>384</v>
      </c>
      <c r="CF800">
        <v>144</v>
      </c>
      <c r="CG800">
        <v>0</v>
      </c>
      <c r="CH800">
        <v>0</v>
      </c>
      <c r="CI800">
        <v>0</v>
      </c>
      <c r="CJ800">
        <v>0</v>
      </c>
      <c r="CK800">
        <v>0</v>
      </c>
      <c r="CL800">
        <v>0</v>
      </c>
      <c r="CM800">
        <v>0</v>
      </c>
    </row>
    <row r="801" spans="82:91" x14ac:dyDescent="0.25">
      <c r="CD801">
        <v>3360</v>
      </c>
      <c r="CE801">
        <v>384</v>
      </c>
      <c r="CF801">
        <v>144</v>
      </c>
      <c r="CG801">
        <v>0</v>
      </c>
      <c r="CH801">
        <v>0</v>
      </c>
      <c r="CI801">
        <v>0</v>
      </c>
      <c r="CJ801">
        <v>0</v>
      </c>
      <c r="CK801">
        <v>0</v>
      </c>
      <c r="CL801">
        <v>0</v>
      </c>
      <c r="CM801">
        <v>0</v>
      </c>
    </row>
    <row r="802" spans="82:91" x14ac:dyDescent="0.25">
      <c r="CD802">
        <v>3360</v>
      </c>
      <c r="CE802">
        <v>384</v>
      </c>
      <c r="CF802">
        <v>144</v>
      </c>
      <c r="CG802">
        <v>0</v>
      </c>
      <c r="CH802">
        <v>0</v>
      </c>
      <c r="CI802">
        <v>0</v>
      </c>
      <c r="CJ802">
        <v>0</v>
      </c>
      <c r="CK802">
        <v>0</v>
      </c>
      <c r="CL802">
        <v>0</v>
      </c>
      <c r="CM802">
        <v>0</v>
      </c>
    </row>
    <row r="803" spans="82:91" x14ac:dyDescent="0.25">
      <c r="CD803">
        <v>3360</v>
      </c>
      <c r="CE803">
        <v>384</v>
      </c>
      <c r="CF803">
        <v>144</v>
      </c>
      <c r="CG803">
        <v>0</v>
      </c>
      <c r="CH803">
        <v>0</v>
      </c>
      <c r="CI803">
        <v>0</v>
      </c>
      <c r="CJ803">
        <v>0</v>
      </c>
      <c r="CK803">
        <v>0</v>
      </c>
      <c r="CL803">
        <v>0</v>
      </c>
      <c r="CM803">
        <v>0</v>
      </c>
    </row>
    <row r="804" spans="82:91" x14ac:dyDescent="0.25">
      <c r="CD804">
        <v>3360</v>
      </c>
      <c r="CE804">
        <v>384</v>
      </c>
      <c r="CF804">
        <v>144</v>
      </c>
      <c r="CG804">
        <v>0</v>
      </c>
      <c r="CH804">
        <v>0</v>
      </c>
      <c r="CI804">
        <v>0</v>
      </c>
      <c r="CJ804">
        <v>0</v>
      </c>
      <c r="CK804">
        <v>0</v>
      </c>
      <c r="CL804">
        <v>0</v>
      </c>
      <c r="CM804">
        <v>0</v>
      </c>
    </row>
    <row r="805" spans="82:91" x14ac:dyDescent="0.25">
      <c r="CD805">
        <v>3360</v>
      </c>
      <c r="CE805">
        <v>384</v>
      </c>
      <c r="CF805">
        <v>144</v>
      </c>
      <c r="CG805">
        <v>0</v>
      </c>
      <c r="CH805">
        <v>0</v>
      </c>
      <c r="CI805">
        <v>0</v>
      </c>
      <c r="CJ805">
        <v>0</v>
      </c>
      <c r="CK805">
        <v>0</v>
      </c>
      <c r="CL805">
        <v>0</v>
      </c>
      <c r="CM805">
        <v>0</v>
      </c>
    </row>
    <row r="806" spans="82:91" x14ac:dyDescent="0.25">
      <c r="CD806">
        <v>3360</v>
      </c>
      <c r="CE806">
        <v>384</v>
      </c>
      <c r="CF806">
        <v>144</v>
      </c>
      <c r="CG806">
        <v>0</v>
      </c>
      <c r="CH806">
        <v>0</v>
      </c>
      <c r="CI806">
        <v>0</v>
      </c>
      <c r="CJ806">
        <v>0</v>
      </c>
      <c r="CK806">
        <v>0</v>
      </c>
      <c r="CL806">
        <v>0</v>
      </c>
      <c r="CM806">
        <v>0</v>
      </c>
    </row>
    <row r="807" spans="82:91" x14ac:dyDescent="0.25">
      <c r="CD807">
        <v>3360</v>
      </c>
      <c r="CE807">
        <v>384</v>
      </c>
      <c r="CF807">
        <v>144</v>
      </c>
      <c r="CG807">
        <v>0</v>
      </c>
      <c r="CH807">
        <v>0</v>
      </c>
      <c r="CI807">
        <v>0</v>
      </c>
      <c r="CJ807">
        <v>0</v>
      </c>
      <c r="CK807">
        <v>0</v>
      </c>
      <c r="CL807">
        <v>0</v>
      </c>
      <c r="CM807">
        <v>0</v>
      </c>
    </row>
    <row r="808" spans="82:91" x14ac:dyDescent="0.25">
      <c r="CD808">
        <v>3360</v>
      </c>
      <c r="CE808">
        <v>384</v>
      </c>
      <c r="CF808">
        <v>144</v>
      </c>
      <c r="CG808">
        <v>0</v>
      </c>
      <c r="CH808">
        <v>0</v>
      </c>
      <c r="CI808">
        <v>0</v>
      </c>
      <c r="CJ808">
        <v>0</v>
      </c>
      <c r="CK808">
        <v>0</v>
      </c>
      <c r="CL808">
        <v>0</v>
      </c>
      <c r="CM808">
        <v>0</v>
      </c>
    </row>
    <row r="809" spans="82:91" x14ac:dyDescent="0.25">
      <c r="CD809">
        <v>3360</v>
      </c>
      <c r="CE809">
        <v>384</v>
      </c>
      <c r="CF809">
        <v>144</v>
      </c>
      <c r="CG809">
        <v>0</v>
      </c>
      <c r="CH809">
        <v>0</v>
      </c>
      <c r="CI809">
        <v>0</v>
      </c>
      <c r="CJ809">
        <v>0</v>
      </c>
      <c r="CK809">
        <v>0</v>
      </c>
      <c r="CL809">
        <v>0</v>
      </c>
      <c r="CM809">
        <v>0</v>
      </c>
    </row>
    <row r="810" spans="82:91" x14ac:dyDescent="0.25">
      <c r="CD810">
        <v>3360</v>
      </c>
      <c r="CE810">
        <v>384</v>
      </c>
      <c r="CF810">
        <v>144</v>
      </c>
      <c r="CG810">
        <v>0</v>
      </c>
      <c r="CH810">
        <v>0</v>
      </c>
      <c r="CI810">
        <v>0</v>
      </c>
      <c r="CJ810">
        <v>0</v>
      </c>
      <c r="CK810">
        <v>0</v>
      </c>
      <c r="CL810">
        <v>0</v>
      </c>
      <c r="CM810">
        <v>0</v>
      </c>
    </row>
    <row r="811" spans="82:91" x14ac:dyDescent="0.25">
      <c r="CD811">
        <v>3360</v>
      </c>
      <c r="CE811">
        <v>384</v>
      </c>
      <c r="CF811">
        <v>144</v>
      </c>
      <c r="CG811">
        <v>0</v>
      </c>
      <c r="CH811">
        <v>0</v>
      </c>
      <c r="CI811">
        <v>0</v>
      </c>
      <c r="CJ811">
        <v>0</v>
      </c>
      <c r="CK811">
        <v>0</v>
      </c>
      <c r="CL811">
        <v>0</v>
      </c>
      <c r="CM811">
        <v>0</v>
      </c>
    </row>
    <row r="812" spans="82:91" x14ac:dyDescent="0.25">
      <c r="CD812">
        <v>3360</v>
      </c>
      <c r="CE812">
        <v>384</v>
      </c>
      <c r="CF812">
        <v>144</v>
      </c>
      <c r="CG812">
        <v>0</v>
      </c>
      <c r="CH812">
        <v>0</v>
      </c>
      <c r="CI812">
        <v>0</v>
      </c>
      <c r="CJ812">
        <v>0</v>
      </c>
      <c r="CK812">
        <v>0</v>
      </c>
      <c r="CL812">
        <v>0</v>
      </c>
      <c r="CM812">
        <v>0</v>
      </c>
    </row>
    <row r="813" spans="82:91" x14ac:dyDescent="0.25">
      <c r="CD813">
        <v>3360</v>
      </c>
      <c r="CE813">
        <v>384</v>
      </c>
      <c r="CF813">
        <v>144</v>
      </c>
      <c r="CG813">
        <v>0</v>
      </c>
      <c r="CH813">
        <v>0</v>
      </c>
      <c r="CI813">
        <v>0</v>
      </c>
      <c r="CJ813">
        <v>0</v>
      </c>
      <c r="CK813">
        <v>0</v>
      </c>
      <c r="CL813">
        <v>0</v>
      </c>
      <c r="CM813">
        <v>0</v>
      </c>
    </row>
    <row r="814" spans="82:91" x14ac:dyDescent="0.25">
      <c r="CD814">
        <v>3360</v>
      </c>
      <c r="CE814">
        <v>384</v>
      </c>
      <c r="CF814">
        <v>144</v>
      </c>
      <c r="CG814">
        <v>0</v>
      </c>
      <c r="CH814">
        <v>0</v>
      </c>
      <c r="CI814">
        <v>0</v>
      </c>
      <c r="CJ814">
        <v>0</v>
      </c>
      <c r="CK814">
        <v>0</v>
      </c>
      <c r="CL814">
        <v>0</v>
      </c>
      <c r="CM814">
        <v>0</v>
      </c>
    </row>
    <row r="815" spans="82:91" x14ac:dyDescent="0.25">
      <c r="CD815">
        <v>3360</v>
      </c>
      <c r="CE815">
        <v>384</v>
      </c>
      <c r="CF815">
        <v>144</v>
      </c>
      <c r="CG815">
        <v>0</v>
      </c>
      <c r="CH815">
        <v>0</v>
      </c>
      <c r="CI815">
        <v>0</v>
      </c>
      <c r="CJ815">
        <v>0</v>
      </c>
      <c r="CK815">
        <v>0</v>
      </c>
      <c r="CL815">
        <v>0</v>
      </c>
      <c r="CM815">
        <v>0</v>
      </c>
    </row>
    <row r="816" spans="82:91" x14ac:dyDescent="0.25">
      <c r="CD816">
        <v>3360</v>
      </c>
      <c r="CE816">
        <v>384</v>
      </c>
      <c r="CF816">
        <v>144</v>
      </c>
      <c r="CG816">
        <v>0</v>
      </c>
      <c r="CH816">
        <v>0</v>
      </c>
      <c r="CI816">
        <v>0</v>
      </c>
      <c r="CJ816">
        <v>0</v>
      </c>
      <c r="CK816">
        <v>0</v>
      </c>
      <c r="CL816">
        <v>0</v>
      </c>
      <c r="CM816">
        <v>0</v>
      </c>
    </row>
    <row r="817" spans="82:91" x14ac:dyDescent="0.25">
      <c r="CD817">
        <v>3360</v>
      </c>
      <c r="CE817">
        <v>384</v>
      </c>
      <c r="CF817">
        <v>144</v>
      </c>
      <c r="CG817">
        <v>0</v>
      </c>
      <c r="CH817">
        <v>0</v>
      </c>
      <c r="CI817">
        <v>0</v>
      </c>
      <c r="CJ817">
        <v>0</v>
      </c>
      <c r="CK817">
        <v>0</v>
      </c>
      <c r="CL817">
        <v>0</v>
      </c>
      <c r="CM817">
        <v>0</v>
      </c>
    </row>
    <row r="818" spans="82:91" x14ac:dyDescent="0.25">
      <c r="CD818">
        <v>3360</v>
      </c>
      <c r="CE818">
        <v>384</v>
      </c>
      <c r="CF818">
        <v>144</v>
      </c>
      <c r="CG818">
        <v>0</v>
      </c>
      <c r="CH818">
        <v>0</v>
      </c>
      <c r="CI818">
        <v>0</v>
      </c>
      <c r="CJ818">
        <v>0</v>
      </c>
      <c r="CK818">
        <v>0</v>
      </c>
      <c r="CL818">
        <v>0</v>
      </c>
      <c r="CM818">
        <v>0</v>
      </c>
    </row>
    <row r="819" spans="82:91" x14ac:dyDescent="0.25">
      <c r="CD819">
        <v>3360</v>
      </c>
      <c r="CE819">
        <v>384</v>
      </c>
      <c r="CF819">
        <v>144</v>
      </c>
      <c r="CG819">
        <v>0</v>
      </c>
      <c r="CH819">
        <v>0</v>
      </c>
      <c r="CI819">
        <v>0</v>
      </c>
      <c r="CJ819">
        <v>0</v>
      </c>
      <c r="CK819">
        <v>0</v>
      </c>
      <c r="CL819">
        <v>0</v>
      </c>
      <c r="CM819">
        <v>0</v>
      </c>
    </row>
    <row r="820" spans="82:91" x14ac:dyDescent="0.25">
      <c r="CD820">
        <v>3360</v>
      </c>
      <c r="CE820">
        <v>384</v>
      </c>
      <c r="CF820">
        <v>144</v>
      </c>
      <c r="CG820">
        <v>0</v>
      </c>
      <c r="CH820">
        <v>0</v>
      </c>
      <c r="CI820">
        <v>0</v>
      </c>
      <c r="CJ820">
        <v>0</v>
      </c>
      <c r="CK820">
        <v>0</v>
      </c>
      <c r="CL820">
        <v>0</v>
      </c>
      <c r="CM820">
        <v>0</v>
      </c>
    </row>
    <row r="821" spans="82:91" x14ac:dyDescent="0.25">
      <c r="CD821">
        <v>3360</v>
      </c>
      <c r="CE821">
        <v>384</v>
      </c>
      <c r="CF821">
        <v>144</v>
      </c>
      <c r="CG821">
        <v>0</v>
      </c>
      <c r="CH821">
        <v>0</v>
      </c>
      <c r="CI821">
        <v>0</v>
      </c>
      <c r="CJ821">
        <v>0</v>
      </c>
      <c r="CK821">
        <v>0</v>
      </c>
      <c r="CL821">
        <v>0</v>
      </c>
      <c r="CM821">
        <v>0</v>
      </c>
    </row>
    <row r="822" spans="82:91" x14ac:dyDescent="0.25">
      <c r="CD822">
        <v>3360</v>
      </c>
      <c r="CE822">
        <v>384</v>
      </c>
      <c r="CF822">
        <v>144</v>
      </c>
      <c r="CG822">
        <v>0</v>
      </c>
      <c r="CH822">
        <v>0</v>
      </c>
      <c r="CI822">
        <v>0</v>
      </c>
      <c r="CJ822">
        <v>0</v>
      </c>
      <c r="CK822">
        <v>0</v>
      </c>
      <c r="CL822">
        <v>0</v>
      </c>
      <c r="CM822">
        <v>0</v>
      </c>
    </row>
    <row r="823" spans="82:91" x14ac:dyDescent="0.25">
      <c r="CD823">
        <v>3360</v>
      </c>
      <c r="CE823">
        <v>384</v>
      </c>
      <c r="CF823">
        <v>144</v>
      </c>
      <c r="CG823">
        <v>0</v>
      </c>
      <c r="CH823">
        <v>0</v>
      </c>
      <c r="CI823">
        <v>0</v>
      </c>
      <c r="CJ823">
        <v>0</v>
      </c>
      <c r="CK823">
        <v>0</v>
      </c>
      <c r="CL823">
        <v>0</v>
      </c>
      <c r="CM823">
        <v>0</v>
      </c>
    </row>
    <row r="824" spans="82:91" x14ac:dyDescent="0.25">
      <c r="CD824">
        <v>3360</v>
      </c>
      <c r="CE824">
        <v>384</v>
      </c>
      <c r="CF824">
        <v>144</v>
      </c>
      <c r="CG824">
        <v>0</v>
      </c>
      <c r="CH824">
        <v>0</v>
      </c>
      <c r="CI824">
        <v>0</v>
      </c>
      <c r="CJ824">
        <v>0</v>
      </c>
      <c r="CK824">
        <v>0</v>
      </c>
      <c r="CL824">
        <v>0</v>
      </c>
      <c r="CM824">
        <v>0</v>
      </c>
    </row>
    <row r="825" spans="82:91" x14ac:dyDescent="0.25">
      <c r="CD825">
        <v>3360</v>
      </c>
      <c r="CE825">
        <v>384</v>
      </c>
      <c r="CF825">
        <v>144</v>
      </c>
      <c r="CG825">
        <v>0</v>
      </c>
      <c r="CH825">
        <v>0</v>
      </c>
      <c r="CI825">
        <v>0</v>
      </c>
      <c r="CJ825">
        <v>0</v>
      </c>
      <c r="CK825">
        <v>0</v>
      </c>
      <c r="CL825">
        <v>0</v>
      </c>
      <c r="CM825">
        <v>0</v>
      </c>
    </row>
    <row r="826" spans="82:91" x14ac:dyDescent="0.25">
      <c r="CD826">
        <v>3360</v>
      </c>
      <c r="CE826">
        <v>384</v>
      </c>
      <c r="CF826">
        <v>144</v>
      </c>
      <c r="CG826">
        <v>0</v>
      </c>
      <c r="CH826">
        <v>0</v>
      </c>
      <c r="CI826">
        <v>0</v>
      </c>
      <c r="CJ826">
        <v>0</v>
      </c>
      <c r="CK826">
        <v>0</v>
      </c>
      <c r="CL826">
        <v>0</v>
      </c>
      <c r="CM826">
        <v>0</v>
      </c>
    </row>
    <row r="827" spans="82:91" x14ac:dyDescent="0.25">
      <c r="CD827">
        <v>3360</v>
      </c>
      <c r="CE827">
        <v>384</v>
      </c>
      <c r="CF827">
        <v>144</v>
      </c>
      <c r="CG827">
        <v>0</v>
      </c>
      <c r="CH827">
        <v>0</v>
      </c>
      <c r="CI827">
        <v>0</v>
      </c>
      <c r="CJ827">
        <v>0</v>
      </c>
      <c r="CK827">
        <v>0</v>
      </c>
      <c r="CL827">
        <v>0</v>
      </c>
      <c r="CM827">
        <v>0</v>
      </c>
    </row>
    <row r="828" spans="82:91" x14ac:dyDescent="0.25">
      <c r="CD828">
        <v>3360</v>
      </c>
      <c r="CE828">
        <v>384</v>
      </c>
      <c r="CF828">
        <v>144</v>
      </c>
      <c r="CG828">
        <v>0</v>
      </c>
      <c r="CH828">
        <v>0</v>
      </c>
      <c r="CI828">
        <v>0</v>
      </c>
      <c r="CJ828">
        <v>0</v>
      </c>
      <c r="CK828">
        <v>0</v>
      </c>
      <c r="CL828">
        <v>0</v>
      </c>
      <c r="CM828">
        <v>0</v>
      </c>
    </row>
    <row r="829" spans="82:91" x14ac:dyDescent="0.25">
      <c r="CD829">
        <v>3360</v>
      </c>
      <c r="CE829">
        <v>384</v>
      </c>
      <c r="CF829">
        <v>144</v>
      </c>
      <c r="CG829">
        <v>0</v>
      </c>
      <c r="CH829">
        <v>0</v>
      </c>
      <c r="CI829">
        <v>0</v>
      </c>
      <c r="CJ829">
        <v>0</v>
      </c>
      <c r="CK829">
        <v>0</v>
      </c>
      <c r="CL829">
        <v>0</v>
      </c>
      <c r="CM829">
        <v>0</v>
      </c>
    </row>
    <row r="830" spans="82:91" x14ac:dyDescent="0.25">
      <c r="CD830">
        <v>3360</v>
      </c>
      <c r="CE830">
        <v>384</v>
      </c>
      <c r="CF830">
        <v>144</v>
      </c>
      <c r="CG830">
        <v>0</v>
      </c>
      <c r="CH830">
        <v>0</v>
      </c>
      <c r="CI830">
        <v>0</v>
      </c>
      <c r="CJ830">
        <v>0</v>
      </c>
      <c r="CK830">
        <v>0</v>
      </c>
      <c r="CL830">
        <v>0</v>
      </c>
      <c r="CM830">
        <v>0</v>
      </c>
    </row>
    <row r="831" spans="82:91" x14ac:dyDescent="0.25">
      <c r="CD831">
        <v>3360</v>
      </c>
      <c r="CE831">
        <v>384</v>
      </c>
      <c r="CF831">
        <v>144</v>
      </c>
      <c r="CG831">
        <v>0</v>
      </c>
      <c r="CH831">
        <v>0</v>
      </c>
      <c r="CI831">
        <v>0</v>
      </c>
      <c r="CJ831">
        <v>0</v>
      </c>
      <c r="CK831">
        <v>0</v>
      </c>
      <c r="CL831">
        <v>0</v>
      </c>
      <c r="CM831">
        <v>0</v>
      </c>
    </row>
    <row r="832" spans="82:91" x14ac:dyDescent="0.25">
      <c r="CD832">
        <v>3360</v>
      </c>
      <c r="CE832">
        <v>384</v>
      </c>
      <c r="CF832">
        <v>144</v>
      </c>
      <c r="CG832">
        <v>0</v>
      </c>
      <c r="CH832">
        <v>0</v>
      </c>
      <c r="CI832">
        <v>0</v>
      </c>
      <c r="CJ832">
        <v>0</v>
      </c>
      <c r="CK832">
        <v>0</v>
      </c>
      <c r="CL832">
        <v>0</v>
      </c>
      <c r="CM832">
        <v>0</v>
      </c>
    </row>
    <row r="833" spans="82:91" x14ac:dyDescent="0.25">
      <c r="CD833">
        <v>3360</v>
      </c>
      <c r="CE833">
        <v>384</v>
      </c>
      <c r="CF833">
        <v>144</v>
      </c>
      <c r="CG833">
        <v>0</v>
      </c>
      <c r="CH833">
        <v>0</v>
      </c>
      <c r="CI833">
        <v>0</v>
      </c>
      <c r="CJ833">
        <v>0</v>
      </c>
      <c r="CK833">
        <v>0</v>
      </c>
      <c r="CL833">
        <v>0</v>
      </c>
      <c r="CM833">
        <v>0</v>
      </c>
    </row>
    <row r="834" spans="82:91" x14ac:dyDescent="0.25">
      <c r="CD834">
        <v>3360</v>
      </c>
      <c r="CE834">
        <v>384</v>
      </c>
      <c r="CF834">
        <v>144</v>
      </c>
      <c r="CG834">
        <v>0</v>
      </c>
      <c r="CH834">
        <v>0</v>
      </c>
      <c r="CI834">
        <v>0</v>
      </c>
      <c r="CJ834">
        <v>0</v>
      </c>
      <c r="CK834">
        <v>0</v>
      </c>
      <c r="CL834">
        <v>0</v>
      </c>
      <c r="CM834">
        <v>0</v>
      </c>
    </row>
    <row r="835" spans="82:91" x14ac:dyDescent="0.25">
      <c r="CD835">
        <v>3360</v>
      </c>
      <c r="CE835">
        <v>384</v>
      </c>
      <c r="CF835">
        <v>144</v>
      </c>
      <c r="CG835">
        <v>0</v>
      </c>
      <c r="CH835">
        <v>0</v>
      </c>
      <c r="CI835">
        <v>0</v>
      </c>
      <c r="CJ835">
        <v>0</v>
      </c>
      <c r="CK835">
        <v>0</v>
      </c>
      <c r="CL835">
        <v>0</v>
      </c>
      <c r="CM835">
        <v>0</v>
      </c>
    </row>
    <row r="836" spans="82:91" x14ac:dyDescent="0.25">
      <c r="CD836">
        <v>3360</v>
      </c>
      <c r="CE836">
        <v>384</v>
      </c>
      <c r="CF836">
        <v>144</v>
      </c>
      <c r="CG836">
        <v>0</v>
      </c>
      <c r="CH836">
        <v>0</v>
      </c>
      <c r="CI836">
        <v>0</v>
      </c>
      <c r="CJ836">
        <v>0</v>
      </c>
      <c r="CK836">
        <v>0</v>
      </c>
      <c r="CL836">
        <v>0</v>
      </c>
      <c r="CM836">
        <v>0</v>
      </c>
    </row>
    <row r="837" spans="82:91" x14ac:dyDescent="0.25">
      <c r="CD837">
        <v>3360</v>
      </c>
      <c r="CE837">
        <v>384</v>
      </c>
      <c r="CF837">
        <v>144</v>
      </c>
      <c r="CG837">
        <v>0</v>
      </c>
      <c r="CH837">
        <v>0</v>
      </c>
      <c r="CI837">
        <v>0</v>
      </c>
      <c r="CJ837">
        <v>0</v>
      </c>
      <c r="CK837">
        <v>0</v>
      </c>
      <c r="CL837">
        <v>0</v>
      </c>
      <c r="CM837">
        <v>0</v>
      </c>
    </row>
    <row r="838" spans="82:91" x14ac:dyDescent="0.25">
      <c r="CD838">
        <v>3360</v>
      </c>
      <c r="CE838">
        <v>384</v>
      </c>
      <c r="CF838">
        <v>144</v>
      </c>
      <c r="CG838">
        <v>0</v>
      </c>
      <c r="CH838">
        <v>0</v>
      </c>
      <c r="CI838">
        <v>0</v>
      </c>
      <c r="CJ838">
        <v>0</v>
      </c>
      <c r="CK838">
        <v>0</v>
      </c>
      <c r="CL838">
        <v>0</v>
      </c>
      <c r="CM838">
        <v>0</v>
      </c>
    </row>
    <row r="839" spans="82:91" x14ac:dyDescent="0.25">
      <c r="CD839">
        <v>3360</v>
      </c>
      <c r="CE839">
        <v>384</v>
      </c>
      <c r="CF839">
        <v>144</v>
      </c>
      <c r="CG839">
        <v>0</v>
      </c>
      <c r="CH839">
        <v>0</v>
      </c>
      <c r="CI839">
        <v>0</v>
      </c>
      <c r="CJ839">
        <v>0</v>
      </c>
      <c r="CK839">
        <v>0</v>
      </c>
      <c r="CL839">
        <v>0</v>
      </c>
      <c r="CM839">
        <v>0</v>
      </c>
    </row>
    <row r="840" spans="82:91" x14ac:dyDescent="0.25">
      <c r="CD840">
        <v>3360</v>
      </c>
      <c r="CE840">
        <v>384</v>
      </c>
      <c r="CF840">
        <v>144</v>
      </c>
      <c r="CG840">
        <v>0</v>
      </c>
      <c r="CH840">
        <v>0</v>
      </c>
      <c r="CI840">
        <v>0</v>
      </c>
      <c r="CJ840">
        <v>0</v>
      </c>
      <c r="CK840">
        <v>0</v>
      </c>
      <c r="CL840">
        <v>0</v>
      </c>
      <c r="CM840">
        <v>0</v>
      </c>
    </row>
    <row r="841" spans="82:91" x14ac:dyDescent="0.25">
      <c r="CD841">
        <v>3360</v>
      </c>
      <c r="CE841">
        <v>384</v>
      </c>
      <c r="CF841">
        <v>144</v>
      </c>
      <c r="CG841">
        <v>0</v>
      </c>
      <c r="CH841">
        <v>0</v>
      </c>
      <c r="CI841">
        <v>0</v>
      </c>
      <c r="CJ841">
        <v>0</v>
      </c>
      <c r="CK841">
        <v>0</v>
      </c>
      <c r="CL841">
        <v>0</v>
      </c>
      <c r="CM841">
        <v>0</v>
      </c>
    </row>
    <row r="842" spans="82:91" x14ac:dyDescent="0.25">
      <c r="CD842">
        <v>3360</v>
      </c>
      <c r="CE842">
        <v>384</v>
      </c>
      <c r="CF842">
        <v>144</v>
      </c>
      <c r="CG842">
        <v>0</v>
      </c>
      <c r="CH842">
        <v>0</v>
      </c>
      <c r="CI842">
        <v>0</v>
      </c>
      <c r="CJ842">
        <v>0</v>
      </c>
      <c r="CK842">
        <v>0</v>
      </c>
      <c r="CL842">
        <v>0</v>
      </c>
      <c r="CM842">
        <v>0</v>
      </c>
    </row>
    <row r="843" spans="82:91" x14ac:dyDescent="0.25">
      <c r="CD843">
        <v>3360</v>
      </c>
      <c r="CE843">
        <v>384</v>
      </c>
      <c r="CF843">
        <v>144</v>
      </c>
      <c r="CG843">
        <v>0</v>
      </c>
      <c r="CH843">
        <v>0</v>
      </c>
      <c r="CI843">
        <v>0</v>
      </c>
      <c r="CJ843">
        <v>0</v>
      </c>
      <c r="CK843">
        <v>0</v>
      </c>
      <c r="CL843">
        <v>0</v>
      </c>
      <c r="CM843">
        <v>0</v>
      </c>
    </row>
    <row r="844" spans="82:91" x14ac:dyDescent="0.25">
      <c r="CD844">
        <v>3360</v>
      </c>
      <c r="CE844">
        <v>384</v>
      </c>
      <c r="CF844">
        <v>144</v>
      </c>
      <c r="CG844">
        <v>0</v>
      </c>
      <c r="CH844">
        <v>0</v>
      </c>
      <c r="CI844">
        <v>0</v>
      </c>
      <c r="CJ844">
        <v>0</v>
      </c>
      <c r="CK844">
        <v>0</v>
      </c>
      <c r="CL844">
        <v>0</v>
      </c>
      <c r="CM844">
        <v>0</v>
      </c>
    </row>
    <row r="845" spans="82:91" x14ac:dyDescent="0.25">
      <c r="CD845">
        <v>3360</v>
      </c>
      <c r="CE845">
        <v>384</v>
      </c>
      <c r="CF845">
        <v>144</v>
      </c>
      <c r="CG845">
        <v>0</v>
      </c>
      <c r="CH845">
        <v>0</v>
      </c>
      <c r="CI845">
        <v>0</v>
      </c>
      <c r="CJ845">
        <v>0</v>
      </c>
      <c r="CK845">
        <v>0</v>
      </c>
      <c r="CL845">
        <v>0</v>
      </c>
      <c r="CM845">
        <v>0</v>
      </c>
    </row>
    <row r="846" spans="82:91" x14ac:dyDescent="0.25">
      <c r="CD846">
        <v>3360</v>
      </c>
      <c r="CE846">
        <v>384</v>
      </c>
      <c r="CF846">
        <v>144</v>
      </c>
      <c r="CG846">
        <v>0</v>
      </c>
      <c r="CH846">
        <v>0</v>
      </c>
      <c r="CI846">
        <v>0</v>
      </c>
      <c r="CJ846">
        <v>0</v>
      </c>
      <c r="CK846">
        <v>0</v>
      </c>
      <c r="CL846">
        <v>0</v>
      </c>
      <c r="CM846">
        <v>0</v>
      </c>
    </row>
    <row r="847" spans="82:91" x14ac:dyDescent="0.25">
      <c r="CD847">
        <v>3360</v>
      </c>
      <c r="CE847">
        <v>384</v>
      </c>
      <c r="CF847">
        <v>144</v>
      </c>
      <c r="CG847">
        <v>0</v>
      </c>
      <c r="CH847">
        <v>0</v>
      </c>
      <c r="CI847">
        <v>0</v>
      </c>
      <c r="CJ847">
        <v>0</v>
      </c>
      <c r="CK847">
        <v>0</v>
      </c>
      <c r="CL847">
        <v>0</v>
      </c>
      <c r="CM847">
        <v>0</v>
      </c>
    </row>
    <row r="848" spans="82:91" x14ac:dyDescent="0.25">
      <c r="CD848">
        <v>3360</v>
      </c>
      <c r="CE848">
        <v>384</v>
      </c>
      <c r="CF848">
        <v>144</v>
      </c>
      <c r="CG848">
        <v>0</v>
      </c>
      <c r="CH848">
        <v>0</v>
      </c>
      <c r="CI848">
        <v>0</v>
      </c>
      <c r="CJ848">
        <v>0</v>
      </c>
      <c r="CK848">
        <v>0</v>
      </c>
      <c r="CL848">
        <v>0</v>
      </c>
      <c r="CM848">
        <v>0</v>
      </c>
    </row>
    <row r="849" spans="82:91" x14ac:dyDescent="0.25">
      <c r="CD849">
        <v>3360</v>
      </c>
      <c r="CE849">
        <v>384</v>
      </c>
      <c r="CF849">
        <v>144</v>
      </c>
      <c r="CG849">
        <v>0</v>
      </c>
      <c r="CH849">
        <v>0</v>
      </c>
      <c r="CI849">
        <v>0</v>
      </c>
      <c r="CJ849">
        <v>0</v>
      </c>
      <c r="CK849">
        <v>0</v>
      </c>
      <c r="CL849">
        <v>0</v>
      </c>
      <c r="CM849">
        <v>0</v>
      </c>
    </row>
    <row r="850" spans="82:91" x14ac:dyDescent="0.25">
      <c r="CD850">
        <v>3360</v>
      </c>
      <c r="CE850">
        <v>384</v>
      </c>
      <c r="CF850">
        <v>144</v>
      </c>
      <c r="CG850">
        <v>0</v>
      </c>
      <c r="CH850">
        <v>0</v>
      </c>
      <c r="CI850">
        <v>0</v>
      </c>
      <c r="CJ850">
        <v>0</v>
      </c>
      <c r="CK850">
        <v>0</v>
      </c>
      <c r="CL850">
        <v>0</v>
      </c>
      <c r="CM850">
        <v>0</v>
      </c>
    </row>
    <row r="851" spans="82:91" x14ac:dyDescent="0.25">
      <c r="CD851">
        <v>3360</v>
      </c>
      <c r="CE851">
        <v>384</v>
      </c>
      <c r="CF851">
        <v>144</v>
      </c>
      <c r="CG851">
        <v>0</v>
      </c>
      <c r="CH851">
        <v>0</v>
      </c>
      <c r="CI851">
        <v>0</v>
      </c>
      <c r="CJ851">
        <v>0</v>
      </c>
      <c r="CK851">
        <v>0</v>
      </c>
      <c r="CL851">
        <v>0</v>
      </c>
      <c r="CM851">
        <v>0</v>
      </c>
    </row>
    <row r="852" spans="82:91" x14ac:dyDescent="0.25">
      <c r="CD852">
        <v>3360</v>
      </c>
      <c r="CE852">
        <v>384</v>
      </c>
      <c r="CF852">
        <v>144</v>
      </c>
      <c r="CG852">
        <v>0</v>
      </c>
      <c r="CH852">
        <v>0</v>
      </c>
      <c r="CI852">
        <v>0</v>
      </c>
      <c r="CJ852">
        <v>0</v>
      </c>
      <c r="CK852">
        <v>0</v>
      </c>
      <c r="CL852">
        <v>0</v>
      </c>
      <c r="CM852">
        <v>0</v>
      </c>
    </row>
    <row r="853" spans="82:91" x14ac:dyDescent="0.25">
      <c r="CD853">
        <v>3360</v>
      </c>
      <c r="CE853">
        <v>384</v>
      </c>
      <c r="CF853">
        <v>144</v>
      </c>
      <c r="CG853">
        <v>0</v>
      </c>
      <c r="CH853">
        <v>0</v>
      </c>
      <c r="CI853">
        <v>0</v>
      </c>
      <c r="CJ853">
        <v>0</v>
      </c>
      <c r="CK853">
        <v>0</v>
      </c>
      <c r="CL853">
        <v>0</v>
      </c>
      <c r="CM853">
        <v>0</v>
      </c>
    </row>
    <row r="854" spans="82:91" x14ac:dyDescent="0.25">
      <c r="CD854">
        <v>3360</v>
      </c>
      <c r="CE854">
        <v>384</v>
      </c>
      <c r="CF854">
        <v>144</v>
      </c>
      <c r="CG854">
        <v>0</v>
      </c>
      <c r="CH854">
        <v>0</v>
      </c>
      <c r="CI854">
        <v>0</v>
      </c>
      <c r="CJ854">
        <v>0</v>
      </c>
      <c r="CK854">
        <v>0</v>
      </c>
      <c r="CL854">
        <v>0</v>
      </c>
      <c r="CM854">
        <v>0</v>
      </c>
    </row>
    <row r="855" spans="82:91" x14ac:dyDescent="0.25">
      <c r="CD855">
        <v>3360</v>
      </c>
      <c r="CE855">
        <v>384</v>
      </c>
      <c r="CF855">
        <v>144</v>
      </c>
      <c r="CG855">
        <v>0</v>
      </c>
      <c r="CH855">
        <v>0</v>
      </c>
      <c r="CI855">
        <v>0</v>
      </c>
      <c r="CJ855">
        <v>0</v>
      </c>
      <c r="CK855">
        <v>0</v>
      </c>
      <c r="CL855">
        <v>0</v>
      </c>
      <c r="CM855">
        <v>0</v>
      </c>
    </row>
    <row r="856" spans="82:91" x14ac:dyDescent="0.25">
      <c r="CD856">
        <v>3360</v>
      </c>
      <c r="CE856">
        <v>384</v>
      </c>
      <c r="CF856">
        <v>144</v>
      </c>
      <c r="CG856">
        <v>0</v>
      </c>
      <c r="CH856">
        <v>0</v>
      </c>
      <c r="CI856">
        <v>0</v>
      </c>
      <c r="CJ856">
        <v>0</v>
      </c>
      <c r="CK856">
        <v>0</v>
      </c>
      <c r="CL856">
        <v>0</v>
      </c>
      <c r="CM856">
        <v>0</v>
      </c>
    </row>
    <row r="857" spans="82:91" x14ac:dyDescent="0.25">
      <c r="CD857">
        <v>3360</v>
      </c>
      <c r="CE857">
        <v>384</v>
      </c>
      <c r="CF857">
        <v>144</v>
      </c>
      <c r="CG857">
        <v>0</v>
      </c>
      <c r="CH857">
        <v>0</v>
      </c>
      <c r="CI857">
        <v>0</v>
      </c>
      <c r="CJ857">
        <v>0</v>
      </c>
      <c r="CK857">
        <v>0</v>
      </c>
      <c r="CL857">
        <v>0</v>
      </c>
      <c r="CM857">
        <v>0</v>
      </c>
    </row>
    <row r="858" spans="82:91" x14ac:dyDescent="0.25">
      <c r="CD858">
        <v>3360</v>
      </c>
      <c r="CE858">
        <v>384</v>
      </c>
      <c r="CF858">
        <v>144</v>
      </c>
      <c r="CG858">
        <v>0</v>
      </c>
      <c r="CH858">
        <v>0</v>
      </c>
      <c r="CI858">
        <v>0</v>
      </c>
      <c r="CJ858">
        <v>0</v>
      </c>
      <c r="CK858">
        <v>0</v>
      </c>
      <c r="CL858">
        <v>0</v>
      </c>
      <c r="CM858">
        <v>0</v>
      </c>
    </row>
    <row r="859" spans="82:91" x14ac:dyDescent="0.25">
      <c r="CD859">
        <v>3360</v>
      </c>
      <c r="CE859">
        <v>384</v>
      </c>
      <c r="CF859">
        <v>144</v>
      </c>
      <c r="CG859">
        <v>0</v>
      </c>
      <c r="CH859">
        <v>0</v>
      </c>
      <c r="CI859">
        <v>0</v>
      </c>
      <c r="CJ859">
        <v>0</v>
      </c>
      <c r="CK859">
        <v>0</v>
      </c>
      <c r="CL859">
        <v>0</v>
      </c>
      <c r="CM859">
        <v>0</v>
      </c>
    </row>
    <row r="860" spans="82:91" x14ac:dyDescent="0.25">
      <c r="CD860">
        <v>3360</v>
      </c>
      <c r="CE860">
        <v>384</v>
      </c>
      <c r="CF860">
        <v>144</v>
      </c>
      <c r="CG860">
        <v>0</v>
      </c>
      <c r="CH860">
        <v>0</v>
      </c>
      <c r="CI860">
        <v>0</v>
      </c>
      <c r="CJ860">
        <v>0</v>
      </c>
      <c r="CK860">
        <v>0</v>
      </c>
      <c r="CL860">
        <v>0</v>
      </c>
      <c r="CM860">
        <v>0</v>
      </c>
    </row>
    <row r="861" spans="82:91" x14ac:dyDescent="0.25">
      <c r="CD861">
        <v>3360</v>
      </c>
      <c r="CE861">
        <v>384</v>
      </c>
      <c r="CF861">
        <v>144</v>
      </c>
      <c r="CG861">
        <v>0</v>
      </c>
      <c r="CH861">
        <v>0</v>
      </c>
      <c r="CI861">
        <v>0</v>
      </c>
      <c r="CJ861">
        <v>0</v>
      </c>
      <c r="CK861">
        <v>0</v>
      </c>
      <c r="CL861">
        <v>0</v>
      </c>
      <c r="CM861">
        <v>0</v>
      </c>
    </row>
    <row r="862" spans="82:91" x14ac:dyDescent="0.25">
      <c r="CD862">
        <v>3360</v>
      </c>
      <c r="CE862">
        <v>384</v>
      </c>
      <c r="CF862">
        <v>144</v>
      </c>
      <c r="CG862">
        <v>0</v>
      </c>
      <c r="CH862">
        <v>0</v>
      </c>
      <c r="CI862">
        <v>0</v>
      </c>
      <c r="CJ862">
        <v>0</v>
      </c>
      <c r="CK862">
        <v>0</v>
      </c>
      <c r="CL862">
        <v>0</v>
      </c>
      <c r="CM862">
        <v>0</v>
      </c>
    </row>
    <row r="863" spans="82:91" x14ac:dyDescent="0.25">
      <c r="CD863">
        <v>3360</v>
      </c>
      <c r="CE863">
        <v>384</v>
      </c>
      <c r="CF863">
        <v>144</v>
      </c>
      <c r="CG863">
        <v>0</v>
      </c>
      <c r="CH863">
        <v>0</v>
      </c>
      <c r="CI863">
        <v>0</v>
      </c>
      <c r="CJ863">
        <v>0</v>
      </c>
      <c r="CK863">
        <v>0</v>
      </c>
      <c r="CL863">
        <v>0</v>
      </c>
      <c r="CM863">
        <v>0</v>
      </c>
    </row>
    <row r="864" spans="82:91" x14ac:dyDescent="0.25">
      <c r="CD864">
        <v>3360</v>
      </c>
      <c r="CE864">
        <v>384</v>
      </c>
      <c r="CF864">
        <v>144</v>
      </c>
      <c r="CG864">
        <v>0</v>
      </c>
      <c r="CH864">
        <v>0</v>
      </c>
      <c r="CI864">
        <v>0</v>
      </c>
      <c r="CJ864">
        <v>0</v>
      </c>
      <c r="CK864">
        <v>0</v>
      </c>
      <c r="CL864">
        <v>0</v>
      </c>
      <c r="CM864">
        <v>0</v>
      </c>
    </row>
    <row r="865" spans="82:91" x14ac:dyDescent="0.25">
      <c r="CD865">
        <v>3360</v>
      </c>
      <c r="CE865">
        <v>384</v>
      </c>
      <c r="CF865">
        <v>144</v>
      </c>
      <c r="CG865">
        <v>0</v>
      </c>
      <c r="CH865">
        <v>0</v>
      </c>
      <c r="CI865">
        <v>0</v>
      </c>
      <c r="CJ865">
        <v>0</v>
      </c>
      <c r="CK865">
        <v>0</v>
      </c>
      <c r="CL865">
        <v>0</v>
      </c>
      <c r="CM865">
        <v>0</v>
      </c>
    </row>
    <row r="866" spans="82:91" x14ac:dyDescent="0.25">
      <c r="CD866">
        <v>3360</v>
      </c>
      <c r="CE866">
        <v>384</v>
      </c>
      <c r="CF866">
        <v>144</v>
      </c>
      <c r="CG866">
        <v>0</v>
      </c>
      <c r="CH866">
        <v>0</v>
      </c>
      <c r="CI866">
        <v>0</v>
      </c>
      <c r="CJ866">
        <v>0</v>
      </c>
      <c r="CK866">
        <v>0</v>
      </c>
      <c r="CL866">
        <v>0</v>
      </c>
      <c r="CM866">
        <v>0</v>
      </c>
    </row>
    <row r="867" spans="82:91" x14ac:dyDescent="0.25">
      <c r="CD867">
        <v>3360</v>
      </c>
      <c r="CE867">
        <v>384</v>
      </c>
      <c r="CF867">
        <v>144</v>
      </c>
      <c r="CG867">
        <v>0</v>
      </c>
      <c r="CH867">
        <v>0</v>
      </c>
      <c r="CI867">
        <v>0</v>
      </c>
      <c r="CJ867">
        <v>0</v>
      </c>
      <c r="CK867">
        <v>0</v>
      </c>
      <c r="CL867">
        <v>0</v>
      </c>
      <c r="CM867">
        <v>0</v>
      </c>
    </row>
    <row r="868" spans="82:91" x14ac:dyDescent="0.25">
      <c r="CD868">
        <v>3360</v>
      </c>
      <c r="CE868">
        <v>384</v>
      </c>
      <c r="CF868">
        <v>144</v>
      </c>
      <c r="CG868">
        <v>0</v>
      </c>
      <c r="CH868">
        <v>0</v>
      </c>
      <c r="CI868">
        <v>0</v>
      </c>
      <c r="CJ868">
        <v>0</v>
      </c>
      <c r="CK868">
        <v>0</v>
      </c>
      <c r="CL868">
        <v>0</v>
      </c>
      <c r="CM868">
        <v>0</v>
      </c>
    </row>
    <row r="869" spans="82:91" x14ac:dyDescent="0.25">
      <c r="CD869">
        <v>3360</v>
      </c>
      <c r="CE869">
        <v>384</v>
      </c>
      <c r="CF869">
        <v>144</v>
      </c>
      <c r="CG869">
        <v>0</v>
      </c>
      <c r="CH869">
        <v>0</v>
      </c>
      <c r="CI869">
        <v>0</v>
      </c>
      <c r="CJ869">
        <v>0</v>
      </c>
      <c r="CK869">
        <v>0</v>
      </c>
      <c r="CL869">
        <v>0</v>
      </c>
      <c r="CM869">
        <v>0</v>
      </c>
    </row>
    <row r="870" spans="82:91" x14ac:dyDescent="0.25">
      <c r="CD870">
        <v>3360</v>
      </c>
      <c r="CE870">
        <v>384</v>
      </c>
      <c r="CF870">
        <v>144</v>
      </c>
      <c r="CG870">
        <v>0</v>
      </c>
      <c r="CH870">
        <v>0</v>
      </c>
      <c r="CI870">
        <v>0</v>
      </c>
      <c r="CJ870">
        <v>0</v>
      </c>
      <c r="CK870">
        <v>0</v>
      </c>
      <c r="CL870">
        <v>0</v>
      </c>
      <c r="CM870">
        <v>0</v>
      </c>
    </row>
    <row r="871" spans="82:91" x14ac:dyDescent="0.25">
      <c r="CD871">
        <v>3360</v>
      </c>
      <c r="CE871">
        <v>384</v>
      </c>
      <c r="CF871">
        <v>144</v>
      </c>
      <c r="CG871">
        <v>0</v>
      </c>
      <c r="CH871">
        <v>0</v>
      </c>
      <c r="CI871">
        <v>0</v>
      </c>
      <c r="CJ871">
        <v>0</v>
      </c>
      <c r="CK871">
        <v>0</v>
      </c>
      <c r="CL871">
        <v>0</v>
      </c>
      <c r="CM871">
        <v>0</v>
      </c>
    </row>
    <row r="872" spans="82:91" x14ac:dyDescent="0.25">
      <c r="CD872">
        <v>3360</v>
      </c>
      <c r="CE872">
        <v>384</v>
      </c>
      <c r="CF872">
        <v>144</v>
      </c>
      <c r="CG872">
        <v>0</v>
      </c>
      <c r="CH872">
        <v>0</v>
      </c>
      <c r="CI872">
        <v>0</v>
      </c>
      <c r="CJ872">
        <v>0</v>
      </c>
      <c r="CK872">
        <v>0</v>
      </c>
      <c r="CL872">
        <v>0</v>
      </c>
      <c r="CM872">
        <v>0</v>
      </c>
    </row>
    <row r="873" spans="82:91" x14ac:dyDescent="0.25">
      <c r="CD873">
        <v>3360</v>
      </c>
      <c r="CE873">
        <v>384</v>
      </c>
      <c r="CF873">
        <v>144</v>
      </c>
      <c r="CG873">
        <v>0</v>
      </c>
      <c r="CH873">
        <v>0</v>
      </c>
      <c r="CI873">
        <v>0</v>
      </c>
      <c r="CJ873">
        <v>0</v>
      </c>
      <c r="CK873">
        <v>0</v>
      </c>
      <c r="CL873">
        <v>0</v>
      </c>
      <c r="CM873">
        <v>0</v>
      </c>
    </row>
    <row r="874" spans="82:91" x14ac:dyDescent="0.25">
      <c r="CD874">
        <v>3360</v>
      </c>
      <c r="CE874">
        <v>384</v>
      </c>
      <c r="CF874">
        <v>144</v>
      </c>
      <c r="CG874">
        <v>0</v>
      </c>
      <c r="CH874">
        <v>0</v>
      </c>
      <c r="CI874">
        <v>0</v>
      </c>
      <c r="CJ874">
        <v>0</v>
      </c>
      <c r="CK874">
        <v>0</v>
      </c>
      <c r="CL874">
        <v>0</v>
      </c>
      <c r="CM874">
        <v>0</v>
      </c>
    </row>
    <row r="875" spans="82:91" x14ac:dyDescent="0.25">
      <c r="CD875">
        <v>3360</v>
      </c>
      <c r="CE875">
        <v>384</v>
      </c>
      <c r="CF875">
        <v>144</v>
      </c>
      <c r="CG875">
        <v>0</v>
      </c>
      <c r="CH875">
        <v>0</v>
      </c>
      <c r="CI875">
        <v>0</v>
      </c>
      <c r="CJ875">
        <v>0</v>
      </c>
      <c r="CK875">
        <v>0</v>
      </c>
      <c r="CL875">
        <v>0</v>
      </c>
      <c r="CM875">
        <v>0</v>
      </c>
    </row>
    <row r="876" spans="82:91" x14ac:dyDescent="0.25">
      <c r="CD876">
        <v>3360</v>
      </c>
      <c r="CE876">
        <v>384</v>
      </c>
      <c r="CF876">
        <v>144</v>
      </c>
      <c r="CG876">
        <v>0</v>
      </c>
      <c r="CH876">
        <v>0</v>
      </c>
      <c r="CI876">
        <v>0</v>
      </c>
      <c r="CJ876">
        <v>0</v>
      </c>
      <c r="CK876">
        <v>0</v>
      </c>
      <c r="CL876">
        <v>0</v>
      </c>
      <c r="CM876">
        <v>0</v>
      </c>
    </row>
    <row r="877" spans="82:91" x14ac:dyDescent="0.25">
      <c r="CD877">
        <v>3360</v>
      </c>
      <c r="CE877">
        <v>384</v>
      </c>
      <c r="CF877">
        <v>144</v>
      </c>
      <c r="CG877">
        <v>0</v>
      </c>
      <c r="CH877">
        <v>0</v>
      </c>
      <c r="CI877">
        <v>0</v>
      </c>
      <c r="CJ877">
        <v>0</v>
      </c>
      <c r="CK877">
        <v>0</v>
      </c>
      <c r="CL877">
        <v>0</v>
      </c>
      <c r="CM877">
        <v>0</v>
      </c>
    </row>
    <row r="878" spans="82:91" x14ac:dyDescent="0.25">
      <c r="CD878">
        <v>3360</v>
      </c>
      <c r="CE878">
        <v>384</v>
      </c>
      <c r="CF878">
        <v>144</v>
      </c>
      <c r="CG878">
        <v>0</v>
      </c>
      <c r="CH878">
        <v>0</v>
      </c>
      <c r="CI878">
        <v>0</v>
      </c>
      <c r="CJ878">
        <v>0</v>
      </c>
      <c r="CK878">
        <v>0</v>
      </c>
      <c r="CL878">
        <v>0</v>
      </c>
      <c r="CM878">
        <v>0</v>
      </c>
    </row>
    <row r="879" spans="82:91" x14ac:dyDescent="0.25">
      <c r="CD879">
        <v>3360</v>
      </c>
      <c r="CE879">
        <v>384</v>
      </c>
      <c r="CF879">
        <v>144</v>
      </c>
      <c r="CG879">
        <v>0</v>
      </c>
      <c r="CH879">
        <v>0</v>
      </c>
      <c r="CI879">
        <v>0</v>
      </c>
      <c r="CJ879">
        <v>0</v>
      </c>
      <c r="CK879">
        <v>0</v>
      </c>
      <c r="CL879">
        <v>0</v>
      </c>
      <c r="CM879">
        <v>0</v>
      </c>
    </row>
    <row r="880" spans="82:91" x14ac:dyDescent="0.25">
      <c r="CD880">
        <v>3360</v>
      </c>
      <c r="CE880">
        <v>384</v>
      </c>
      <c r="CF880">
        <v>144</v>
      </c>
      <c r="CG880">
        <v>0</v>
      </c>
      <c r="CH880">
        <v>0</v>
      </c>
      <c r="CI880">
        <v>0</v>
      </c>
      <c r="CJ880">
        <v>0</v>
      </c>
      <c r="CK880">
        <v>0</v>
      </c>
      <c r="CL880">
        <v>0</v>
      </c>
      <c r="CM880">
        <v>0</v>
      </c>
    </row>
    <row r="881" spans="82:91" x14ac:dyDescent="0.25">
      <c r="CD881">
        <v>3360</v>
      </c>
      <c r="CE881">
        <v>384</v>
      </c>
      <c r="CF881">
        <v>144</v>
      </c>
      <c r="CG881">
        <v>0</v>
      </c>
      <c r="CH881">
        <v>0</v>
      </c>
      <c r="CI881">
        <v>0</v>
      </c>
      <c r="CJ881">
        <v>0</v>
      </c>
      <c r="CK881">
        <v>0</v>
      </c>
      <c r="CL881">
        <v>0</v>
      </c>
      <c r="CM881">
        <v>0</v>
      </c>
    </row>
    <row r="882" spans="82:91" x14ac:dyDescent="0.25">
      <c r="CD882">
        <v>3360</v>
      </c>
      <c r="CE882">
        <v>384</v>
      </c>
      <c r="CF882">
        <v>144</v>
      </c>
      <c r="CG882">
        <v>0</v>
      </c>
      <c r="CH882">
        <v>0</v>
      </c>
      <c r="CI882">
        <v>0</v>
      </c>
      <c r="CJ882">
        <v>0</v>
      </c>
      <c r="CK882">
        <v>0</v>
      </c>
      <c r="CL882">
        <v>0</v>
      </c>
      <c r="CM882">
        <v>0</v>
      </c>
    </row>
    <row r="883" spans="82:91" x14ac:dyDescent="0.25">
      <c r="CD883">
        <v>3360</v>
      </c>
      <c r="CE883">
        <v>384</v>
      </c>
      <c r="CF883">
        <v>144</v>
      </c>
      <c r="CG883">
        <v>0</v>
      </c>
      <c r="CH883">
        <v>0</v>
      </c>
      <c r="CI883">
        <v>0</v>
      </c>
      <c r="CJ883">
        <v>0</v>
      </c>
      <c r="CK883">
        <v>0</v>
      </c>
      <c r="CL883">
        <v>0</v>
      </c>
      <c r="CM883">
        <v>0</v>
      </c>
    </row>
    <row r="884" spans="82:91" x14ac:dyDescent="0.25">
      <c r="CD884">
        <v>3360</v>
      </c>
      <c r="CE884">
        <v>384</v>
      </c>
      <c r="CF884">
        <v>144</v>
      </c>
      <c r="CG884">
        <v>0</v>
      </c>
      <c r="CH884">
        <v>0</v>
      </c>
      <c r="CI884">
        <v>0</v>
      </c>
      <c r="CJ884">
        <v>0</v>
      </c>
      <c r="CK884">
        <v>0</v>
      </c>
      <c r="CL884">
        <v>0</v>
      </c>
      <c r="CM884">
        <v>0</v>
      </c>
    </row>
    <row r="885" spans="82:91" x14ac:dyDescent="0.25">
      <c r="CD885">
        <v>3360</v>
      </c>
      <c r="CE885">
        <v>384</v>
      </c>
      <c r="CF885">
        <v>144</v>
      </c>
      <c r="CG885">
        <v>0</v>
      </c>
      <c r="CH885">
        <v>0</v>
      </c>
      <c r="CI885">
        <v>0</v>
      </c>
      <c r="CJ885">
        <v>0</v>
      </c>
      <c r="CK885">
        <v>0</v>
      </c>
      <c r="CL885">
        <v>0</v>
      </c>
      <c r="CM885">
        <v>0</v>
      </c>
    </row>
    <row r="886" spans="82:91" x14ac:dyDescent="0.25">
      <c r="CD886">
        <v>3360</v>
      </c>
      <c r="CE886">
        <v>384</v>
      </c>
      <c r="CF886">
        <v>144</v>
      </c>
      <c r="CG886">
        <v>0</v>
      </c>
      <c r="CH886">
        <v>0</v>
      </c>
      <c r="CI886">
        <v>0</v>
      </c>
      <c r="CJ886">
        <v>0</v>
      </c>
      <c r="CK886">
        <v>0</v>
      </c>
      <c r="CL886">
        <v>0</v>
      </c>
      <c r="CM886">
        <v>0</v>
      </c>
    </row>
    <row r="887" spans="82:91" x14ac:dyDescent="0.25">
      <c r="CD887">
        <v>3360</v>
      </c>
      <c r="CE887">
        <v>384</v>
      </c>
      <c r="CF887">
        <v>144</v>
      </c>
      <c r="CG887">
        <v>0</v>
      </c>
      <c r="CH887">
        <v>0</v>
      </c>
      <c r="CI887">
        <v>0</v>
      </c>
      <c r="CJ887">
        <v>0</v>
      </c>
      <c r="CK887">
        <v>0</v>
      </c>
      <c r="CL887">
        <v>0</v>
      </c>
      <c r="CM887">
        <v>0</v>
      </c>
    </row>
    <row r="888" spans="82:91" x14ac:dyDescent="0.25">
      <c r="CD888">
        <v>3360</v>
      </c>
      <c r="CE888">
        <v>384</v>
      </c>
      <c r="CF888">
        <v>144</v>
      </c>
      <c r="CG888">
        <v>0</v>
      </c>
      <c r="CH888">
        <v>0</v>
      </c>
      <c r="CI888">
        <v>0</v>
      </c>
      <c r="CJ888">
        <v>0</v>
      </c>
      <c r="CK888">
        <v>0</v>
      </c>
      <c r="CL888">
        <v>0</v>
      </c>
      <c r="CM888">
        <v>0</v>
      </c>
    </row>
    <row r="889" spans="82:91" x14ac:dyDescent="0.25">
      <c r="CD889">
        <v>3360</v>
      </c>
      <c r="CE889">
        <v>384</v>
      </c>
      <c r="CF889">
        <v>144</v>
      </c>
      <c r="CG889">
        <v>0</v>
      </c>
      <c r="CH889">
        <v>0</v>
      </c>
      <c r="CI889">
        <v>0</v>
      </c>
      <c r="CJ889">
        <v>0</v>
      </c>
      <c r="CK889">
        <v>0</v>
      </c>
      <c r="CL889">
        <v>0</v>
      </c>
      <c r="CM889">
        <v>0</v>
      </c>
    </row>
    <row r="890" spans="82:91" x14ac:dyDescent="0.25">
      <c r="CD890">
        <v>3360</v>
      </c>
      <c r="CE890">
        <v>384</v>
      </c>
      <c r="CF890">
        <v>144</v>
      </c>
      <c r="CG890">
        <v>0</v>
      </c>
      <c r="CH890">
        <v>0</v>
      </c>
      <c r="CI890">
        <v>0</v>
      </c>
      <c r="CJ890">
        <v>0</v>
      </c>
      <c r="CK890">
        <v>0</v>
      </c>
      <c r="CL890">
        <v>0</v>
      </c>
      <c r="CM890">
        <v>0</v>
      </c>
    </row>
    <row r="891" spans="82:91" x14ac:dyDescent="0.25">
      <c r="CD891">
        <v>3360</v>
      </c>
      <c r="CE891">
        <v>384</v>
      </c>
      <c r="CF891">
        <v>144</v>
      </c>
      <c r="CG891">
        <v>0</v>
      </c>
      <c r="CH891">
        <v>0</v>
      </c>
      <c r="CI891">
        <v>0</v>
      </c>
      <c r="CJ891">
        <v>0</v>
      </c>
      <c r="CK891">
        <v>0</v>
      </c>
      <c r="CL891">
        <v>0</v>
      </c>
      <c r="CM891">
        <v>0</v>
      </c>
    </row>
    <row r="892" spans="82:91" x14ac:dyDescent="0.25">
      <c r="CD892">
        <v>3360</v>
      </c>
      <c r="CE892">
        <v>384</v>
      </c>
      <c r="CF892">
        <v>144</v>
      </c>
      <c r="CG892">
        <v>0</v>
      </c>
      <c r="CH892">
        <v>0</v>
      </c>
      <c r="CI892">
        <v>0</v>
      </c>
      <c r="CJ892">
        <v>0</v>
      </c>
      <c r="CK892">
        <v>0</v>
      </c>
      <c r="CL892">
        <v>0</v>
      </c>
      <c r="CM892">
        <v>0</v>
      </c>
    </row>
    <row r="893" spans="82:91" x14ac:dyDescent="0.25">
      <c r="CD893">
        <v>3360</v>
      </c>
      <c r="CE893">
        <v>384</v>
      </c>
      <c r="CF893">
        <v>144</v>
      </c>
      <c r="CG893">
        <v>0</v>
      </c>
      <c r="CH893">
        <v>0</v>
      </c>
      <c r="CI893">
        <v>0</v>
      </c>
      <c r="CJ893">
        <v>0</v>
      </c>
      <c r="CK893">
        <v>0</v>
      </c>
      <c r="CL893">
        <v>0</v>
      </c>
      <c r="CM893">
        <v>0</v>
      </c>
    </row>
    <row r="894" spans="82:91" x14ac:dyDescent="0.25">
      <c r="CD894">
        <v>3360</v>
      </c>
      <c r="CE894">
        <v>384</v>
      </c>
      <c r="CF894">
        <v>144</v>
      </c>
      <c r="CG894">
        <v>0</v>
      </c>
      <c r="CH894">
        <v>0</v>
      </c>
      <c r="CI894">
        <v>0</v>
      </c>
      <c r="CJ894">
        <v>0</v>
      </c>
      <c r="CK894">
        <v>0</v>
      </c>
      <c r="CL894">
        <v>0</v>
      </c>
      <c r="CM894">
        <v>0</v>
      </c>
    </row>
    <row r="895" spans="82:91" x14ac:dyDescent="0.25">
      <c r="CD895">
        <v>3360</v>
      </c>
      <c r="CE895">
        <v>384</v>
      </c>
      <c r="CF895">
        <v>144</v>
      </c>
      <c r="CG895">
        <v>0</v>
      </c>
      <c r="CH895">
        <v>0</v>
      </c>
      <c r="CI895">
        <v>0</v>
      </c>
      <c r="CJ895">
        <v>0</v>
      </c>
      <c r="CK895">
        <v>0</v>
      </c>
      <c r="CL895">
        <v>0</v>
      </c>
      <c r="CM895">
        <v>0</v>
      </c>
    </row>
    <row r="896" spans="82:91" x14ac:dyDescent="0.25">
      <c r="CD896">
        <v>3360</v>
      </c>
      <c r="CE896">
        <v>384</v>
      </c>
      <c r="CF896">
        <v>144</v>
      </c>
      <c r="CG896">
        <v>0</v>
      </c>
      <c r="CH896">
        <v>0</v>
      </c>
      <c r="CI896">
        <v>0</v>
      </c>
      <c r="CJ896">
        <v>0</v>
      </c>
      <c r="CK896">
        <v>0</v>
      </c>
      <c r="CL896">
        <v>0</v>
      </c>
      <c r="CM896">
        <v>0</v>
      </c>
    </row>
    <row r="897" spans="82:91" x14ac:dyDescent="0.25">
      <c r="CD897">
        <v>3360</v>
      </c>
      <c r="CE897">
        <v>384</v>
      </c>
      <c r="CF897">
        <v>144</v>
      </c>
      <c r="CG897">
        <v>0</v>
      </c>
      <c r="CH897">
        <v>0</v>
      </c>
      <c r="CI897">
        <v>0</v>
      </c>
      <c r="CJ897">
        <v>0</v>
      </c>
      <c r="CK897">
        <v>0</v>
      </c>
      <c r="CL897">
        <v>0</v>
      </c>
      <c r="CM897">
        <v>0</v>
      </c>
    </row>
    <row r="898" spans="82:91" x14ac:dyDescent="0.25">
      <c r="CD898">
        <v>3360</v>
      </c>
      <c r="CE898">
        <v>384</v>
      </c>
      <c r="CF898">
        <v>144</v>
      </c>
      <c r="CG898">
        <v>0</v>
      </c>
      <c r="CH898">
        <v>0</v>
      </c>
      <c r="CI898">
        <v>0</v>
      </c>
      <c r="CJ898">
        <v>0</v>
      </c>
      <c r="CK898">
        <v>0</v>
      </c>
      <c r="CL898">
        <v>0</v>
      </c>
      <c r="CM898">
        <v>0</v>
      </c>
    </row>
    <row r="899" spans="82:91" x14ac:dyDescent="0.25">
      <c r="CD899">
        <v>3360</v>
      </c>
      <c r="CE899">
        <v>384</v>
      </c>
      <c r="CF899">
        <v>144</v>
      </c>
      <c r="CG899">
        <v>0</v>
      </c>
      <c r="CH899">
        <v>0</v>
      </c>
      <c r="CI899">
        <v>0</v>
      </c>
      <c r="CJ899">
        <v>0</v>
      </c>
      <c r="CK899">
        <v>0</v>
      </c>
      <c r="CL899">
        <v>0</v>
      </c>
      <c r="CM899">
        <v>0</v>
      </c>
    </row>
    <row r="900" spans="82:91" x14ac:dyDescent="0.25">
      <c r="CD900">
        <v>3360</v>
      </c>
      <c r="CE900">
        <v>384</v>
      </c>
      <c r="CF900">
        <v>96</v>
      </c>
      <c r="CG900">
        <v>0</v>
      </c>
      <c r="CH900">
        <v>0</v>
      </c>
      <c r="CI900">
        <v>0</v>
      </c>
      <c r="CJ900">
        <v>0</v>
      </c>
      <c r="CK900">
        <v>0</v>
      </c>
      <c r="CL900">
        <v>0</v>
      </c>
      <c r="CM900">
        <v>0</v>
      </c>
    </row>
    <row r="901" spans="82:91" x14ac:dyDescent="0.25">
      <c r="CD901">
        <v>3360</v>
      </c>
      <c r="CE901">
        <v>384</v>
      </c>
      <c r="CF901">
        <v>96</v>
      </c>
      <c r="CG901">
        <v>0</v>
      </c>
      <c r="CH901">
        <v>0</v>
      </c>
      <c r="CI901">
        <v>0</v>
      </c>
      <c r="CJ901">
        <v>0</v>
      </c>
      <c r="CK901">
        <v>0</v>
      </c>
      <c r="CL901">
        <v>0</v>
      </c>
      <c r="CM901">
        <v>0</v>
      </c>
    </row>
    <row r="902" spans="82:91" x14ac:dyDescent="0.25">
      <c r="CD902">
        <v>3360</v>
      </c>
      <c r="CE902">
        <v>384</v>
      </c>
      <c r="CF902">
        <v>96</v>
      </c>
      <c r="CG902">
        <v>0</v>
      </c>
      <c r="CH902">
        <v>0</v>
      </c>
      <c r="CI902">
        <v>0</v>
      </c>
      <c r="CJ902">
        <v>0</v>
      </c>
      <c r="CK902">
        <v>0</v>
      </c>
      <c r="CL902">
        <v>0</v>
      </c>
      <c r="CM902">
        <v>0</v>
      </c>
    </row>
    <row r="903" spans="82:91" x14ac:dyDescent="0.25">
      <c r="CD903">
        <v>3360</v>
      </c>
      <c r="CE903">
        <v>384</v>
      </c>
      <c r="CF903">
        <v>96</v>
      </c>
      <c r="CG903">
        <v>0</v>
      </c>
      <c r="CH903">
        <v>0</v>
      </c>
      <c r="CI903">
        <v>0</v>
      </c>
      <c r="CJ903">
        <v>0</v>
      </c>
      <c r="CK903">
        <v>0</v>
      </c>
      <c r="CL903">
        <v>0</v>
      </c>
      <c r="CM903">
        <v>0</v>
      </c>
    </row>
    <row r="904" spans="82:91" x14ac:dyDescent="0.25">
      <c r="CD904">
        <v>3360</v>
      </c>
      <c r="CE904">
        <v>384</v>
      </c>
      <c r="CF904">
        <v>96</v>
      </c>
      <c r="CG904">
        <v>0</v>
      </c>
      <c r="CH904">
        <v>0</v>
      </c>
      <c r="CI904">
        <v>0</v>
      </c>
      <c r="CJ904">
        <v>0</v>
      </c>
      <c r="CK904">
        <v>0</v>
      </c>
      <c r="CL904">
        <v>0</v>
      </c>
      <c r="CM904">
        <v>0</v>
      </c>
    </row>
    <row r="905" spans="82:91" x14ac:dyDescent="0.25">
      <c r="CD905">
        <v>3360</v>
      </c>
      <c r="CE905">
        <v>384</v>
      </c>
      <c r="CF905">
        <v>96</v>
      </c>
      <c r="CG905">
        <v>0</v>
      </c>
      <c r="CH905">
        <v>0</v>
      </c>
      <c r="CI905">
        <v>0</v>
      </c>
      <c r="CJ905">
        <v>0</v>
      </c>
      <c r="CK905">
        <v>0</v>
      </c>
      <c r="CL905">
        <v>0</v>
      </c>
      <c r="CM905">
        <v>0</v>
      </c>
    </row>
    <row r="906" spans="82:91" x14ac:dyDescent="0.25">
      <c r="CD906">
        <v>3360</v>
      </c>
      <c r="CE906">
        <v>384</v>
      </c>
      <c r="CF906">
        <v>96</v>
      </c>
      <c r="CG906">
        <v>0</v>
      </c>
      <c r="CH906">
        <v>0</v>
      </c>
      <c r="CI906">
        <v>0</v>
      </c>
      <c r="CJ906">
        <v>0</v>
      </c>
      <c r="CK906">
        <v>0</v>
      </c>
      <c r="CL906">
        <v>0</v>
      </c>
      <c r="CM906">
        <v>0</v>
      </c>
    </row>
    <row r="907" spans="82:91" x14ac:dyDescent="0.25">
      <c r="CD907">
        <v>3360</v>
      </c>
      <c r="CE907">
        <v>384</v>
      </c>
      <c r="CF907">
        <v>96</v>
      </c>
      <c r="CG907">
        <v>0</v>
      </c>
      <c r="CH907">
        <v>0</v>
      </c>
      <c r="CI907">
        <v>0</v>
      </c>
      <c r="CJ907">
        <v>0</v>
      </c>
      <c r="CK907">
        <v>0</v>
      </c>
      <c r="CL907">
        <v>0</v>
      </c>
      <c r="CM907">
        <v>0</v>
      </c>
    </row>
    <row r="908" spans="82:91" x14ac:dyDescent="0.25">
      <c r="CD908">
        <v>3360</v>
      </c>
      <c r="CE908">
        <v>384</v>
      </c>
      <c r="CF908">
        <v>96</v>
      </c>
      <c r="CG908">
        <v>0</v>
      </c>
      <c r="CH908">
        <v>0</v>
      </c>
      <c r="CI908">
        <v>0</v>
      </c>
      <c r="CJ908">
        <v>0</v>
      </c>
      <c r="CK908">
        <v>0</v>
      </c>
      <c r="CL908">
        <v>0</v>
      </c>
      <c r="CM908">
        <v>0</v>
      </c>
    </row>
    <row r="909" spans="82:91" x14ac:dyDescent="0.25">
      <c r="CD909">
        <v>3360</v>
      </c>
      <c r="CE909">
        <v>384</v>
      </c>
      <c r="CF909">
        <v>96</v>
      </c>
      <c r="CG909">
        <v>0</v>
      </c>
      <c r="CH909">
        <v>0</v>
      </c>
      <c r="CI909">
        <v>0</v>
      </c>
      <c r="CJ909">
        <v>0</v>
      </c>
      <c r="CK909">
        <v>0</v>
      </c>
      <c r="CL909">
        <v>0</v>
      </c>
      <c r="CM909">
        <v>0</v>
      </c>
    </row>
    <row r="910" spans="82:91" x14ac:dyDescent="0.25">
      <c r="CD910">
        <v>3360</v>
      </c>
      <c r="CE910">
        <v>384</v>
      </c>
      <c r="CF910">
        <v>96</v>
      </c>
      <c r="CG910">
        <v>0</v>
      </c>
      <c r="CH910">
        <v>0</v>
      </c>
      <c r="CI910">
        <v>0</v>
      </c>
      <c r="CJ910">
        <v>0</v>
      </c>
      <c r="CK910">
        <v>0</v>
      </c>
      <c r="CL910">
        <v>0</v>
      </c>
      <c r="CM910">
        <v>0</v>
      </c>
    </row>
    <row r="911" spans="82:91" x14ac:dyDescent="0.25">
      <c r="CD911">
        <v>3360</v>
      </c>
      <c r="CE911">
        <v>384</v>
      </c>
      <c r="CF911">
        <v>96</v>
      </c>
      <c r="CG911">
        <v>0</v>
      </c>
      <c r="CH911">
        <v>0</v>
      </c>
      <c r="CI911">
        <v>0</v>
      </c>
      <c r="CJ911">
        <v>0</v>
      </c>
      <c r="CK911">
        <v>0</v>
      </c>
      <c r="CL911">
        <v>0</v>
      </c>
      <c r="CM911">
        <v>0</v>
      </c>
    </row>
    <row r="912" spans="82:91" x14ac:dyDescent="0.25">
      <c r="CD912">
        <v>3360</v>
      </c>
      <c r="CE912">
        <v>384</v>
      </c>
      <c r="CF912">
        <v>96</v>
      </c>
      <c r="CG912">
        <v>0</v>
      </c>
      <c r="CH912">
        <v>0</v>
      </c>
      <c r="CI912">
        <v>0</v>
      </c>
      <c r="CJ912">
        <v>0</v>
      </c>
      <c r="CK912">
        <v>0</v>
      </c>
      <c r="CL912">
        <v>0</v>
      </c>
      <c r="CM912">
        <v>0</v>
      </c>
    </row>
    <row r="913" spans="82:91" x14ac:dyDescent="0.25">
      <c r="CD913">
        <v>3360</v>
      </c>
      <c r="CE913">
        <v>384</v>
      </c>
      <c r="CF913">
        <v>96</v>
      </c>
      <c r="CG913">
        <v>0</v>
      </c>
      <c r="CH913">
        <v>0</v>
      </c>
      <c r="CI913">
        <v>0</v>
      </c>
      <c r="CJ913">
        <v>0</v>
      </c>
      <c r="CK913">
        <v>0</v>
      </c>
      <c r="CL913">
        <v>0</v>
      </c>
      <c r="CM913">
        <v>0</v>
      </c>
    </row>
    <row r="914" spans="82:91" x14ac:dyDescent="0.25">
      <c r="CD914">
        <v>3360</v>
      </c>
      <c r="CE914">
        <v>384</v>
      </c>
      <c r="CF914">
        <v>96</v>
      </c>
      <c r="CG914">
        <v>0</v>
      </c>
      <c r="CH914">
        <v>0</v>
      </c>
      <c r="CI914">
        <v>0</v>
      </c>
      <c r="CJ914">
        <v>0</v>
      </c>
      <c r="CK914">
        <v>0</v>
      </c>
      <c r="CL914">
        <v>0</v>
      </c>
      <c r="CM914">
        <v>0</v>
      </c>
    </row>
    <row r="915" spans="82:91" x14ac:dyDescent="0.25">
      <c r="CD915">
        <v>3360</v>
      </c>
      <c r="CE915">
        <v>384</v>
      </c>
      <c r="CF915">
        <v>96</v>
      </c>
      <c r="CG915">
        <v>0</v>
      </c>
      <c r="CH915">
        <v>0</v>
      </c>
      <c r="CI915">
        <v>0</v>
      </c>
      <c r="CJ915">
        <v>0</v>
      </c>
      <c r="CK915">
        <v>0</v>
      </c>
      <c r="CL915">
        <v>0</v>
      </c>
      <c r="CM915">
        <v>0</v>
      </c>
    </row>
    <row r="916" spans="82:91" x14ac:dyDescent="0.25">
      <c r="CD916">
        <v>3360</v>
      </c>
      <c r="CE916">
        <v>384</v>
      </c>
      <c r="CF916">
        <v>96</v>
      </c>
      <c r="CG916">
        <v>0</v>
      </c>
      <c r="CH916">
        <v>0</v>
      </c>
      <c r="CI916">
        <v>0</v>
      </c>
      <c r="CJ916">
        <v>0</v>
      </c>
      <c r="CK916">
        <v>0</v>
      </c>
      <c r="CL916">
        <v>0</v>
      </c>
      <c r="CM916">
        <v>0</v>
      </c>
    </row>
    <row r="917" spans="82:91" x14ac:dyDescent="0.25">
      <c r="CD917">
        <v>3360</v>
      </c>
      <c r="CE917">
        <v>384</v>
      </c>
      <c r="CF917">
        <v>96</v>
      </c>
      <c r="CG917">
        <v>0</v>
      </c>
      <c r="CH917">
        <v>0</v>
      </c>
      <c r="CI917">
        <v>0</v>
      </c>
      <c r="CJ917">
        <v>0</v>
      </c>
      <c r="CK917">
        <v>0</v>
      </c>
      <c r="CL917">
        <v>0</v>
      </c>
      <c r="CM917">
        <v>0</v>
      </c>
    </row>
    <row r="918" spans="82:91" x14ac:dyDescent="0.25">
      <c r="CD918">
        <v>3360</v>
      </c>
      <c r="CE918">
        <v>384</v>
      </c>
      <c r="CF918">
        <v>96</v>
      </c>
      <c r="CG918">
        <v>0</v>
      </c>
      <c r="CH918">
        <v>0</v>
      </c>
      <c r="CI918">
        <v>0</v>
      </c>
      <c r="CJ918">
        <v>0</v>
      </c>
      <c r="CK918">
        <v>0</v>
      </c>
      <c r="CL918">
        <v>0</v>
      </c>
      <c r="CM918">
        <v>0</v>
      </c>
    </row>
    <row r="919" spans="82:91" x14ac:dyDescent="0.25">
      <c r="CD919">
        <v>3360</v>
      </c>
      <c r="CE919">
        <v>384</v>
      </c>
      <c r="CF919">
        <v>96</v>
      </c>
      <c r="CG919">
        <v>0</v>
      </c>
      <c r="CH919">
        <v>0</v>
      </c>
      <c r="CI919">
        <v>0</v>
      </c>
      <c r="CJ919">
        <v>0</v>
      </c>
      <c r="CK919">
        <v>0</v>
      </c>
      <c r="CL919">
        <v>0</v>
      </c>
      <c r="CM919">
        <v>0</v>
      </c>
    </row>
    <row r="920" spans="82:91" x14ac:dyDescent="0.25">
      <c r="CD920">
        <v>3360</v>
      </c>
      <c r="CE920">
        <v>384</v>
      </c>
      <c r="CF920">
        <v>96</v>
      </c>
      <c r="CG920">
        <v>0</v>
      </c>
      <c r="CH920">
        <v>0</v>
      </c>
      <c r="CI920">
        <v>0</v>
      </c>
      <c r="CJ920">
        <v>0</v>
      </c>
      <c r="CK920">
        <v>0</v>
      </c>
      <c r="CL920">
        <v>0</v>
      </c>
      <c r="CM920">
        <v>0</v>
      </c>
    </row>
    <row r="921" spans="82:91" x14ac:dyDescent="0.25">
      <c r="CD921">
        <v>3360</v>
      </c>
      <c r="CE921">
        <v>384</v>
      </c>
      <c r="CF921">
        <v>96</v>
      </c>
      <c r="CG921">
        <v>0</v>
      </c>
      <c r="CH921">
        <v>0</v>
      </c>
      <c r="CI921">
        <v>0</v>
      </c>
      <c r="CJ921">
        <v>0</v>
      </c>
      <c r="CK921">
        <v>0</v>
      </c>
      <c r="CL921">
        <v>0</v>
      </c>
      <c r="CM921">
        <v>0</v>
      </c>
    </row>
    <row r="922" spans="82:91" x14ac:dyDescent="0.25">
      <c r="CD922">
        <v>3360</v>
      </c>
      <c r="CE922">
        <v>384</v>
      </c>
      <c r="CF922">
        <v>96</v>
      </c>
      <c r="CG922">
        <v>0</v>
      </c>
      <c r="CH922">
        <v>0</v>
      </c>
      <c r="CI922">
        <v>0</v>
      </c>
      <c r="CJ922">
        <v>0</v>
      </c>
      <c r="CK922">
        <v>0</v>
      </c>
      <c r="CL922">
        <v>0</v>
      </c>
      <c r="CM922">
        <v>0</v>
      </c>
    </row>
    <row r="923" spans="82:91" x14ac:dyDescent="0.25">
      <c r="CD923">
        <v>3360</v>
      </c>
      <c r="CE923">
        <v>384</v>
      </c>
      <c r="CF923">
        <v>96</v>
      </c>
      <c r="CG923">
        <v>0</v>
      </c>
      <c r="CH923">
        <v>0</v>
      </c>
      <c r="CI923">
        <v>0</v>
      </c>
      <c r="CJ923">
        <v>0</v>
      </c>
      <c r="CK923">
        <v>0</v>
      </c>
      <c r="CL923">
        <v>0</v>
      </c>
      <c r="CM923">
        <v>0</v>
      </c>
    </row>
    <row r="924" spans="82:91" x14ac:dyDescent="0.25">
      <c r="CD924">
        <v>3360</v>
      </c>
      <c r="CE924">
        <v>384</v>
      </c>
      <c r="CF924">
        <v>96</v>
      </c>
      <c r="CG924">
        <v>0</v>
      </c>
      <c r="CH924">
        <v>0</v>
      </c>
      <c r="CI924">
        <v>0</v>
      </c>
      <c r="CJ924">
        <v>0</v>
      </c>
      <c r="CK924">
        <v>0</v>
      </c>
      <c r="CL924">
        <v>0</v>
      </c>
      <c r="CM924">
        <v>0</v>
      </c>
    </row>
    <row r="925" spans="82:91" x14ac:dyDescent="0.25">
      <c r="CD925">
        <v>3360</v>
      </c>
      <c r="CE925">
        <v>384</v>
      </c>
      <c r="CF925">
        <v>96</v>
      </c>
      <c r="CG925">
        <v>0</v>
      </c>
      <c r="CH925">
        <v>0</v>
      </c>
      <c r="CI925">
        <v>0</v>
      </c>
      <c r="CJ925">
        <v>0</v>
      </c>
      <c r="CK925">
        <v>0</v>
      </c>
      <c r="CL925">
        <v>0</v>
      </c>
      <c r="CM925">
        <v>0</v>
      </c>
    </row>
    <row r="926" spans="82:91" x14ac:dyDescent="0.25">
      <c r="CD926">
        <v>3360</v>
      </c>
      <c r="CE926">
        <v>384</v>
      </c>
      <c r="CF926">
        <v>96</v>
      </c>
      <c r="CG926">
        <v>0</v>
      </c>
      <c r="CH926">
        <v>0</v>
      </c>
      <c r="CI926">
        <v>0</v>
      </c>
      <c r="CJ926">
        <v>0</v>
      </c>
      <c r="CK926">
        <v>0</v>
      </c>
      <c r="CL926">
        <v>0</v>
      </c>
      <c r="CM926">
        <v>0</v>
      </c>
    </row>
    <row r="927" spans="82:91" x14ac:dyDescent="0.25">
      <c r="CD927">
        <v>3360</v>
      </c>
      <c r="CE927">
        <v>384</v>
      </c>
      <c r="CF927">
        <v>96</v>
      </c>
      <c r="CG927">
        <v>0</v>
      </c>
      <c r="CH927">
        <v>0</v>
      </c>
      <c r="CI927">
        <v>0</v>
      </c>
      <c r="CJ927">
        <v>0</v>
      </c>
      <c r="CK927">
        <v>0</v>
      </c>
      <c r="CL927">
        <v>0</v>
      </c>
      <c r="CM927">
        <v>0</v>
      </c>
    </row>
    <row r="928" spans="82:91" x14ac:dyDescent="0.25">
      <c r="CD928">
        <v>3360</v>
      </c>
      <c r="CE928">
        <v>384</v>
      </c>
      <c r="CF928">
        <v>96</v>
      </c>
      <c r="CG928">
        <v>0</v>
      </c>
      <c r="CH928">
        <v>0</v>
      </c>
      <c r="CI928">
        <v>0</v>
      </c>
      <c r="CJ928">
        <v>0</v>
      </c>
      <c r="CK928">
        <v>0</v>
      </c>
      <c r="CL928">
        <v>0</v>
      </c>
      <c r="CM928">
        <v>0</v>
      </c>
    </row>
    <row r="929" spans="82:91" x14ac:dyDescent="0.25">
      <c r="CD929">
        <v>3360</v>
      </c>
      <c r="CE929">
        <v>384</v>
      </c>
      <c r="CF929">
        <v>96</v>
      </c>
      <c r="CG929">
        <v>0</v>
      </c>
      <c r="CH929">
        <v>0</v>
      </c>
      <c r="CI929">
        <v>0</v>
      </c>
      <c r="CJ929">
        <v>0</v>
      </c>
      <c r="CK929">
        <v>0</v>
      </c>
      <c r="CL929">
        <v>0</v>
      </c>
      <c r="CM929">
        <v>0</v>
      </c>
    </row>
    <row r="930" spans="82:91" x14ac:dyDescent="0.25">
      <c r="CD930">
        <v>3360</v>
      </c>
      <c r="CE930">
        <v>384</v>
      </c>
      <c r="CF930">
        <v>96</v>
      </c>
      <c r="CG930">
        <v>0</v>
      </c>
      <c r="CH930">
        <v>0</v>
      </c>
      <c r="CI930">
        <v>0</v>
      </c>
      <c r="CJ930">
        <v>0</v>
      </c>
      <c r="CK930">
        <v>0</v>
      </c>
      <c r="CL930">
        <v>0</v>
      </c>
      <c r="CM930">
        <v>0</v>
      </c>
    </row>
    <row r="931" spans="82:91" x14ac:dyDescent="0.25">
      <c r="CD931">
        <v>3360</v>
      </c>
      <c r="CE931">
        <v>384</v>
      </c>
      <c r="CF931">
        <v>96</v>
      </c>
      <c r="CG931">
        <v>0</v>
      </c>
      <c r="CH931">
        <v>0</v>
      </c>
      <c r="CI931">
        <v>0</v>
      </c>
      <c r="CJ931">
        <v>0</v>
      </c>
      <c r="CK931">
        <v>0</v>
      </c>
      <c r="CL931">
        <v>0</v>
      </c>
      <c r="CM931">
        <v>0</v>
      </c>
    </row>
    <row r="932" spans="82:91" x14ac:dyDescent="0.25">
      <c r="CD932">
        <v>3360</v>
      </c>
      <c r="CE932">
        <v>384</v>
      </c>
      <c r="CF932">
        <v>96</v>
      </c>
      <c r="CG932">
        <v>0</v>
      </c>
      <c r="CH932">
        <v>0</v>
      </c>
      <c r="CI932">
        <v>0</v>
      </c>
      <c r="CJ932">
        <v>0</v>
      </c>
      <c r="CK932">
        <v>0</v>
      </c>
      <c r="CL932">
        <v>0</v>
      </c>
      <c r="CM932">
        <v>0</v>
      </c>
    </row>
    <row r="933" spans="82:91" x14ac:dyDescent="0.25">
      <c r="CD933">
        <v>3360</v>
      </c>
      <c r="CE933">
        <v>384</v>
      </c>
      <c r="CF933">
        <v>96</v>
      </c>
      <c r="CG933">
        <v>0</v>
      </c>
      <c r="CH933">
        <v>0</v>
      </c>
      <c r="CI933">
        <v>0</v>
      </c>
      <c r="CJ933">
        <v>0</v>
      </c>
      <c r="CK933">
        <v>0</v>
      </c>
      <c r="CL933">
        <v>0</v>
      </c>
      <c r="CM933">
        <v>0</v>
      </c>
    </row>
    <row r="934" spans="82:91" x14ac:dyDescent="0.25">
      <c r="CD934">
        <v>3360</v>
      </c>
      <c r="CE934">
        <v>384</v>
      </c>
      <c r="CF934">
        <v>96</v>
      </c>
      <c r="CG934">
        <v>0</v>
      </c>
      <c r="CH934">
        <v>0</v>
      </c>
      <c r="CI934">
        <v>0</v>
      </c>
      <c r="CJ934">
        <v>0</v>
      </c>
      <c r="CK934">
        <v>0</v>
      </c>
      <c r="CL934">
        <v>0</v>
      </c>
      <c r="CM934">
        <v>0</v>
      </c>
    </row>
    <row r="935" spans="82:91" x14ac:dyDescent="0.25">
      <c r="CD935">
        <v>3360</v>
      </c>
      <c r="CE935">
        <v>384</v>
      </c>
      <c r="CF935">
        <v>96</v>
      </c>
      <c r="CG935">
        <v>0</v>
      </c>
      <c r="CH935">
        <v>0</v>
      </c>
      <c r="CI935">
        <v>0</v>
      </c>
      <c r="CJ935">
        <v>0</v>
      </c>
      <c r="CK935">
        <v>0</v>
      </c>
      <c r="CL935">
        <v>0</v>
      </c>
      <c r="CM935">
        <v>0</v>
      </c>
    </row>
    <row r="936" spans="82:91" x14ac:dyDescent="0.25">
      <c r="CD936">
        <v>3360</v>
      </c>
      <c r="CE936">
        <v>384</v>
      </c>
      <c r="CF936">
        <v>96</v>
      </c>
      <c r="CG936">
        <v>0</v>
      </c>
      <c r="CH936">
        <v>0</v>
      </c>
      <c r="CI936">
        <v>0</v>
      </c>
      <c r="CJ936">
        <v>0</v>
      </c>
      <c r="CK936">
        <v>0</v>
      </c>
      <c r="CL936">
        <v>0</v>
      </c>
      <c r="CM936">
        <v>0</v>
      </c>
    </row>
    <row r="937" spans="82:91" x14ac:dyDescent="0.25">
      <c r="CD937">
        <v>3360</v>
      </c>
      <c r="CE937">
        <v>384</v>
      </c>
      <c r="CF937">
        <v>96</v>
      </c>
      <c r="CG937">
        <v>0</v>
      </c>
      <c r="CH937">
        <v>0</v>
      </c>
      <c r="CI937">
        <v>0</v>
      </c>
      <c r="CJ937">
        <v>0</v>
      </c>
      <c r="CK937">
        <v>0</v>
      </c>
      <c r="CL937">
        <v>0</v>
      </c>
      <c r="CM937">
        <v>0</v>
      </c>
    </row>
    <row r="938" spans="82:91" x14ac:dyDescent="0.25">
      <c r="CD938">
        <v>3360</v>
      </c>
      <c r="CE938">
        <v>384</v>
      </c>
      <c r="CF938">
        <v>96</v>
      </c>
      <c r="CG938">
        <v>0</v>
      </c>
      <c r="CH938">
        <v>0</v>
      </c>
      <c r="CI938">
        <v>0</v>
      </c>
      <c r="CJ938">
        <v>0</v>
      </c>
      <c r="CK938">
        <v>0</v>
      </c>
      <c r="CL938">
        <v>0</v>
      </c>
      <c r="CM938">
        <v>0</v>
      </c>
    </row>
    <row r="939" spans="82:91" x14ac:dyDescent="0.25">
      <c r="CD939">
        <v>3360</v>
      </c>
      <c r="CE939">
        <v>384</v>
      </c>
      <c r="CF939">
        <v>96</v>
      </c>
      <c r="CG939">
        <v>0</v>
      </c>
      <c r="CH939">
        <v>0</v>
      </c>
      <c r="CI939">
        <v>0</v>
      </c>
      <c r="CJ939">
        <v>0</v>
      </c>
      <c r="CK939">
        <v>0</v>
      </c>
      <c r="CL939">
        <v>0</v>
      </c>
      <c r="CM939">
        <v>0</v>
      </c>
    </row>
    <row r="940" spans="82:91" x14ac:dyDescent="0.25">
      <c r="CD940">
        <v>3360</v>
      </c>
      <c r="CE940">
        <v>384</v>
      </c>
      <c r="CF940">
        <v>96</v>
      </c>
      <c r="CG940">
        <v>0</v>
      </c>
      <c r="CH940">
        <v>0</v>
      </c>
      <c r="CI940">
        <v>0</v>
      </c>
      <c r="CJ940">
        <v>0</v>
      </c>
      <c r="CK940">
        <v>0</v>
      </c>
      <c r="CL940">
        <v>0</v>
      </c>
      <c r="CM940">
        <v>0</v>
      </c>
    </row>
    <row r="941" spans="82:91" x14ac:dyDescent="0.25">
      <c r="CD941">
        <v>3360</v>
      </c>
      <c r="CE941">
        <v>384</v>
      </c>
      <c r="CF941">
        <v>96</v>
      </c>
      <c r="CG941">
        <v>0</v>
      </c>
      <c r="CH941">
        <v>0</v>
      </c>
      <c r="CI941">
        <v>0</v>
      </c>
      <c r="CJ941">
        <v>0</v>
      </c>
      <c r="CK941">
        <v>0</v>
      </c>
      <c r="CL941">
        <v>0</v>
      </c>
      <c r="CM941">
        <v>0</v>
      </c>
    </row>
    <row r="942" spans="82:91" x14ac:dyDescent="0.25">
      <c r="CD942">
        <v>3360</v>
      </c>
      <c r="CE942">
        <v>384</v>
      </c>
      <c r="CF942">
        <v>96</v>
      </c>
      <c r="CG942">
        <v>0</v>
      </c>
      <c r="CH942">
        <v>0</v>
      </c>
      <c r="CI942">
        <v>0</v>
      </c>
      <c r="CJ942">
        <v>0</v>
      </c>
      <c r="CK942">
        <v>0</v>
      </c>
      <c r="CL942">
        <v>0</v>
      </c>
      <c r="CM942">
        <v>0</v>
      </c>
    </row>
    <row r="943" spans="82:91" x14ac:dyDescent="0.25">
      <c r="CD943">
        <v>3360</v>
      </c>
      <c r="CE943">
        <v>384</v>
      </c>
      <c r="CF943">
        <v>96</v>
      </c>
      <c r="CG943">
        <v>0</v>
      </c>
      <c r="CH943">
        <v>0</v>
      </c>
      <c r="CI943">
        <v>0</v>
      </c>
      <c r="CJ943">
        <v>0</v>
      </c>
      <c r="CK943">
        <v>0</v>
      </c>
      <c r="CL943">
        <v>0</v>
      </c>
      <c r="CM943">
        <v>0</v>
      </c>
    </row>
    <row r="944" spans="82:91" x14ac:dyDescent="0.25">
      <c r="CD944">
        <v>3360</v>
      </c>
      <c r="CE944">
        <v>384</v>
      </c>
      <c r="CF944">
        <v>96</v>
      </c>
      <c r="CG944">
        <v>0</v>
      </c>
      <c r="CH944">
        <v>0</v>
      </c>
      <c r="CI944">
        <v>0</v>
      </c>
      <c r="CJ944">
        <v>0</v>
      </c>
      <c r="CK944">
        <v>0</v>
      </c>
      <c r="CL944">
        <v>0</v>
      </c>
      <c r="CM944">
        <v>0</v>
      </c>
    </row>
    <row r="945" spans="82:91" x14ac:dyDescent="0.25">
      <c r="CD945">
        <v>3360</v>
      </c>
      <c r="CE945">
        <v>384</v>
      </c>
      <c r="CF945">
        <v>96</v>
      </c>
      <c r="CG945">
        <v>0</v>
      </c>
      <c r="CH945">
        <v>0</v>
      </c>
      <c r="CI945">
        <v>0</v>
      </c>
      <c r="CJ945">
        <v>0</v>
      </c>
      <c r="CK945">
        <v>0</v>
      </c>
      <c r="CL945">
        <v>0</v>
      </c>
      <c r="CM945">
        <v>0</v>
      </c>
    </row>
    <row r="946" spans="82:91" x14ac:dyDescent="0.25">
      <c r="CD946">
        <v>3360</v>
      </c>
      <c r="CE946">
        <v>384</v>
      </c>
      <c r="CF946">
        <v>96</v>
      </c>
      <c r="CG946">
        <v>0</v>
      </c>
      <c r="CH946">
        <v>0</v>
      </c>
      <c r="CI946">
        <v>0</v>
      </c>
      <c r="CJ946">
        <v>0</v>
      </c>
      <c r="CK946">
        <v>0</v>
      </c>
      <c r="CL946">
        <v>0</v>
      </c>
      <c r="CM946">
        <v>0</v>
      </c>
    </row>
    <row r="947" spans="82:91" x14ac:dyDescent="0.25">
      <c r="CD947">
        <v>3360</v>
      </c>
      <c r="CE947">
        <v>384</v>
      </c>
      <c r="CF947">
        <v>96</v>
      </c>
      <c r="CG947">
        <v>0</v>
      </c>
      <c r="CH947">
        <v>0</v>
      </c>
      <c r="CI947">
        <v>0</v>
      </c>
      <c r="CJ947">
        <v>0</v>
      </c>
      <c r="CK947">
        <v>0</v>
      </c>
      <c r="CL947">
        <v>0</v>
      </c>
      <c r="CM947">
        <v>0</v>
      </c>
    </row>
    <row r="948" spans="82:91" x14ac:dyDescent="0.25">
      <c r="CD948">
        <v>3360</v>
      </c>
      <c r="CE948">
        <v>384</v>
      </c>
      <c r="CF948">
        <v>96</v>
      </c>
      <c r="CG948">
        <v>0</v>
      </c>
      <c r="CH948">
        <v>0</v>
      </c>
      <c r="CI948">
        <v>0</v>
      </c>
      <c r="CJ948">
        <v>0</v>
      </c>
      <c r="CK948">
        <v>0</v>
      </c>
      <c r="CL948">
        <v>0</v>
      </c>
      <c r="CM948">
        <v>0</v>
      </c>
    </row>
    <row r="949" spans="82:91" x14ac:dyDescent="0.25">
      <c r="CD949">
        <v>3360</v>
      </c>
      <c r="CE949">
        <v>384</v>
      </c>
      <c r="CF949">
        <v>96</v>
      </c>
      <c r="CG949">
        <v>0</v>
      </c>
      <c r="CH949">
        <v>0</v>
      </c>
      <c r="CI949">
        <v>0</v>
      </c>
      <c r="CJ949">
        <v>0</v>
      </c>
      <c r="CK949">
        <v>0</v>
      </c>
      <c r="CL949">
        <v>0</v>
      </c>
      <c r="CM949">
        <v>0</v>
      </c>
    </row>
    <row r="950" spans="82:91" x14ac:dyDescent="0.25">
      <c r="CD950">
        <v>3360</v>
      </c>
      <c r="CE950">
        <v>384</v>
      </c>
      <c r="CF950">
        <v>96</v>
      </c>
      <c r="CG950">
        <v>0</v>
      </c>
      <c r="CH950">
        <v>0</v>
      </c>
      <c r="CI950">
        <v>0</v>
      </c>
      <c r="CJ950">
        <v>0</v>
      </c>
      <c r="CK950">
        <v>0</v>
      </c>
      <c r="CL950">
        <v>0</v>
      </c>
      <c r="CM950">
        <v>0</v>
      </c>
    </row>
    <row r="951" spans="82:91" x14ac:dyDescent="0.25">
      <c r="CD951">
        <v>3360</v>
      </c>
      <c r="CE951">
        <v>384</v>
      </c>
      <c r="CF951">
        <v>96</v>
      </c>
      <c r="CG951">
        <v>0</v>
      </c>
      <c r="CH951">
        <v>0</v>
      </c>
      <c r="CI951">
        <v>0</v>
      </c>
      <c r="CJ951">
        <v>0</v>
      </c>
      <c r="CK951">
        <v>0</v>
      </c>
      <c r="CL951">
        <v>0</v>
      </c>
      <c r="CM951">
        <v>0</v>
      </c>
    </row>
    <row r="952" spans="82:91" x14ac:dyDescent="0.25">
      <c r="CD952">
        <v>3360</v>
      </c>
      <c r="CE952">
        <v>384</v>
      </c>
      <c r="CF952">
        <v>96</v>
      </c>
      <c r="CG952">
        <v>0</v>
      </c>
      <c r="CH952">
        <v>0</v>
      </c>
      <c r="CI952">
        <v>0</v>
      </c>
      <c r="CJ952">
        <v>0</v>
      </c>
      <c r="CK952">
        <v>0</v>
      </c>
      <c r="CL952">
        <v>0</v>
      </c>
      <c r="CM952">
        <v>0</v>
      </c>
    </row>
    <row r="953" spans="82:91" x14ac:dyDescent="0.25">
      <c r="CD953">
        <v>3360</v>
      </c>
      <c r="CE953">
        <v>384</v>
      </c>
      <c r="CF953">
        <v>96</v>
      </c>
      <c r="CG953">
        <v>0</v>
      </c>
      <c r="CH953">
        <v>0</v>
      </c>
      <c r="CI953">
        <v>0</v>
      </c>
      <c r="CJ953">
        <v>0</v>
      </c>
      <c r="CK953">
        <v>0</v>
      </c>
      <c r="CL953">
        <v>0</v>
      </c>
      <c r="CM953">
        <v>0</v>
      </c>
    </row>
    <row r="954" spans="82:91" x14ac:dyDescent="0.25">
      <c r="CD954">
        <v>3360</v>
      </c>
      <c r="CE954">
        <v>384</v>
      </c>
      <c r="CF954">
        <v>96</v>
      </c>
      <c r="CG954">
        <v>0</v>
      </c>
      <c r="CH954">
        <v>0</v>
      </c>
      <c r="CI954">
        <v>0</v>
      </c>
      <c r="CJ954">
        <v>0</v>
      </c>
      <c r="CK954">
        <v>0</v>
      </c>
      <c r="CL954">
        <v>0</v>
      </c>
      <c r="CM954">
        <v>0</v>
      </c>
    </row>
    <row r="955" spans="82:91" x14ac:dyDescent="0.25">
      <c r="CD955">
        <v>3360</v>
      </c>
      <c r="CE955">
        <v>384</v>
      </c>
      <c r="CF955">
        <v>96</v>
      </c>
      <c r="CG955">
        <v>0</v>
      </c>
      <c r="CH955">
        <v>0</v>
      </c>
      <c r="CI955">
        <v>0</v>
      </c>
      <c r="CJ955">
        <v>0</v>
      </c>
      <c r="CK955">
        <v>0</v>
      </c>
      <c r="CL955">
        <v>0</v>
      </c>
      <c r="CM955">
        <v>0</v>
      </c>
    </row>
    <row r="956" spans="82:91" x14ac:dyDescent="0.25">
      <c r="CD956">
        <v>3360</v>
      </c>
      <c r="CE956">
        <v>384</v>
      </c>
      <c r="CF956">
        <v>96</v>
      </c>
      <c r="CG956">
        <v>0</v>
      </c>
      <c r="CH956">
        <v>0</v>
      </c>
      <c r="CI956">
        <v>0</v>
      </c>
      <c r="CJ956">
        <v>0</v>
      </c>
      <c r="CK956">
        <v>0</v>
      </c>
      <c r="CL956">
        <v>0</v>
      </c>
      <c r="CM956">
        <v>0</v>
      </c>
    </row>
    <row r="957" spans="82:91" x14ac:dyDescent="0.25">
      <c r="CD957">
        <v>3360</v>
      </c>
      <c r="CE957">
        <v>384</v>
      </c>
      <c r="CF957">
        <v>96</v>
      </c>
      <c r="CG957">
        <v>0</v>
      </c>
      <c r="CH957">
        <v>0</v>
      </c>
      <c r="CI957">
        <v>0</v>
      </c>
      <c r="CJ957">
        <v>0</v>
      </c>
      <c r="CK957">
        <v>0</v>
      </c>
      <c r="CL957">
        <v>0</v>
      </c>
      <c r="CM957">
        <v>0</v>
      </c>
    </row>
    <row r="958" spans="82:91" x14ac:dyDescent="0.25">
      <c r="CD958">
        <v>3360</v>
      </c>
      <c r="CE958">
        <v>384</v>
      </c>
      <c r="CF958">
        <v>96</v>
      </c>
      <c r="CG958">
        <v>0</v>
      </c>
      <c r="CH958">
        <v>0</v>
      </c>
      <c r="CI958">
        <v>0</v>
      </c>
      <c r="CJ958">
        <v>0</v>
      </c>
      <c r="CK958">
        <v>0</v>
      </c>
      <c r="CL958">
        <v>0</v>
      </c>
      <c r="CM958">
        <v>0</v>
      </c>
    </row>
    <row r="959" spans="82:91" x14ac:dyDescent="0.25">
      <c r="CD959">
        <v>3360</v>
      </c>
      <c r="CE959">
        <v>384</v>
      </c>
      <c r="CF959">
        <v>96</v>
      </c>
      <c r="CG959">
        <v>0</v>
      </c>
      <c r="CH959">
        <v>0</v>
      </c>
      <c r="CI959">
        <v>0</v>
      </c>
      <c r="CJ959">
        <v>0</v>
      </c>
      <c r="CK959">
        <v>0</v>
      </c>
      <c r="CL959">
        <v>0</v>
      </c>
      <c r="CM959">
        <v>0</v>
      </c>
    </row>
    <row r="960" spans="82:91" x14ac:dyDescent="0.25">
      <c r="CD960">
        <v>3360</v>
      </c>
      <c r="CE960">
        <v>384</v>
      </c>
      <c r="CF960">
        <v>96</v>
      </c>
      <c r="CG960">
        <v>0</v>
      </c>
      <c r="CH960">
        <v>0</v>
      </c>
      <c r="CI960">
        <v>0</v>
      </c>
      <c r="CJ960">
        <v>0</v>
      </c>
      <c r="CK960">
        <v>0</v>
      </c>
      <c r="CL960">
        <v>0</v>
      </c>
      <c r="CM960">
        <v>0</v>
      </c>
    </row>
    <row r="961" spans="82:91" x14ac:dyDescent="0.25">
      <c r="CD961">
        <v>3360</v>
      </c>
      <c r="CE961">
        <v>384</v>
      </c>
      <c r="CF961">
        <v>96</v>
      </c>
      <c r="CG961">
        <v>0</v>
      </c>
      <c r="CH961">
        <v>0</v>
      </c>
      <c r="CI961">
        <v>0</v>
      </c>
      <c r="CJ961">
        <v>0</v>
      </c>
      <c r="CK961">
        <v>0</v>
      </c>
      <c r="CL961">
        <v>0</v>
      </c>
      <c r="CM961">
        <v>0</v>
      </c>
    </row>
    <row r="962" spans="82:91" x14ac:dyDescent="0.25">
      <c r="CD962">
        <v>3360</v>
      </c>
      <c r="CE962">
        <v>384</v>
      </c>
      <c r="CF962">
        <v>96</v>
      </c>
      <c r="CG962">
        <v>0</v>
      </c>
      <c r="CH962">
        <v>0</v>
      </c>
      <c r="CI962">
        <v>0</v>
      </c>
      <c r="CJ962">
        <v>0</v>
      </c>
      <c r="CK962">
        <v>0</v>
      </c>
      <c r="CL962">
        <v>0</v>
      </c>
      <c r="CM962">
        <v>0</v>
      </c>
    </row>
    <row r="963" spans="82:91" x14ac:dyDescent="0.25">
      <c r="CD963">
        <v>3360</v>
      </c>
      <c r="CE963">
        <v>384</v>
      </c>
      <c r="CF963">
        <v>96</v>
      </c>
      <c r="CG963">
        <v>0</v>
      </c>
      <c r="CH963">
        <v>0</v>
      </c>
      <c r="CI963">
        <v>0</v>
      </c>
      <c r="CJ963">
        <v>0</v>
      </c>
      <c r="CK963">
        <v>0</v>
      </c>
      <c r="CL963">
        <v>0</v>
      </c>
      <c r="CM963">
        <v>0</v>
      </c>
    </row>
    <row r="964" spans="82:91" x14ac:dyDescent="0.25">
      <c r="CD964">
        <v>3360</v>
      </c>
      <c r="CE964">
        <v>384</v>
      </c>
      <c r="CF964">
        <v>96</v>
      </c>
      <c r="CG964">
        <v>0</v>
      </c>
      <c r="CH964">
        <v>0</v>
      </c>
      <c r="CI964">
        <v>0</v>
      </c>
      <c r="CJ964">
        <v>0</v>
      </c>
      <c r="CK964">
        <v>0</v>
      </c>
      <c r="CL964">
        <v>0</v>
      </c>
      <c r="CM964">
        <v>0</v>
      </c>
    </row>
    <row r="965" spans="82:91" x14ac:dyDescent="0.25">
      <c r="CD965">
        <v>3360</v>
      </c>
      <c r="CE965">
        <v>384</v>
      </c>
      <c r="CF965">
        <v>96</v>
      </c>
      <c r="CG965">
        <v>0</v>
      </c>
      <c r="CH965">
        <v>0</v>
      </c>
      <c r="CI965">
        <v>0</v>
      </c>
      <c r="CJ965">
        <v>0</v>
      </c>
      <c r="CK965">
        <v>0</v>
      </c>
      <c r="CL965">
        <v>0</v>
      </c>
      <c r="CM965">
        <v>0</v>
      </c>
    </row>
    <row r="966" spans="82:91" x14ac:dyDescent="0.25">
      <c r="CD966">
        <v>3360</v>
      </c>
      <c r="CE966">
        <v>384</v>
      </c>
      <c r="CF966">
        <v>96</v>
      </c>
      <c r="CG966">
        <v>0</v>
      </c>
      <c r="CH966">
        <v>0</v>
      </c>
      <c r="CI966">
        <v>0</v>
      </c>
      <c r="CJ966">
        <v>0</v>
      </c>
      <c r="CK966">
        <v>0</v>
      </c>
      <c r="CL966">
        <v>0</v>
      </c>
      <c r="CM966">
        <v>0</v>
      </c>
    </row>
    <row r="967" spans="82:91" x14ac:dyDescent="0.25">
      <c r="CD967">
        <v>3360</v>
      </c>
      <c r="CE967">
        <v>384</v>
      </c>
      <c r="CF967">
        <v>96</v>
      </c>
      <c r="CG967">
        <v>0</v>
      </c>
      <c r="CH967">
        <v>0</v>
      </c>
      <c r="CI967">
        <v>0</v>
      </c>
      <c r="CJ967">
        <v>0</v>
      </c>
      <c r="CK967">
        <v>0</v>
      </c>
      <c r="CL967">
        <v>0</v>
      </c>
      <c r="CM967">
        <v>0</v>
      </c>
    </row>
    <row r="968" spans="82:91" x14ac:dyDescent="0.25">
      <c r="CD968">
        <v>3360</v>
      </c>
      <c r="CE968">
        <v>384</v>
      </c>
      <c r="CF968">
        <v>96</v>
      </c>
      <c r="CG968">
        <v>0</v>
      </c>
      <c r="CH968">
        <v>0</v>
      </c>
      <c r="CI968">
        <v>0</v>
      </c>
      <c r="CJ968">
        <v>0</v>
      </c>
      <c r="CK968">
        <v>0</v>
      </c>
      <c r="CL968">
        <v>0</v>
      </c>
      <c r="CM968">
        <v>0</v>
      </c>
    </row>
    <row r="969" spans="82:91" x14ac:dyDescent="0.25">
      <c r="CD969">
        <v>3360</v>
      </c>
      <c r="CE969">
        <v>384</v>
      </c>
      <c r="CF969">
        <v>96</v>
      </c>
      <c r="CG969">
        <v>0</v>
      </c>
      <c r="CH969">
        <v>0</v>
      </c>
      <c r="CI969">
        <v>0</v>
      </c>
      <c r="CJ969">
        <v>0</v>
      </c>
      <c r="CK969">
        <v>0</v>
      </c>
      <c r="CL969">
        <v>0</v>
      </c>
      <c r="CM969">
        <v>0</v>
      </c>
    </row>
    <row r="970" spans="82:91" x14ac:dyDescent="0.25">
      <c r="CD970">
        <v>3360</v>
      </c>
      <c r="CE970">
        <v>384</v>
      </c>
      <c r="CF970">
        <v>96</v>
      </c>
      <c r="CG970">
        <v>0</v>
      </c>
      <c r="CH970">
        <v>0</v>
      </c>
      <c r="CI970">
        <v>0</v>
      </c>
      <c r="CJ970">
        <v>0</v>
      </c>
      <c r="CK970">
        <v>0</v>
      </c>
      <c r="CL970">
        <v>0</v>
      </c>
      <c r="CM970">
        <v>0</v>
      </c>
    </row>
    <row r="971" spans="82:91" x14ac:dyDescent="0.25">
      <c r="CD971">
        <v>3360</v>
      </c>
      <c r="CE971">
        <v>384</v>
      </c>
      <c r="CF971">
        <v>96</v>
      </c>
      <c r="CG971">
        <v>0</v>
      </c>
      <c r="CH971">
        <v>0</v>
      </c>
      <c r="CI971">
        <v>0</v>
      </c>
      <c r="CJ971">
        <v>0</v>
      </c>
      <c r="CK971">
        <v>0</v>
      </c>
      <c r="CL971">
        <v>0</v>
      </c>
      <c r="CM971">
        <v>0</v>
      </c>
    </row>
    <row r="972" spans="82:91" x14ac:dyDescent="0.25">
      <c r="CD972">
        <v>3360</v>
      </c>
      <c r="CE972">
        <v>384</v>
      </c>
      <c r="CF972">
        <v>96</v>
      </c>
      <c r="CG972">
        <v>0</v>
      </c>
      <c r="CH972">
        <v>0</v>
      </c>
      <c r="CI972">
        <v>0</v>
      </c>
      <c r="CJ972">
        <v>0</v>
      </c>
      <c r="CK972">
        <v>0</v>
      </c>
      <c r="CL972">
        <v>0</v>
      </c>
      <c r="CM972">
        <v>0</v>
      </c>
    </row>
    <row r="973" spans="82:91" x14ac:dyDescent="0.25">
      <c r="CD973">
        <v>3360</v>
      </c>
      <c r="CE973">
        <v>384</v>
      </c>
      <c r="CF973">
        <v>96</v>
      </c>
      <c r="CG973">
        <v>0</v>
      </c>
      <c r="CH973">
        <v>0</v>
      </c>
      <c r="CI973">
        <v>0</v>
      </c>
      <c r="CJ973">
        <v>0</v>
      </c>
      <c r="CK973">
        <v>0</v>
      </c>
      <c r="CL973">
        <v>0</v>
      </c>
      <c r="CM973">
        <v>0</v>
      </c>
    </row>
    <row r="974" spans="82:91" x14ac:dyDescent="0.25">
      <c r="CD974">
        <v>3360</v>
      </c>
      <c r="CE974">
        <v>384</v>
      </c>
      <c r="CF974">
        <v>96</v>
      </c>
      <c r="CG974">
        <v>0</v>
      </c>
      <c r="CH974">
        <v>0</v>
      </c>
      <c r="CI974">
        <v>0</v>
      </c>
      <c r="CJ974">
        <v>0</v>
      </c>
      <c r="CK974">
        <v>0</v>
      </c>
      <c r="CL974">
        <v>0</v>
      </c>
      <c r="CM974">
        <v>0</v>
      </c>
    </row>
    <row r="975" spans="82:91" x14ac:dyDescent="0.25">
      <c r="CD975">
        <v>3360</v>
      </c>
      <c r="CE975">
        <v>384</v>
      </c>
      <c r="CF975">
        <v>96</v>
      </c>
      <c r="CG975">
        <v>0</v>
      </c>
      <c r="CH975">
        <v>0</v>
      </c>
      <c r="CI975">
        <v>0</v>
      </c>
      <c r="CJ975">
        <v>0</v>
      </c>
      <c r="CK975">
        <v>0</v>
      </c>
      <c r="CL975">
        <v>0</v>
      </c>
      <c r="CM975">
        <v>0</v>
      </c>
    </row>
    <row r="976" spans="82:91" x14ac:dyDescent="0.25">
      <c r="CD976">
        <v>3360</v>
      </c>
      <c r="CE976">
        <v>384</v>
      </c>
      <c r="CF976">
        <v>96</v>
      </c>
      <c r="CG976">
        <v>0</v>
      </c>
      <c r="CH976">
        <v>0</v>
      </c>
      <c r="CI976">
        <v>0</v>
      </c>
      <c r="CJ976">
        <v>0</v>
      </c>
      <c r="CK976">
        <v>0</v>
      </c>
      <c r="CL976">
        <v>0</v>
      </c>
      <c r="CM976">
        <v>0</v>
      </c>
    </row>
    <row r="977" spans="82:91" x14ac:dyDescent="0.25">
      <c r="CD977">
        <v>3360</v>
      </c>
      <c r="CE977">
        <v>384</v>
      </c>
      <c r="CF977">
        <v>96</v>
      </c>
      <c r="CG977">
        <v>0</v>
      </c>
      <c r="CH977">
        <v>0</v>
      </c>
      <c r="CI977">
        <v>0</v>
      </c>
      <c r="CJ977">
        <v>0</v>
      </c>
      <c r="CK977">
        <v>0</v>
      </c>
      <c r="CL977">
        <v>0</v>
      </c>
      <c r="CM977">
        <v>0</v>
      </c>
    </row>
    <row r="978" spans="82:91" x14ac:dyDescent="0.25">
      <c r="CD978">
        <v>3360</v>
      </c>
      <c r="CE978">
        <v>384</v>
      </c>
      <c r="CF978">
        <v>96</v>
      </c>
      <c r="CG978">
        <v>0</v>
      </c>
      <c r="CH978">
        <v>0</v>
      </c>
      <c r="CI978">
        <v>0</v>
      </c>
      <c r="CJ978">
        <v>0</v>
      </c>
      <c r="CK978">
        <v>0</v>
      </c>
      <c r="CL978">
        <v>0</v>
      </c>
      <c r="CM978">
        <v>0</v>
      </c>
    </row>
    <row r="979" spans="82:91" x14ac:dyDescent="0.25">
      <c r="CD979">
        <v>3360</v>
      </c>
      <c r="CE979">
        <v>384</v>
      </c>
      <c r="CF979">
        <v>96</v>
      </c>
      <c r="CG979">
        <v>0</v>
      </c>
      <c r="CH979">
        <v>0</v>
      </c>
      <c r="CI979">
        <v>0</v>
      </c>
      <c r="CJ979">
        <v>0</v>
      </c>
      <c r="CK979">
        <v>0</v>
      </c>
      <c r="CL979">
        <v>0</v>
      </c>
      <c r="CM979">
        <v>0</v>
      </c>
    </row>
    <row r="980" spans="82:91" x14ac:dyDescent="0.25">
      <c r="CD980">
        <v>3360</v>
      </c>
      <c r="CE980">
        <v>384</v>
      </c>
      <c r="CF980">
        <v>96</v>
      </c>
      <c r="CG980">
        <v>0</v>
      </c>
      <c r="CH980">
        <v>0</v>
      </c>
      <c r="CI980">
        <v>0</v>
      </c>
      <c r="CJ980">
        <v>0</v>
      </c>
      <c r="CK980">
        <v>0</v>
      </c>
      <c r="CL980">
        <v>0</v>
      </c>
      <c r="CM980">
        <v>0</v>
      </c>
    </row>
    <row r="981" spans="82:91" x14ac:dyDescent="0.25">
      <c r="CD981">
        <v>3360</v>
      </c>
      <c r="CE981">
        <v>384</v>
      </c>
      <c r="CF981">
        <v>96</v>
      </c>
      <c r="CG981">
        <v>0</v>
      </c>
      <c r="CH981">
        <v>0</v>
      </c>
      <c r="CI981">
        <v>0</v>
      </c>
      <c r="CJ981">
        <v>0</v>
      </c>
      <c r="CK981">
        <v>0</v>
      </c>
      <c r="CL981">
        <v>0</v>
      </c>
      <c r="CM981">
        <v>0</v>
      </c>
    </row>
    <row r="982" spans="82:91" x14ac:dyDescent="0.25">
      <c r="CD982">
        <v>3360</v>
      </c>
      <c r="CE982">
        <v>384</v>
      </c>
      <c r="CF982">
        <v>96</v>
      </c>
      <c r="CG982">
        <v>0</v>
      </c>
      <c r="CH982">
        <v>0</v>
      </c>
      <c r="CI982">
        <v>0</v>
      </c>
      <c r="CJ982">
        <v>0</v>
      </c>
      <c r="CK982">
        <v>0</v>
      </c>
      <c r="CL982">
        <v>0</v>
      </c>
      <c r="CM982">
        <v>0</v>
      </c>
    </row>
    <row r="983" spans="82:91" x14ac:dyDescent="0.25">
      <c r="CD983">
        <v>3360</v>
      </c>
      <c r="CE983">
        <v>384</v>
      </c>
      <c r="CF983">
        <v>96</v>
      </c>
      <c r="CG983">
        <v>0</v>
      </c>
      <c r="CH983">
        <v>0</v>
      </c>
      <c r="CI983">
        <v>0</v>
      </c>
      <c r="CJ983">
        <v>0</v>
      </c>
      <c r="CK983">
        <v>0</v>
      </c>
      <c r="CL983">
        <v>0</v>
      </c>
      <c r="CM983">
        <v>0</v>
      </c>
    </row>
    <row r="984" spans="82:91" x14ac:dyDescent="0.25">
      <c r="CD984">
        <v>3360</v>
      </c>
      <c r="CE984">
        <v>384</v>
      </c>
      <c r="CF984">
        <v>96</v>
      </c>
      <c r="CG984">
        <v>0</v>
      </c>
      <c r="CH984">
        <v>0</v>
      </c>
      <c r="CI984">
        <v>0</v>
      </c>
      <c r="CJ984">
        <v>0</v>
      </c>
      <c r="CK984">
        <v>0</v>
      </c>
      <c r="CL984">
        <v>0</v>
      </c>
      <c r="CM984">
        <v>0</v>
      </c>
    </row>
    <row r="985" spans="82:91" x14ac:dyDescent="0.25">
      <c r="CD985">
        <v>3360</v>
      </c>
      <c r="CE985">
        <v>384</v>
      </c>
      <c r="CF985">
        <v>96</v>
      </c>
      <c r="CG985">
        <v>0</v>
      </c>
      <c r="CH985">
        <v>0</v>
      </c>
      <c r="CI985">
        <v>0</v>
      </c>
      <c r="CJ985">
        <v>0</v>
      </c>
      <c r="CK985">
        <v>0</v>
      </c>
      <c r="CL985">
        <v>0</v>
      </c>
      <c r="CM985">
        <v>0</v>
      </c>
    </row>
    <row r="986" spans="82:91" x14ac:dyDescent="0.25">
      <c r="CD986">
        <v>3360</v>
      </c>
      <c r="CE986">
        <v>384</v>
      </c>
      <c r="CF986">
        <v>96</v>
      </c>
      <c r="CG986">
        <v>0</v>
      </c>
      <c r="CH986">
        <v>0</v>
      </c>
      <c r="CI986">
        <v>0</v>
      </c>
      <c r="CJ986">
        <v>0</v>
      </c>
      <c r="CK986">
        <v>0</v>
      </c>
      <c r="CL986">
        <v>0</v>
      </c>
      <c r="CM986">
        <v>0</v>
      </c>
    </row>
    <row r="987" spans="82:91" x14ac:dyDescent="0.25">
      <c r="CD987">
        <v>3360</v>
      </c>
      <c r="CE987">
        <v>384</v>
      </c>
      <c r="CF987">
        <v>96</v>
      </c>
      <c r="CG987">
        <v>0</v>
      </c>
      <c r="CH987">
        <v>0</v>
      </c>
      <c r="CI987">
        <v>0</v>
      </c>
      <c r="CJ987">
        <v>0</v>
      </c>
      <c r="CK987">
        <v>0</v>
      </c>
      <c r="CL987">
        <v>0</v>
      </c>
      <c r="CM987">
        <v>0</v>
      </c>
    </row>
    <row r="988" spans="82:91" x14ac:dyDescent="0.25">
      <c r="CD988">
        <v>3360</v>
      </c>
      <c r="CE988">
        <v>384</v>
      </c>
      <c r="CF988">
        <v>96</v>
      </c>
      <c r="CG988">
        <v>0</v>
      </c>
      <c r="CH988">
        <v>0</v>
      </c>
      <c r="CI988">
        <v>0</v>
      </c>
      <c r="CJ988">
        <v>0</v>
      </c>
      <c r="CK988">
        <v>0</v>
      </c>
      <c r="CL988">
        <v>0</v>
      </c>
      <c r="CM988">
        <v>0</v>
      </c>
    </row>
    <row r="989" spans="82:91" x14ac:dyDescent="0.25">
      <c r="CD989">
        <v>3360</v>
      </c>
      <c r="CE989">
        <v>384</v>
      </c>
      <c r="CF989">
        <v>96</v>
      </c>
      <c r="CG989">
        <v>0</v>
      </c>
      <c r="CH989">
        <v>0</v>
      </c>
      <c r="CI989">
        <v>0</v>
      </c>
      <c r="CJ989">
        <v>0</v>
      </c>
      <c r="CK989">
        <v>0</v>
      </c>
      <c r="CL989">
        <v>0</v>
      </c>
      <c r="CM989">
        <v>0</v>
      </c>
    </row>
    <row r="990" spans="82:91" x14ac:dyDescent="0.25">
      <c r="CD990">
        <v>3360</v>
      </c>
      <c r="CE990">
        <v>384</v>
      </c>
      <c r="CF990">
        <v>96</v>
      </c>
      <c r="CG990">
        <v>0</v>
      </c>
      <c r="CH990">
        <v>0</v>
      </c>
      <c r="CI990">
        <v>0</v>
      </c>
      <c r="CJ990">
        <v>0</v>
      </c>
      <c r="CK990">
        <v>0</v>
      </c>
      <c r="CL990">
        <v>0</v>
      </c>
      <c r="CM990">
        <v>0</v>
      </c>
    </row>
    <row r="991" spans="82:91" x14ac:dyDescent="0.25">
      <c r="CD991">
        <v>3360</v>
      </c>
      <c r="CE991">
        <v>384</v>
      </c>
      <c r="CF991">
        <v>96</v>
      </c>
      <c r="CG991">
        <v>0</v>
      </c>
      <c r="CH991">
        <v>0</v>
      </c>
      <c r="CI991">
        <v>0</v>
      </c>
      <c r="CJ991">
        <v>0</v>
      </c>
      <c r="CK991">
        <v>0</v>
      </c>
      <c r="CL991">
        <v>0</v>
      </c>
      <c r="CM991">
        <v>0</v>
      </c>
    </row>
    <row r="992" spans="82:91" x14ac:dyDescent="0.25">
      <c r="CD992">
        <v>3360</v>
      </c>
      <c r="CE992">
        <v>384</v>
      </c>
      <c r="CF992">
        <v>96</v>
      </c>
      <c r="CG992">
        <v>0</v>
      </c>
      <c r="CH992">
        <v>0</v>
      </c>
      <c r="CI992">
        <v>0</v>
      </c>
      <c r="CJ992">
        <v>0</v>
      </c>
      <c r="CK992">
        <v>0</v>
      </c>
      <c r="CL992">
        <v>0</v>
      </c>
      <c r="CM992">
        <v>0</v>
      </c>
    </row>
    <row r="993" spans="82:91" x14ac:dyDescent="0.25">
      <c r="CD993">
        <v>3360</v>
      </c>
      <c r="CE993">
        <v>384</v>
      </c>
      <c r="CF993">
        <v>96</v>
      </c>
      <c r="CG993">
        <v>0</v>
      </c>
      <c r="CH993">
        <v>0</v>
      </c>
      <c r="CI993">
        <v>0</v>
      </c>
      <c r="CJ993">
        <v>0</v>
      </c>
      <c r="CK993">
        <v>0</v>
      </c>
      <c r="CL993">
        <v>0</v>
      </c>
      <c r="CM993">
        <v>0</v>
      </c>
    </row>
    <row r="994" spans="82:91" x14ac:dyDescent="0.25">
      <c r="CD994">
        <v>3360</v>
      </c>
      <c r="CE994">
        <v>384</v>
      </c>
      <c r="CF994">
        <v>96</v>
      </c>
      <c r="CG994">
        <v>0</v>
      </c>
      <c r="CH994">
        <v>0</v>
      </c>
      <c r="CI994">
        <v>0</v>
      </c>
      <c r="CJ994">
        <v>0</v>
      </c>
      <c r="CK994">
        <v>0</v>
      </c>
      <c r="CL994">
        <v>0</v>
      </c>
      <c r="CM994">
        <v>0</v>
      </c>
    </row>
    <row r="995" spans="82:91" x14ac:dyDescent="0.25">
      <c r="CD995">
        <v>3360</v>
      </c>
      <c r="CE995">
        <v>384</v>
      </c>
      <c r="CF995">
        <v>96</v>
      </c>
      <c r="CG995">
        <v>0</v>
      </c>
      <c r="CH995">
        <v>0</v>
      </c>
      <c r="CI995">
        <v>0</v>
      </c>
      <c r="CJ995">
        <v>0</v>
      </c>
      <c r="CK995">
        <v>0</v>
      </c>
      <c r="CL995">
        <v>0</v>
      </c>
      <c r="CM995">
        <v>0</v>
      </c>
    </row>
    <row r="996" spans="82:91" x14ac:dyDescent="0.25">
      <c r="CD996">
        <v>3360</v>
      </c>
      <c r="CE996">
        <v>384</v>
      </c>
      <c r="CF996">
        <v>96</v>
      </c>
      <c r="CG996">
        <v>0</v>
      </c>
      <c r="CH996">
        <v>0</v>
      </c>
      <c r="CI996">
        <v>0</v>
      </c>
      <c r="CJ996">
        <v>0</v>
      </c>
      <c r="CK996">
        <v>0</v>
      </c>
      <c r="CL996">
        <v>0</v>
      </c>
      <c r="CM996">
        <v>0</v>
      </c>
    </row>
    <row r="997" spans="82:91" x14ac:dyDescent="0.25">
      <c r="CD997">
        <v>3360</v>
      </c>
      <c r="CE997">
        <v>384</v>
      </c>
      <c r="CF997">
        <v>96</v>
      </c>
      <c r="CG997">
        <v>0</v>
      </c>
      <c r="CH997">
        <v>0</v>
      </c>
      <c r="CI997">
        <v>0</v>
      </c>
      <c r="CJ997">
        <v>0</v>
      </c>
      <c r="CK997">
        <v>0</v>
      </c>
      <c r="CL997">
        <v>0</v>
      </c>
      <c r="CM997">
        <v>0</v>
      </c>
    </row>
    <row r="998" spans="82:91" x14ac:dyDescent="0.25">
      <c r="CD998">
        <v>3360</v>
      </c>
      <c r="CE998">
        <v>384</v>
      </c>
      <c r="CF998">
        <v>96</v>
      </c>
      <c r="CG998">
        <v>0</v>
      </c>
      <c r="CH998">
        <v>0</v>
      </c>
      <c r="CI998">
        <v>0</v>
      </c>
      <c r="CJ998">
        <v>0</v>
      </c>
      <c r="CK998">
        <v>0</v>
      </c>
      <c r="CL998">
        <v>0</v>
      </c>
      <c r="CM998">
        <v>0</v>
      </c>
    </row>
    <row r="999" spans="82:91" x14ac:dyDescent="0.25">
      <c r="CD999">
        <v>3360</v>
      </c>
      <c r="CE999">
        <v>384</v>
      </c>
      <c r="CF999">
        <v>96</v>
      </c>
      <c r="CG999">
        <v>0</v>
      </c>
      <c r="CH999">
        <v>0</v>
      </c>
      <c r="CI999">
        <v>0</v>
      </c>
      <c r="CJ999">
        <v>0</v>
      </c>
      <c r="CK999">
        <v>0</v>
      </c>
      <c r="CL999">
        <v>0</v>
      </c>
      <c r="CM999">
        <v>0</v>
      </c>
    </row>
    <row r="1000" spans="82:91" x14ac:dyDescent="0.25">
      <c r="CD1000">
        <v>3360</v>
      </c>
      <c r="CE1000">
        <v>384</v>
      </c>
      <c r="CF1000">
        <v>96</v>
      </c>
      <c r="CG1000">
        <v>0</v>
      </c>
      <c r="CH1000">
        <v>0</v>
      </c>
      <c r="CI1000">
        <v>0</v>
      </c>
      <c r="CJ1000">
        <v>0</v>
      </c>
      <c r="CK1000">
        <v>0</v>
      </c>
      <c r="CL1000">
        <v>0</v>
      </c>
      <c r="CM1000">
        <v>0</v>
      </c>
    </row>
    <row r="1001" spans="82:91" x14ac:dyDescent="0.25">
      <c r="CD1001">
        <v>3360</v>
      </c>
      <c r="CE1001">
        <v>384</v>
      </c>
      <c r="CF1001">
        <v>96</v>
      </c>
      <c r="CG1001">
        <v>0</v>
      </c>
      <c r="CH1001">
        <v>0</v>
      </c>
      <c r="CI1001">
        <v>0</v>
      </c>
      <c r="CJ1001">
        <v>0</v>
      </c>
      <c r="CK1001">
        <v>0</v>
      </c>
      <c r="CL1001">
        <v>0</v>
      </c>
      <c r="CM1001">
        <v>0</v>
      </c>
    </row>
    <row r="1002" spans="82:91" x14ac:dyDescent="0.25">
      <c r="CD1002">
        <v>3360</v>
      </c>
      <c r="CE1002">
        <v>384</v>
      </c>
      <c r="CF1002">
        <v>96</v>
      </c>
      <c r="CG1002">
        <v>0</v>
      </c>
      <c r="CH1002">
        <v>0</v>
      </c>
      <c r="CI1002">
        <v>0</v>
      </c>
      <c r="CJ1002">
        <v>0</v>
      </c>
      <c r="CK1002">
        <v>0</v>
      </c>
      <c r="CL1002">
        <v>0</v>
      </c>
      <c r="CM1002">
        <v>0</v>
      </c>
    </row>
    <row r="1003" spans="82:91" x14ac:dyDescent="0.25">
      <c r="CD1003">
        <v>3360</v>
      </c>
      <c r="CE1003">
        <v>384</v>
      </c>
      <c r="CF1003">
        <v>96</v>
      </c>
      <c r="CG1003">
        <v>0</v>
      </c>
      <c r="CH1003">
        <v>0</v>
      </c>
      <c r="CI1003">
        <v>0</v>
      </c>
      <c r="CJ1003">
        <v>0</v>
      </c>
      <c r="CK1003">
        <v>0</v>
      </c>
      <c r="CL1003">
        <v>0</v>
      </c>
      <c r="CM1003">
        <v>0</v>
      </c>
    </row>
    <row r="1004" spans="82:91" x14ac:dyDescent="0.25">
      <c r="CD1004">
        <v>3360</v>
      </c>
      <c r="CE1004">
        <v>384</v>
      </c>
      <c r="CF1004">
        <v>96</v>
      </c>
      <c r="CG1004">
        <v>0</v>
      </c>
      <c r="CH1004">
        <v>0</v>
      </c>
      <c r="CI1004">
        <v>0</v>
      </c>
      <c r="CJ1004">
        <v>0</v>
      </c>
      <c r="CK1004">
        <v>0</v>
      </c>
      <c r="CL1004">
        <v>0</v>
      </c>
      <c r="CM1004">
        <v>0</v>
      </c>
    </row>
    <row r="1005" spans="82:91" x14ac:dyDescent="0.25">
      <c r="CD1005">
        <v>3360</v>
      </c>
      <c r="CE1005">
        <v>384</v>
      </c>
      <c r="CF1005">
        <v>96</v>
      </c>
      <c r="CG1005">
        <v>0</v>
      </c>
      <c r="CH1005">
        <v>0</v>
      </c>
      <c r="CI1005">
        <v>0</v>
      </c>
      <c r="CJ1005">
        <v>0</v>
      </c>
      <c r="CK1005">
        <v>0</v>
      </c>
      <c r="CL1005">
        <v>0</v>
      </c>
      <c r="CM1005">
        <v>0</v>
      </c>
    </row>
    <row r="1006" spans="82:91" x14ac:dyDescent="0.25">
      <c r="CD1006">
        <v>3360</v>
      </c>
      <c r="CE1006">
        <v>384</v>
      </c>
      <c r="CF1006">
        <v>96</v>
      </c>
      <c r="CG1006">
        <v>0</v>
      </c>
      <c r="CH1006">
        <v>0</v>
      </c>
      <c r="CI1006">
        <v>0</v>
      </c>
      <c r="CJ1006">
        <v>0</v>
      </c>
      <c r="CK1006">
        <v>0</v>
      </c>
      <c r="CL1006">
        <v>0</v>
      </c>
      <c r="CM1006">
        <v>0</v>
      </c>
    </row>
    <row r="1007" spans="82:91" x14ac:dyDescent="0.25">
      <c r="CD1007">
        <v>3360</v>
      </c>
      <c r="CE1007">
        <v>384</v>
      </c>
      <c r="CF1007">
        <v>96</v>
      </c>
      <c r="CG1007">
        <v>0</v>
      </c>
      <c r="CH1007">
        <v>0</v>
      </c>
      <c r="CI1007">
        <v>0</v>
      </c>
      <c r="CJ1007">
        <v>0</v>
      </c>
      <c r="CK1007">
        <v>0</v>
      </c>
      <c r="CL1007">
        <v>0</v>
      </c>
      <c r="CM1007">
        <v>0</v>
      </c>
    </row>
    <row r="1008" spans="82:91" x14ac:dyDescent="0.25">
      <c r="CD1008">
        <v>3360</v>
      </c>
      <c r="CE1008">
        <v>384</v>
      </c>
      <c r="CF1008">
        <v>96</v>
      </c>
      <c r="CG1008">
        <v>0</v>
      </c>
      <c r="CH1008">
        <v>0</v>
      </c>
      <c r="CI1008">
        <v>0</v>
      </c>
      <c r="CJ1008">
        <v>0</v>
      </c>
      <c r="CK1008">
        <v>0</v>
      </c>
      <c r="CL1008">
        <v>0</v>
      </c>
      <c r="CM1008">
        <v>0</v>
      </c>
    </row>
    <row r="1009" spans="82:91" x14ac:dyDescent="0.25">
      <c r="CD1009">
        <v>3360</v>
      </c>
      <c r="CE1009">
        <v>384</v>
      </c>
      <c r="CF1009">
        <v>96</v>
      </c>
      <c r="CG1009">
        <v>0</v>
      </c>
      <c r="CH1009">
        <v>0</v>
      </c>
      <c r="CI1009">
        <v>0</v>
      </c>
      <c r="CJ1009">
        <v>0</v>
      </c>
      <c r="CK1009">
        <v>0</v>
      </c>
      <c r="CL1009">
        <v>0</v>
      </c>
      <c r="CM1009">
        <v>0</v>
      </c>
    </row>
    <row r="1010" spans="82:91" x14ac:dyDescent="0.25">
      <c r="CD1010">
        <v>3360</v>
      </c>
      <c r="CE1010">
        <v>384</v>
      </c>
      <c r="CF1010">
        <v>96</v>
      </c>
      <c r="CG1010">
        <v>0</v>
      </c>
      <c r="CH1010">
        <v>0</v>
      </c>
      <c r="CI1010">
        <v>0</v>
      </c>
      <c r="CJ1010">
        <v>0</v>
      </c>
      <c r="CK1010">
        <v>0</v>
      </c>
      <c r="CL1010">
        <v>0</v>
      </c>
      <c r="CM1010">
        <v>0</v>
      </c>
    </row>
    <row r="1011" spans="82:91" x14ac:dyDescent="0.25">
      <c r="CD1011">
        <v>3360</v>
      </c>
      <c r="CE1011">
        <v>384</v>
      </c>
      <c r="CF1011">
        <v>96</v>
      </c>
      <c r="CG1011">
        <v>0</v>
      </c>
      <c r="CH1011">
        <v>0</v>
      </c>
      <c r="CI1011">
        <v>0</v>
      </c>
      <c r="CJ1011">
        <v>0</v>
      </c>
      <c r="CK1011">
        <v>0</v>
      </c>
      <c r="CL1011">
        <v>0</v>
      </c>
      <c r="CM1011">
        <v>0</v>
      </c>
    </row>
    <row r="1012" spans="82:91" x14ac:dyDescent="0.25">
      <c r="CD1012">
        <v>3360</v>
      </c>
      <c r="CE1012">
        <v>384</v>
      </c>
      <c r="CF1012">
        <v>96</v>
      </c>
      <c r="CG1012">
        <v>0</v>
      </c>
      <c r="CH1012">
        <v>0</v>
      </c>
      <c r="CI1012">
        <v>0</v>
      </c>
      <c r="CJ1012">
        <v>0</v>
      </c>
      <c r="CK1012">
        <v>0</v>
      </c>
      <c r="CL1012">
        <v>0</v>
      </c>
      <c r="CM1012">
        <v>0</v>
      </c>
    </row>
    <row r="1013" spans="82:91" x14ac:dyDescent="0.25">
      <c r="CD1013">
        <v>3360</v>
      </c>
      <c r="CE1013">
        <v>384</v>
      </c>
      <c r="CF1013">
        <v>96</v>
      </c>
      <c r="CG1013">
        <v>0</v>
      </c>
      <c r="CH1013">
        <v>0</v>
      </c>
      <c r="CI1013">
        <v>0</v>
      </c>
      <c r="CJ1013">
        <v>0</v>
      </c>
      <c r="CK1013">
        <v>0</v>
      </c>
      <c r="CL1013">
        <v>0</v>
      </c>
      <c r="CM1013">
        <v>0</v>
      </c>
    </row>
    <row r="1014" spans="82:91" x14ac:dyDescent="0.25">
      <c r="CD1014">
        <v>3360</v>
      </c>
      <c r="CE1014">
        <v>384</v>
      </c>
      <c r="CF1014">
        <v>96</v>
      </c>
      <c r="CG1014">
        <v>0</v>
      </c>
      <c r="CH1014">
        <v>0</v>
      </c>
      <c r="CI1014">
        <v>0</v>
      </c>
      <c r="CJ1014">
        <v>0</v>
      </c>
      <c r="CK1014">
        <v>0</v>
      </c>
      <c r="CL1014">
        <v>0</v>
      </c>
      <c r="CM1014">
        <v>0</v>
      </c>
    </row>
    <row r="1015" spans="82:91" x14ac:dyDescent="0.25">
      <c r="CD1015">
        <v>3360</v>
      </c>
      <c r="CE1015">
        <v>384</v>
      </c>
      <c r="CF1015">
        <v>96</v>
      </c>
      <c r="CG1015">
        <v>0</v>
      </c>
      <c r="CH1015">
        <v>0</v>
      </c>
      <c r="CI1015">
        <v>0</v>
      </c>
      <c r="CJ1015">
        <v>0</v>
      </c>
      <c r="CK1015">
        <v>0</v>
      </c>
      <c r="CL1015">
        <v>0</v>
      </c>
      <c r="CM1015">
        <v>0</v>
      </c>
    </row>
    <row r="1016" spans="82:91" x14ac:dyDescent="0.25">
      <c r="CD1016">
        <v>3360</v>
      </c>
      <c r="CE1016">
        <v>384</v>
      </c>
      <c r="CF1016">
        <v>96</v>
      </c>
      <c r="CG1016">
        <v>0</v>
      </c>
      <c r="CH1016">
        <v>0</v>
      </c>
      <c r="CI1016">
        <v>0</v>
      </c>
      <c r="CJ1016">
        <v>0</v>
      </c>
      <c r="CK1016">
        <v>0</v>
      </c>
      <c r="CL1016">
        <v>0</v>
      </c>
      <c r="CM1016">
        <v>0</v>
      </c>
    </row>
    <row r="1017" spans="82:91" x14ac:dyDescent="0.25">
      <c r="CD1017">
        <v>3360</v>
      </c>
      <c r="CE1017">
        <v>384</v>
      </c>
      <c r="CF1017">
        <v>96</v>
      </c>
      <c r="CG1017">
        <v>0</v>
      </c>
      <c r="CH1017">
        <v>0</v>
      </c>
      <c r="CI1017">
        <v>0</v>
      </c>
      <c r="CJ1017">
        <v>0</v>
      </c>
      <c r="CK1017">
        <v>0</v>
      </c>
      <c r="CL1017">
        <v>0</v>
      </c>
      <c r="CM1017">
        <v>0</v>
      </c>
    </row>
    <row r="1018" spans="82:91" x14ac:dyDescent="0.25">
      <c r="CD1018">
        <v>3360</v>
      </c>
      <c r="CE1018">
        <v>384</v>
      </c>
      <c r="CF1018">
        <v>96</v>
      </c>
      <c r="CG1018">
        <v>0</v>
      </c>
      <c r="CH1018">
        <v>0</v>
      </c>
      <c r="CI1018">
        <v>0</v>
      </c>
      <c r="CJ1018">
        <v>0</v>
      </c>
      <c r="CK1018">
        <v>0</v>
      </c>
      <c r="CL1018">
        <v>0</v>
      </c>
      <c r="CM1018">
        <v>0</v>
      </c>
    </row>
    <row r="1019" spans="82:91" x14ac:dyDescent="0.25">
      <c r="CD1019">
        <v>3360</v>
      </c>
      <c r="CE1019">
        <v>384</v>
      </c>
      <c r="CF1019">
        <v>96</v>
      </c>
      <c r="CG1019">
        <v>0</v>
      </c>
      <c r="CH1019">
        <v>0</v>
      </c>
      <c r="CI1019">
        <v>0</v>
      </c>
      <c r="CJ1019">
        <v>0</v>
      </c>
      <c r="CK1019">
        <v>0</v>
      </c>
      <c r="CL1019">
        <v>0</v>
      </c>
      <c r="CM1019">
        <v>0</v>
      </c>
    </row>
    <row r="1020" spans="82:91" x14ac:dyDescent="0.25">
      <c r="CD1020">
        <v>3360</v>
      </c>
      <c r="CE1020">
        <v>384</v>
      </c>
      <c r="CF1020">
        <v>96</v>
      </c>
      <c r="CG1020">
        <v>0</v>
      </c>
      <c r="CH1020">
        <v>0</v>
      </c>
      <c r="CI1020">
        <v>0</v>
      </c>
      <c r="CJ1020">
        <v>0</v>
      </c>
      <c r="CK1020">
        <v>0</v>
      </c>
      <c r="CL1020">
        <v>0</v>
      </c>
      <c r="CM1020">
        <v>0</v>
      </c>
    </row>
    <row r="1021" spans="82:91" x14ac:dyDescent="0.25">
      <c r="CD1021">
        <v>3360</v>
      </c>
      <c r="CE1021">
        <v>384</v>
      </c>
      <c r="CF1021">
        <v>96</v>
      </c>
      <c r="CG1021">
        <v>0</v>
      </c>
      <c r="CH1021">
        <v>0</v>
      </c>
      <c r="CI1021">
        <v>0</v>
      </c>
      <c r="CJ1021">
        <v>0</v>
      </c>
      <c r="CK1021">
        <v>0</v>
      </c>
      <c r="CL1021">
        <v>0</v>
      </c>
      <c r="CM1021">
        <v>0</v>
      </c>
    </row>
    <row r="1022" spans="82:91" x14ac:dyDescent="0.25">
      <c r="CD1022">
        <v>3360</v>
      </c>
      <c r="CE1022">
        <v>384</v>
      </c>
      <c r="CF1022">
        <v>96</v>
      </c>
      <c r="CG1022">
        <v>0</v>
      </c>
      <c r="CH1022">
        <v>0</v>
      </c>
      <c r="CI1022">
        <v>0</v>
      </c>
      <c r="CJ1022">
        <v>0</v>
      </c>
      <c r="CK1022">
        <v>0</v>
      </c>
      <c r="CL1022">
        <v>0</v>
      </c>
      <c r="CM1022">
        <v>0</v>
      </c>
    </row>
    <row r="1023" spans="82:91" x14ac:dyDescent="0.25">
      <c r="CD1023">
        <v>3360</v>
      </c>
      <c r="CE1023">
        <v>384</v>
      </c>
      <c r="CF1023">
        <v>96</v>
      </c>
      <c r="CG1023">
        <v>0</v>
      </c>
      <c r="CH1023">
        <v>0</v>
      </c>
      <c r="CI1023">
        <v>0</v>
      </c>
      <c r="CJ1023">
        <v>0</v>
      </c>
      <c r="CK1023">
        <v>0</v>
      </c>
      <c r="CL1023">
        <v>0</v>
      </c>
      <c r="CM1023">
        <v>0</v>
      </c>
    </row>
    <row r="1024" spans="82:91" x14ac:dyDescent="0.25">
      <c r="CD1024">
        <v>3360</v>
      </c>
      <c r="CE1024">
        <v>384</v>
      </c>
      <c r="CF1024">
        <v>96</v>
      </c>
      <c r="CG1024">
        <v>0</v>
      </c>
      <c r="CH1024">
        <v>0</v>
      </c>
      <c r="CI1024">
        <v>0</v>
      </c>
      <c r="CJ1024">
        <v>0</v>
      </c>
      <c r="CK1024">
        <v>0</v>
      </c>
      <c r="CL1024">
        <v>0</v>
      </c>
      <c r="CM1024">
        <v>0</v>
      </c>
    </row>
    <row r="1025" spans="82:91" x14ac:dyDescent="0.25">
      <c r="CD1025">
        <v>3360</v>
      </c>
      <c r="CE1025">
        <v>384</v>
      </c>
      <c r="CF1025">
        <v>96</v>
      </c>
      <c r="CG1025">
        <v>0</v>
      </c>
      <c r="CH1025">
        <v>0</v>
      </c>
      <c r="CI1025">
        <v>0</v>
      </c>
      <c r="CJ1025">
        <v>0</v>
      </c>
      <c r="CK1025">
        <v>0</v>
      </c>
      <c r="CL1025">
        <v>0</v>
      </c>
      <c r="CM1025">
        <v>0</v>
      </c>
    </row>
    <row r="1026" spans="82:91" x14ac:dyDescent="0.25">
      <c r="CD1026">
        <v>3360</v>
      </c>
      <c r="CE1026">
        <v>384</v>
      </c>
      <c r="CF1026">
        <v>96</v>
      </c>
      <c r="CG1026">
        <v>0</v>
      </c>
      <c r="CH1026">
        <v>0</v>
      </c>
      <c r="CI1026">
        <v>0</v>
      </c>
      <c r="CJ1026">
        <v>0</v>
      </c>
      <c r="CK1026">
        <v>0</v>
      </c>
      <c r="CL1026">
        <v>0</v>
      </c>
      <c r="CM1026">
        <v>0</v>
      </c>
    </row>
    <row r="1027" spans="82:91" x14ac:dyDescent="0.25">
      <c r="CD1027">
        <v>3360</v>
      </c>
      <c r="CE1027">
        <v>384</v>
      </c>
      <c r="CF1027">
        <v>96</v>
      </c>
      <c r="CG1027">
        <v>0</v>
      </c>
      <c r="CH1027">
        <v>0</v>
      </c>
      <c r="CI1027">
        <v>0</v>
      </c>
      <c r="CJ1027">
        <v>0</v>
      </c>
      <c r="CK1027">
        <v>0</v>
      </c>
      <c r="CL1027">
        <v>0</v>
      </c>
      <c r="CM1027">
        <v>0</v>
      </c>
    </row>
  </sheetData>
  <mergeCells count="23">
    <mergeCell ref="B1:F1"/>
    <mergeCell ref="AB1:AI1"/>
    <mergeCell ref="AP1:AW1"/>
    <mergeCell ref="AY1:AZ2"/>
    <mergeCell ref="AP2:AQ2"/>
    <mergeCell ref="G2:K2"/>
    <mergeCell ref="L2:P2"/>
    <mergeCell ref="Q2:U2"/>
    <mergeCell ref="V2:Z2"/>
    <mergeCell ref="AB2:AC2"/>
    <mergeCell ref="AD2:AE2"/>
    <mergeCell ref="AF2:AG2"/>
    <mergeCell ref="AH2:AI2"/>
    <mergeCell ref="AK2:AN2"/>
    <mergeCell ref="BM1:BV1"/>
    <mergeCell ref="BM2:BQ2"/>
    <mergeCell ref="BR2:BV2"/>
    <mergeCell ref="BB1:BK1"/>
    <mergeCell ref="AR2:AS2"/>
    <mergeCell ref="AT2:AU2"/>
    <mergeCell ref="AV2:AW2"/>
    <mergeCell ref="BB2:BF2"/>
    <mergeCell ref="BG2:BK2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0"/>
  <dimension ref="A1:AG115"/>
  <sheetViews>
    <sheetView topLeftCell="A25" zoomScaleNormal="100" workbookViewId="0">
      <selection activeCell="J6" sqref="J6"/>
    </sheetView>
  </sheetViews>
  <sheetFormatPr baseColWidth="10" defaultRowHeight="15" x14ac:dyDescent="0.25"/>
  <cols>
    <col min="2" max="2" width="19.7109375" customWidth="1"/>
    <col min="3" max="3" width="17.140625" customWidth="1"/>
    <col min="4" max="4" width="15.85546875" customWidth="1"/>
    <col min="5" max="5" width="18.28515625" customWidth="1"/>
    <col min="6" max="6" width="19.42578125" customWidth="1"/>
    <col min="7" max="7" width="16.85546875" customWidth="1"/>
    <col min="8" max="8" width="14.140625" customWidth="1"/>
    <col min="9" max="9" width="13.140625" customWidth="1"/>
    <col min="10" max="10" width="15.140625" customWidth="1"/>
    <col min="11" max="11" width="15.5703125" customWidth="1"/>
    <col min="12" max="12" width="17.5703125" customWidth="1"/>
    <col min="13" max="13" width="12.5703125" customWidth="1"/>
    <col min="14" max="14" width="14" customWidth="1"/>
    <col min="15" max="15" width="14.5703125" customWidth="1"/>
    <col min="16" max="21" width="11.42578125" hidden="1" customWidth="1"/>
    <col min="22" max="22" width="11.42578125" customWidth="1"/>
    <col min="26" max="28" width="0" hidden="1" customWidth="1"/>
    <col min="29" max="29" width="13.42578125" customWidth="1"/>
    <col min="30" max="30" width="15.140625" customWidth="1"/>
  </cols>
  <sheetData>
    <row r="1" spans="1:33" ht="13.5" customHeight="1" x14ac:dyDescent="0.25">
      <c r="A1" s="96">
        <v>1</v>
      </c>
      <c r="B1" s="96">
        <v>2</v>
      </c>
      <c r="C1" s="96">
        <v>3</v>
      </c>
      <c r="D1" s="96">
        <v>4</v>
      </c>
      <c r="E1" s="96">
        <v>5</v>
      </c>
      <c r="F1" s="96">
        <v>6</v>
      </c>
      <c r="G1" s="96">
        <v>7</v>
      </c>
      <c r="H1" s="96">
        <v>8</v>
      </c>
      <c r="I1" s="96">
        <v>9</v>
      </c>
      <c r="J1" s="96">
        <v>10</v>
      </c>
      <c r="K1" s="96">
        <v>11</v>
      </c>
      <c r="L1" s="96">
        <v>12</v>
      </c>
      <c r="M1" s="96">
        <v>13</v>
      </c>
      <c r="N1" s="96">
        <v>14</v>
      </c>
      <c r="O1" s="96">
        <v>15</v>
      </c>
      <c r="P1" s="96">
        <v>16</v>
      </c>
      <c r="Q1" s="96">
        <v>17</v>
      </c>
      <c r="R1" s="96">
        <v>18</v>
      </c>
      <c r="S1" s="96">
        <v>19</v>
      </c>
      <c r="T1" s="96">
        <v>20</v>
      </c>
      <c r="U1" s="96">
        <v>21</v>
      </c>
      <c r="V1" s="96">
        <v>22</v>
      </c>
      <c r="W1" s="96">
        <v>23</v>
      </c>
      <c r="X1" s="96">
        <v>24</v>
      </c>
      <c r="Y1" s="96">
        <v>25</v>
      </c>
      <c r="Z1" s="96">
        <v>26</v>
      </c>
      <c r="AA1" s="96">
        <v>27</v>
      </c>
      <c r="AB1" s="96">
        <v>28</v>
      </c>
      <c r="AC1" s="96">
        <v>29</v>
      </c>
      <c r="AD1" s="96">
        <v>30</v>
      </c>
    </row>
    <row r="2" spans="1:33" s="95" customFormat="1" ht="42.75" customHeight="1" x14ac:dyDescent="0.2">
      <c r="A2" s="111" t="s">
        <v>2</v>
      </c>
      <c r="B2" s="111" t="s">
        <v>18</v>
      </c>
      <c r="C2" s="111" t="s">
        <v>113</v>
      </c>
      <c r="D2" s="111" t="s">
        <v>112</v>
      </c>
      <c r="E2" s="111" t="s">
        <v>9</v>
      </c>
      <c r="F2" s="111" t="s">
        <v>95</v>
      </c>
      <c r="G2" s="111" t="s">
        <v>19</v>
      </c>
      <c r="H2" s="112" t="s">
        <v>3</v>
      </c>
      <c r="I2" s="113" t="s">
        <v>20</v>
      </c>
      <c r="J2" s="113" t="s">
        <v>120</v>
      </c>
      <c r="K2" s="113" t="s">
        <v>121</v>
      </c>
      <c r="L2" s="113" t="s">
        <v>122</v>
      </c>
      <c r="M2" s="113" t="s">
        <v>83</v>
      </c>
      <c r="N2" s="113" t="s">
        <v>93</v>
      </c>
      <c r="O2" s="113" t="s">
        <v>92</v>
      </c>
      <c r="P2" s="113" t="s">
        <v>4</v>
      </c>
      <c r="Q2" s="113" t="s">
        <v>5</v>
      </c>
      <c r="R2" s="114" t="s">
        <v>6</v>
      </c>
      <c r="S2" s="113" t="s">
        <v>7</v>
      </c>
      <c r="T2" s="113" t="s">
        <v>8</v>
      </c>
      <c r="U2" s="113" t="s">
        <v>91</v>
      </c>
      <c r="V2" s="113" t="s">
        <v>90</v>
      </c>
      <c r="W2" s="113" t="s">
        <v>89</v>
      </c>
      <c r="X2" s="113" t="s">
        <v>88</v>
      </c>
      <c r="Y2" s="113" t="s">
        <v>87</v>
      </c>
      <c r="Z2" s="113" t="s">
        <v>86</v>
      </c>
      <c r="AA2" s="113" t="s">
        <v>85</v>
      </c>
      <c r="AB2" s="113" t="s">
        <v>84</v>
      </c>
      <c r="AC2" s="113" t="s">
        <v>83</v>
      </c>
      <c r="AD2" s="113" t="s">
        <v>82</v>
      </c>
    </row>
    <row r="3" spans="1:33" x14ac:dyDescent="0.25">
      <c r="A3" s="2"/>
      <c r="B3" s="2"/>
      <c r="C3" s="2">
        <v>691200</v>
      </c>
      <c r="D3" s="2">
        <v>4.166666666666667</v>
      </c>
      <c r="E3" s="2">
        <v>0.35</v>
      </c>
      <c r="F3" s="2">
        <v>14.477683282633681</v>
      </c>
      <c r="G3" s="99">
        <v>18.001371637588178</v>
      </c>
      <c r="H3" s="2"/>
      <c r="I3" s="2"/>
      <c r="J3" s="107">
        <v>260.96099323484378</v>
      </c>
      <c r="K3" s="107">
        <v>117.35871388133037</v>
      </c>
      <c r="L3" s="107">
        <v>19.801750436864612</v>
      </c>
      <c r="M3" s="117">
        <v>3.080943731531764E-4</v>
      </c>
      <c r="N3" s="117">
        <v>2.7621171290845537E-5</v>
      </c>
      <c r="O3" s="117">
        <v>-1.6291977293662665E-4</v>
      </c>
      <c r="P3" s="117"/>
      <c r="Q3" s="117"/>
      <c r="R3" s="117"/>
      <c r="S3" s="117"/>
      <c r="T3" s="117"/>
      <c r="U3" s="117"/>
      <c r="V3" s="10">
        <v>0.29424571272069627</v>
      </c>
      <c r="W3" s="10">
        <v>19.467932542967013</v>
      </c>
      <c r="X3" s="10">
        <v>117.69253177522796</v>
      </c>
      <c r="Y3" s="10">
        <v>-4.925182041115822E-2</v>
      </c>
      <c r="Z3" s="2"/>
      <c r="AA3" s="2"/>
      <c r="AB3" s="2"/>
      <c r="AC3" s="190">
        <v>3.080943731531764E-4</v>
      </c>
      <c r="AD3" s="190">
        <v>-1.6357195394692617E-4</v>
      </c>
      <c r="AE3" s="189"/>
      <c r="AF3" s="189"/>
    </row>
    <row r="4" spans="1:33" x14ac:dyDescent="0.25">
      <c r="A4" s="2"/>
      <c r="B4" s="2"/>
      <c r="C4" s="2">
        <v>115200</v>
      </c>
      <c r="D4" s="2"/>
      <c r="E4" s="2"/>
      <c r="F4" s="2"/>
      <c r="G4" s="99">
        <v>84.316389452137187</v>
      </c>
      <c r="H4" s="2"/>
      <c r="I4" s="2"/>
      <c r="J4" s="107">
        <v>52.443674538242703</v>
      </c>
      <c r="K4" s="107">
        <v>6.448060901115781</v>
      </c>
      <c r="L4" s="107">
        <v>-2.0993026728090811</v>
      </c>
      <c r="M4" s="117">
        <v>4.4202785727721666E-4</v>
      </c>
      <c r="N4" s="117">
        <v>-9.6983240032864478E-5</v>
      </c>
      <c r="O4" s="117">
        <v>-1.9714765691479643E-4</v>
      </c>
      <c r="P4" s="117"/>
      <c r="Q4" s="117"/>
      <c r="R4" s="117"/>
      <c r="S4" s="117"/>
      <c r="T4" s="117"/>
      <c r="U4" s="117"/>
      <c r="V4" s="117"/>
      <c r="W4" s="10">
        <v>4.2624593552054897</v>
      </c>
      <c r="X4" s="10">
        <v>8.629887310120965E-2</v>
      </c>
      <c r="Y4" s="10">
        <v>0.86468066974625113</v>
      </c>
      <c r="Z4" s="2"/>
      <c r="AA4" s="2"/>
      <c r="AB4" s="2"/>
      <c r="AC4" s="190">
        <v>4.4202785727721666E-4</v>
      </c>
      <c r="AD4" s="190">
        <v>-1.7883767854323646E-4</v>
      </c>
    </row>
    <row r="5" spans="1:33" x14ac:dyDescent="0.25">
      <c r="G5" s="19"/>
      <c r="W5" s="116"/>
      <c r="X5" s="116"/>
      <c r="AD5" s="190"/>
      <c r="AF5" s="363"/>
      <c r="AG5" s="363"/>
    </row>
    <row r="6" spans="1:33" x14ac:dyDescent="0.25">
      <c r="J6" s="20">
        <v>246.51030745318153</v>
      </c>
      <c r="M6" s="117">
        <v>2.8718770969591038E-4</v>
      </c>
      <c r="AC6" s="190">
        <v>2.8718770969591038E-4</v>
      </c>
      <c r="AD6" s="190">
        <v>-1.5625462173688313E-4</v>
      </c>
      <c r="AF6" s="189"/>
      <c r="AG6" s="189"/>
    </row>
    <row r="7" spans="1:33" x14ac:dyDescent="0.25">
      <c r="J7" s="20">
        <v>48.822953784154095</v>
      </c>
      <c r="M7" s="117">
        <v>4.1059798962019749E-4</v>
      </c>
      <c r="AC7" s="190">
        <v>4.1059798962019749E-4</v>
      </c>
      <c r="AD7" s="190">
        <v>-1.6783722486327974E-4</v>
      </c>
      <c r="AF7" s="189"/>
      <c r="AG7" s="189"/>
    </row>
    <row r="9" spans="1:33" ht="17.25" x14ac:dyDescent="0.3">
      <c r="A9" s="15">
        <v>1</v>
      </c>
      <c r="B9" s="4" t="s">
        <v>27</v>
      </c>
      <c r="C9" s="4">
        <v>15</v>
      </c>
      <c r="D9" s="4">
        <v>3500000</v>
      </c>
      <c r="E9" s="5"/>
      <c r="F9" s="14"/>
      <c r="G9" s="5">
        <v>15</v>
      </c>
      <c r="H9" s="138"/>
      <c r="I9" s="5">
        <v>30.909639748564178</v>
      </c>
      <c r="J9" s="6">
        <v>82.049922573226567</v>
      </c>
      <c r="K9" s="6">
        <v>21.292868204492787</v>
      </c>
      <c r="L9" s="6">
        <v>-1.8264451985107748</v>
      </c>
      <c r="M9" s="12">
        <v>1.8809168630283218E-4</v>
      </c>
      <c r="N9" s="12">
        <v>-1.696337219164435E-5</v>
      </c>
      <c r="O9" s="12">
        <v>-9.499105492678137E-5</v>
      </c>
      <c r="P9" s="7">
        <v>1.0535245753428353E-2</v>
      </c>
      <c r="Q9" s="7">
        <v>9.3139722472856373E-2</v>
      </c>
      <c r="R9" s="7">
        <v>4.2684564737631131E-2</v>
      </c>
      <c r="S9" s="7">
        <v>0.13189428109379697</v>
      </c>
      <c r="T9" s="7">
        <v>3.5217466990881074E-2</v>
      </c>
      <c r="U9" s="8">
        <v>1.7605633343570931E-2</v>
      </c>
      <c r="V9" s="9">
        <f>SUM(U9:U23)</f>
        <v>0.35728666120436947</v>
      </c>
      <c r="W9" s="10">
        <v>-0.86300773349844262</v>
      </c>
      <c r="X9" s="10">
        <v>20.329430739480454</v>
      </c>
      <c r="Y9" s="10">
        <v>0.14214651123131919</v>
      </c>
      <c r="Z9" s="10"/>
      <c r="AA9" s="21"/>
      <c r="AB9" s="21"/>
      <c r="AC9" s="12">
        <v>1.8809168630283218E-4</v>
      </c>
      <c r="AD9" s="12">
        <v>-9.1752322550909984E-5</v>
      </c>
    </row>
    <row r="10" spans="1:33" ht="17.25" x14ac:dyDescent="0.3">
      <c r="A10" s="15">
        <v>2</v>
      </c>
      <c r="B10" s="4" t="s">
        <v>28</v>
      </c>
      <c r="C10" s="4">
        <v>20</v>
      </c>
      <c r="D10" s="4">
        <v>400000</v>
      </c>
      <c r="E10" s="5"/>
      <c r="F10" s="14"/>
      <c r="G10" s="5">
        <v>30.909639748564178</v>
      </c>
      <c r="H10" s="138"/>
      <c r="I10" s="5">
        <v>50.909639748564175</v>
      </c>
      <c r="J10" s="6">
        <v>47.613522669091978</v>
      </c>
      <c r="K10" s="6">
        <v>5.3305264732942916</v>
      </c>
      <c r="L10" s="6">
        <v>-2.0909655244142846</v>
      </c>
      <c r="M10" s="12">
        <v>1.8591870534793591E-4</v>
      </c>
      <c r="N10" s="12">
        <v>-4.2409474109371594E-5</v>
      </c>
      <c r="O10" s="12">
        <v>-8.2485530896997893E-5</v>
      </c>
      <c r="P10" s="7">
        <v>9.2183400342498084E-2</v>
      </c>
      <c r="Q10" s="7">
        <v>6.7637808346582645E-2</v>
      </c>
      <c r="R10" s="7">
        <v>3.5105462293048832E-2</v>
      </c>
      <c r="S10" s="7">
        <v>6.7637808346582645E-2</v>
      </c>
      <c r="T10" s="7">
        <v>3.5105462293048832E-2</v>
      </c>
      <c r="U10" s="6">
        <v>3.0495205942880334E-2</v>
      </c>
      <c r="V10" s="3"/>
      <c r="W10" s="10">
        <v>-0.11380411631878183</v>
      </c>
      <c r="X10" s="10">
        <v>3.3533650651987883</v>
      </c>
      <c r="Y10" s="10">
        <v>0.2917123388993344</v>
      </c>
      <c r="Z10" s="10"/>
      <c r="AA10" s="21"/>
      <c r="AB10" s="21"/>
      <c r="AC10" s="12">
        <v>1.8591870534793591E-4</v>
      </c>
      <c r="AD10" s="12">
        <v>-7.2324779897969184E-5</v>
      </c>
    </row>
    <row r="11" spans="1:33" ht="17.25" x14ac:dyDescent="0.3">
      <c r="A11" s="15">
        <v>3</v>
      </c>
      <c r="B11" s="4" t="s">
        <v>150</v>
      </c>
      <c r="C11" s="4">
        <v>30</v>
      </c>
      <c r="D11" s="4">
        <v>250000</v>
      </c>
      <c r="E11" s="5"/>
      <c r="F11" s="14"/>
      <c r="G11" s="5">
        <v>47.635420694665108</v>
      </c>
      <c r="H11" s="138"/>
      <c r="I11" s="5">
        <v>77.6354206946651</v>
      </c>
      <c r="J11" s="6">
        <v>25.020939747355921</v>
      </c>
      <c r="K11" s="6">
        <v>2.4162965882909404</v>
      </c>
      <c r="L11" s="6">
        <v>-1.1142406879631614</v>
      </c>
      <c r="M11" s="12">
        <v>2.4565220182241199E-4</v>
      </c>
      <c r="N11" s="12">
        <v>-5.9510480824965256E-5</v>
      </c>
      <c r="O11" s="12">
        <v>-1.0717273405439562E-4</v>
      </c>
      <c r="P11" s="7">
        <v>0.14749344054799693</v>
      </c>
      <c r="Q11" s="7">
        <v>5.0466511581898986E-2</v>
      </c>
      <c r="R11" s="7">
        <v>2.7711025795922977E-2</v>
      </c>
      <c r="S11" s="7">
        <v>5.0466511581898986E-2</v>
      </c>
      <c r="T11" s="7">
        <v>2.7711025795922977E-2</v>
      </c>
      <c r="U11" s="6">
        <v>3.6232845183686538E-2</v>
      </c>
      <c r="V11" s="3"/>
      <c r="W11" s="10">
        <v>1.1844218600499106</v>
      </c>
      <c r="X11" s="10">
        <v>0.11763404027786825</v>
      </c>
      <c r="Y11" s="10">
        <v>0.33914693331340362</v>
      </c>
      <c r="Z11" s="10"/>
      <c r="AA11" s="21"/>
      <c r="AB11" s="21"/>
      <c r="AC11" s="12">
        <v>2.4565220182241199E-4</v>
      </c>
      <c r="AD11" s="12">
        <v>-9.4990720068659237E-5</v>
      </c>
    </row>
    <row r="12" spans="1:33" ht="17.25" x14ac:dyDescent="0.3">
      <c r="A12" s="15">
        <v>4</v>
      </c>
      <c r="B12" s="4" t="s">
        <v>60</v>
      </c>
      <c r="C12" s="4">
        <v>40</v>
      </c>
      <c r="D12" s="4">
        <v>100000</v>
      </c>
      <c r="E12" s="5"/>
      <c r="F12" s="14"/>
      <c r="G12" s="5">
        <v>84.293981442142282</v>
      </c>
      <c r="H12" s="138"/>
      <c r="I12" s="5">
        <v>84.294981442142287</v>
      </c>
      <c r="J12" s="6">
        <v>21.950564686512024</v>
      </c>
      <c r="K12" s="6">
        <v>2.1807620483014762</v>
      </c>
      <c r="L12" s="6">
        <v>-0.98691606752884886</v>
      </c>
      <c r="M12" s="12">
        <v>2.1532718593241605E-4</v>
      </c>
      <c r="N12" s="12">
        <v>-5.1565149683426344E-5</v>
      </c>
      <c r="O12" s="12">
        <v>-9.4328804247135748E-5</v>
      </c>
      <c r="P12" s="7">
        <v>0.36873360136999234</v>
      </c>
      <c r="Q12" s="7">
        <v>4.7569592877967401E-2</v>
      </c>
      <c r="R12" s="7">
        <v>2.6454845285547555E-2</v>
      </c>
      <c r="S12" s="7">
        <v>4.7569592877967401E-2</v>
      </c>
      <c r="T12" s="7">
        <v>2.6454845285547555E-2</v>
      </c>
      <c r="U12" s="6">
        <v>0.27295297673423169</v>
      </c>
      <c r="V12" s="3"/>
      <c r="W12" s="10">
        <v>1.2642644801547627</v>
      </c>
      <c r="X12" s="10">
        <v>-7.0418499382135416E-2</v>
      </c>
      <c r="Y12" s="10">
        <v>0.33214139228118827</v>
      </c>
      <c r="Z12" s="10"/>
      <c r="AA12" s="21"/>
      <c r="AB12" s="21"/>
      <c r="AC12" s="12">
        <v>2.1532718593241605E-4</v>
      </c>
      <c r="AD12" s="12">
        <v>-8.5658617983022989E-5</v>
      </c>
    </row>
    <row r="13" spans="1:33" x14ac:dyDescent="0.25">
      <c r="H13" s="22"/>
      <c r="I13" s="22"/>
    </row>
    <row r="15" spans="1:33" x14ac:dyDescent="0.25">
      <c r="C15" s="108" t="s">
        <v>97</v>
      </c>
      <c r="D15" s="108" t="s">
        <v>98</v>
      </c>
      <c r="E15" s="108" t="s">
        <v>102</v>
      </c>
      <c r="F15" s="108" t="s">
        <v>104</v>
      </c>
    </row>
    <row r="16" spans="1:33" x14ac:dyDescent="0.25">
      <c r="C16" s="109" t="s">
        <v>96</v>
      </c>
      <c r="D16" s="109" t="s">
        <v>99</v>
      </c>
      <c r="E16" s="109" t="s">
        <v>103</v>
      </c>
      <c r="F16" s="109" t="s">
        <v>105</v>
      </c>
    </row>
    <row r="17" spans="2:9" x14ac:dyDescent="0.25">
      <c r="C17" s="110" t="s">
        <v>101</v>
      </c>
      <c r="D17" s="110" t="s">
        <v>100</v>
      </c>
      <c r="E17" s="110" t="s">
        <v>106</v>
      </c>
      <c r="F17" s="110" t="s">
        <v>107</v>
      </c>
    </row>
    <row r="18" spans="2:9" x14ac:dyDescent="0.25">
      <c r="B18" s="97" t="s">
        <v>13</v>
      </c>
      <c r="C18" s="99">
        <v>90</v>
      </c>
      <c r="D18" s="99">
        <v>18</v>
      </c>
      <c r="E18" s="99">
        <v>25.456814035431929</v>
      </c>
      <c r="F18" s="99">
        <v>86.216318236424769</v>
      </c>
    </row>
    <row r="19" spans="2:9" x14ac:dyDescent="0.25">
      <c r="B19" s="97" t="s">
        <v>12</v>
      </c>
      <c r="C19" s="99">
        <v>90</v>
      </c>
      <c r="D19" s="99">
        <v>18</v>
      </c>
      <c r="E19" s="99">
        <v>25.456814035431929</v>
      </c>
      <c r="F19" s="99">
        <v>86.216318236424769</v>
      </c>
    </row>
    <row r="20" spans="2:9" x14ac:dyDescent="0.25">
      <c r="B20" s="97" t="s">
        <v>14</v>
      </c>
      <c r="C20" s="99">
        <v>8.3929251873924979</v>
      </c>
      <c r="D20" s="99">
        <v>123.32072007574396</v>
      </c>
      <c r="E20" s="99">
        <v>124.62764292417057</v>
      </c>
      <c r="F20" s="99">
        <v>149.3896031531126</v>
      </c>
    </row>
    <row r="21" spans="2:9" x14ac:dyDescent="0.25">
      <c r="B21" s="97" t="s">
        <v>15</v>
      </c>
      <c r="C21" s="99">
        <v>8.3929251873924979</v>
      </c>
      <c r="D21" s="99">
        <v>123.32072007574396</v>
      </c>
      <c r="E21" s="99">
        <v>124.62764292417057</v>
      </c>
      <c r="F21" s="99">
        <v>149.3896031531126</v>
      </c>
    </row>
    <row r="22" spans="2:9" x14ac:dyDescent="0.25">
      <c r="B22" s="97" t="s">
        <v>16</v>
      </c>
      <c r="C22" s="99">
        <v>4.2190953492484544</v>
      </c>
      <c r="D22" s="99">
        <v>244.66303357883879</v>
      </c>
      <c r="E22" s="99">
        <v>245.32437583908077</v>
      </c>
      <c r="F22" s="99">
        <v>258.78418330772166</v>
      </c>
      <c r="I22" s="77"/>
    </row>
    <row r="23" spans="2:9" x14ac:dyDescent="0.25">
      <c r="B23" s="97" t="s">
        <v>17</v>
      </c>
      <c r="C23" s="99">
        <v>4.2190953492484544</v>
      </c>
      <c r="D23" s="99">
        <v>244.66303357883879</v>
      </c>
      <c r="E23" s="99">
        <v>245.32437583908077</v>
      </c>
      <c r="F23" s="99">
        <v>258.78418330772166</v>
      </c>
      <c r="I23" s="131"/>
    </row>
    <row r="24" spans="2:9" x14ac:dyDescent="0.25">
      <c r="C24" s="19"/>
      <c r="D24" s="19"/>
      <c r="E24" s="19"/>
      <c r="F24" s="19"/>
      <c r="I24" s="131"/>
    </row>
    <row r="25" spans="2:9" x14ac:dyDescent="0.25">
      <c r="B25" s="2"/>
      <c r="C25" s="188" t="s">
        <v>56</v>
      </c>
      <c r="D25" s="188" t="s">
        <v>71</v>
      </c>
      <c r="E25" s="188" t="s">
        <v>72</v>
      </c>
      <c r="F25" s="188" t="s">
        <v>73</v>
      </c>
      <c r="I25" s="77"/>
    </row>
    <row r="26" spans="2:9" x14ac:dyDescent="0.25">
      <c r="B26" s="97" t="s">
        <v>108</v>
      </c>
      <c r="C26" s="107">
        <v>1.2432928424115632</v>
      </c>
      <c r="D26" s="2">
        <v>0.21019799711532858</v>
      </c>
      <c r="E26" s="2">
        <v>9.3335814116334473E-2</v>
      </c>
      <c r="F26" s="2">
        <v>1.4452969594530756E-2</v>
      </c>
    </row>
    <row r="27" spans="2:9" x14ac:dyDescent="0.25">
      <c r="B27" s="97" t="s">
        <v>109</v>
      </c>
      <c r="C27" s="107">
        <v>1.2432928424115632</v>
      </c>
      <c r="D27" s="2">
        <v>0.21019799711532858</v>
      </c>
      <c r="E27" s="2">
        <v>9.3335814116334473E-2</v>
      </c>
      <c r="F27" s="2">
        <v>1.4452969594530756E-2</v>
      </c>
    </row>
    <row r="28" spans="2:9" x14ac:dyDescent="0.25">
      <c r="B28" s="97" t="s">
        <v>110</v>
      </c>
      <c r="C28" s="107">
        <v>8.5179871439562458</v>
      </c>
      <c r="D28" s="2">
        <v>7.530124009306746E-5</v>
      </c>
      <c r="E28" s="2">
        <v>1.2277585949706142E-3</v>
      </c>
      <c r="F28" s="2">
        <v>1.5025926753574827E-3</v>
      </c>
    </row>
    <row r="29" spans="2:9" x14ac:dyDescent="0.25">
      <c r="B29" s="97" t="s">
        <v>111</v>
      </c>
      <c r="C29" s="107">
        <v>8.5179871439562458</v>
      </c>
      <c r="D29" s="2">
        <v>7.530124009306746E-5</v>
      </c>
      <c r="E29" s="2">
        <v>1.2277585949706142E-3</v>
      </c>
      <c r="F29" s="2">
        <v>1.5025926753574827E-3</v>
      </c>
    </row>
    <row r="31" spans="2:9" x14ac:dyDescent="0.25">
      <c r="B31" s="97" t="s">
        <v>13</v>
      </c>
      <c r="C31" s="121">
        <v>123.21632005366375</v>
      </c>
      <c r="D31" s="121">
        <v>22.790090656341313</v>
      </c>
    </row>
    <row r="32" spans="2:9" x14ac:dyDescent="0.25">
      <c r="B32" s="97" t="s">
        <v>12</v>
      </c>
      <c r="C32" s="121">
        <v>123.21632005366375</v>
      </c>
      <c r="D32" s="121">
        <v>22.790090656341313</v>
      </c>
    </row>
    <row r="33" spans="2:9" x14ac:dyDescent="0.25">
      <c r="B33" s="97" t="s">
        <v>14</v>
      </c>
      <c r="C33" s="121">
        <v>3.7597898122435511E-2</v>
      </c>
      <c r="D33" s="121">
        <v>1.5243928293540341</v>
      </c>
    </row>
    <row r="34" spans="2:9" x14ac:dyDescent="0.25">
      <c r="B34" s="97" t="s">
        <v>15</v>
      </c>
      <c r="C34" s="121">
        <v>3.7597898122435511E-2</v>
      </c>
      <c r="D34" s="121">
        <v>1.5243928293540341</v>
      </c>
    </row>
    <row r="35" spans="2:9" x14ac:dyDescent="0.25">
      <c r="B35" s="97" t="s">
        <v>16</v>
      </c>
      <c r="C35" s="121">
        <v>1.2357748045726282E-3</v>
      </c>
      <c r="D35" s="121">
        <v>9.6993406381697206E-2</v>
      </c>
    </row>
    <row r="36" spans="2:9" x14ac:dyDescent="0.25">
      <c r="B36" s="97" t="s">
        <v>17</v>
      </c>
      <c r="C36" s="121">
        <v>1.2357748045726282E-3</v>
      </c>
      <c r="D36" s="121">
        <v>9.6993406381697206E-2</v>
      </c>
    </row>
    <row r="38" spans="2:9" x14ac:dyDescent="0.25">
      <c r="B38" s="106"/>
      <c r="C38" s="364" t="s">
        <v>116</v>
      </c>
      <c r="D38" s="365"/>
      <c r="E38" s="364" t="s">
        <v>117</v>
      </c>
      <c r="F38" s="365"/>
    </row>
    <row r="39" spans="2:9" x14ac:dyDescent="0.25">
      <c r="B39" s="13"/>
      <c r="C39" s="364" t="s">
        <v>115</v>
      </c>
      <c r="D39" s="365"/>
      <c r="E39" s="364" t="s">
        <v>115</v>
      </c>
      <c r="F39" s="365"/>
    </row>
    <row r="40" spans="2:9" x14ac:dyDescent="0.25">
      <c r="B40" s="103" t="s">
        <v>114</v>
      </c>
      <c r="C40" s="104">
        <v>1</v>
      </c>
      <c r="D40" s="105">
        <v>2</v>
      </c>
      <c r="E40" s="104">
        <v>1</v>
      </c>
      <c r="F40" s="105">
        <v>2</v>
      </c>
    </row>
    <row r="41" spans="2:9" x14ac:dyDescent="0.25">
      <c r="B41" s="18">
        <v>1</v>
      </c>
      <c r="C41">
        <v>57.917498195636639</v>
      </c>
      <c r="D41">
        <v>-0.20812661899424895</v>
      </c>
      <c r="E41">
        <v>8.9684741954410292</v>
      </c>
      <c r="F41" s="86">
        <v>-1.239866767197789</v>
      </c>
    </row>
    <row r="42" spans="2:9" x14ac:dyDescent="0.25">
      <c r="B42" s="18">
        <v>2</v>
      </c>
      <c r="C42">
        <v>57.917498195636639</v>
      </c>
      <c r="D42">
        <v>-0.20812661899424895</v>
      </c>
      <c r="E42">
        <v>8.9684741954410292</v>
      </c>
      <c r="F42" s="86">
        <v>-1.239866767197789</v>
      </c>
    </row>
    <row r="43" spans="2:9" x14ac:dyDescent="0.25">
      <c r="B43" s="18">
        <v>3</v>
      </c>
      <c r="C43">
        <v>0.76185874502854267</v>
      </c>
      <c r="D43">
        <v>2.8034682471610983</v>
      </c>
      <c r="E43">
        <v>0.93240102299127592</v>
      </c>
      <c r="F43" s="86">
        <v>6.540250164498998E-2</v>
      </c>
      <c r="G43" s="102"/>
      <c r="H43" s="102"/>
      <c r="I43" s="102"/>
    </row>
    <row r="44" spans="2:9" x14ac:dyDescent="0.25">
      <c r="B44" s="18">
        <v>4</v>
      </c>
      <c r="C44">
        <v>0.76185874502854267</v>
      </c>
      <c r="D44">
        <v>2.8034682471610983</v>
      </c>
      <c r="E44">
        <v>0.93240102299127581</v>
      </c>
      <c r="F44" s="86">
        <v>6.540250164498998E-2</v>
      </c>
    </row>
    <row r="45" spans="2:9" x14ac:dyDescent="0.25">
      <c r="B45" s="18">
        <v>5</v>
      </c>
      <c r="C45">
        <v>0</v>
      </c>
      <c r="D45">
        <v>0.62868882239104062</v>
      </c>
      <c r="E45">
        <v>0</v>
      </c>
      <c r="F45" s="86">
        <v>0.12481292914825824</v>
      </c>
    </row>
    <row r="46" spans="2:9" x14ac:dyDescent="0.25">
      <c r="B46" s="18">
        <v>6</v>
      </c>
      <c r="C46" s="100">
        <v>0</v>
      </c>
      <c r="D46" s="100">
        <v>0.62868882239104062</v>
      </c>
      <c r="E46" s="100">
        <v>0</v>
      </c>
      <c r="F46" s="101">
        <v>0.12481292914825824</v>
      </c>
    </row>
    <row r="48" spans="2:9" x14ac:dyDescent="0.25">
      <c r="B48" s="103" t="s">
        <v>151</v>
      </c>
      <c r="C48" s="135"/>
    </row>
    <row r="49" spans="2:5" x14ac:dyDescent="0.25">
      <c r="B49" s="97">
        <v>1</v>
      </c>
      <c r="C49" s="99">
        <v>18.001371637588178</v>
      </c>
      <c r="E49" s="115"/>
    </row>
    <row r="50" spans="2:5" x14ac:dyDescent="0.25">
      <c r="B50" s="97">
        <v>2</v>
      </c>
      <c r="C50" s="99">
        <v>84.316389452137187</v>
      </c>
    </row>
    <row r="51" spans="2:5" x14ac:dyDescent="0.25">
      <c r="B51" s="97">
        <v>3</v>
      </c>
      <c r="C51" s="99">
        <v>97.734962717092728</v>
      </c>
    </row>
    <row r="52" spans="2:5" x14ac:dyDescent="0.25">
      <c r="B52" s="97">
        <v>4</v>
      </c>
      <c r="C52" s="99">
        <v>97.962008553310937</v>
      </c>
    </row>
    <row r="53" spans="2:5" x14ac:dyDescent="0.25">
      <c r="B53" s="97">
        <v>5</v>
      </c>
      <c r="C53" s="99">
        <v>128.97762253051542</v>
      </c>
    </row>
    <row r="54" spans="2:5" ht="15" customHeight="1" x14ac:dyDescent="0.25">
      <c r="B54" s="97">
        <v>6</v>
      </c>
      <c r="C54" s="99"/>
    </row>
    <row r="75" spans="5:5" x14ac:dyDescent="0.25">
      <c r="E75" s="186"/>
    </row>
    <row r="76" spans="5:5" x14ac:dyDescent="0.25">
      <c r="E76" s="186"/>
    </row>
    <row r="77" spans="5:5" x14ac:dyDescent="0.25">
      <c r="E77" s="186"/>
    </row>
    <row r="78" spans="5:5" x14ac:dyDescent="0.25">
      <c r="E78" s="186"/>
    </row>
    <row r="79" spans="5:5" x14ac:dyDescent="0.25">
      <c r="E79" s="186"/>
    </row>
    <row r="80" spans="5:5" x14ac:dyDescent="0.25">
      <c r="E80" s="186"/>
    </row>
    <row r="81" spans="5:5" x14ac:dyDescent="0.25">
      <c r="E81" s="186"/>
    </row>
    <row r="82" spans="5:5" x14ac:dyDescent="0.25">
      <c r="E82" s="186"/>
    </row>
    <row r="83" spans="5:5" x14ac:dyDescent="0.25">
      <c r="E83" s="186"/>
    </row>
    <row r="84" spans="5:5" x14ac:dyDescent="0.25">
      <c r="E84" s="186"/>
    </row>
    <row r="85" spans="5:5" x14ac:dyDescent="0.25">
      <c r="E85" s="186"/>
    </row>
    <row r="86" spans="5:5" x14ac:dyDescent="0.25">
      <c r="E86" s="186"/>
    </row>
    <row r="87" spans="5:5" x14ac:dyDescent="0.25">
      <c r="E87" s="186"/>
    </row>
    <row r="88" spans="5:5" x14ac:dyDescent="0.25">
      <c r="E88" s="186"/>
    </row>
    <row r="89" spans="5:5" x14ac:dyDescent="0.25">
      <c r="E89" s="186"/>
    </row>
    <row r="90" spans="5:5" x14ac:dyDescent="0.25">
      <c r="E90" s="186"/>
    </row>
    <row r="91" spans="5:5" x14ac:dyDescent="0.25">
      <c r="E91" s="186"/>
    </row>
    <row r="92" spans="5:5" x14ac:dyDescent="0.25">
      <c r="E92" s="186"/>
    </row>
    <row r="93" spans="5:5" x14ac:dyDescent="0.25">
      <c r="E93" s="186"/>
    </row>
    <row r="94" spans="5:5" x14ac:dyDescent="0.25">
      <c r="E94" s="186"/>
    </row>
    <row r="95" spans="5:5" x14ac:dyDescent="0.25">
      <c r="E95" s="186"/>
    </row>
    <row r="96" spans="5:5" x14ac:dyDescent="0.25">
      <c r="E96" s="186"/>
    </row>
    <row r="97" spans="5:5" x14ac:dyDescent="0.25">
      <c r="E97" s="186"/>
    </row>
    <row r="98" spans="5:5" x14ac:dyDescent="0.25">
      <c r="E98" s="186"/>
    </row>
    <row r="99" spans="5:5" x14ac:dyDescent="0.25">
      <c r="E99" s="186"/>
    </row>
    <row r="100" spans="5:5" x14ac:dyDescent="0.25">
      <c r="E100" s="186"/>
    </row>
    <row r="101" spans="5:5" x14ac:dyDescent="0.25">
      <c r="E101" s="186"/>
    </row>
    <row r="102" spans="5:5" x14ac:dyDescent="0.25">
      <c r="E102" s="186"/>
    </row>
    <row r="103" spans="5:5" x14ac:dyDescent="0.25">
      <c r="E103" s="186"/>
    </row>
    <row r="104" spans="5:5" x14ac:dyDescent="0.25">
      <c r="E104" s="186"/>
    </row>
    <row r="105" spans="5:5" x14ac:dyDescent="0.25">
      <c r="E105" s="186"/>
    </row>
    <row r="106" spans="5:5" x14ac:dyDescent="0.25">
      <c r="E106" s="186"/>
    </row>
    <row r="107" spans="5:5" x14ac:dyDescent="0.25">
      <c r="E107" s="186"/>
    </row>
    <row r="108" spans="5:5" x14ac:dyDescent="0.25">
      <c r="E108" s="186"/>
    </row>
    <row r="109" spans="5:5" x14ac:dyDescent="0.25">
      <c r="E109" s="186"/>
    </row>
    <row r="110" spans="5:5" x14ac:dyDescent="0.25">
      <c r="E110" s="186"/>
    </row>
    <row r="111" spans="5:5" x14ac:dyDescent="0.25">
      <c r="E111" s="186"/>
    </row>
    <row r="112" spans="5:5" x14ac:dyDescent="0.25">
      <c r="E112" s="186"/>
    </row>
    <row r="113" spans="5:5" x14ac:dyDescent="0.25">
      <c r="E113" s="186"/>
    </row>
    <row r="114" spans="5:5" x14ac:dyDescent="0.25">
      <c r="E114" s="186"/>
    </row>
    <row r="115" spans="5:5" x14ac:dyDescent="0.25">
      <c r="E115" s="186"/>
    </row>
  </sheetData>
  <mergeCells count="5">
    <mergeCell ref="AF5:AG5"/>
    <mergeCell ref="C38:D38"/>
    <mergeCell ref="E38:F38"/>
    <mergeCell ref="C39:D39"/>
    <mergeCell ref="E39:F39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2"/>
  <dimension ref="A1:T25"/>
  <sheetViews>
    <sheetView zoomScaleNormal="100" workbookViewId="0">
      <selection activeCell="S7" sqref="S7"/>
    </sheetView>
  </sheetViews>
  <sheetFormatPr baseColWidth="10" defaultRowHeight="15" x14ac:dyDescent="0.25"/>
  <sheetData>
    <row r="1" spans="1:20" ht="16.5" customHeight="1" thickBot="1" x14ac:dyDescent="0.3">
      <c r="A1" s="81"/>
      <c r="B1" s="80"/>
      <c r="C1" s="24">
        <v>0</v>
      </c>
      <c r="D1" s="25">
        <v>0.2</v>
      </c>
      <c r="E1" s="25">
        <v>0.4</v>
      </c>
      <c r="F1" s="25">
        <v>0.6</v>
      </c>
      <c r="G1" s="25">
        <v>0.8</v>
      </c>
      <c r="H1" s="25">
        <v>1</v>
      </c>
      <c r="I1" s="25">
        <v>1.2</v>
      </c>
      <c r="J1" s="25">
        <v>1.5</v>
      </c>
      <c r="K1" s="25">
        <v>2</v>
      </c>
      <c r="L1" s="25">
        <v>3</v>
      </c>
      <c r="M1" s="25">
        <v>4</v>
      </c>
      <c r="N1" s="25">
        <v>5</v>
      </c>
      <c r="O1" s="26">
        <v>6</v>
      </c>
      <c r="P1" s="26">
        <v>7</v>
      </c>
      <c r="Q1" s="26">
        <v>8</v>
      </c>
      <c r="R1" s="26">
        <v>10</v>
      </c>
      <c r="S1" s="26">
        <v>12</v>
      </c>
      <c r="T1" s="27">
        <v>14</v>
      </c>
    </row>
    <row r="2" spans="1:20" ht="15" customHeight="1" thickBot="1" x14ac:dyDescent="0.3">
      <c r="A2" s="37"/>
      <c r="B2" s="82"/>
      <c r="C2" s="83">
        <v>1</v>
      </c>
      <c r="D2" s="84">
        <v>2</v>
      </c>
      <c r="E2" s="84">
        <v>3</v>
      </c>
      <c r="F2" s="84">
        <v>4</v>
      </c>
      <c r="G2" s="84">
        <v>5</v>
      </c>
      <c r="H2" s="84">
        <v>6</v>
      </c>
      <c r="I2" s="84">
        <v>7</v>
      </c>
      <c r="J2" s="84">
        <v>8</v>
      </c>
      <c r="K2" s="84">
        <v>9</v>
      </c>
      <c r="L2" s="84">
        <v>10</v>
      </c>
      <c r="M2" s="84">
        <v>11</v>
      </c>
      <c r="N2" s="84">
        <v>12</v>
      </c>
      <c r="O2" s="84">
        <v>13</v>
      </c>
      <c r="P2" s="84">
        <v>14</v>
      </c>
      <c r="Q2" s="84">
        <v>15</v>
      </c>
      <c r="R2" s="84">
        <v>16</v>
      </c>
      <c r="S2" s="84">
        <v>17</v>
      </c>
      <c r="T2" s="85">
        <v>18</v>
      </c>
    </row>
    <row r="3" spans="1:20" x14ac:dyDescent="0.25">
      <c r="A3" s="67">
        <v>0</v>
      </c>
      <c r="B3" s="79">
        <v>1</v>
      </c>
      <c r="C3" s="78">
        <v>1</v>
      </c>
      <c r="D3" s="43">
        <v>1</v>
      </c>
      <c r="E3" s="43">
        <v>1</v>
      </c>
      <c r="F3" s="43">
        <v>1</v>
      </c>
      <c r="G3" s="43">
        <v>1</v>
      </c>
      <c r="H3" s="43">
        <v>0.5</v>
      </c>
      <c r="I3" s="43">
        <v>0</v>
      </c>
      <c r="J3" s="43">
        <v>0</v>
      </c>
      <c r="K3" s="43">
        <v>0</v>
      </c>
      <c r="L3" s="43">
        <v>0</v>
      </c>
      <c r="M3" s="43">
        <v>0</v>
      </c>
      <c r="N3" s="43">
        <v>0</v>
      </c>
      <c r="O3" s="43">
        <v>0</v>
      </c>
      <c r="P3" s="43">
        <v>0</v>
      </c>
      <c r="Q3" s="43">
        <v>0</v>
      </c>
      <c r="R3" s="43">
        <v>0</v>
      </c>
      <c r="S3" s="43">
        <v>0</v>
      </c>
      <c r="T3" s="44">
        <v>0</v>
      </c>
    </row>
    <row r="4" spans="1:20" x14ac:dyDescent="0.25">
      <c r="A4" s="31">
        <v>0.1</v>
      </c>
      <c r="B4" s="72">
        <v>2</v>
      </c>
      <c r="C4" s="76">
        <v>0.99902000000000002</v>
      </c>
      <c r="D4" s="29">
        <v>0.9988800000000001</v>
      </c>
      <c r="E4" s="29">
        <v>0.99817</v>
      </c>
      <c r="F4" s="29">
        <v>0.99550000000000005</v>
      </c>
      <c r="G4" s="29">
        <v>0.97592999999999996</v>
      </c>
      <c r="H4" s="29">
        <v>0.48402999999999996</v>
      </c>
      <c r="I4" s="29">
        <v>1.7459999999999989E-2</v>
      </c>
      <c r="J4" s="29">
        <v>1.1499999999999982E-3</v>
      </c>
      <c r="K4" s="29">
        <v>1.1000000000000072E-4</v>
      </c>
      <c r="L4" s="29">
        <v>1.0000000000000026E-5</v>
      </c>
      <c r="M4" s="29">
        <v>0</v>
      </c>
      <c r="N4" s="29">
        <v>0</v>
      </c>
      <c r="O4" s="29">
        <v>0</v>
      </c>
      <c r="P4" s="29">
        <v>1.4999999999999999E-4</v>
      </c>
      <c r="Q4" s="29">
        <v>1E-4</v>
      </c>
      <c r="R4" s="29">
        <v>0</v>
      </c>
      <c r="S4" s="29">
        <v>0</v>
      </c>
      <c r="T4" s="30">
        <v>0</v>
      </c>
    </row>
    <row r="5" spans="1:20" x14ac:dyDescent="0.25">
      <c r="A5" s="31">
        <v>0.2</v>
      </c>
      <c r="B5" s="72">
        <v>3</v>
      </c>
      <c r="C5" s="76">
        <v>0.99245000000000005</v>
      </c>
      <c r="D5" s="29">
        <v>0.99129999999999996</v>
      </c>
      <c r="E5" s="29">
        <v>0.98655999999999999</v>
      </c>
      <c r="F5" s="29">
        <v>0.97006999999999999</v>
      </c>
      <c r="G5" s="29">
        <v>0.88997000000000004</v>
      </c>
      <c r="H5" s="29">
        <v>0.46781999999999996</v>
      </c>
      <c r="I5" s="29">
        <v>7.6739999999999989E-2</v>
      </c>
      <c r="J5" s="29">
        <v>8.0300000000000024E-3</v>
      </c>
      <c r="K5" s="29">
        <v>8.6999999999999925E-4</v>
      </c>
      <c r="L5" s="45">
        <v>6.999999999999975E-5</v>
      </c>
      <c r="M5" s="29">
        <v>1.0000000000000026E-5</v>
      </c>
      <c r="N5" s="29">
        <v>0</v>
      </c>
      <c r="O5" s="46">
        <v>2.4000000000000001E-4</v>
      </c>
      <c r="P5" s="46">
        <v>1.4999999999999999E-4</v>
      </c>
      <c r="Q5" s="46">
        <v>1E-4</v>
      </c>
      <c r="R5" s="29">
        <v>0</v>
      </c>
      <c r="S5" s="29">
        <v>0</v>
      </c>
      <c r="T5" s="30">
        <v>0</v>
      </c>
    </row>
    <row r="6" spans="1:20" x14ac:dyDescent="0.25">
      <c r="A6" s="31">
        <v>0.3</v>
      </c>
      <c r="B6" s="72">
        <v>4</v>
      </c>
      <c r="C6" s="76">
        <v>0.97626999999999997</v>
      </c>
      <c r="D6" s="29">
        <v>0.97304999999999997</v>
      </c>
      <c r="E6" s="29">
        <v>0.96333999999999997</v>
      </c>
      <c r="F6" s="29">
        <v>0.92172999999999994</v>
      </c>
      <c r="G6" s="29">
        <v>0.79337999999999997</v>
      </c>
      <c r="H6" s="29">
        <v>0.45132</v>
      </c>
      <c r="I6" s="29">
        <v>0.13647999999999999</v>
      </c>
      <c r="J6" s="29">
        <v>2.1999999999999999E-2</v>
      </c>
      <c r="K6" s="29">
        <v>2.7400000000000028E-3</v>
      </c>
      <c r="L6" s="29">
        <v>2.3000000000000017E-4</v>
      </c>
      <c r="M6" s="45">
        <v>5.0000000000000131E-5</v>
      </c>
      <c r="N6" s="47">
        <v>1.0000000000000001E-5</v>
      </c>
      <c r="O6" s="29">
        <v>0</v>
      </c>
      <c r="P6" s="29">
        <v>0</v>
      </c>
      <c r="Q6" s="29">
        <v>0</v>
      </c>
      <c r="R6" s="29">
        <v>0</v>
      </c>
      <c r="S6" s="29">
        <v>0</v>
      </c>
      <c r="T6" s="30">
        <v>0</v>
      </c>
    </row>
    <row r="7" spans="1:20" x14ac:dyDescent="0.25">
      <c r="A7" s="31">
        <v>0.4</v>
      </c>
      <c r="B7" s="72">
        <v>5</v>
      </c>
      <c r="C7" s="76">
        <v>0.62861</v>
      </c>
      <c r="D7" s="29">
        <v>0.62014999999999998</v>
      </c>
      <c r="E7" s="29">
        <v>0.59240999999999999</v>
      </c>
      <c r="F7" s="29">
        <v>0.53766999999999998</v>
      </c>
      <c r="G7" s="29">
        <v>0.44329000000000002</v>
      </c>
      <c r="H7" s="29">
        <v>0.31047999999999998</v>
      </c>
      <c r="I7" s="29">
        <v>0.18709000000000001</v>
      </c>
      <c r="J7" s="29">
        <v>8.5930000000000006E-2</v>
      </c>
      <c r="K7" s="29">
        <v>3.1179999999999999E-2</v>
      </c>
      <c r="L7" s="47">
        <v>5.2999999999999998E-4</v>
      </c>
      <c r="M7" s="47">
        <v>1.05E-4</v>
      </c>
      <c r="N7" s="47">
        <v>5.0000000000000002E-5</v>
      </c>
      <c r="O7" s="47">
        <v>1.0000000000000001E-5</v>
      </c>
      <c r="P7" s="29">
        <v>0</v>
      </c>
      <c r="Q7" s="29">
        <v>0</v>
      </c>
      <c r="R7" s="29">
        <v>0</v>
      </c>
      <c r="S7" s="29">
        <v>0</v>
      </c>
      <c r="T7" s="30">
        <v>0</v>
      </c>
    </row>
    <row r="8" spans="1:20" x14ac:dyDescent="0.25">
      <c r="A8" s="31">
        <v>0.5</v>
      </c>
      <c r="B8" s="72">
        <v>6</v>
      </c>
      <c r="C8" s="76">
        <v>0.91056000000000004</v>
      </c>
      <c r="D8" s="29">
        <v>0.90155000000000007</v>
      </c>
      <c r="E8" s="29">
        <v>0.86945000000000006</v>
      </c>
      <c r="F8" s="29">
        <v>0.79554000000000002</v>
      </c>
      <c r="G8" s="29">
        <v>0.64626000000000006</v>
      </c>
      <c r="H8" s="29">
        <v>0.41747000000000001</v>
      </c>
      <c r="I8" s="29">
        <v>0.20721000000000001</v>
      </c>
      <c r="J8" s="29">
        <v>6.0440000000000008E-2</v>
      </c>
      <c r="K8" s="29">
        <v>1.0500000000000002E-2</v>
      </c>
      <c r="L8" s="48">
        <v>1.15E-3</v>
      </c>
      <c r="M8" s="29">
        <v>1.8999999999999963E-4</v>
      </c>
      <c r="N8" s="49">
        <v>9.9999999999999829E-5</v>
      </c>
      <c r="O8" s="45">
        <v>2.0000000000000052E-5</v>
      </c>
      <c r="P8" s="50">
        <v>-1.9999999999999944E-5</v>
      </c>
      <c r="Q8" s="46">
        <v>3.9999999999999996E-5</v>
      </c>
      <c r="R8" s="46">
        <v>0</v>
      </c>
      <c r="S8" s="46">
        <v>9.9999999999999991E-6</v>
      </c>
      <c r="T8" s="51">
        <v>0</v>
      </c>
    </row>
    <row r="9" spans="1:20" x14ac:dyDescent="0.25">
      <c r="A9" s="31">
        <v>0.6</v>
      </c>
      <c r="B9" s="72">
        <v>7</v>
      </c>
      <c r="C9" s="76">
        <v>0.86380999999999997</v>
      </c>
      <c r="D9" s="29">
        <v>0.85221999999999998</v>
      </c>
      <c r="E9" s="29">
        <v>0.81386000000000003</v>
      </c>
      <c r="F9" s="29">
        <v>0.73249000000000009</v>
      </c>
      <c r="G9" s="29">
        <v>0.59087000000000001</v>
      </c>
      <c r="H9" s="29">
        <v>0.40027999999999997</v>
      </c>
      <c r="I9" s="29">
        <v>0.22409000000000001</v>
      </c>
      <c r="J9" s="29">
        <v>7.9089999999999994E-2</v>
      </c>
      <c r="K9" s="47">
        <v>1.6449999999999999E-2</v>
      </c>
      <c r="L9" s="47">
        <v>1.72E-3</v>
      </c>
      <c r="M9" s="47">
        <v>2.9E-4</v>
      </c>
      <c r="N9" s="47">
        <v>1.3999999999999999E-4</v>
      </c>
      <c r="O9" s="47">
        <v>3.4999999999999997E-5</v>
      </c>
      <c r="P9" s="47">
        <v>2.0000000000000002E-5</v>
      </c>
      <c r="Q9" s="47">
        <v>1.0000000000000001E-5</v>
      </c>
      <c r="R9" s="47">
        <v>0</v>
      </c>
      <c r="S9" s="47">
        <v>0</v>
      </c>
      <c r="T9" s="52">
        <v>0</v>
      </c>
    </row>
    <row r="10" spans="1:20" x14ac:dyDescent="0.25">
      <c r="A10" s="31">
        <v>0.7</v>
      </c>
      <c r="B10" s="72">
        <v>8</v>
      </c>
      <c r="C10" s="76">
        <v>0.81140999999999996</v>
      </c>
      <c r="D10" s="29">
        <v>0.79835999999999996</v>
      </c>
      <c r="E10" s="29">
        <v>0.75563000000000002</v>
      </c>
      <c r="F10" s="29">
        <v>0.67357</v>
      </c>
      <c r="G10" s="29">
        <v>0.54471000000000003</v>
      </c>
      <c r="H10" s="48">
        <v>0.37712999999999997</v>
      </c>
      <c r="I10" s="29">
        <v>0.23333000000000001</v>
      </c>
      <c r="J10" s="29">
        <v>9.5259999999999997E-2</v>
      </c>
      <c r="K10" s="29">
        <v>2.2290000000000001E-2</v>
      </c>
      <c r="L10" s="47">
        <v>2.3400000000000001E-3</v>
      </c>
      <c r="M10" s="47">
        <v>4.2999999999999999E-4</v>
      </c>
      <c r="N10" s="47">
        <v>1.95E-4</v>
      </c>
      <c r="O10" s="47">
        <v>4.8999999999999998E-5</v>
      </c>
      <c r="P10" s="47">
        <v>3.0000000000000001E-5</v>
      </c>
      <c r="Q10" s="47">
        <v>2.0000000000000002E-5</v>
      </c>
      <c r="R10" s="47">
        <v>0</v>
      </c>
      <c r="S10" s="47">
        <v>0</v>
      </c>
      <c r="T10" s="52">
        <v>0</v>
      </c>
    </row>
    <row r="11" spans="1:20" x14ac:dyDescent="0.25">
      <c r="A11" s="31">
        <v>0.8</v>
      </c>
      <c r="B11" s="72">
        <v>9</v>
      </c>
      <c r="C11" s="76">
        <v>0.75622</v>
      </c>
      <c r="D11" s="29">
        <v>0.74239999999999995</v>
      </c>
      <c r="E11" s="29">
        <v>0.69862000000000002</v>
      </c>
      <c r="F11" s="29">
        <v>0.61941999999999997</v>
      </c>
      <c r="G11" s="29">
        <v>0.50360000000000005</v>
      </c>
      <c r="H11" s="29">
        <v>0.36588999999999999</v>
      </c>
      <c r="I11" s="29">
        <v>0.23736000000000002</v>
      </c>
      <c r="J11" s="29">
        <v>0.10850000000000001</v>
      </c>
      <c r="K11" s="47">
        <v>2.8219999999999999E-2</v>
      </c>
      <c r="L11" s="47">
        <v>3.2499999999999999E-3</v>
      </c>
      <c r="M11" s="47">
        <v>6.7000000000000002E-4</v>
      </c>
      <c r="N11" s="47">
        <v>2.7999999999999998E-4</v>
      </c>
      <c r="O11" s="47">
        <v>6.7999999999999999E-5</v>
      </c>
      <c r="P11" s="47">
        <v>4.0000000000000003E-5</v>
      </c>
      <c r="Q11" s="47">
        <v>3.0000000000000001E-5</v>
      </c>
      <c r="R11" s="47">
        <v>0</v>
      </c>
      <c r="S11" s="47">
        <v>0</v>
      </c>
      <c r="T11" s="52">
        <v>0</v>
      </c>
    </row>
    <row r="12" spans="1:20" x14ac:dyDescent="0.25">
      <c r="A12" s="31">
        <v>0.9</v>
      </c>
      <c r="B12" s="72">
        <v>10</v>
      </c>
      <c r="C12" s="76">
        <v>0.70066000000000006</v>
      </c>
      <c r="D12" s="29">
        <v>0.68767</v>
      </c>
      <c r="E12" s="29">
        <v>0.64402999999999999</v>
      </c>
      <c r="F12" s="29">
        <v>0.57006000000000001</v>
      </c>
      <c r="G12" s="29">
        <v>0.46723000000000003</v>
      </c>
      <c r="H12" s="29">
        <v>0.34892000000000001</v>
      </c>
      <c r="I12" s="29">
        <v>0.23760000000000001</v>
      </c>
      <c r="J12" s="29">
        <v>0.11889</v>
      </c>
      <c r="K12" s="47">
        <v>3.465E-2</v>
      </c>
      <c r="L12" s="47">
        <v>4.5500000000000002E-3</v>
      </c>
      <c r="M12" s="47">
        <v>1.0300000000000001E-3</v>
      </c>
      <c r="N12" s="47">
        <v>3.6999999999999999E-4</v>
      </c>
      <c r="O12" s="47">
        <v>1E-4</v>
      </c>
      <c r="P12" s="47">
        <v>6.0000000000000002E-5</v>
      </c>
      <c r="Q12" s="47">
        <v>4.0000000000000003E-5</v>
      </c>
      <c r="R12" s="47">
        <v>1.0000000000000001E-5</v>
      </c>
      <c r="S12" s="47">
        <v>0</v>
      </c>
      <c r="T12" s="52">
        <v>0</v>
      </c>
    </row>
    <row r="13" spans="1:20" x14ac:dyDescent="0.25">
      <c r="A13" s="31">
        <v>1</v>
      </c>
      <c r="B13" s="72">
        <v>11</v>
      </c>
      <c r="C13" s="76">
        <v>0.6464399999999999</v>
      </c>
      <c r="D13" s="29">
        <v>0.63315999999999995</v>
      </c>
      <c r="E13" s="29">
        <v>0.59079999999999999</v>
      </c>
      <c r="F13" s="29">
        <v>0.52515999999999996</v>
      </c>
      <c r="G13" s="29">
        <v>0.43446000000000001</v>
      </c>
      <c r="H13" s="29">
        <v>0.33223000000000003</v>
      </c>
      <c r="I13" s="29">
        <v>0.23538999999999999</v>
      </c>
      <c r="J13" s="29">
        <v>0.12662999999999999</v>
      </c>
      <c r="K13" s="29">
        <v>4.1800000000000004E-2</v>
      </c>
      <c r="L13" s="29">
        <v>6.2700000000000013E-3</v>
      </c>
      <c r="M13" s="29">
        <v>1.5299999999999992E-3</v>
      </c>
      <c r="N13" s="29">
        <v>4.9000000000000042E-4</v>
      </c>
      <c r="O13" s="29">
        <v>1.5999999999999999E-4</v>
      </c>
      <c r="P13" s="29">
        <v>7.9999999999999993E-5</v>
      </c>
      <c r="Q13" s="29">
        <v>5.0000000000000023E-5</v>
      </c>
      <c r="R13" s="29">
        <v>1.9999999999999998E-5</v>
      </c>
      <c r="S13" s="29">
        <v>1.9999999999999998E-5</v>
      </c>
      <c r="T13" s="30">
        <v>0</v>
      </c>
    </row>
    <row r="14" spans="1:20" x14ac:dyDescent="0.25">
      <c r="A14" s="31">
        <v>1.2</v>
      </c>
      <c r="B14" s="72">
        <v>12</v>
      </c>
      <c r="C14" s="76">
        <v>0.54663000000000006</v>
      </c>
      <c r="D14" s="29">
        <v>0.53525</v>
      </c>
      <c r="E14" s="29">
        <v>0.50143000000000004</v>
      </c>
      <c r="F14" s="29">
        <v>0.44725999999999999</v>
      </c>
      <c r="G14" s="29">
        <v>0.37739</v>
      </c>
      <c r="H14" s="29">
        <v>0.30015999999999998</v>
      </c>
      <c r="I14" s="29">
        <v>0.22572</v>
      </c>
      <c r="J14" s="29">
        <v>0.13569999999999999</v>
      </c>
      <c r="K14" s="29">
        <v>5.2830000000000002E-2</v>
      </c>
      <c r="L14" s="29">
        <v>9.3999999999999986E-3</v>
      </c>
      <c r="M14" s="29">
        <v>2.3900000000000006E-3</v>
      </c>
      <c r="N14" s="29">
        <v>8.1000000000000039E-4</v>
      </c>
      <c r="O14" s="29">
        <v>3.3E-4</v>
      </c>
      <c r="P14" s="29">
        <v>1.4999999999999996E-4</v>
      </c>
      <c r="Q14" s="29">
        <v>7.9999999999999993E-5</v>
      </c>
      <c r="R14" s="47">
        <v>3.0000000000000001E-5</v>
      </c>
      <c r="S14" s="47">
        <v>2.4000000000000001E-5</v>
      </c>
      <c r="T14" s="52">
        <v>0</v>
      </c>
    </row>
    <row r="15" spans="1:20" x14ac:dyDescent="0.25">
      <c r="A15" s="31">
        <v>1.5</v>
      </c>
      <c r="B15" s="72">
        <v>13</v>
      </c>
      <c r="C15" s="76">
        <v>0.42397000000000001</v>
      </c>
      <c r="D15" s="29">
        <v>0.41576999999999997</v>
      </c>
      <c r="E15" s="29">
        <v>0.39215</v>
      </c>
      <c r="F15" s="29">
        <v>0.35498000000000002</v>
      </c>
      <c r="G15" s="29">
        <v>0.30803999999999998</v>
      </c>
      <c r="H15" s="29">
        <v>0.25624000000000002</v>
      </c>
      <c r="I15" s="29">
        <v>0.20489000000000002</v>
      </c>
      <c r="J15" s="29">
        <v>0.13793</v>
      </c>
      <c r="K15" s="29">
        <v>6.5009999999999998E-2</v>
      </c>
      <c r="L15" s="29">
        <v>1.4730000000000002E-2</v>
      </c>
      <c r="M15" s="29">
        <v>4.13E-3</v>
      </c>
      <c r="N15" s="29">
        <v>1.47E-3</v>
      </c>
      <c r="O15" s="29">
        <v>5.9999999999999984E-4</v>
      </c>
      <c r="P15" s="29">
        <v>2.8999999999999989E-4</v>
      </c>
      <c r="Q15" s="29">
        <v>1.4999999999999996E-4</v>
      </c>
      <c r="R15" s="45">
        <v>4.9999999999999914E-5</v>
      </c>
      <c r="S15" s="29">
        <v>2.999999999999997E-5</v>
      </c>
      <c r="T15" s="30">
        <v>1.0000000000000026E-5</v>
      </c>
    </row>
    <row r="16" spans="1:20" x14ac:dyDescent="0.25">
      <c r="A16" s="31">
        <v>2</v>
      </c>
      <c r="B16" s="72">
        <v>14</v>
      </c>
      <c r="C16" s="76">
        <v>0.28445999999999999</v>
      </c>
      <c r="D16" s="29">
        <v>0.28597</v>
      </c>
      <c r="E16" s="29">
        <v>0.26784000000000002</v>
      </c>
      <c r="F16" s="29">
        <v>0.24845</v>
      </c>
      <c r="G16" s="29">
        <v>0.22386</v>
      </c>
      <c r="H16" s="29">
        <v>0.19600000000000001</v>
      </c>
      <c r="I16" s="29">
        <v>0.16725000000000001</v>
      </c>
      <c r="J16" s="29">
        <v>0.12646000000000002</v>
      </c>
      <c r="K16" s="29">
        <v>7.3319999999999996E-2</v>
      </c>
      <c r="L16" s="29">
        <v>2.249E-2</v>
      </c>
      <c r="M16" s="29">
        <v>7.4999999999999989E-3</v>
      </c>
      <c r="N16" s="29">
        <v>2.8800000000000002E-3</v>
      </c>
      <c r="O16" s="29">
        <v>1.2099999999999997E-3</v>
      </c>
      <c r="P16" s="29">
        <v>6.1999999999999989E-4</v>
      </c>
      <c r="Q16" s="29">
        <v>3.1999999999999997E-4</v>
      </c>
      <c r="R16" s="49">
        <v>9.9999999999999937E-5</v>
      </c>
      <c r="S16" s="45">
        <v>5.9999999999999941E-5</v>
      </c>
      <c r="T16" s="30">
        <v>3.0000000000000024E-5</v>
      </c>
    </row>
    <row r="17" spans="1:20" x14ac:dyDescent="0.25">
      <c r="A17" s="31">
        <v>2.5</v>
      </c>
      <c r="B17" s="72">
        <v>15</v>
      </c>
      <c r="C17" s="76">
        <v>0.19958999999999999</v>
      </c>
      <c r="D17" s="29">
        <v>0.19730999999999999</v>
      </c>
      <c r="E17" s="29">
        <v>0.19073000000000001</v>
      </c>
      <c r="F17" s="29">
        <v>0.18024999999999999</v>
      </c>
      <c r="G17" s="29">
        <v>0.16671</v>
      </c>
      <c r="H17" s="29">
        <v>0.15104000000000001</v>
      </c>
      <c r="I17" s="29">
        <v>0.13424</v>
      </c>
      <c r="J17" s="29">
        <v>0.10902000000000001</v>
      </c>
      <c r="K17" s="29">
        <v>7.2160000000000002E-2</v>
      </c>
      <c r="L17" s="29">
        <v>2.8040000000000002E-2</v>
      </c>
      <c r="M17" s="29">
        <v>1.091E-2</v>
      </c>
      <c r="N17" s="29">
        <v>4.6099999999999995E-3</v>
      </c>
      <c r="O17" s="29">
        <v>2.1299999999999995E-3</v>
      </c>
      <c r="P17" s="29">
        <v>1.0699999999999998E-3</v>
      </c>
      <c r="Q17" s="29">
        <v>5.8E-4</v>
      </c>
      <c r="R17" s="29">
        <v>2.1000000000000001E-4</v>
      </c>
      <c r="S17" s="29">
        <v>9.0000000000000019E-5</v>
      </c>
      <c r="T17" s="30">
        <v>3.9999999999999996E-5</v>
      </c>
    </row>
    <row r="18" spans="1:20" x14ac:dyDescent="0.25">
      <c r="A18" s="31">
        <v>3</v>
      </c>
      <c r="B18" s="72">
        <v>16</v>
      </c>
      <c r="C18" s="76">
        <v>0.14618999999999999</v>
      </c>
      <c r="D18" s="29">
        <v>0.14495</v>
      </c>
      <c r="E18" s="29">
        <v>0.14121</v>
      </c>
      <c r="F18" s="29">
        <v>0.13521</v>
      </c>
      <c r="G18" s="29">
        <v>0.12740000000000001</v>
      </c>
      <c r="H18" s="29">
        <v>0.11812</v>
      </c>
      <c r="I18" s="29">
        <v>0.10792</v>
      </c>
      <c r="J18" s="29">
        <v>9.1929999999999998E-2</v>
      </c>
      <c r="K18" s="29">
        <v>6.6610000000000003E-2</v>
      </c>
      <c r="L18" s="29">
        <v>3.0920000000000003E-2</v>
      </c>
      <c r="M18" s="29">
        <v>1.3770000000000001E-2</v>
      </c>
      <c r="N18" s="29">
        <v>6.3600000000000002E-3</v>
      </c>
      <c r="O18" s="29">
        <v>3.13E-3</v>
      </c>
      <c r="P18" s="29">
        <v>1.67E-3</v>
      </c>
      <c r="Q18" s="29">
        <v>9.0999999999999978E-4</v>
      </c>
      <c r="R18" s="29">
        <v>3.3E-4</v>
      </c>
      <c r="S18" s="29">
        <v>1.4000000000000004E-4</v>
      </c>
      <c r="T18" s="53">
        <v>5.0000000000000023E-5</v>
      </c>
    </row>
    <row r="19" spans="1:20" x14ac:dyDescent="0.25">
      <c r="A19" s="31">
        <v>4</v>
      </c>
      <c r="B19" s="72">
        <v>17</v>
      </c>
      <c r="C19" s="76">
        <v>8.6930000000000007E-2</v>
      </c>
      <c r="D19" s="29">
        <v>8.6419999999999997E-2</v>
      </c>
      <c r="E19" s="29">
        <v>8.4690000000000001E-2</v>
      </c>
      <c r="F19" s="29">
        <v>8.1850000000000006E-2</v>
      </c>
      <c r="G19" s="29">
        <v>7.9770000000000008E-2</v>
      </c>
      <c r="H19" s="29">
        <v>7.5220000000000009E-2</v>
      </c>
      <c r="I19" s="29">
        <v>7.1830000000000005E-2</v>
      </c>
      <c r="J19" s="29">
        <v>6.4849999999999991E-2</v>
      </c>
      <c r="K19" s="29">
        <v>5.2589999999999998E-2</v>
      </c>
      <c r="L19" s="29">
        <v>3.107E-2</v>
      </c>
      <c r="M19" s="29">
        <v>1.704E-2</v>
      </c>
      <c r="N19" s="29">
        <v>9.2300000000000004E-3</v>
      </c>
      <c r="O19" s="29">
        <v>5.0699999999999999E-3</v>
      </c>
      <c r="P19" s="29">
        <v>2.9000000000000002E-3</v>
      </c>
      <c r="Q19" s="29">
        <v>1.73E-3</v>
      </c>
      <c r="R19" s="29">
        <v>6.600000000000001E-4</v>
      </c>
      <c r="S19" s="29">
        <v>3.0999999999999995E-4</v>
      </c>
      <c r="T19" s="30">
        <v>1.4999999999999996E-4</v>
      </c>
    </row>
    <row r="20" spans="1:20" x14ac:dyDescent="0.25">
      <c r="A20" s="31">
        <v>5</v>
      </c>
      <c r="B20" s="72">
        <v>18</v>
      </c>
      <c r="C20" s="32">
        <v>5.7139999999999996E-2</v>
      </c>
      <c r="D20" s="1">
        <v>5.6980000000000003E-2</v>
      </c>
      <c r="E20" s="74">
        <v>5.5469999999999998E-2</v>
      </c>
      <c r="F20" s="74">
        <v>5.432E-2</v>
      </c>
      <c r="G20" s="74">
        <v>5.3510000000000002E-2</v>
      </c>
      <c r="H20" s="1">
        <v>5.219E-2</v>
      </c>
      <c r="I20" s="74">
        <v>5.1049999999999998E-2</v>
      </c>
      <c r="J20" s="75">
        <v>4.6449999999999998E-2</v>
      </c>
      <c r="K20" s="29">
        <v>4.0470000000000006E-2</v>
      </c>
      <c r="L20" s="29">
        <v>2.7709999999999999E-2</v>
      </c>
      <c r="M20" s="29">
        <v>1.7590000000000001E-2</v>
      </c>
      <c r="N20" s="29">
        <v>1.0790000000000001E-2</v>
      </c>
      <c r="O20" s="29">
        <v>6.5900000000000004E-3</v>
      </c>
      <c r="P20" s="29">
        <v>4.0699999999999998E-3</v>
      </c>
      <c r="Q20" s="29">
        <v>2.5500000000000002E-3</v>
      </c>
      <c r="R20" s="29">
        <v>1.0899999999999998E-3</v>
      </c>
      <c r="S20" s="29">
        <v>5.1999999999999995E-4</v>
      </c>
      <c r="T20" s="30">
        <v>2.6000000000000003E-4</v>
      </c>
    </row>
    <row r="21" spans="1:20" x14ac:dyDescent="0.25">
      <c r="A21" s="31">
        <v>6</v>
      </c>
      <c r="B21" s="72">
        <v>19</v>
      </c>
      <c r="C21" s="32">
        <v>4.027E-2</v>
      </c>
      <c r="D21" s="74">
        <v>3.9820000000000001E-2</v>
      </c>
      <c r="E21" s="74">
        <v>3.9210000000000002E-2</v>
      </c>
      <c r="F21" s="74">
        <v>3.8429999999999999E-2</v>
      </c>
      <c r="G21" s="74">
        <v>3.8150000000000003E-2</v>
      </c>
      <c r="H21" s="1">
        <v>3.7749999999999999E-2</v>
      </c>
      <c r="I21" s="74">
        <v>3.7010000000000001E-2</v>
      </c>
      <c r="J21" s="74">
        <v>3.4509999999999999E-2</v>
      </c>
      <c r="K21" s="29">
        <v>3.1359999999999999E-2</v>
      </c>
      <c r="L21" s="29">
        <v>2.3629999999999998E-2</v>
      </c>
      <c r="M21" s="29">
        <v>1.6620000000000003E-2</v>
      </c>
      <c r="N21" s="29">
        <v>1.124E-2</v>
      </c>
      <c r="O21" s="29">
        <v>7.4599999999999996E-3</v>
      </c>
      <c r="P21" s="29">
        <v>4.9399999999999999E-3</v>
      </c>
      <c r="Q21" s="29">
        <v>3.2699999999999999E-3</v>
      </c>
      <c r="R21" s="29">
        <v>1.5100000000000001E-3</v>
      </c>
      <c r="S21" s="29">
        <v>7.7000000000000007E-4</v>
      </c>
      <c r="T21" s="30">
        <v>3.9000000000000005E-4</v>
      </c>
    </row>
    <row r="22" spans="1:20" x14ac:dyDescent="0.25">
      <c r="A22" s="31">
        <v>7</v>
      </c>
      <c r="B22" s="72">
        <v>20</v>
      </c>
      <c r="C22" s="32">
        <v>2.9850000000000002E-2</v>
      </c>
      <c r="D22" s="74">
        <v>2.9510000000000002E-2</v>
      </c>
      <c r="E22" s="74">
        <v>2.9020000000000001E-2</v>
      </c>
      <c r="F22" s="74">
        <v>2.8549999999999999E-2</v>
      </c>
      <c r="G22" s="74">
        <v>2.8459999999999999E-2</v>
      </c>
      <c r="H22" s="1">
        <v>2.844E-2</v>
      </c>
      <c r="I22" s="54">
        <v>2.785E-2</v>
      </c>
      <c r="J22" s="74">
        <v>2.6190000000000001E-2</v>
      </c>
      <c r="K22" s="76">
        <v>2.4709999999999999E-2</v>
      </c>
      <c r="L22" s="29">
        <v>1.9880000000000002E-2</v>
      </c>
      <c r="M22" s="29">
        <v>1.5030000000000002E-2</v>
      </c>
      <c r="N22" s="29">
        <v>1.095E-2</v>
      </c>
      <c r="O22" s="29">
        <v>7.77E-3</v>
      </c>
      <c r="P22" s="29">
        <v>5.45E-3</v>
      </c>
      <c r="Q22" s="29">
        <v>3.8399999999999997E-3</v>
      </c>
      <c r="R22" s="29">
        <v>1.91E-3</v>
      </c>
      <c r="S22" s="29">
        <v>1.01E-3</v>
      </c>
      <c r="T22" s="30">
        <v>5.4000000000000001E-4</v>
      </c>
    </row>
    <row r="23" spans="1:20" x14ac:dyDescent="0.25">
      <c r="A23" s="31">
        <v>8</v>
      </c>
      <c r="B23" s="72">
        <v>21</v>
      </c>
      <c r="C23" s="32">
        <v>2.298E-2</v>
      </c>
      <c r="D23" s="74">
        <v>2.273E-2</v>
      </c>
      <c r="E23" s="74">
        <v>2.2409999999999999E-2</v>
      </c>
      <c r="F23" s="74">
        <v>2.2179999999999998E-2</v>
      </c>
      <c r="G23" s="74">
        <v>2.2159999999999999E-2</v>
      </c>
      <c r="H23" s="1">
        <v>2.214E-2</v>
      </c>
      <c r="I23" s="55">
        <v>2.1680000000000001E-2</v>
      </c>
      <c r="J23" s="74">
        <v>2.061E-2</v>
      </c>
      <c r="K23" s="76">
        <v>1.9819999999999997E-2</v>
      </c>
      <c r="L23" s="29">
        <v>1.669E-2</v>
      </c>
      <c r="M23" s="29">
        <v>1.333E-2</v>
      </c>
      <c r="N23" s="29">
        <v>1.026E-2</v>
      </c>
      <c r="O23" s="29">
        <v>7.7000000000000002E-3</v>
      </c>
      <c r="P23" s="29">
        <v>5.6800000000000002E-3</v>
      </c>
      <c r="Q23" s="29">
        <v>4.1700000000000001E-3</v>
      </c>
      <c r="R23" s="29">
        <v>2.2399999999999998E-3</v>
      </c>
      <c r="S23" s="29">
        <v>1.2600000000000001E-3</v>
      </c>
      <c r="T23" s="30">
        <v>6.8999999999999997E-4</v>
      </c>
    </row>
    <row r="24" spans="1:20" x14ac:dyDescent="0.25">
      <c r="A24" s="31">
        <v>9</v>
      </c>
      <c r="B24" s="72">
        <v>22</v>
      </c>
      <c r="C24" s="32">
        <v>1.8239999999999999E-2</v>
      </c>
      <c r="D24" s="74">
        <v>1.8110000000000001E-2</v>
      </c>
      <c r="E24" s="74">
        <v>1.7829999999999999E-2</v>
      </c>
      <c r="F24" s="74">
        <v>1.7739999999999999E-2</v>
      </c>
      <c r="G24" s="74">
        <v>1.772E-2</v>
      </c>
      <c r="H24" s="1">
        <v>1.77E-2</v>
      </c>
      <c r="I24" s="55">
        <v>1.7330000000000002E-2</v>
      </c>
      <c r="J24" s="74">
        <v>1.6750000000000001E-2</v>
      </c>
      <c r="K24" s="76">
        <v>1.6199999999999999E-2</v>
      </c>
      <c r="L24" s="29">
        <v>1.4080000000000001E-2</v>
      </c>
      <c r="M24" s="29">
        <v>1.171E-2</v>
      </c>
      <c r="N24" s="29">
        <v>9.4199999999999996E-3</v>
      </c>
      <c r="O24" s="29">
        <v>7.3900000000000007E-3</v>
      </c>
      <c r="P24" s="29">
        <v>5.6600000000000001E-3</v>
      </c>
      <c r="Q24" s="29">
        <v>4.3400000000000001E-3</v>
      </c>
      <c r="R24" s="29">
        <v>2.5000000000000001E-3</v>
      </c>
      <c r="S24" s="29">
        <v>1.4500000000000001E-3</v>
      </c>
      <c r="T24" s="30">
        <v>8.4000000000000003E-4</v>
      </c>
    </row>
    <row r="25" spans="1:20" ht="15.75" thickBot="1" x14ac:dyDescent="0.3">
      <c r="A25" s="33">
        <v>10</v>
      </c>
      <c r="B25" s="69">
        <v>23</v>
      </c>
      <c r="C25" s="34">
        <v>1.515E-2</v>
      </c>
      <c r="D25" s="35">
        <v>1.4919999999999999E-2</v>
      </c>
      <c r="E25" s="35">
        <v>1.478E-2</v>
      </c>
      <c r="F25" s="35">
        <v>1.4710000000000001E-2</v>
      </c>
      <c r="G25" s="35">
        <v>1.4630000000000001E-2</v>
      </c>
      <c r="H25" s="35">
        <v>1.4579999999999999E-2</v>
      </c>
      <c r="I25" s="35">
        <v>1.435E-2</v>
      </c>
      <c r="J25" s="56">
        <v>1.401E-2</v>
      </c>
      <c r="K25" s="56">
        <v>1.3439999999999999E-2</v>
      </c>
      <c r="L25" s="56">
        <v>1.2019999999999999E-2</v>
      </c>
      <c r="M25" s="56">
        <v>1.0279999999999999E-2</v>
      </c>
      <c r="N25" s="56">
        <v>8.5299999999999994E-3</v>
      </c>
      <c r="O25" s="56">
        <v>7.0799999999999995E-3</v>
      </c>
      <c r="P25" s="56">
        <v>5.5399999999999998E-3</v>
      </c>
      <c r="Q25" s="56">
        <v>4.3999999999999994E-3</v>
      </c>
      <c r="R25" s="57">
        <v>2.7000000000000001E-3</v>
      </c>
      <c r="S25" s="74">
        <v>1.65E-3</v>
      </c>
      <c r="T25" s="58">
        <v>9.1E-4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4"/>
  <dimension ref="A1:T25"/>
  <sheetViews>
    <sheetView zoomScale="85" zoomScaleNormal="85" workbookViewId="0">
      <selection activeCell="T25" sqref="C3:T25"/>
    </sheetView>
  </sheetViews>
  <sheetFormatPr baseColWidth="10" defaultRowHeight="15" x14ac:dyDescent="0.25"/>
  <sheetData>
    <row r="1" spans="1:20" x14ac:dyDescent="0.25">
      <c r="A1" t="s">
        <v>57</v>
      </c>
      <c r="B1" t="s">
        <v>58</v>
      </c>
      <c r="C1" s="67">
        <v>0</v>
      </c>
      <c r="D1" s="67">
        <v>0.2</v>
      </c>
      <c r="E1" s="67">
        <v>0.4</v>
      </c>
      <c r="F1" s="67">
        <v>0.6</v>
      </c>
      <c r="G1" s="67">
        <v>0.8</v>
      </c>
      <c r="H1" s="67">
        <v>1</v>
      </c>
      <c r="I1" s="67">
        <v>1.2</v>
      </c>
      <c r="J1" s="67">
        <v>1.5</v>
      </c>
      <c r="K1" s="67">
        <v>2</v>
      </c>
      <c r="L1" s="67">
        <v>3</v>
      </c>
      <c r="M1" s="67">
        <v>4</v>
      </c>
      <c r="N1" s="67">
        <v>5</v>
      </c>
      <c r="O1" s="67">
        <v>6</v>
      </c>
      <c r="P1" s="67">
        <v>7</v>
      </c>
      <c r="Q1" s="67">
        <v>8</v>
      </c>
      <c r="R1" s="67">
        <v>10</v>
      </c>
      <c r="S1" s="67">
        <v>12</v>
      </c>
      <c r="T1" s="67">
        <v>14</v>
      </c>
    </row>
    <row r="2" spans="1:20" ht="15.75" thickBot="1" x14ac:dyDescent="0.3">
      <c r="A2" s="73"/>
      <c r="B2" s="70"/>
      <c r="C2" s="68">
        <v>1</v>
      </c>
      <c r="D2" s="68">
        <v>2</v>
      </c>
      <c r="E2" s="68">
        <v>3</v>
      </c>
      <c r="F2" s="68">
        <v>4</v>
      </c>
      <c r="G2" s="68">
        <v>5</v>
      </c>
      <c r="H2" s="68">
        <v>6</v>
      </c>
      <c r="I2" s="68">
        <v>7</v>
      </c>
      <c r="J2" s="68">
        <v>8</v>
      </c>
      <c r="K2" s="68">
        <v>9</v>
      </c>
      <c r="L2" s="68">
        <v>10</v>
      </c>
      <c r="M2" s="68">
        <v>11</v>
      </c>
      <c r="N2" s="68">
        <v>12</v>
      </c>
      <c r="O2" s="68">
        <v>13</v>
      </c>
      <c r="P2" s="68">
        <v>14</v>
      </c>
      <c r="Q2" s="68">
        <v>15</v>
      </c>
      <c r="R2" s="68">
        <v>16</v>
      </c>
      <c r="S2" s="68">
        <v>17</v>
      </c>
      <c r="T2" s="69">
        <v>18</v>
      </c>
    </row>
    <row r="3" spans="1:20" ht="15.75" thickBot="1" x14ac:dyDescent="0.3">
      <c r="A3" s="71">
        <v>0</v>
      </c>
      <c r="B3" s="72">
        <v>1</v>
      </c>
      <c r="C3" s="42">
        <v>0.85</v>
      </c>
      <c r="D3" s="42">
        <v>0.85</v>
      </c>
      <c r="E3" s="42">
        <v>0.85</v>
      </c>
      <c r="F3" s="42">
        <v>0.85</v>
      </c>
      <c r="G3" s="42">
        <v>0.85</v>
      </c>
      <c r="H3" s="42">
        <v>0.35</v>
      </c>
      <c r="I3" s="42">
        <v>-0.10416600000000001</v>
      </c>
      <c r="J3" s="42">
        <v>-6.6666000000000017E-2</v>
      </c>
      <c r="K3" s="42">
        <v>-3.7500000000000006E-2</v>
      </c>
      <c r="L3" s="42">
        <v>-1.6668000000000002E-2</v>
      </c>
      <c r="M3" s="42">
        <v>-9.3750000000000014E-3</v>
      </c>
      <c r="N3" s="42">
        <v>-6.000000000000001E-3</v>
      </c>
      <c r="O3" s="42">
        <v>-4.1670000000000006E-3</v>
      </c>
      <c r="P3" s="42">
        <v>-3.0600000000000007E-3</v>
      </c>
      <c r="Q3" s="42">
        <v>-2.3430000000000005E-3</v>
      </c>
      <c r="R3" s="42">
        <v>-1.5000000000000002E-3</v>
      </c>
      <c r="S3" s="42">
        <v>-1.0410000000000003E-3</v>
      </c>
      <c r="T3" s="42">
        <v>-7.6500000000000016E-4</v>
      </c>
    </row>
    <row r="4" spans="1:20" ht="15.75" thickBot="1" x14ac:dyDescent="0.3">
      <c r="A4" s="63">
        <v>0.1</v>
      </c>
      <c r="B4" s="65">
        <v>2</v>
      </c>
      <c r="C4" s="42">
        <v>0.71616500000000005</v>
      </c>
      <c r="D4" s="42">
        <v>0.711198</v>
      </c>
      <c r="E4" s="42">
        <v>0.69366599999999989</v>
      </c>
      <c r="F4" s="42">
        <v>0.65166400000000002</v>
      </c>
      <c r="G4" s="42">
        <v>0.53786599999999996</v>
      </c>
      <c r="H4" s="42">
        <v>0.33502599999999993</v>
      </c>
      <c r="I4" s="42">
        <v>0.12518499999999999</v>
      </c>
      <c r="J4" s="42">
        <v>1.1422999999999989E-2</v>
      </c>
      <c r="K4" s="42">
        <v>-1.1498000000000005E-2</v>
      </c>
      <c r="L4" s="42">
        <v>-9.9460000000000034E-3</v>
      </c>
      <c r="M4" s="42">
        <v>-6.6550000000000021E-3</v>
      </c>
      <c r="N4" s="42">
        <v>-4.6370000000000005E-3</v>
      </c>
      <c r="O4" s="42">
        <v>-3.4200000000000003E-3</v>
      </c>
      <c r="P4" s="42">
        <v>-2.65E-3</v>
      </c>
      <c r="Q4" s="42">
        <v>-2.1250000000000002E-3</v>
      </c>
      <c r="R4" s="42">
        <v>-1.4700000000000002E-3</v>
      </c>
      <c r="S4" s="42">
        <v>-1.023E-3</v>
      </c>
      <c r="T4" s="42">
        <v>-7.5300000000000009E-4</v>
      </c>
    </row>
    <row r="5" spans="1:20" ht="15.75" thickBot="1" x14ac:dyDescent="0.3">
      <c r="A5" s="63">
        <v>0.2</v>
      </c>
      <c r="B5" s="65">
        <v>3</v>
      </c>
      <c r="C5" s="42">
        <v>0.58900799999999998</v>
      </c>
      <c r="D5" s="42">
        <v>0.5803609999999999</v>
      </c>
      <c r="E5" s="42">
        <v>0.5513499999999999</v>
      </c>
      <c r="F5" s="42">
        <v>0.48907999999999996</v>
      </c>
      <c r="G5" s="42">
        <v>0.37422300000000003</v>
      </c>
      <c r="H5" s="42">
        <v>0.308471</v>
      </c>
      <c r="I5" s="42">
        <v>0.22349599999999997</v>
      </c>
      <c r="J5" s="42">
        <v>7.553399999999999E-2</v>
      </c>
      <c r="K5" s="42">
        <v>1.2947E-2</v>
      </c>
      <c r="L5" s="42">
        <v>-3.3570000000000023E-3</v>
      </c>
      <c r="M5" s="42">
        <v>-3.9750000000000028E-3</v>
      </c>
      <c r="N5" s="42">
        <v>-3.2840000000000013E-3</v>
      </c>
      <c r="O5" s="42">
        <v>-2.6090000000000002E-3</v>
      </c>
      <c r="P5" s="42">
        <v>-2.0830000000000006E-3</v>
      </c>
      <c r="Q5" s="42">
        <v>-1.6960000000000005E-3</v>
      </c>
      <c r="R5" s="42">
        <v>-1.2700000000000001E-3</v>
      </c>
      <c r="S5" s="42">
        <v>-1.0080000000000002E-3</v>
      </c>
      <c r="T5" s="42">
        <v>-7.4100000000000012E-4</v>
      </c>
    </row>
    <row r="6" spans="1:20" ht="15.75" thickBot="1" x14ac:dyDescent="0.3">
      <c r="A6" s="63">
        <v>0.3</v>
      </c>
      <c r="B6" s="65">
        <v>4</v>
      </c>
      <c r="C6" s="42">
        <v>0.47394399999999998</v>
      </c>
      <c r="D6" s="42">
        <v>0.46406800000000004</v>
      </c>
      <c r="E6" s="42">
        <v>0.43758599999999997</v>
      </c>
      <c r="F6" s="42">
        <v>0.37564799999999998</v>
      </c>
      <c r="G6" s="42">
        <v>0.29617599999999999</v>
      </c>
      <c r="H6" s="42">
        <v>0.27962100000000001</v>
      </c>
      <c r="I6" s="42">
        <v>0.24365000000000003</v>
      </c>
      <c r="J6" s="42">
        <v>0.11924899999999999</v>
      </c>
      <c r="K6" s="42">
        <v>3.4529999999999991E-2</v>
      </c>
      <c r="L6" s="42">
        <v>2.975999999999996E-3</v>
      </c>
      <c r="M6" s="42">
        <v>-1.3280000000000019E-3</v>
      </c>
      <c r="N6" s="42">
        <v>-1.870000000000001E-3</v>
      </c>
      <c r="O6" s="42">
        <v>-1.9250000000000005E-3</v>
      </c>
      <c r="P6" s="42">
        <v>-1.5710000000000008E-3</v>
      </c>
      <c r="Q6" s="42">
        <v>-1.3850000000000004E-3</v>
      </c>
      <c r="R6" s="42">
        <v>-1.0050000000000003E-3</v>
      </c>
      <c r="S6" s="42">
        <v>-8.2700000000000026E-4</v>
      </c>
      <c r="T6" s="42">
        <v>-7.3200000000000012E-4</v>
      </c>
    </row>
    <row r="7" spans="1:20" ht="15.75" thickBot="1" x14ac:dyDescent="0.3">
      <c r="A7" s="63">
        <v>0.4</v>
      </c>
      <c r="B7" s="65">
        <v>5</v>
      </c>
      <c r="C7" s="42">
        <v>0.27994699999999995</v>
      </c>
      <c r="D7" s="42">
        <v>0.27222499999999994</v>
      </c>
      <c r="E7" s="42">
        <v>0.24949699999999997</v>
      </c>
      <c r="F7" s="42">
        <v>0.21651899999999996</v>
      </c>
      <c r="G7" s="42">
        <v>0.19862299999999999</v>
      </c>
      <c r="H7" s="42">
        <v>0.23025599999999996</v>
      </c>
      <c r="I7" s="42">
        <v>0.24110300000000001</v>
      </c>
      <c r="J7" s="42">
        <v>0.16437099999999999</v>
      </c>
      <c r="K7" s="42">
        <v>7.2496000000000005E-2</v>
      </c>
      <c r="L7" s="42">
        <v>2.146E-2</v>
      </c>
      <c r="M7" s="42">
        <v>8.3800000000000003E-3</v>
      </c>
      <c r="N7" s="42">
        <v>4.3899999999999998E-3</v>
      </c>
      <c r="O7" s="42">
        <v>2.3800000000000002E-3</v>
      </c>
      <c r="P7" s="42">
        <v>1.5349999999999999E-3</v>
      </c>
      <c r="Q7" s="42">
        <v>1.06E-3</v>
      </c>
      <c r="R7" s="42">
        <v>5.4000000000000001E-4</v>
      </c>
      <c r="S7" s="42">
        <v>2.8400000000000002E-4</v>
      </c>
      <c r="T7" s="42">
        <v>1E-4</v>
      </c>
    </row>
    <row r="8" spans="1:20" ht="15.75" thickBot="1" x14ac:dyDescent="0.3">
      <c r="A8" s="63">
        <v>0.5</v>
      </c>
      <c r="B8" s="65">
        <v>6</v>
      </c>
      <c r="C8" s="42">
        <v>0.29098000000000002</v>
      </c>
      <c r="D8" s="42">
        <v>0.28346199999999999</v>
      </c>
      <c r="E8" s="42">
        <v>0.26105400000000001</v>
      </c>
      <c r="F8" s="42">
        <v>0.23169699999999999</v>
      </c>
      <c r="G8" s="42">
        <v>0.21465599999999999</v>
      </c>
      <c r="H8" s="42">
        <v>0.22303299999999998</v>
      </c>
      <c r="I8" s="42">
        <v>0.21835599999999999</v>
      </c>
      <c r="J8" s="42">
        <v>0.15415600000000002</v>
      </c>
      <c r="K8" s="42">
        <v>6.6369999999999985E-2</v>
      </c>
      <c r="L8" s="42">
        <v>1.4545999999999996E-2</v>
      </c>
      <c r="M8" s="42">
        <v>3.6689999999999987E-3</v>
      </c>
      <c r="N8" s="42">
        <v>6.8299999999999871E-4</v>
      </c>
      <c r="O8" s="42">
        <v>-3.2600000000000077E-4</v>
      </c>
      <c r="P8" s="42">
        <v>-6.140000000000004E-4</v>
      </c>
      <c r="Q8" s="42">
        <v>-6.9200000000000012E-4</v>
      </c>
      <c r="R8" s="42">
        <v>-6.7500000000000004E-4</v>
      </c>
      <c r="S8" s="42">
        <v>-5.5900000000000025E-4</v>
      </c>
      <c r="T8" s="42">
        <v>-4.6800000000000015E-4</v>
      </c>
    </row>
    <row r="9" spans="1:20" ht="15.75" thickBot="1" x14ac:dyDescent="0.3">
      <c r="A9" s="63">
        <v>0.6</v>
      </c>
      <c r="B9" s="65">
        <v>7</v>
      </c>
      <c r="C9" s="42">
        <v>0.22352499999999997</v>
      </c>
      <c r="D9" s="42">
        <v>0.21752900000000003</v>
      </c>
      <c r="E9" s="42">
        <v>0.20718700000000001</v>
      </c>
      <c r="F9" s="42">
        <v>0.18806300000000001</v>
      </c>
      <c r="G9" s="42">
        <v>0.18518800000000002</v>
      </c>
      <c r="H9" s="42">
        <v>0.19728000000000001</v>
      </c>
      <c r="I9" s="42">
        <v>0.19836499999999999</v>
      </c>
      <c r="J9" s="42">
        <v>0.15495300000000001</v>
      </c>
      <c r="K9" s="42">
        <v>7.5549999999999992E-2</v>
      </c>
      <c r="L9" s="42">
        <v>1.9393000000000001E-2</v>
      </c>
      <c r="M9" s="42">
        <v>6.1099999999999991E-3</v>
      </c>
      <c r="N9" s="42">
        <v>1.8399999999999988E-3</v>
      </c>
      <c r="O9" s="42">
        <v>5.0099999999999928E-4</v>
      </c>
      <c r="P9" s="42">
        <v>-2.1600000000000005E-4</v>
      </c>
      <c r="Q9" s="42">
        <v>-3.8100000000000026E-4</v>
      </c>
      <c r="R9" s="42">
        <v>-5.300000000000002E-4</v>
      </c>
      <c r="S9" s="42">
        <v>-4.630000000000002E-4</v>
      </c>
      <c r="T9" s="42">
        <v>-3.990000000000001E-4</v>
      </c>
    </row>
    <row r="10" spans="1:20" ht="15.75" thickBot="1" x14ac:dyDescent="0.3">
      <c r="A10" s="63">
        <v>0.7</v>
      </c>
      <c r="B10" s="65">
        <v>8</v>
      </c>
      <c r="C10" s="42">
        <v>0.17011899999999996</v>
      </c>
      <c r="D10" s="42">
        <v>0.16709399999999999</v>
      </c>
      <c r="E10" s="42">
        <v>0.15937499999999999</v>
      </c>
      <c r="F10" s="42">
        <v>0.15423499999999996</v>
      </c>
      <c r="G10" s="42">
        <v>0.15996099999999999</v>
      </c>
      <c r="H10" s="42">
        <v>0.16936799999999996</v>
      </c>
      <c r="I10" s="42">
        <v>0.17826</v>
      </c>
      <c r="J10" s="42">
        <v>0.14994999999999997</v>
      </c>
      <c r="K10" s="42">
        <v>8.2789000000000001E-2</v>
      </c>
      <c r="L10" s="42">
        <v>2.3625E-2</v>
      </c>
      <c r="M10" s="42">
        <v>8.5699999999999995E-3</v>
      </c>
      <c r="N10" s="42">
        <v>3.3199999999999992E-3</v>
      </c>
      <c r="O10" s="42">
        <v>1.3189999999999994E-3</v>
      </c>
      <c r="P10" s="42">
        <v>1.7699999999999964E-4</v>
      </c>
      <c r="Q10" s="42">
        <v>-8.8000000000000187E-5</v>
      </c>
      <c r="R10" s="42">
        <v>-3.7500000000000012E-4</v>
      </c>
      <c r="S10" s="42">
        <v>-3.7700000000000016E-4</v>
      </c>
      <c r="T10" s="42">
        <v>-3.3300000000000007E-4</v>
      </c>
    </row>
    <row r="11" spans="1:20" ht="15.75" thickBot="1" x14ac:dyDescent="0.3">
      <c r="A11" s="63">
        <v>0.8</v>
      </c>
      <c r="B11" s="65">
        <v>9</v>
      </c>
      <c r="C11" s="42">
        <v>0.128552</v>
      </c>
      <c r="D11" s="42">
        <v>0.12787500000000002</v>
      </c>
      <c r="E11" s="42">
        <v>0.12529999999999999</v>
      </c>
      <c r="F11" s="42">
        <v>0.12692999999999999</v>
      </c>
      <c r="G11" s="42">
        <v>0.13721899999999998</v>
      </c>
      <c r="H11" s="42">
        <v>0.15196099999999998</v>
      </c>
      <c r="I11" s="42">
        <v>0.15909300000000001</v>
      </c>
      <c r="J11" s="42">
        <v>0.14169699999999996</v>
      </c>
      <c r="K11" s="42">
        <v>8.5834999999999995E-2</v>
      </c>
      <c r="L11" s="42">
        <v>2.7465000000000003E-2</v>
      </c>
      <c r="M11" s="42">
        <v>1.056E-2</v>
      </c>
      <c r="N11" s="42">
        <v>4.3799999999999993E-3</v>
      </c>
      <c r="O11" s="42">
        <v>1.895E-3</v>
      </c>
      <c r="P11" s="42">
        <v>6.2799999999999965E-4</v>
      </c>
      <c r="Q11" s="42">
        <v>2.2799999999999947E-4</v>
      </c>
      <c r="R11" s="42">
        <v>-2.2999999999999995E-4</v>
      </c>
      <c r="S11" s="42">
        <v>-2.7500000000000018E-4</v>
      </c>
      <c r="T11" s="42">
        <v>-2.8000000000000003E-4</v>
      </c>
    </row>
    <row r="12" spans="1:20" ht="15.75" thickBot="1" x14ac:dyDescent="0.3">
      <c r="A12" s="63">
        <v>0.9</v>
      </c>
      <c r="B12" s="65">
        <v>10</v>
      </c>
      <c r="C12" s="42">
        <v>9.6573999999999993E-2</v>
      </c>
      <c r="D12" s="42">
        <v>9.7507999999999984E-2</v>
      </c>
      <c r="E12" s="42">
        <v>9.8684000000000022E-2</v>
      </c>
      <c r="F12" s="42">
        <v>0.10489299999999999</v>
      </c>
      <c r="G12" s="42">
        <v>0.117536</v>
      </c>
      <c r="H12" s="42">
        <v>0.13264499999999999</v>
      </c>
      <c r="I12" s="42">
        <v>0.14121800000000001</v>
      </c>
      <c r="J12" s="42">
        <v>0.13181199999999998</v>
      </c>
      <c r="K12" s="42">
        <v>8.6558999999999997E-2</v>
      </c>
      <c r="L12" s="42">
        <v>3.0834999999999998E-2</v>
      </c>
      <c r="M12" s="42">
        <v>1.2269999999999998E-2</v>
      </c>
      <c r="N12" s="42">
        <v>5.4999999999999988E-3</v>
      </c>
      <c r="O12" s="42">
        <v>2.4989999999999991E-3</v>
      </c>
      <c r="P12" s="42">
        <v>1.1099999999999994E-3</v>
      </c>
      <c r="Q12" s="42">
        <v>4.9099999999999968E-4</v>
      </c>
      <c r="R12" s="42">
        <v>-6.5000000000000387E-5</v>
      </c>
      <c r="S12" s="42">
        <v>-1.8300000000000011E-4</v>
      </c>
      <c r="T12" s="42">
        <v>-2.2400000000000013E-4</v>
      </c>
    </row>
    <row r="13" spans="1:20" ht="15.75" thickBot="1" x14ac:dyDescent="0.3">
      <c r="A13" s="63">
        <v>1</v>
      </c>
      <c r="B13" s="65">
        <v>11</v>
      </c>
      <c r="C13" s="42">
        <v>7.2177999999999992E-2</v>
      </c>
      <c r="D13" s="42">
        <v>7.3680999999999996E-2</v>
      </c>
      <c r="E13" s="42">
        <v>7.4340000000000031E-2</v>
      </c>
      <c r="F13" s="42">
        <v>8.6603999999999987E-2</v>
      </c>
      <c r="G13" s="42">
        <v>0.10048599999999999</v>
      </c>
      <c r="H13" s="42">
        <v>0.115414</v>
      </c>
      <c r="I13" s="42">
        <v>0.12506999999999999</v>
      </c>
      <c r="J13" s="42">
        <v>0.12128499999999999</v>
      </c>
      <c r="K13" s="42">
        <v>8.6484000000000005E-2</v>
      </c>
      <c r="L13" s="42">
        <v>3.3472000000000002E-2</v>
      </c>
      <c r="M13" s="42">
        <v>1.3883999999999999E-2</v>
      </c>
      <c r="N13" s="42">
        <v>6.3839999999999991E-3</v>
      </c>
      <c r="O13" s="42">
        <v>3.1189999999999989E-3</v>
      </c>
      <c r="P13" s="42">
        <v>1.5879999999999996E-3</v>
      </c>
      <c r="Q13" s="42">
        <v>7.9799999999999966E-4</v>
      </c>
      <c r="R13" s="42">
        <v>1.2999999999999991E-4</v>
      </c>
      <c r="S13" s="42">
        <v>-8.7000000000000163E-5</v>
      </c>
      <c r="T13" s="42">
        <v>-1.7100000000000014E-4</v>
      </c>
    </row>
    <row r="14" spans="1:20" ht="15.75" thickBot="1" x14ac:dyDescent="0.3">
      <c r="A14" s="63">
        <v>1.2</v>
      </c>
      <c r="B14" s="65">
        <v>12</v>
      </c>
      <c r="C14" s="42">
        <v>3.9593000000000003E-2</v>
      </c>
      <c r="D14" s="42">
        <v>4.247500000000002E-2</v>
      </c>
      <c r="E14" s="42">
        <v>4.8343999999999984E-2</v>
      </c>
      <c r="F14" s="42">
        <v>5.9946999999999993E-2</v>
      </c>
      <c r="G14" s="42">
        <v>7.2950000000000001E-2</v>
      </c>
      <c r="H14" s="42">
        <v>8.6966999999999989E-2</v>
      </c>
      <c r="I14" s="42">
        <v>9.7279000000000004E-2</v>
      </c>
      <c r="J14" s="42">
        <v>0.100562</v>
      </c>
      <c r="K14" s="42">
        <v>8.0984E-2</v>
      </c>
      <c r="L14" s="42">
        <v>3.6982000000000001E-2</v>
      </c>
      <c r="M14" s="42">
        <v>1.6756E-2</v>
      </c>
      <c r="N14" s="42">
        <v>8.2490000000000011E-3</v>
      </c>
      <c r="O14" s="42">
        <v>4.3609999999999994E-3</v>
      </c>
      <c r="P14" s="42">
        <v>2.4089999999999997E-3</v>
      </c>
      <c r="Q14" s="42">
        <v>1.3650000000000001E-3</v>
      </c>
      <c r="R14" s="42">
        <v>4.4499999999999987E-4</v>
      </c>
      <c r="S14" s="42">
        <v>1.1999999999999988E-4</v>
      </c>
      <c r="T14" s="42">
        <v>-1.0600000000000008E-4</v>
      </c>
    </row>
    <row r="15" spans="1:20" ht="15.75" thickBot="1" x14ac:dyDescent="0.3">
      <c r="A15" s="63">
        <v>1.5</v>
      </c>
      <c r="B15" s="65">
        <v>13</v>
      </c>
      <c r="C15" s="42">
        <v>1.4748999999999981E-2</v>
      </c>
      <c r="D15" s="42">
        <v>1.7681999999999996E-2</v>
      </c>
      <c r="E15" s="42">
        <v>2.3285999999999991E-2</v>
      </c>
      <c r="F15" s="42">
        <v>3.2932000000000003E-2</v>
      </c>
      <c r="G15" s="42">
        <v>4.4698999999999996E-2</v>
      </c>
      <c r="H15" s="42">
        <v>5.6416000000000001E-2</v>
      </c>
      <c r="I15" s="42">
        <v>6.6110000000000002E-2</v>
      </c>
      <c r="J15" s="42">
        <v>7.3746999999999993E-2</v>
      </c>
      <c r="K15" s="42">
        <v>6.8590999999999999E-2</v>
      </c>
      <c r="L15" s="42">
        <v>3.8876999999999995E-2</v>
      </c>
      <c r="M15" s="42">
        <v>1.9805999999999997E-2</v>
      </c>
      <c r="N15" s="42">
        <v>1.0555999999999999E-2</v>
      </c>
      <c r="O15" s="42">
        <v>5.9559999999999995E-3</v>
      </c>
      <c r="P15" s="42">
        <v>3.5419999999999991E-3</v>
      </c>
      <c r="Q15" s="42">
        <v>2.1619999999999999E-3</v>
      </c>
      <c r="R15" s="42">
        <v>8.619999999999997E-4</v>
      </c>
      <c r="S15" s="42">
        <v>3.48E-4</v>
      </c>
      <c r="T15" s="42">
        <v>-2.400000000000015E-5</v>
      </c>
    </row>
    <row r="16" spans="1:20" ht="15.75" thickBot="1" x14ac:dyDescent="0.3">
      <c r="A16" s="63">
        <v>2</v>
      </c>
      <c r="B16" s="65">
        <v>14</v>
      </c>
      <c r="C16" s="42">
        <v>2.9599999999998725E-4</v>
      </c>
      <c r="D16" s="42">
        <v>4.3050000000000033E-3</v>
      </c>
      <c r="E16" s="42">
        <v>6.2020000000000061E-3</v>
      </c>
      <c r="F16" s="42">
        <v>1.2120999999999988E-2</v>
      </c>
      <c r="G16" s="42">
        <v>1.9962999999999998E-2</v>
      </c>
      <c r="H16" s="42">
        <v>2.7222E-2</v>
      </c>
      <c r="I16" s="42">
        <v>3.4513999999999996E-2</v>
      </c>
      <c r="J16" s="42">
        <v>4.2695999999999998E-2</v>
      </c>
      <c r="K16" s="42">
        <v>4.7271000000000001E-2</v>
      </c>
      <c r="L16" s="42">
        <v>3.5680000000000003E-2</v>
      </c>
      <c r="M16" s="42">
        <v>2.1752000000000001E-2</v>
      </c>
      <c r="N16" s="42">
        <v>1.2975999999999998E-2</v>
      </c>
      <c r="O16" s="42">
        <v>7.9109999999999996E-3</v>
      </c>
      <c r="P16" s="42">
        <v>5.0459999999999993E-3</v>
      </c>
      <c r="Q16" s="42">
        <v>3.2999999999999991E-3</v>
      </c>
      <c r="R16" s="42">
        <v>1.5269999999999997E-3</v>
      </c>
      <c r="S16" s="42">
        <v>7.629999999999999E-4</v>
      </c>
      <c r="T16" s="42">
        <v>3.9299999999999979E-4</v>
      </c>
    </row>
    <row r="17" spans="1:20" ht="15.75" thickBot="1" x14ac:dyDescent="0.3">
      <c r="A17" s="63">
        <v>2.5</v>
      </c>
      <c r="B17" s="65">
        <v>15</v>
      </c>
      <c r="C17" s="42">
        <v>-3.2380000000000048E-3</v>
      </c>
      <c r="D17" s="42">
        <v>2.5000000000004186E-5</v>
      </c>
      <c r="E17" s="42">
        <v>6.160000000000037E-4</v>
      </c>
      <c r="F17" s="42">
        <v>4.0850000000000001E-3</v>
      </c>
      <c r="G17" s="42">
        <v>8.4329999999999891E-3</v>
      </c>
      <c r="H17" s="42">
        <v>1.4054000000000004E-2</v>
      </c>
      <c r="I17" s="42">
        <v>1.8102999999999998E-2</v>
      </c>
      <c r="J17" s="42">
        <v>2.4581000000000006E-2</v>
      </c>
      <c r="K17" s="42">
        <v>3.1102999999999999E-2</v>
      </c>
      <c r="L17" s="42">
        <v>2.9434999999999999E-2</v>
      </c>
      <c r="M17" s="42">
        <v>2.1008999999999996E-2</v>
      </c>
      <c r="N17" s="42">
        <v>1.3902000000000001E-2</v>
      </c>
      <c r="O17" s="42">
        <v>9.1529999999999979E-3</v>
      </c>
      <c r="P17" s="42">
        <v>6.1180000000000002E-3</v>
      </c>
      <c r="Q17" s="42">
        <v>4.1919999999999995E-3</v>
      </c>
      <c r="R17" s="42">
        <v>2.1059999999999998E-3</v>
      </c>
      <c r="S17" s="42">
        <v>1.1320000000000002E-3</v>
      </c>
      <c r="T17" s="42">
        <v>6.3299999999999999E-4</v>
      </c>
    </row>
    <row r="18" spans="1:20" ht="15.75" thickBot="1" x14ac:dyDescent="0.3">
      <c r="A18" s="63">
        <v>3</v>
      </c>
      <c r="B18" s="65">
        <v>16</v>
      </c>
      <c r="C18" s="42">
        <v>-3.8180000000000045E-3</v>
      </c>
      <c r="D18" s="42">
        <v>-2.1350000000000041E-3</v>
      </c>
      <c r="E18" s="42">
        <v>-1.4709999999999992E-3</v>
      </c>
      <c r="F18" s="42">
        <v>4.9699999999999397E-4</v>
      </c>
      <c r="G18" s="42">
        <v>3.3179999999999998E-3</v>
      </c>
      <c r="H18" s="42">
        <v>6.3999999999999986E-3</v>
      </c>
      <c r="I18" s="42">
        <v>9.5500000000000012E-3</v>
      </c>
      <c r="J18" s="42">
        <v>1.4262E-2</v>
      </c>
      <c r="K18" s="42">
        <v>2.0202000000000001E-2</v>
      </c>
      <c r="L18" s="42">
        <v>2.2968000000000002E-2</v>
      </c>
      <c r="M18" s="42">
        <v>1.8810000000000004E-2</v>
      </c>
      <c r="N18" s="42">
        <v>1.3694000000000001E-2</v>
      </c>
      <c r="O18" s="42">
        <v>9.6509999999999999E-3</v>
      </c>
      <c r="P18" s="42">
        <v>6.8089999999999991E-3</v>
      </c>
      <c r="Q18" s="42">
        <v>4.8249999999999994E-3</v>
      </c>
      <c r="R18" s="42">
        <v>2.5749999999999996E-3</v>
      </c>
      <c r="S18" s="42">
        <v>1.454E-3</v>
      </c>
      <c r="T18" s="42">
        <v>8.6699999999999993E-4</v>
      </c>
    </row>
    <row r="19" spans="1:20" ht="15.75" thickBot="1" x14ac:dyDescent="0.3">
      <c r="A19" s="63">
        <v>4</v>
      </c>
      <c r="B19" s="65">
        <v>17</v>
      </c>
      <c r="C19" s="42">
        <v>-3.1589999999999977E-3</v>
      </c>
      <c r="D19" s="42">
        <v>-1.9299999999999977E-3</v>
      </c>
      <c r="E19" s="42">
        <v>-1.0350000000000003E-3</v>
      </c>
      <c r="F19" s="42">
        <v>-2.4590000000000011E-3</v>
      </c>
      <c r="G19" s="42">
        <v>-2.2799999999999643E-4</v>
      </c>
      <c r="H19" s="42">
        <v>2.1160000000000007E-3</v>
      </c>
      <c r="I19" s="42">
        <v>2.6849999999999964E-3</v>
      </c>
      <c r="J19" s="42">
        <v>4.971999999999999E-3</v>
      </c>
      <c r="K19" s="42">
        <v>8.5269999999999999E-3</v>
      </c>
      <c r="L19" s="42">
        <v>1.3048000000000001E-2</v>
      </c>
      <c r="M19" s="42">
        <v>1.3310000000000001E-2</v>
      </c>
      <c r="N19" s="42">
        <v>1.1474E-2</v>
      </c>
      <c r="O19" s="42">
        <v>9.1339999999999998E-3</v>
      </c>
      <c r="P19" s="42">
        <v>7.0669999999999995E-3</v>
      </c>
      <c r="Q19" s="42">
        <v>5.4199999999999995E-3</v>
      </c>
      <c r="R19" s="42">
        <v>3.2009999999999999E-3</v>
      </c>
      <c r="S19" s="42">
        <v>1.9620000000000002E-3</v>
      </c>
      <c r="T19" s="42">
        <v>1.2449999999999998E-3</v>
      </c>
    </row>
    <row r="20" spans="1:20" ht="15.75" thickBot="1" x14ac:dyDescent="0.3">
      <c r="A20" s="63">
        <v>5</v>
      </c>
      <c r="B20" s="65">
        <v>18</v>
      </c>
      <c r="C20" s="42">
        <v>-2.3529999999999996E-3</v>
      </c>
      <c r="D20" s="42">
        <v>-1.5010000000000015E-3</v>
      </c>
      <c r="E20" s="42">
        <v>-1.3250000000000002E-3</v>
      </c>
      <c r="F20" s="42">
        <v>-8.7399999999999934E-4</v>
      </c>
      <c r="G20" s="42">
        <v>-3.8300000000000139E-4</v>
      </c>
      <c r="H20" s="42">
        <v>-1.1999999999999815E-4</v>
      </c>
      <c r="I20" s="42">
        <v>2.0450000000000021E-3</v>
      </c>
      <c r="J20" s="42">
        <v>3.4750000000000015E-3</v>
      </c>
      <c r="K20" s="42">
        <v>3.7209999999999995E-3</v>
      </c>
      <c r="L20" s="42">
        <v>7.2379999999999988E-3</v>
      </c>
      <c r="M20" s="42">
        <v>6.1939999999999999E-3</v>
      </c>
      <c r="N20" s="42">
        <v>8.633E-3</v>
      </c>
      <c r="O20" s="42">
        <v>7.6920000000000001E-3</v>
      </c>
      <c r="P20" s="42">
        <v>6.4679999999999998E-3</v>
      </c>
      <c r="Q20" s="42">
        <v>5.2979999999999989E-3</v>
      </c>
      <c r="R20" s="42">
        <v>3.4649999999999998E-3</v>
      </c>
      <c r="S20" s="42">
        <v>2.264E-3</v>
      </c>
      <c r="T20" s="42">
        <v>1.516E-3</v>
      </c>
    </row>
    <row r="21" spans="1:20" ht="15.75" thickBot="1" x14ac:dyDescent="0.3">
      <c r="A21" s="63">
        <v>6</v>
      </c>
      <c r="B21" s="65">
        <v>19</v>
      </c>
      <c r="C21" s="42">
        <v>-1.7630000000000007E-3</v>
      </c>
      <c r="D21" s="42">
        <v>-1.4780000000000006E-3</v>
      </c>
      <c r="E21" s="42">
        <v>-1.0720000000000009E-3</v>
      </c>
      <c r="F21" s="42">
        <v>-7.3600000000000011E-4</v>
      </c>
      <c r="G21" s="42">
        <v>-3.8799999999999946E-4</v>
      </c>
      <c r="H21" s="42">
        <v>-6.00000000000123E-6</v>
      </c>
      <c r="I21" s="42">
        <v>8.8999999999999973E-4</v>
      </c>
      <c r="J21" s="42">
        <v>1.4340000000000012E-3</v>
      </c>
      <c r="K21" s="42">
        <v>1.6000000000000003E-3</v>
      </c>
      <c r="L21" s="42">
        <v>4.0580000000000008E-3</v>
      </c>
      <c r="M21" s="42">
        <v>5.6089999999999994E-3</v>
      </c>
      <c r="N21" s="42">
        <v>6.1960000000000001E-3</v>
      </c>
      <c r="O21" s="42">
        <v>6.0479999999999996E-3</v>
      </c>
      <c r="P21" s="42">
        <v>5.4979999999999994E-3</v>
      </c>
      <c r="Q21" s="42">
        <v>4.7829999999999999E-3</v>
      </c>
      <c r="R21" s="42">
        <v>3.4269999999999999E-3</v>
      </c>
      <c r="S21" s="42">
        <v>2.4000000000000002E-3</v>
      </c>
      <c r="T21" s="42">
        <v>1.6779999999999998E-3</v>
      </c>
    </row>
    <row r="22" spans="1:20" ht="15.75" thickBot="1" x14ac:dyDescent="0.3">
      <c r="A22" s="63">
        <v>7</v>
      </c>
      <c r="B22" s="65">
        <v>20</v>
      </c>
      <c r="C22" s="42">
        <v>-1.3560000000000011E-3</v>
      </c>
      <c r="D22" s="42">
        <v>-1.2030000000000009E-3</v>
      </c>
      <c r="E22" s="42">
        <v>-1.0469999999999998E-3</v>
      </c>
      <c r="F22" s="42">
        <v>-9.1799999999999955E-4</v>
      </c>
      <c r="G22" s="42">
        <v>-7.720000000000012E-4</v>
      </c>
      <c r="H22" s="42">
        <v>-7.3900000000000051E-4</v>
      </c>
      <c r="I22" s="42">
        <v>3.3500000000000023E-4</v>
      </c>
      <c r="J22" s="42">
        <v>5.5099999999999962E-4</v>
      </c>
      <c r="K22" s="42">
        <v>7.6200000000000031E-4</v>
      </c>
      <c r="L22" s="42">
        <v>2.3559999999999996E-3</v>
      </c>
      <c r="M22" s="42">
        <v>3.601E-3</v>
      </c>
      <c r="N22" s="42">
        <v>4.3299999999999996E-3</v>
      </c>
      <c r="O22" s="42">
        <v>4.5869999999999999E-3</v>
      </c>
      <c r="P22" s="42">
        <v>4.4520000000000002E-3</v>
      </c>
      <c r="Q22" s="42">
        <v>4.1180000000000001E-3</v>
      </c>
      <c r="R22" s="42">
        <v>3.2209999999999999E-3</v>
      </c>
      <c r="S22" s="42">
        <v>2.3970000000000003E-3</v>
      </c>
      <c r="T22" s="42">
        <v>1.7700000000000001E-3</v>
      </c>
    </row>
    <row r="23" spans="1:20" ht="15.75" thickBot="1" x14ac:dyDescent="0.3">
      <c r="A23" s="63">
        <v>8</v>
      </c>
      <c r="B23" s="65">
        <v>21</v>
      </c>
      <c r="C23" s="42">
        <v>-1.0679999999999995E-3</v>
      </c>
      <c r="D23" s="42">
        <v>-9.419999999999997E-4</v>
      </c>
      <c r="E23" s="42">
        <v>-8.7700000000000018E-4</v>
      </c>
      <c r="F23" s="42">
        <v>-7.8100000000000001E-4</v>
      </c>
      <c r="G23" s="42">
        <v>-6.8799999999999959E-4</v>
      </c>
      <c r="H23" s="42">
        <v>-5.6499999999999975E-4</v>
      </c>
      <c r="I23" s="42">
        <v>-1.7499999999999937E-4</v>
      </c>
      <c r="J23" s="42">
        <v>1.9699999999999926E-4</v>
      </c>
      <c r="K23" s="42">
        <v>4.5099999999999958E-4</v>
      </c>
      <c r="L23" s="42">
        <v>1.387999999999999E-3</v>
      </c>
      <c r="M23" s="42">
        <v>2.3149999999999998E-3</v>
      </c>
      <c r="N23" s="42">
        <v>3.0560000000000006E-3</v>
      </c>
      <c r="O23" s="42">
        <v>3.4509999999999996E-3</v>
      </c>
      <c r="P23" s="42">
        <v>3.5299999999999997E-3</v>
      </c>
      <c r="Q23" s="42">
        <v>3.4159999999999998E-3</v>
      </c>
      <c r="R23" s="42">
        <v>2.9019999999999996E-3</v>
      </c>
      <c r="S23" s="42">
        <v>2.3079999999999997E-3</v>
      </c>
      <c r="T23" s="42">
        <v>1.7589999999999999E-3</v>
      </c>
    </row>
    <row r="24" spans="1:20" ht="15.75" thickBot="1" x14ac:dyDescent="0.3">
      <c r="A24" s="63">
        <v>9</v>
      </c>
      <c r="B24" s="65">
        <v>22</v>
      </c>
      <c r="C24" s="42">
        <v>-6.3699999999999998E-4</v>
      </c>
      <c r="D24" s="42">
        <v>-2.8000000000000052E-4</v>
      </c>
      <c r="E24" s="42">
        <v>9.9999999999999612E-5</v>
      </c>
      <c r="F24" s="42">
        <v>4.7600000000000051E-4</v>
      </c>
      <c r="G24" s="42">
        <v>7.4200000000000004E-4</v>
      </c>
      <c r="H24" s="42">
        <v>1.0919999999999997E-3</v>
      </c>
      <c r="I24" s="42">
        <v>9.9700000000000006E-4</v>
      </c>
      <c r="J24" s="42">
        <v>9.2500000000000004E-4</v>
      </c>
      <c r="K24" s="42">
        <v>3.1500000000000061E-4</v>
      </c>
      <c r="L24" s="42">
        <v>8.5099999999999954E-4</v>
      </c>
      <c r="M24" s="42">
        <v>1.5209999999999998E-3</v>
      </c>
      <c r="N24" s="42">
        <v>2.1719999999999995E-3</v>
      </c>
      <c r="O24" s="42">
        <v>2.5730000000000002E-3</v>
      </c>
      <c r="P24" s="42">
        <v>2.7439999999999999E-3</v>
      </c>
      <c r="Q24" s="42">
        <v>2.7979999999999997E-3</v>
      </c>
      <c r="R24" s="42">
        <v>2.588E-3</v>
      </c>
      <c r="S24" s="42">
        <v>2.1360000000000003E-3</v>
      </c>
      <c r="T24" s="42">
        <v>1.7150000000000002E-3</v>
      </c>
    </row>
    <row r="25" spans="1:20" ht="15.75" thickBot="1" x14ac:dyDescent="0.3">
      <c r="A25" s="64">
        <v>10</v>
      </c>
      <c r="B25" s="66">
        <v>23</v>
      </c>
      <c r="C25" s="42">
        <v>-2.8899999999999998E-4</v>
      </c>
      <c r="D25" s="42">
        <v>-1.699999999999998E-4</v>
      </c>
      <c r="E25" s="42">
        <v>-9.9999999999999612E-5</v>
      </c>
      <c r="F25" s="42">
        <v>1.199999999999975E-5</v>
      </c>
      <c r="G25" s="42">
        <v>1.5400000000000049E-4</v>
      </c>
      <c r="H25" s="42">
        <v>1.8099999999999974E-4</v>
      </c>
      <c r="I25" s="42">
        <v>1.929999999999997E-4</v>
      </c>
      <c r="J25" s="42">
        <v>3.3000000000000011E-4</v>
      </c>
      <c r="K25" s="42">
        <v>2.6299999999999989E-4</v>
      </c>
      <c r="L25" s="42">
        <v>5.6500000000000018E-4</v>
      </c>
      <c r="M25" s="42">
        <v>9.7699999999999957E-4</v>
      </c>
      <c r="N25" s="42">
        <v>1.5410000000000003E-3</v>
      </c>
      <c r="O25" s="42">
        <v>2.0299999999999997E-3</v>
      </c>
      <c r="P25" s="42">
        <v>2.4870000000000001E-3</v>
      </c>
      <c r="Q25" s="42">
        <v>2.297E-3</v>
      </c>
      <c r="R25" s="42">
        <v>2.2759999999999998E-3</v>
      </c>
      <c r="S25" s="42">
        <v>1.804E-3</v>
      </c>
      <c r="T25" s="42">
        <v>1.4620000000000002E-3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5"/>
  <dimension ref="A1:T25"/>
  <sheetViews>
    <sheetView zoomScale="85" zoomScaleNormal="85" workbookViewId="0">
      <selection activeCell="V21" sqref="V21"/>
    </sheetView>
  </sheetViews>
  <sheetFormatPr baseColWidth="10" defaultRowHeight="15" x14ac:dyDescent="0.25"/>
  <sheetData>
    <row r="1" spans="1:20" ht="20.25" thickBot="1" x14ac:dyDescent="0.3">
      <c r="A1" s="23" t="s">
        <v>57</v>
      </c>
      <c r="B1" s="36" t="s">
        <v>58</v>
      </c>
      <c r="C1" s="24">
        <v>0</v>
      </c>
      <c r="D1" s="25">
        <v>0.2</v>
      </c>
      <c r="E1" s="25">
        <v>0.4</v>
      </c>
      <c r="F1" s="25">
        <v>0.6</v>
      </c>
      <c r="G1" s="25">
        <v>0.8</v>
      </c>
      <c r="H1" s="25">
        <v>1</v>
      </c>
      <c r="I1" s="25">
        <v>1.2</v>
      </c>
      <c r="J1" s="25">
        <v>1.5</v>
      </c>
      <c r="K1" s="25">
        <v>2</v>
      </c>
      <c r="L1" s="60">
        <v>3</v>
      </c>
      <c r="M1" s="25">
        <v>4</v>
      </c>
      <c r="N1" s="25">
        <v>5</v>
      </c>
      <c r="O1" s="26">
        <v>6</v>
      </c>
      <c r="P1" s="26">
        <v>7</v>
      </c>
      <c r="Q1" s="26">
        <v>8</v>
      </c>
      <c r="R1" s="26">
        <v>10</v>
      </c>
      <c r="S1" s="26">
        <v>12</v>
      </c>
      <c r="T1" s="27">
        <v>14</v>
      </c>
    </row>
    <row r="2" spans="1:20" ht="20.25" thickBot="1" x14ac:dyDescent="0.3">
      <c r="A2" s="59"/>
      <c r="B2" s="38" t="s">
        <v>59</v>
      </c>
      <c r="C2" s="39">
        <v>1</v>
      </c>
      <c r="D2" s="40">
        <v>2</v>
      </c>
      <c r="E2" s="40">
        <v>3</v>
      </c>
      <c r="F2" s="40">
        <v>4</v>
      </c>
      <c r="G2" s="40">
        <v>5</v>
      </c>
      <c r="H2" s="40">
        <v>6</v>
      </c>
      <c r="I2" s="40">
        <v>7</v>
      </c>
      <c r="J2" s="40">
        <v>8</v>
      </c>
      <c r="K2" s="40">
        <v>9</v>
      </c>
      <c r="L2" s="40">
        <v>10</v>
      </c>
      <c r="M2" s="40">
        <v>11</v>
      </c>
      <c r="N2" s="40">
        <v>12</v>
      </c>
      <c r="O2" s="40">
        <v>13</v>
      </c>
      <c r="P2" s="40">
        <v>14</v>
      </c>
      <c r="Q2" s="40">
        <v>15</v>
      </c>
      <c r="R2" s="40">
        <v>16</v>
      </c>
      <c r="S2" s="40">
        <v>17</v>
      </c>
      <c r="T2" s="40">
        <v>18</v>
      </c>
    </row>
    <row r="3" spans="1:20" ht="15.75" thickBot="1" x14ac:dyDescent="0.3">
      <c r="A3" s="28">
        <v>0</v>
      </c>
      <c r="B3" s="41">
        <v>1</v>
      </c>
      <c r="C3" s="42">
        <v>0.85</v>
      </c>
      <c r="D3" s="42">
        <v>0.85</v>
      </c>
      <c r="E3" s="42">
        <v>0.85</v>
      </c>
      <c r="F3" s="42">
        <v>0.85</v>
      </c>
      <c r="G3" s="42">
        <v>0.85</v>
      </c>
      <c r="H3" s="42">
        <v>0.5</v>
      </c>
      <c r="I3" s="42">
        <v>0.10416600000000001</v>
      </c>
      <c r="J3" s="42">
        <v>6.6666000000000017E-2</v>
      </c>
      <c r="K3" s="42">
        <v>3.7500000000000006E-2</v>
      </c>
      <c r="L3" s="61">
        <v>1.6668000000000002E-2</v>
      </c>
      <c r="M3" s="42">
        <v>9.3750000000000014E-3</v>
      </c>
      <c r="N3" s="42">
        <v>6.000000000000001E-3</v>
      </c>
      <c r="O3" s="42">
        <v>4.1670000000000006E-3</v>
      </c>
      <c r="P3" s="42">
        <v>3.0600000000000007E-3</v>
      </c>
      <c r="Q3" s="42">
        <v>2.3430000000000005E-3</v>
      </c>
      <c r="R3" s="42">
        <v>1.5000000000000002E-3</v>
      </c>
      <c r="S3" s="42">
        <v>1.0410000000000003E-3</v>
      </c>
      <c r="T3" s="42">
        <v>7.6500000000000016E-4</v>
      </c>
    </row>
    <row r="4" spans="1:20" ht="15.75" thickBot="1" x14ac:dyDescent="0.3">
      <c r="A4" s="31">
        <v>0.1</v>
      </c>
      <c r="B4" s="41">
        <v>2</v>
      </c>
      <c r="C4" s="42">
        <v>0.71616500000000005</v>
      </c>
      <c r="D4" s="42">
        <v>0.71310420000000008</v>
      </c>
      <c r="E4" s="42">
        <v>0.70249699999999993</v>
      </c>
      <c r="F4" s="42">
        <v>0.67824100000000009</v>
      </c>
      <c r="G4" s="42">
        <v>0.61373299999999997</v>
      </c>
      <c r="H4" s="42">
        <v>0.34234899999999996</v>
      </c>
      <c r="I4" s="42">
        <v>0.11777000000000001</v>
      </c>
      <c r="J4" s="42">
        <v>6.2676000000000009E-2</v>
      </c>
      <c r="K4" s="42">
        <v>3.4500000000000003E-2</v>
      </c>
      <c r="L4" s="61">
        <v>1.5633000000000001E-2</v>
      </c>
      <c r="M4" s="42">
        <v>8.9230000000000021E-3</v>
      </c>
      <c r="N4" s="42">
        <v>5.7610000000000014E-3</v>
      </c>
      <c r="O4" s="42">
        <v>4.0400000000000002E-3</v>
      </c>
      <c r="P4" s="42">
        <v>2.8900000000000006E-3</v>
      </c>
      <c r="Q4" s="42">
        <v>2.2860000000000003E-3</v>
      </c>
      <c r="R4" s="42">
        <v>1.4850000000000004E-3</v>
      </c>
      <c r="S4" s="42">
        <v>1.0290000000000002E-3</v>
      </c>
      <c r="T4" s="42">
        <v>7.5900000000000013E-4</v>
      </c>
    </row>
    <row r="5" spans="1:20" ht="15.75" thickBot="1" x14ac:dyDescent="0.3">
      <c r="A5" s="31">
        <v>0.2</v>
      </c>
      <c r="B5" s="41">
        <v>3</v>
      </c>
      <c r="C5" s="42">
        <v>0.58900799999999998</v>
      </c>
      <c r="D5" s="42">
        <v>0.58337819999999996</v>
      </c>
      <c r="E5" s="42">
        <v>0.56496099999999994</v>
      </c>
      <c r="F5" s="42">
        <v>0.52490099999999995</v>
      </c>
      <c r="G5" s="42">
        <v>0.43718199999999996</v>
      </c>
      <c r="H5" s="42">
        <v>0.256969</v>
      </c>
      <c r="I5" s="42">
        <v>0.116435</v>
      </c>
      <c r="J5" s="42">
        <v>5.8216000000000004E-2</v>
      </c>
      <c r="K5" s="42">
        <v>3.1533000000000005E-2</v>
      </c>
      <c r="L5" s="61">
        <v>1.4603000000000003E-2</v>
      </c>
      <c r="M5" s="42">
        <v>8.4740000000000024E-3</v>
      </c>
      <c r="N5" s="42">
        <v>5.5280000000000008E-3</v>
      </c>
      <c r="O5" s="42">
        <v>3.8920000000000001E-3</v>
      </c>
      <c r="P5" s="42">
        <v>2.8930000000000002E-3</v>
      </c>
      <c r="Q5" s="42">
        <v>2.2260000000000001E-3</v>
      </c>
      <c r="R5" s="42">
        <v>1.5370000000000002E-3</v>
      </c>
      <c r="S5" s="42">
        <v>1.0200000000000001E-3</v>
      </c>
      <c r="T5" s="42">
        <v>7.5300000000000009E-4</v>
      </c>
    </row>
    <row r="6" spans="1:20" ht="15.75" thickBot="1" x14ac:dyDescent="0.3">
      <c r="A6" s="31">
        <v>0.3</v>
      </c>
      <c r="B6" s="41">
        <v>4</v>
      </c>
      <c r="C6" s="42">
        <v>0.47394399999999998</v>
      </c>
      <c r="D6" s="42">
        <v>0.46686000000000005</v>
      </c>
      <c r="E6" s="42">
        <v>0.43912899999999999</v>
      </c>
      <c r="F6" s="42">
        <v>0.39923199999999998</v>
      </c>
      <c r="G6" s="42">
        <v>0.316631</v>
      </c>
      <c r="H6" s="42">
        <v>0.19718399999999997</v>
      </c>
      <c r="I6" s="42">
        <v>0.10490100000000001</v>
      </c>
      <c r="J6" s="42">
        <v>5.3123999999999998E-2</v>
      </c>
      <c r="K6" s="42">
        <v>2.8610000000000003E-2</v>
      </c>
      <c r="L6" s="61">
        <v>1.0021000000000002E-2</v>
      </c>
      <c r="M6" s="42">
        <v>8.0280000000000004E-3</v>
      </c>
      <c r="N6" s="42">
        <v>5.3500000000000006E-3</v>
      </c>
      <c r="O6" s="42">
        <v>3.6760000000000004E-3</v>
      </c>
      <c r="P6" s="42">
        <v>2.7780000000000005E-3</v>
      </c>
      <c r="Q6" s="42">
        <v>2.1750000000000007E-3</v>
      </c>
      <c r="R6" s="42">
        <v>1.4570000000000002E-3</v>
      </c>
      <c r="S6" s="42">
        <v>1.0740000000000001E-3</v>
      </c>
      <c r="T6" s="42">
        <v>7.4700000000000016E-4</v>
      </c>
    </row>
    <row r="7" spans="1:20" ht="15.75" thickBot="1" x14ac:dyDescent="0.3">
      <c r="A7" s="31">
        <v>0.4</v>
      </c>
      <c r="B7" s="41">
        <v>5</v>
      </c>
      <c r="C7" s="42">
        <v>0.27994699999999995</v>
      </c>
      <c r="D7" s="42">
        <v>0.27340499999999995</v>
      </c>
      <c r="E7" s="42">
        <v>0.25239699999999998</v>
      </c>
      <c r="F7" s="42">
        <v>0.21348899999999996</v>
      </c>
      <c r="G7" s="42">
        <v>0.15274299999999999</v>
      </c>
      <c r="H7" s="42">
        <v>8.0375999999999975E-2</v>
      </c>
      <c r="I7" s="42">
        <v>2.8482999999999994E-2</v>
      </c>
      <c r="J7" s="42">
        <v>1.2810000000000044E-3</v>
      </c>
      <c r="K7" s="42">
        <v>-3.6240000000000022E-3</v>
      </c>
      <c r="L7" s="61">
        <v>-3.2799999999999999E-3</v>
      </c>
      <c r="M7" s="42">
        <v>-7.2000000000000015E-4</v>
      </c>
      <c r="N7" s="42">
        <v>-4.1000000000000021E-4</v>
      </c>
      <c r="O7" s="42">
        <v>-3.2000000000000008E-4</v>
      </c>
      <c r="P7" s="42">
        <v>-2.6499999999999999E-4</v>
      </c>
      <c r="Q7" s="42">
        <v>-1.2000000000000004E-4</v>
      </c>
      <c r="R7" s="42">
        <v>-6.0000000000000022E-5</v>
      </c>
      <c r="S7" s="42">
        <v>-1.6000000000000009E-5</v>
      </c>
      <c r="T7" s="42">
        <v>0</v>
      </c>
    </row>
    <row r="8" spans="1:20" ht="15.75" thickBot="1" x14ac:dyDescent="0.3">
      <c r="A8" s="31">
        <v>0.5</v>
      </c>
      <c r="B8" s="41">
        <v>6</v>
      </c>
      <c r="C8" s="42">
        <v>0.29098000000000002</v>
      </c>
      <c r="D8" s="42">
        <v>0.28387199999999996</v>
      </c>
      <c r="E8" s="42">
        <v>0.26329000000000002</v>
      </c>
      <c r="F8" s="42">
        <v>0.22685900000000001</v>
      </c>
      <c r="G8" s="42">
        <v>0.17561699999999997</v>
      </c>
      <c r="H8" s="42">
        <v>0.11970899999999997</v>
      </c>
      <c r="I8" s="42">
        <v>7.5456000000000023E-2</v>
      </c>
      <c r="J8" s="42">
        <v>4.1877000000000004E-2</v>
      </c>
      <c r="K8" s="42">
        <v>2.3057000000000005E-2</v>
      </c>
      <c r="L8" s="61">
        <v>1.1705000000000004E-2</v>
      </c>
      <c r="M8" s="42">
        <v>7.1300000000000009E-3</v>
      </c>
      <c r="N8" s="42">
        <v>4.8630000000000001E-3</v>
      </c>
      <c r="O8" s="42">
        <v>3.4820000000000007E-3</v>
      </c>
      <c r="P8" s="42">
        <v>2.6050000000000001E-3</v>
      </c>
      <c r="Q8" s="42">
        <v>2.0830000000000002E-3</v>
      </c>
      <c r="R8" s="42">
        <v>1.3500000000000003E-3</v>
      </c>
      <c r="S8" s="42">
        <v>9.5100000000000013E-4</v>
      </c>
      <c r="T8" s="42">
        <v>7.1100000000000004E-4</v>
      </c>
    </row>
    <row r="9" spans="1:20" ht="15.75" thickBot="1" x14ac:dyDescent="0.3">
      <c r="A9" s="31">
        <v>0.6</v>
      </c>
      <c r="B9" s="41">
        <v>7</v>
      </c>
      <c r="C9" s="42">
        <v>0.22352499999999997</v>
      </c>
      <c r="D9" s="42">
        <v>0.21790799999999999</v>
      </c>
      <c r="E9" s="42">
        <v>0.200049</v>
      </c>
      <c r="F9" s="42">
        <v>0.170986</v>
      </c>
      <c r="G9" s="42">
        <v>0.132744</v>
      </c>
      <c r="H9" s="42">
        <v>9.3306000000000014E-2</v>
      </c>
      <c r="I9" s="42">
        <v>6.2269000000000005E-2</v>
      </c>
      <c r="J9" s="42">
        <v>3.6226999999999995E-2</v>
      </c>
      <c r="K9" s="42">
        <v>2.0729999999999998E-2</v>
      </c>
      <c r="L9" s="61">
        <v>1.0543000000000002E-2</v>
      </c>
      <c r="M9" s="42">
        <v>6.7650000000000002E-3</v>
      </c>
      <c r="N9" s="42">
        <v>4.530000000000001E-3</v>
      </c>
      <c r="O9" s="42">
        <v>3.3690000000000005E-3</v>
      </c>
      <c r="P9" s="42">
        <v>2.5350000000000004E-3</v>
      </c>
      <c r="Q9" s="42">
        <v>2.0290000000000004E-3</v>
      </c>
      <c r="R9" s="42">
        <v>1.3200000000000002E-3</v>
      </c>
      <c r="S9" s="42">
        <v>9.360000000000002E-4</v>
      </c>
      <c r="T9" s="42">
        <v>6.9900000000000008E-4</v>
      </c>
    </row>
    <row r="10" spans="1:20" ht="15.75" thickBot="1" x14ac:dyDescent="0.3">
      <c r="A10" s="31">
        <v>0.7</v>
      </c>
      <c r="B10" s="41">
        <v>8</v>
      </c>
      <c r="C10" s="42">
        <v>0.17011899999999996</v>
      </c>
      <c r="D10" s="42">
        <v>0.165134</v>
      </c>
      <c r="E10" s="42">
        <v>0.151252</v>
      </c>
      <c r="F10" s="42">
        <v>0.12875099999999998</v>
      </c>
      <c r="G10" s="42">
        <v>0.10082000000000001</v>
      </c>
      <c r="H10" s="42">
        <v>6.8896999999999986E-2</v>
      </c>
      <c r="I10" s="42">
        <v>5.0761000000000001E-2</v>
      </c>
      <c r="J10" s="42">
        <v>3.0946000000000001E-2</v>
      </c>
      <c r="K10" s="42">
        <v>1.7976999999999996E-2</v>
      </c>
      <c r="L10" s="61">
        <v>9.5530000000000007E-3</v>
      </c>
      <c r="M10" s="42">
        <v>6.3850000000000009E-3</v>
      </c>
      <c r="N10" s="42">
        <v>4.4200000000000003E-3</v>
      </c>
      <c r="O10" s="42">
        <v>3.2160000000000001E-3</v>
      </c>
      <c r="P10" s="42">
        <v>2.4670000000000004E-3</v>
      </c>
      <c r="Q10" s="42">
        <v>1.9720000000000002E-3</v>
      </c>
      <c r="R10" s="42">
        <v>1.2900000000000001E-3</v>
      </c>
      <c r="S10" s="42">
        <v>9.1800000000000009E-4</v>
      </c>
      <c r="T10" s="42">
        <v>6.8700000000000011E-4</v>
      </c>
    </row>
    <row r="11" spans="1:20" ht="15.75" thickBot="1" x14ac:dyDescent="0.3">
      <c r="A11" s="31">
        <v>0.8</v>
      </c>
      <c r="B11" s="41">
        <v>9</v>
      </c>
      <c r="C11" s="42">
        <v>0.128552</v>
      </c>
      <c r="D11" s="42">
        <v>0.12420400000000001</v>
      </c>
      <c r="E11" s="42">
        <v>0.11377</v>
      </c>
      <c r="F11" s="42">
        <v>9.7210999999999992E-2</v>
      </c>
      <c r="G11" s="42">
        <v>7.6857999999999982E-2</v>
      </c>
      <c r="H11" s="42">
        <v>5.7168000000000004E-2</v>
      </c>
      <c r="I11" s="42">
        <v>4.1076000000000008E-2</v>
      </c>
      <c r="J11" s="42">
        <v>2.6178E-2</v>
      </c>
      <c r="K11" s="42">
        <v>1.5350000000000006E-2</v>
      </c>
      <c r="L11" s="61">
        <v>8.4350000000000015E-3</v>
      </c>
      <c r="M11" s="42">
        <v>5.935000000000001E-3</v>
      </c>
      <c r="N11" s="42">
        <v>4.1799999999999997E-3</v>
      </c>
      <c r="O11" s="42">
        <v>3.0760000000000002E-3</v>
      </c>
      <c r="P11" s="42">
        <v>2.3920000000000009E-3</v>
      </c>
      <c r="Q11" s="42">
        <v>1.9050000000000004E-3</v>
      </c>
      <c r="R11" s="42">
        <v>1.2600000000000001E-3</v>
      </c>
      <c r="S11" s="42">
        <v>9.0000000000000008E-4</v>
      </c>
      <c r="T11" s="42">
        <v>6.7500000000000004E-4</v>
      </c>
    </row>
    <row r="12" spans="1:20" ht="15.75" thickBot="1" x14ac:dyDescent="0.3">
      <c r="A12" s="31">
        <v>0.9</v>
      </c>
      <c r="B12" s="41">
        <v>10</v>
      </c>
      <c r="C12" s="42">
        <v>9.6573999999999993E-2</v>
      </c>
      <c r="D12" s="42">
        <v>9.2964999999999992E-2</v>
      </c>
      <c r="E12" s="42">
        <v>8.5356000000000015E-2</v>
      </c>
      <c r="F12" s="42">
        <v>7.3135999999999993E-2</v>
      </c>
      <c r="G12" s="42">
        <v>5.8698000000000021E-2</v>
      </c>
      <c r="H12" s="42">
        <v>4.4607999999999974E-2</v>
      </c>
      <c r="I12" s="42">
        <v>3.3012999999999987E-2</v>
      </c>
      <c r="J12" s="42">
        <v>2.1835999999999998E-2</v>
      </c>
      <c r="K12" s="42">
        <v>1.2954000000000004E-2</v>
      </c>
      <c r="L12" s="61">
        <v>7.7650000000000028E-3</v>
      </c>
      <c r="M12" s="42">
        <v>5.6450000000000016E-3</v>
      </c>
      <c r="N12" s="42">
        <v>3.8700000000000006E-3</v>
      </c>
      <c r="O12" s="42">
        <v>2.9310000000000004E-3</v>
      </c>
      <c r="P12" s="42">
        <v>2.2980000000000006E-3</v>
      </c>
      <c r="Q12" s="42">
        <v>1.8420000000000003E-3</v>
      </c>
      <c r="R12" s="42">
        <v>1.2300000000000002E-3</v>
      </c>
      <c r="S12" s="42">
        <v>8.8200000000000019E-4</v>
      </c>
      <c r="T12" s="42">
        <v>6.5600000000000012E-4</v>
      </c>
    </row>
    <row r="13" spans="1:20" ht="15.75" thickBot="1" x14ac:dyDescent="0.3">
      <c r="A13" s="31">
        <v>1</v>
      </c>
      <c r="B13" s="41">
        <v>11</v>
      </c>
      <c r="C13" s="42">
        <v>7.2177999999999992E-2</v>
      </c>
      <c r="D13" s="42">
        <v>6.9760000000000003E-2</v>
      </c>
      <c r="E13" s="42">
        <v>6.4005000000000006E-2</v>
      </c>
      <c r="F13" s="42">
        <v>5.5054999999999993E-2</v>
      </c>
      <c r="G13" s="42">
        <v>4.468999999999998E-2</v>
      </c>
      <c r="H13" s="42">
        <v>3.4779000000000011E-2</v>
      </c>
      <c r="I13" s="42">
        <v>2.6432999999999998E-2</v>
      </c>
      <c r="J13" s="42">
        <v>1.8007999999999996E-2</v>
      </c>
      <c r="K13" s="42">
        <v>1.1390999999999998E-2</v>
      </c>
      <c r="L13" s="61">
        <v>7.2920000000000016E-3</v>
      </c>
      <c r="M13" s="42">
        <v>5.1329999999999995E-3</v>
      </c>
      <c r="N13" s="42">
        <v>3.7370000000000003E-3</v>
      </c>
      <c r="O13" s="42">
        <v>2.8130000000000004E-3</v>
      </c>
      <c r="P13" s="42">
        <v>2.2030000000000001E-3</v>
      </c>
      <c r="Q13" s="42">
        <v>1.7680000000000005E-3</v>
      </c>
      <c r="R13" s="42">
        <v>1.2000000000000001E-3</v>
      </c>
      <c r="S13" s="42">
        <v>8.7400000000000021E-4</v>
      </c>
      <c r="T13" s="42">
        <v>6.5700000000000014E-4</v>
      </c>
    </row>
    <row r="14" spans="1:20" ht="15.75" thickBot="1" x14ac:dyDescent="0.3">
      <c r="A14" s="31">
        <v>1.2</v>
      </c>
      <c r="B14" s="41">
        <v>12</v>
      </c>
      <c r="C14" s="42">
        <v>3.9593000000000003E-2</v>
      </c>
      <c r="D14" s="42">
        <v>3.7690000000000001E-2</v>
      </c>
      <c r="E14" s="42">
        <v>3.5097000000000003E-2</v>
      </c>
      <c r="F14" s="42">
        <v>3.0723000000000007E-2</v>
      </c>
      <c r="G14" s="42">
        <v>2.5571999999999987E-2</v>
      </c>
      <c r="H14" s="42">
        <v>2.06E-2</v>
      </c>
      <c r="I14" s="42">
        <v>1.6390999999999996E-2</v>
      </c>
      <c r="J14" s="42">
        <v>1.1931999999999995E-2</v>
      </c>
      <c r="K14" s="42">
        <v>8.2540000000000009E-3</v>
      </c>
      <c r="L14" s="61">
        <v>5.8600000000000006E-3</v>
      </c>
      <c r="M14" s="42">
        <v>4.3710000000000008E-3</v>
      </c>
      <c r="N14" s="42">
        <v>3.3340000000000006E-3</v>
      </c>
      <c r="O14" s="42">
        <v>2.5820000000000001E-3</v>
      </c>
      <c r="P14" s="42">
        <v>2.0480000000000003E-3</v>
      </c>
      <c r="Q14" s="42">
        <v>1.6570000000000003E-3</v>
      </c>
      <c r="R14" s="42">
        <v>1.1400000000000002E-3</v>
      </c>
      <c r="S14" s="42">
        <v>8.3500000000000002E-4</v>
      </c>
      <c r="T14" s="42">
        <v>6.4300000000000013E-4</v>
      </c>
    </row>
    <row r="15" spans="1:20" ht="15.75" thickBot="1" x14ac:dyDescent="0.3">
      <c r="A15" s="31">
        <v>1.5</v>
      </c>
      <c r="B15" s="41">
        <v>13</v>
      </c>
      <c r="C15" s="42">
        <v>1.4748999999999981E-2</v>
      </c>
      <c r="D15" s="42">
        <v>1.3392000000000012E-2</v>
      </c>
      <c r="E15" s="42">
        <v>1.3245999999999983E-2</v>
      </c>
      <c r="F15" s="42">
        <v>1.1793000000000008E-2</v>
      </c>
      <c r="G15" s="42">
        <v>1.0033000000000004E-2</v>
      </c>
      <c r="H15" s="42">
        <v>8.4280000000000015E-3</v>
      </c>
      <c r="I15" s="42">
        <v>6.9950000000000012E-3</v>
      </c>
      <c r="J15" s="42">
        <v>5.6189999999999921E-3</v>
      </c>
      <c r="K15" s="42">
        <v>4.5310000000000003E-3</v>
      </c>
      <c r="L15" s="61">
        <v>4.1730000000000014E-3</v>
      </c>
      <c r="M15" s="42">
        <v>3.4149999999999996E-3</v>
      </c>
      <c r="N15" s="42">
        <v>2.7729999999999999E-3</v>
      </c>
      <c r="O15" s="42">
        <v>2.2219999999999996E-3</v>
      </c>
      <c r="P15" s="42">
        <v>1.8379999999999996E-3</v>
      </c>
      <c r="Q15" s="42">
        <v>1.4950000000000005E-3</v>
      </c>
      <c r="R15" s="42">
        <v>1.0560000000000003E-3</v>
      </c>
      <c r="S15" s="42">
        <v>7.8300000000000017E-4</v>
      </c>
      <c r="T15" s="42">
        <v>6.0300000000000002E-4</v>
      </c>
    </row>
    <row r="16" spans="1:20" ht="15.75" thickBot="1" x14ac:dyDescent="0.3">
      <c r="A16" s="31">
        <v>2</v>
      </c>
      <c r="B16" s="41">
        <v>14</v>
      </c>
      <c r="C16" s="42">
        <v>2.9599999999998725E-4</v>
      </c>
      <c r="D16" s="42">
        <v>-2.3140000000000036E-3</v>
      </c>
      <c r="E16" s="42">
        <v>-2.6199999999998967E-4</v>
      </c>
      <c r="F16" s="42">
        <v>-9.9000000000003599E-5</v>
      </c>
      <c r="G16" s="42">
        <v>-5.1300000000000477E-4</v>
      </c>
      <c r="H16" s="42">
        <v>3.799999999999637E-5</v>
      </c>
      <c r="I16" s="42">
        <v>-3.6999999999997105E-5</v>
      </c>
      <c r="J16" s="42">
        <v>2.6899999999999667E-4</v>
      </c>
      <c r="K16" s="42">
        <v>8.0400000000000436E-4</v>
      </c>
      <c r="L16" s="61">
        <v>1.7970000000000026E-3</v>
      </c>
      <c r="M16" s="42">
        <v>2.0679999999999995E-3</v>
      </c>
      <c r="N16" s="42">
        <v>1.9270000000000003E-3</v>
      </c>
      <c r="O16" s="42">
        <v>1.6419999999999998E-3</v>
      </c>
      <c r="P16" s="42">
        <v>1.4620000000000002E-3</v>
      </c>
      <c r="Q16" s="42">
        <v>1.2400000000000002E-3</v>
      </c>
      <c r="R16" s="42">
        <v>9.1100000000000003E-4</v>
      </c>
      <c r="S16" s="42">
        <v>7.0200000000000015E-4</v>
      </c>
      <c r="T16" s="42">
        <v>5.4900000000000012E-4</v>
      </c>
    </row>
    <row r="17" spans="1:20" ht="15.75" thickBot="1" x14ac:dyDescent="0.3">
      <c r="A17" s="31">
        <v>2.5</v>
      </c>
      <c r="B17" s="41">
        <v>15</v>
      </c>
      <c r="C17" s="42">
        <v>-3.2380000000000048E-3</v>
      </c>
      <c r="D17" s="42">
        <v>-5.6859999999999983E-3</v>
      </c>
      <c r="E17" s="42">
        <v>-3.7439999999999939E-3</v>
      </c>
      <c r="F17" s="42">
        <v>-3.488999999999999E-3</v>
      </c>
      <c r="G17" s="42">
        <v>-3.0790000000000105E-3</v>
      </c>
      <c r="H17" s="42">
        <v>-3.7989999999999986E-3</v>
      </c>
      <c r="I17" s="42">
        <v>-2.3550000000000012E-3</v>
      </c>
      <c r="J17" s="42">
        <v>-1.8409999999999919E-3</v>
      </c>
      <c r="K17" s="42">
        <v>-1.0139999999999984E-3</v>
      </c>
      <c r="L17" s="61">
        <v>3.8600000000000179E-4</v>
      </c>
      <c r="M17" s="42">
        <v>1.0579999999999999E-3</v>
      </c>
      <c r="N17" s="42">
        <v>1.242E-3</v>
      </c>
      <c r="O17" s="42">
        <v>1.2209999999999999E-3</v>
      </c>
      <c r="P17" s="42">
        <v>1.1180000000000005E-3</v>
      </c>
      <c r="Q17" s="42">
        <v>1.0060000000000002E-3</v>
      </c>
      <c r="R17" s="42">
        <v>7.890000000000002E-4</v>
      </c>
      <c r="S17" s="42">
        <v>6.2399999999999999E-4</v>
      </c>
      <c r="T17" s="42">
        <v>4.9100000000000001E-4</v>
      </c>
    </row>
    <row r="18" spans="1:20" ht="15.75" thickBot="1" x14ac:dyDescent="0.3">
      <c r="A18" s="31">
        <v>3</v>
      </c>
      <c r="B18" s="41">
        <v>16</v>
      </c>
      <c r="C18" s="42">
        <v>-3.8180000000000045E-3</v>
      </c>
      <c r="D18" s="42">
        <v>-5.0760000000000041E-3</v>
      </c>
      <c r="E18" s="42">
        <v>-5.0360000000000049E-3</v>
      </c>
      <c r="F18" s="42">
        <v>-3.805000000000002E-3</v>
      </c>
      <c r="G18" s="42">
        <v>-3.6289999999999977E-3</v>
      </c>
      <c r="H18" s="42">
        <v>-3.3740000000000003E-3</v>
      </c>
      <c r="I18" s="42">
        <v>-2.9529999999999956E-3</v>
      </c>
      <c r="J18" s="42">
        <v>-2.5390000000000031E-3</v>
      </c>
      <c r="K18" s="42">
        <v>-1.7589999999999975E-3</v>
      </c>
      <c r="L18" s="61">
        <v>-4.2500000000000003E-4</v>
      </c>
      <c r="M18" s="42">
        <v>3.6000000000000094E-4</v>
      </c>
      <c r="N18" s="42">
        <v>7.2600000000000008E-4</v>
      </c>
      <c r="O18" s="42">
        <v>8.5400000000000016E-4</v>
      </c>
      <c r="P18" s="42">
        <v>8.6300000000000005E-4</v>
      </c>
      <c r="Q18" s="42">
        <v>7.8899999999999999E-4</v>
      </c>
      <c r="R18" s="42">
        <v>6.5900000000000008E-4</v>
      </c>
      <c r="S18" s="42">
        <v>5.4200000000000006E-4</v>
      </c>
      <c r="T18" s="42">
        <v>4.4000000000000018E-4</v>
      </c>
    </row>
    <row r="19" spans="1:20" ht="15.75" thickBot="1" x14ac:dyDescent="0.3">
      <c r="A19" s="31">
        <v>4</v>
      </c>
      <c r="B19" s="41">
        <v>17</v>
      </c>
      <c r="C19" s="42">
        <v>-3.1589999999999977E-3</v>
      </c>
      <c r="D19" s="42">
        <v>-4.0920000000000002E-3</v>
      </c>
      <c r="E19" s="42">
        <v>-5.1260000000000012E-3</v>
      </c>
      <c r="F19" s="42">
        <v>-3.7880000000000014E-3</v>
      </c>
      <c r="G19" s="42">
        <v>-3.0779999999999983E-3</v>
      </c>
      <c r="H19" s="42">
        <v>-3.1130000000000012E-3</v>
      </c>
      <c r="I19" s="42">
        <v>-2.9380000000000031E-3</v>
      </c>
      <c r="J19" s="42">
        <v>-2.5820000000000027E-3</v>
      </c>
      <c r="K19" s="42">
        <v>-1.9060000000000001E-3</v>
      </c>
      <c r="L19" s="61">
        <v>-1.1240000000000009E-3</v>
      </c>
      <c r="M19" s="42">
        <v>-4.0700000000000024E-4</v>
      </c>
      <c r="N19" s="42">
        <v>3.199999999999991E-5</v>
      </c>
      <c r="O19" s="42">
        <v>2.580000000000002E-4</v>
      </c>
      <c r="P19" s="42">
        <v>4.010000000000001E-4</v>
      </c>
      <c r="Q19" s="42">
        <v>4.6700000000000018E-4</v>
      </c>
      <c r="R19" s="42">
        <v>4.5899999999999999E-4</v>
      </c>
      <c r="S19" s="42">
        <v>4.0400000000000006E-4</v>
      </c>
      <c r="T19" s="42">
        <v>3.6000000000000013E-4</v>
      </c>
    </row>
    <row r="20" spans="1:20" ht="15.75" thickBot="1" x14ac:dyDescent="0.3">
      <c r="A20" s="31">
        <v>5</v>
      </c>
      <c r="B20" s="41">
        <v>18</v>
      </c>
      <c r="C20" s="42">
        <v>-2.3529999999999996E-3</v>
      </c>
      <c r="D20" s="42">
        <v>-3.1529999999999996E-3</v>
      </c>
      <c r="E20" s="42">
        <v>-3.6799999999999988E-3</v>
      </c>
      <c r="F20" s="42">
        <v>-3.1989999999999992E-3</v>
      </c>
      <c r="G20" s="42">
        <v>-2.9880000000000006E-3</v>
      </c>
      <c r="H20" s="42">
        <v>-2.5279999999999981E-3</v>
      </c>
      <c r="I20" s="42">
        <v>-1.7779999999999996E-3</v>
      </c>
      <c r="J20" s="42">
        <v>-1.2519999999999992E-3</v>
      </c>
      <c r="K20" s="42">
        <v>-1.7200000000000006E-3</v>
      </c>
      <c r="L20" s="61">
        <v>-1.2350000000000009E-3</v>
      </c>
      <c r="M20" s="42">
        <v>-7.2800000000000078E-4</v>
      </c>
      <c r="N20" s="42">
        <v>-3.0699999999999955E-4</v>
      </c>
      <c r="O20" s="42">
        <v>-5.5999999999999843E-5</v>
      </c>
      <c r="P20" s="42">
        <v>1.1300000000000004E-4</v>
      </c>
      <c r="Q20" s="42">
        <v>1.879999999999998E-4</v>
      </c>
      <c r="R20" s="42">
        <v>2.7799999999999993E-4</v>
      </c>
      <c r="S20" s="42">
        <v>2.9E-4</v>
      </c>
      <c r="T20" s="42">
        <v>2.5900000000000012E-4</v>
      </c>
    </row>
    <row r="21" spans="1:20" ht="15.75" thickBot="1" x14ac:dyDescent="0.3">
      <c r="A21" s="31">
        <v>6</v>
      </c>
      <c r="B21" s="41">
        <v>19</v>
      </c>
      <c r="C21" s="42">
        <v>-1.7630000000000007E-3</v>
      </c>
      <c r="D21" s="42">
        <v>-3.7250000000000017E-3</v>
      </c>
      <c r="E21" s="42">
        <v>-5.3659999999999992E-3</v>
      </c>
      <c r="F21" s="42">
        <v>-4.1370000000000001E-3</v>
      </c>
      <c r="G21" s="42">
        <v>-3.3660000000000009E-3</v>
      </c>
      <c r="H21" s="42">
        <v>-2.4650000000000002E-3</v>
      </c>
      <c r="I21" s="42">
        <v>-1.8755000000000004E-3</v>
      </c>
      <c r="J21" s="42">
        <v>-1.4129999999999998E-3</v>
      </c>
      <c r="K21" s="42">
        <v>-1.4270000000000008E-3</v>
      </c>
      <c r="L21" s="61">
        <v>-1.1569999999999992E-3</v>
      </c>
      <c r="M21" s="42">
        <v>-7.6399999999999992E-4</v>
      </c>
      <c r="N21" s="42">
        <v>-4.8300000000000036E-4</v>
      </c>
      <c r="O21" s="42">
        <v>-2.2400000000000002E-4</v>
      </c>
      <c r="P21" s="42">
        <v>-5.9999999999999941E-5</v>
      </c>
      <c r="Q21" s="42">
        <v>9.9999999999998094E-6</v>
      </c>
      <c r="R21" s="42">
        <v>1.3899999999999991E-4</v>
      </c>
      <c r="S21" s="42">
        <v>2.0400000000000008E-4</v>
      </c>
      <c r="T21" s="42">
        <v>1.9000000000000006E-4</v>
      </c>
    </row>
    <row r="22" spans="1:20" ht="15.75" thickBot="1" x14ac:dyDescent="0.3">
      <c r="A22" s="31">
        <v>7</v>
      </c>
      <c r="B22" s="41">
        <v>20</v>
      </c>
      <c r="C22" s="42">
        <v>-1.3560000000000011E-3</v>
      </c>
      <c r="D22" s="42">
        <v>-1.7600000000000014E-3</v>
      </c>
      <c r="E22" s="42">
        <v>-2.6549999999999994E-3</v>
      </c>
      <c r="F22" s="42">
        <v>-2.0610000000000012E-3</v>
      </c>
      <c r="G22" s="42">
        <v>-1.4330000000000005E-3</v>
      </c>
      <c r="H22" s="42">
        <v>-1.3490000000000004E-3</v>
      </c>
      <c r="I22" s="42">
        <v>-1.1990000000000006E-3</v>
      </c>
      <c r="J22" s="42">
        <v>-1.2500000000000002E-3</v>
      </c>
      <c r="K22" s="42">
        <v>-1.3339999999999999E-3</v>
      </c>
      <c r="L22" s="61">
        <v>-1.0680000000000002E-3</v>
      </c>
      <c r="M22" s="42">
        <v>-7.8099999999999979E-4</v>
      </c>
      <c r="N22" s="42">
        <v>-4.7400000000000046E-4</v>
      </c>
      <c r="O22" s="42">
        <v>-3.4500000000000004E-4</v>
      </c>
      <c r="P22" s="42">
        <v>-1.9200000000000011E-4</v>
      </c>
      <c r="Q22" s="42">
        <v>-9.1000000000000044E-5</v>
      </c>
      <c r="R22" s="42">
        <v>6.9999999999999967E-5</v>
      </c>
      <c r="S22" s="42">
        <v>1.2600000000000003E-4</v>
      </c>
      <c r="T22" s="42">
        <v>1.3700000000000002E-4</v>
      </c>
    </row>
    <row r="23" spans="1:20" ht="15.75" thickBot="1" x14ac:dyDescent="0.3">
      <c r="A23" s="31">
        <v>8</v>
      </c>
      <c r="B23" s="41">
        <v>21</v>
      </c>
      <c r="C23" s="42">
        <v>-1.0679999999999995E-3</v>
      </c>
      <c r="D23" s="42">
        <v>-8.0699999999999999E-4</v>
      </c>
      <c r="E23" s="42">
        <v>-2.1090000000000011E-3</v>
      </c>
      <c r="F23" s="42">
        <v>-1.4499999999999999E-3</v>
      </c>
      <c r="G23" s="42">
        <v>-1.274E-3</v>
      </c>
      <c r="H23" s="42">
        <v>-1.1740000000000006E-3</v>
      </c>
      <c r="I23" s="42">
        <v>-1.1839999999999995E-3</v>
      </c>
      <c r="J23" s="42">
        <v>-1.1700000000000005E-3</v>
      </c>
      <c r="K23" s="42">
        <v>-1.287000000000001E-3</v>
      </c>
      <c r="L23" s="61">
        <v>-9.3300000000000045E-4</v>
      </c>
      <c r="M23" s="42">
        <v>-6.8700000000000022E-4</v>
      </c>
      <c r="N23" s="42">
        <v>-5.7499999999999977E-4</v>
      </c>
      <c r="O23" s="42">
        <v>-4.1500000000000022E-4</v>
      </c>
      <c r="P23" s="42">
        <v>-2.4600000000000023E-4</v>
      </c>
      <c r="Q23" s="42">
        <v>-1.3400000000000011E-4</v>
      </c>
      <c r="R23" s="42">
        <v>-4.1999999999999937E-5</v>
      </c>
      <c r="S23" s="42">
        <v>9.2999999999999984E-5</v>
      </c>
      <c r="T23" s="42">
        <v>7.9000000000000023E-5</v>
      </c>
    </row>
    <row r="24" spans="1:20" ht="15.75" thickBot="1" x14ac:dyDescent="0.3">
      <c r="A24" s="31">
        <v>9</v>
      </c>
      <c r="B24" s="41">
        <v>22</v>
      </c>
      <c r="C24" s="42">
        <v>-8.6800000000000017E-4</v>
      </c>
      <c r="D24" s="42">
        <v>-1.353E-3</v>
      </c>
      <c r="E24" s="42">
        <v>-3.0270000000000002E-3</v>
      </c>
      <c r="F24" s="42">
        <v>-2.677999999999999E-3</v>
      </c>
      <c r="G24" s="42">
        <v>-2.6859999999999996E-3</v>
      </c>
      <c r="H24" s="42">
        <v>-2.5789999999999997E-3</v>
      </c>
      <c r="I24" s="42">
        <v>-2.1280000000000001E-3</v>
      </c>
      <c r="J24" s="42">
        <v>-1.6889999999999995E-3</v>
      </c>
      <c r="K24" s="42">
        <v>-1.2229999999999993E-3</v>
      </c>
      <c r="L24" s="61">
        <v>-8.7100000000000003E-4</v>
      </c>
      <c r="M24" s="42">
        <v>-6.4600000000000042E-4</v>
      </c>
      <c r="N24" s="42">
        <v>-5.4900000000000033E-4</v>
      </c>
      <c r="O24" s="42">
        <v>-4.2199999999999963E-4</v>
      </c>
      <c r="P24" s="42">
        <v>-2.8700000000000015E-4</v>
      </c>
      <c r="Q24" s="42">
        <v>-2.2599999999999975E-4</v>
      </c>
      <c r="R24" s="42">
        <v>-9.2999999999999984E-5</v>
      </c>
      <c r="S24" s="42">
        <v>1.8000000000000004E-5</v>
      </c>
      <c r="T24" s="42">
        <v>3.0000000000000024E-5</v>
      </c>
    </row>
    <row r="25" spans="1:20" ht="15.75" thickBot="1" x14ac:dyDescent="0.3">
      <c r="A25" s="33">
        <v>10</v>
      </c>
      <c r="B25" s="41">
        <v>23</v>
      </c>
      <c r="C25" s="42">
        <v>-1.5629999999999997E-3</v>
      </c>
      <c r="D25" s="42">
        <v>-1.9550000000000001E-3</v>
      </c>
      <c r="E25" s="42">
        <v>-3.1849999999999999E-3</v>
      </c>
      <c r="F25" s="42">
        <v>-2.8230000000000004E-3</v>
      </c>
      <c r="G25" s="42">
        <v>-2.4009999999999995E-3</v>
      </c>
      <c r="H25" s="42">
        <v>-1.8529999999999998E-3</v>
      </c>
      <c r="I25" s="42">
        <v>-1.5990000000000002E-3</v>
      </c>
      <c r="J25" s="42">
        <v>-1.4510000000000005E-3</v>
      </c>
      <c r="K25" s="42">
        <v>-1.1450000000000006E-3</v>
      </c>
      <c r="L25" s="61">
        <v>-7.5899999999999948E-4</v>
      </c>
      <c r="M25" s="42">
        <v>-5.380000000000005E-4</v>
      </c>
      <c r="N25" s="42">
        <v>-5.669999999999998E-4</v>
      </c>
      <c r="O25" s="42">
        <v>-3.0800000000000033E-4</v>
      </c>
      <c r="P25" s="42">
        <v>-3.2600000000000012E-4</v>
      </c>
      <c r="Q25" s="42">
        <v>-1.9000000000000039E-4</v>
      </c>
      <c r="R25" s="42">
        <v>-2.1999999999999884E-5</v>
      </c>
      <c r="S25" s="42">
        <v>-7.5000000000000143E-5</v>
      </c>
      <c r="T25" s="42">
        <v>-6.6999999999999894E-5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Hojas de cálculo</vt:lpstr>
      </vt:variant>
      <vt:variant>
        <vt:i4>13</vt:i4>
      </vt:variant>
      <vt:variant>
        <vt:lpstr>Gráficos</vt:lpstr>
      </vt:variant>
      <vt:variant>
        <vt:i4>4</vt:i4>
      </vt:variant>
      <vt:variant>
        <vt:lpstr>Rangos con nombre</vt:lpstr>
      </vt:variant>
      <vt:variant>
        <vt:i4>6</vt:i4>
      </vt:variant>
    </vt:vector>
  </HeadingPairs>
  <TitlesOfParts>
    <vt:vector size="23" baseType="lpstr">
      <vt:lpstr>Tránsito</vt:lpstr>
      <vt:lpstr>Espectros de Carga</vt:lpstr>
      <vt:lpstr>Análisis Individual</vt:lpstr>
      <vt:lpstr>Análisis Espectral</vt:lpstr>
      <vt:lpstr>NuevoFormatoPav</vt:lpstr>
      <vt:lpstr>avanzado</vt:lpstr>
      <vt:lpstr>Análisis probabilista</vt:lpstr>
      <vt:lpstr>Hoja1</vt:lpstr>
      <vt:lpstr>Larguillo</vt:lpstr>
      <vt:lpstr>calculos</vt:lpstr>
      <vt:lpstr>factor_e_vert</vt:lpstr>
      <vt:lpstr>factor_e_rad</vt:lpstr>
      <vt:lpstr>factor_e_tan</vt:lpstr>
      <vt:lpstr>Espectro Daño Deformacion</vt:lpstr>
      <vt:lpstr>Espectro Daño Fatiga</vt:lpstr>
      <vt:lpstr>Daño Acumulado Deformacion</vt:lpstr>
      <vt:lpstr>Daño Acumulado Fatiga</vt:lpstr>
      <vt:lpstr>'Análisis Espectral'!SENCILLO</vt:lpstr>
      <vt:lpstr>'Análisis Individual'!SENCILLO</vt:lpstr>
      <vt:lpstr>SENCILLO</vt:lpstr>
      <vt:lpstr>'Análisis Espectral'!TRIDEM</vt:lpstr>
      <vt:lpstr>'Análisis Individual'!TRIDEM</vt:lpstr>
      <vt:lpstr>TRIDEM</vt:lpstr>
    </vt:vector>
  </TitlesOfParts>
  <Company>EEDB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EEDB</dc:creator>
  <cp:lastModifiedBy>Aldo Del Fierro</cp:lastModifiedBy>
  <cp:lastPrinted>2010-08-04T16:03:35Z</cp:lastPrinted>
  <dcterms:created xsi:type="dcterms:W3CDTF">2009-08-24T19:36:12Z</dcterms:created>
  <dcterms:modified xsi:type="dcterms:W3CDTF">2025-05-17T02:07:18Z</dcterms:modified>
</cp:coreProperties>
</file>
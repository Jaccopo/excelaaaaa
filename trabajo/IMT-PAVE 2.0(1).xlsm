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731744D7-1AAF-46E7-87CB-DBC7B276B28D}" xr6:coauthVersionLast="47" xr6:coauthVersionMax="47" xr10:uidLastSave="{00000000-0000-0000-0000-000000000000}"/>
  <bookViews>
    <workbookView xWindow="28680" yWindow="-120" windowWidth="29040" windowHeight="15840" tabRatio="903" activeTab="6" xr2:uid="{00000000-000D-0000-FFFF-FFFF00000000}"/>
  </bookViews>
  <sheets>
    <sheet name="Tránsito" sheetId="65" r:id="rId1"/>
    <sheet name="Hoja2" sheetId="68" r:id="rId2"/>
    <sheet name="Espectros de Carga" sheetId="56" r:id="rId3"/>
    <sheet name="Análisis Individual" sheetId="63" r:id="rId4"/>
    <sheet name="Análisis Espectral" sheetId="64" r:id="rId5"/>
    <sheet name="NuevoFormatoPav" sheetId="52" r:id="rId6"/>
    <sheet name="Larguillo" sheetId="61" r:id="rId7"/>
    <sheet name="avanzado" sheetId="60" r:id="rId8"/>
    <sheet name="Análisis probabilista" sheetId="66" r:id="rId9"/>
    <sheet name="Hoja1" sheetId="67" r:id="rId10"/>
    <sheet name="calculos" sheetId="58" r:id="rId11"/>
    <sheet name="Espectro Daño Deformacion" sheetId="42" state="hidden" r:id="rId12"/>
    <sheet name="Espectro Daño Fatiga" sheetId="43" state="hidden" r:id="rId13"/>
    <sheet name="Daño Acumulado Deformacion" sheetId="51" state="hidden" r:id="rId14"/>
    <sheet name="Daño Acumulado Fatiga" sheetId="38" state="hidden" r:id="rId15"/>
    <sheet name="factor_e_vert" sheetId="47" r:id="rId16"/>
    <sheet name="factor_e_rad" sheetId="49" r:id="rId17"/>
    <sheet name="factor_e_tan" sheetId="50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4">#REF!</definedName>
    <definedName name="E.RADIAL.HOR.B" localSheetId="3">#REF!</definedName>
    <definedName name="E.RADIAL.HOR.B" localSheetId="10">'[4]ANALISIS PAVIMENTO'!$DS$61:$EJ$62</definedName>
    <definedName name="E.RADIAL.HOR.B" localSheetId="0">#REF!</definedName>
    <definedName name="E.RADIAL.HOR.B">#REF!</definedName>
    <definedName name="E.RADIAL.VERT.B" localSheetId="4">#REF!</definedName>
    <definedName name="E.RADIAL.VERT.B" localSheetId="3">#REF!</definedName>
    <definedName name="E.RADIAL.VERT.B" localSheetId="10">'[4]ANALISIS PAVIMENTO'!$DQ$63:$DR$85</definedName>
    <definedName name="E.RADIAL.VERT.B" localSheetId="0">#REF!</definedName>
    <definedName name="E.RADIAL.VERT.B">#REF!</definedName>
    <definedName name="E.TAN.HOR.B" localSheetId="4">#REF!</definedName>
    <definedName name="E.TAN.HOR.B" localSheetId="3">#REF!</definedName>
    <definedName name="E.TAN.HOR.B" localSheetId="10">'[4]ANALISIS PAVIMENTO'!$EN$61:$FE$62</definedName>
    <definedName name="E.TAN.HOR.B" localSheetId="0">#REF!</definedName>
    <definedName name="E.TAN.HOR.B">#REF!</definedName>
    <definedName name="E.TAN.VERT.B" localSheetId="4">#REF!</definedName>
    <definedName name="E.TAN.VERT.B" localSheetId="3">#REF!</definedName>
    <definedName name="E.TAN.VERT.B" localSheetId="10">'[4]ANALISIS PAVIMENTO'!$EL$63:$EM$85</definedName>
    <definedName name="E.TAN.VERT.B" localSheetId="0">#REF!</definedName>
    <definedName name="E.TAN.VERT.B">#REF!</definedName>
    <definedName name="E.VERT.HOR.B" localSheetId="4">#REF!</definedName>
    <definedName name="E.VERT.HOR.B" localSheetId="3">#REF!</definedName>
    <definedName name="E.VERT.HOR.B" localSheetId="10">'[4]ANALISIS PAVIMENTO'!$CX$61:$DO$62</definedName>
    <definedName name="E.VERT.HOR.B" localSheetId="0">#REF!</definedName>
    <definedName name="E.VERT.HOR.B">#REF!</definedName>
    <definedName name="E.VERT.VERT.B" localSheetId="4">#REF!</definedName>
    <definedName name="E.VERT.VERT.B" localSheetId="3">#REF!</definedName>
    <definedName name="E.VERT.VERT.B" localSheetId="10">'[4]ANALISIS PAVIMENTO'!$CV$63:$CW$85</definedName>
    <definedName name="E.VERT.VERT.B" localSheetId="0">#REF!</definedName>
    <definedName name="E.VERT.VERT.B">#REF!</definedName>
    <definedName name="FACTOR.E.RADIAL.B" localSheetId="4">#REF!</definedName>
    <definedName name="FACTOR.E.RADIAL.B" localSheetId="3">#REF!</definedName>
    <definedName name="FACTOR.E.RADIAL.B" localSheetId="10">'[4]ANALISIS PAVIMENTO'!$DS$63:$EJ$85</definedName>
    <definedName name="FACTOR.E.RADIAL.B" localSheetId="0">#REF!</definedName>
    <definedName name="FACTOR.E.RADIAL.B">#REF!</definedName>
    <definedName name="FACTOR.E.TAN.B" localSheetId="4">#REF!</definedName>
    <definedName name="FACTOR.E.TAN.B" localSheetId="3">#REF!</definedName>
    <definedName name="FACTOR.E.TAN.B" localSheetId="10">'[4]ANALISIS PAVIMENTO'!$EN$63:$FE$85</definedName>
    <definedName name="FACTOR.E.TAN.B" localSheetId="0">#REF!</definedName>
    <definedName name="FACTOR.E.TAN.B">#REF!</definedName>
    <definedName name="FACTOR.E.VERT.B" localSheetId="4">#REF!</definedName>
    <definedName name="FACTOR.E.VERT.B" localSheetId="3">#REF!</definedName>
    <definedName name="FACTOR.E.VERT.B" localSheetId="10">'[4]ANALISIS PAVIMENTO'!$CX$63:$DO$85</definedName>
    <definedName name="FACTOR.E.VERT.B" localSheetId="0">#REF!</definedName>
    <definedName name="FACTOR.E.VERT.B">#REF!</definedName>
    <definedName name="SENCILLO" localSheetId="4">'Análisis Espectral'!$F$8</definedName>
    <definedName name="SENCILLO" localSheetId="3">'Análisis Individual'!$F$8</definedName>
    <definedName name="SENCILLO">NuevoFormatoPav!$F$8</definedName>
    <definedName name="TANDEM" localSheetId="4">#REF!</definedName>
    <definedName name="TANDEM" localSheetId="3">#REF!</definedName>
    <definedName name="TANDEM" localSheetId="0">#REF!</definedName>
    <definedName name="TANDEM">#REF!</definedName>
    <definedName name="TRIDEM" localSheetId="4">'Análisis Espectral'!$F$8</definedName>
    <definedName name="TRIDEM" localSheetId="3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<sst xmlns="http://schemas.openxmlformats.org/spreadsheetml/2006/main" count="483" uniqueCount="264">
  <si>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</si>
  <si>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</si>
  <si>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</si>
  <si>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</si>
  <si>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</si>
  <si>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</si>
  <si>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</si>
  <si>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</si>
  <si>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</si>
  <si>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</si>
  <si>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</si>
  <si>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</si>
  <si>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</si>
  <si>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</si>
  <si>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</si>
  <si>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</si>
  <si>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</si>
  <si>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</si>
  <si>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</si>
  <si>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</si>
  <si>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</si>
  <si>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</si>
  <si>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</si>
  <si>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</si>
  <si>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</si>
  <si>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</si>
  <si>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</si>
  <si>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</si>
  <si>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</si>
  <si>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</si>
  <si>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</si>
  <si>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</si>
  <si>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</si>
  <si>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</si>
  <si>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</si>
  <si>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</si>
  <si>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</si>
  <si>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</si>
  <si>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</si>
  <si>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</si>
  <si>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</si>
  <si>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</si>
  <si>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</si>
  <si>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</si>
  <si>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</si>
  <si>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</si>
  <si>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</si>
  <si>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</si>
  <si>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</si>
  <si>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</si>
  <si>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</si>
  <si>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</si>
  <si>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</si>
  <si>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</si>
  <si>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</si>
  <si>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</si>
  <si>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</si>
  <si>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</si>
  <si>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</si>
  <si>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</si>
  <si>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</si>
  <si>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</si>
  <si>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</si>
  <si>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</si>
  <si>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</si>
  <si>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</si>
  <si>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</si>
  <si>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</si>
  <si>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</si>
  <si>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</si>
  <si>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</si>
  <si>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</si>
  <si>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</si>
  <si>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</si>
  <si>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</si>
  <si>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</si>
  <si>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</si>
  <si>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</si>
  <si>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</si>
  <si>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</si>
  <si>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</si>
  <si>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</si>
  <si>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</si>
  <si>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</si>
  <si>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</si>
  <si>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</si>
  <si>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</si>
  <si>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</si>
  <si>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</si>
  <si>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</si>
  <si>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</si>
  <si>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</si>
  <si>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</si>
  <si>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</si>
  <si>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</si>
  <si>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</si>
  <si>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</si>
  <si>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</si>
  <si>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</si>
  <si>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</si>
  <si>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</si>
  <si>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</si>
  <si>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</si>
  <si>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</si>
  <si>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</si>
  <si>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</si>
  <si>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</si>
  <si>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</si>
  <si>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</si>
  <si>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</si>
  <si>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</si>
  <si>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</si>
  <si>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</si>
  <si>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</si>
  <si>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</si>
  <si>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</si>
  <si>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</si>
  <si>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</si>
  <si>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</si>
  <si>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</si>
  <si>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</si>
  <si>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</si>
  <si>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</si>
  <si>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</si>
  <si>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</si>
  <si>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</si>
  <si>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</si>
  <si>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</si>
  <si>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</si>
  <si>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</si>
  <si>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</si>
  <si>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</si>
  <si>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</si>
  <si>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</si>
  <si>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</si>
  <si>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</si>
  <si>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</si>
  <si>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</si>
  <si>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</si>
  <si>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</si>
  <si>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</si>
  <si>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</si>
  <si>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</si>
  <si>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</si>
  <si>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</si>
  <si>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</si>
  <si>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</si>
  <si>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</si>
  <si>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</si>
  <si>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</si>
  <si>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</si>
  <si>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</si>
  <si>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</si>
  <si>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</si>
  <si>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</si>
  <si>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</si>
  <si>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</si>
  <si>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</si>
  <si>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</si>
  <si>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</si>
  <si>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</si>
  <si>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</si>
  <si>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</si>
  <si>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</si>
  <si>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</si>
  <si>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</si>
  <si>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</si>
  <si>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</si>
  <si>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</si>
  <si>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</si>
  <si>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</si>
  <si>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</si>
  <si>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</si>
  <si>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</si>
  <si>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</si>
  <si>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</si>
  <si>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</si>
  <si>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</si>
  <si>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</si>
  <si>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</si>
  <si>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</si>
  <si>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</si>
  <si>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</si>
  <si>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</si>
  <si>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</si>
  <si>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</si>
  <si>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</si>
  <si>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</si>
  <si>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</si>
  <si>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</si>
  <si>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</si>
  <si>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</si>
  <si>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</si>
  <si>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</si>
  <si>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</si>
  <si>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</si>
  <si>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</si>
  <si>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</si>
  <si>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</si>
  <si>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</si>
  <si>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</si>
  <si>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</si>
  <si>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</si>
  <si>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</si>
  <si>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</si>
  <si>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</si>
  <si>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</si>
  <si>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</si>
  <si>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</si>
  <si>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</si>
  <si>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</si>
  <si>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</si>
  <si>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</si>
  <si>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</si>
  <si>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</si>
  <si>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</si>
  <si>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</si>
  <si>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</si>
  <si>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</si>
  <si>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</si>
  <si>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</si>
  <si>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</si>
  <si>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</si>
  <si>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</si>
  <si>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</si>
  <si>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</si>
  <si>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</si>
  <si>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</si>
  <si>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</si>
  <si>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</si>
  <si>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</si>
  <si>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</si>
  <si>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</si>
  <si>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</si>
  <si>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</si>
  <si>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</si>
  <si>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</si>
  <si>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</si>
  <si>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</si>
  <si>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</si>
  <si>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</si>
  <si>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</si>
  <si>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</si>
  <si>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</si>
  <si>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</si>
  <si>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</si>
  <si>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</si>
  <si>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</si>
  <si>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</si>
  <si>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</si>
  <si>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</si>
  <si>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</si>
  <si>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</si>
  <si>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</si>
  <si>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</si>
  <si>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</si>
  <si>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</si>
  <si>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</si>
  <si>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</si>
  <si>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</si>
  <si>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</si>
  <si>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</si>
  <si>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 xml:space="preserve">500	</t>
  </si>
  <si>
    <t>Tridem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</si>
</sst>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8" fontId="22" fillId="0" borderId="0" xfId="0" applyNumberFormat="1" applyFont="1" applyAlignment="1">
      <alignment horizontal="center"/>
    </xf>
    <xf numFmtId="0" fontId="60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17" fillId="7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center"/>
      <protection locked="0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worksheet" Target="worksheets/sheet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0.93784915714764161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12.551316727867661</c:v>
                </c:pt>
                <c:pt idx="12">
                  <c:v>13.135149264546412</c:v>
                </c:pt>
                <c:pt idx="13">
                  <c:v>12.673014304797936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8.339778567224883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5.7381890974029481</c:v>
                </c:pt>
                <c:pt idx="20">
                  <c:v>5.8035421179720466</c:v>
                </c:pt>
                <c:pt idx="21">
                  <c:v>6.1956102208059454</c:v>
                </c:pt>
                <c:pt idx="22">
                  <c:v>6.7326123030640241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7.561559420509198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3.5553064107499082</c:v>
                </c:pt>
                <c:pt idx="32">
                  <c:v>2.8163799556415423</c:v>
                </c:pt>
                <c:pt idx="33">
                  <c:v>2.1784022795305922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0.3147837899636009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6.6321917606760927E-2</c:v>
                </c:pt>
                <c:pt idx="44">
                  <c:v>4.389208443876131E-2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1.2178740465265953E-2</c:v>
                </c:pt>
                <c:pt idx="48">
                  <c:v>7.8454880423093343E-3</c:v>
                </c:pt>
                <c:pt idx="49">
                  <c:v>5.0275639666005631E-3</c:v>
                </c:pt>
                <c:pt idx="50">
                  <c:v>3.2065348562229927E-3</c:v>
                </c:pt>
                <c:pt idx="51">
                  <c:v>2.0363856355909032E-3</c:v>
                </c:pt>
                <c:pt idx="52">
                  <c:v>1.2883114029161589E-3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3.2008116931838841E-4</c:v>
                </c:pt>
                <c:pt idx="56">
                  <c:v>2.0019661275849572E-4</c:v>
                </c:pt>
                <c:pt idx="57">
                  <c:v>1.2496605482305398E-4</c:v>
                </c:pt>
                <c:pt idx="58">
                  <c:v>7.7876447717339342E-5</c:v>
                </c:pt>
                <c:pt idx="59">
                  <c:v>4.8465813876066257E-5</c:v>
                </c:pt>
                <c:pt idx="60">
                  <c:v>3.0131086289337183E-5</c:v>
                </c:pt>
                <c:pt idx="61">
                  <c:v>1.8718805628029744E-5</c:v>
                </c:pt>
                <c:pt idx="62">
                  <c:v>1.1624141011724667E-5</c:v>
                </c:pt>
                <c:pt idx="63">
                  <c:v>7.2177384504084519E-6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1.7327175026458831E-6</c:v>
                </c:pt>
                <c:pt idx="67">
                  <c:v>1.079189639070676E-6</c:v>
                </c:pt>
                <c:pt idx="68">
                  <c:v>6.7331813233129904E-7</c:v>
                </c:pt>
                <c:pt idx="69">
                  <c:v>4.2100512360518431E-7</c:v>
                </c:pt>
                <c:pt idx="70">
                  <c:v>2.6394001634828986E-7</c:v>
                </c:pt>
                <c:pt idx="71">
                  <c:v>1.6599499053993934E-7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1.7469367587027999E-8</c:v>
                </c:pt>
                <c:pt idx="77">
                  <c:v>1.1334342671307784E-8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9.998796236442199E-10</c:v>
                </c:pt>
                <c:pt idx="84">
                  <c:v>6.877545985985402E-10</c:v>
                </c:pt>
                <c:pt idx="85">
                  <c:v>4.7720196049605226E-10</c:v>
                </c:pt>
                <c:pt idx="86">
                  <c:v>3.339176189526567E-10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4.5696575735509712E-11</c:v>
                </c:pt>
                <c:pt idx="93">
                  <c:v>3.3497103815163742E-11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7.5436902904875246E-12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4.3192740320749634E-6</c:v>
                </c:pt>
                <c:pt idx="6">
                  <c:v>1.9178942093744385E-4</c:v>
                </c:pt>
                <c:pt idx="7">
                  <c:v>3.1722395453638382E-3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0.70104083165052455</c:v>
                </c:pt>
                <c:pt idx="11">
                  <c:v>3.3165624014858537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16.109804337707192</c:v>
                </c:pt>
                <c:pt idx="16">
                  <c:v>10.888808907374576</c:v>
                </c:pt>
                <c:pt idx="17">
                  <c:v>7.442085634106502</c:v>
                </c:pt>
                <c:pt idx="18">
                  <c:v>5.6161160671101413</c:v>
                </c:pt>
                <c:pt idx="19">
                  <c:v>4.5017709266379509</c:v>
                </c:pt>
                <c:pt idx="20">
                  <c:v>3.6294453077649753</c:v>
                </c:pt>
                <c:pt idx="21">
                  <c:v>2.9527437045589862</c:v>
                </c:pt>
                <c:pt idx="22">
                  <c:v>2.646442189054254</c:v>
                </c:pt>
                <c:pt idx="23">
                  <c:v>2.9867785661526822</c:v>
                </c:pt>
                <c:pt idx="24">
                  <c:v>4.2048553116447591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</c:v>
                </c:pt>
                <c:pt idx="28">
                  <c:v>12.181108218103251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2.7647562266488954</c:v>
                </c:pt>
                <c:pt idx="35">
                  <c:v>1.6360023538969704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0.23933832389245449</c:v>
                </c:pt>
                <c:pt idx="39">
                  <c:v>0.11414438716552955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1.6100248360196539E-3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1.4846743935754852E-5</c:v>
                </c:pt>
                <c:pt idx="50">
                  <c:v>6.2396122782658644E-6</c:v>
                </c:pt>
                <c:pt idx="51">
                  <c:v>2.7937122528741105E-6</c:v>
                </c:pt>
                <c:pt idx="52">
                  <c:v>1.342315565618213E-6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1.2031735266379027E-7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5.2198035296554258E-9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1.5185832948507949E-10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1.2893416393903716E-11</c:v>
                </c:pt>
                <c:pt idx="75">
                  <c:v>7.9219360440261257E-12</c:v>
                </c:pt>
                <c:pt idx="76">
                  <c:v>4.8774446162316546E-12</c:v>
                </c:pt>
                <c:pt idx="77">
                  <c:v>3.0092053307371805E-12</c:v>
                </c:pt>
                <c:pt idx="78">
                  <c:v>1.8604152762457764E-12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2.7746720557102217E-13</c:v>
                </c:pt>
                <c:pt idx="83">
                  <c:v>1.7331899415055902E-13</c:v>
                </c:pt>
                <c:pt idx="84">
                  <c:v>1.0848495573696117E-13</c:v>
                </c:pt>
                <c:pt idx="85">
                  <c:v>6.8042258985146983E-14</c:v>
                </c:pt>
                <c:pt idx="86">
                  <c:v>4.2763227210965386E-14</c:v>
                </c:pt>
                <c:pt idx="87">
                  <c:v>2.6930299075338237E-14</c:v>
                </c:pt>
                <c:pt idx="88">
                  <c:v>1.6993662837116722E-14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4.3214898826651405E-15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7.157247254241044E-16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10.710955146851211</c:v>
                </c:pt>
                <c:pt idx="4">
                  <c:v>15.995120928826335</c:v>
                </c:pt>
                <c:pt idx="5">
                  <c:v>19.145891541151848</c:v>
                </c:pt>
                <c:pt idx="6">
                  <c:v>20.093085940899694</c:v>
                </c:pt>
                <c:pt idx="7">
                  <c:v>19.401982224594843</c:v>
                </c:pt>
                <c:pt idx="8">
                  <c:v>17.730767805417607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7.712940669209857</c:v>
                </c:pt>
                <c:pt idx="14">
                  <c:v>6.3118702042644168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</c:v>
                </c:pt>
                <c:pt idx="19">
                  <c:v>2.228474874785185</c:v>
                </c:pt>
                <c:pt idx="20">
                  <c:v>1.807444417018373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0.7911967105997777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0.43327234374996659</c:v>
                </c:pt>
                <c:pt idx="28">
                  <c:v>0.35584304165053393</c:v>
                </c:pt>
                <c:pt idx="29">
                  <c:v>0.29283524223680368</c:v>
                </c:pt>
                <c:pt idx="30">
                  <c:v>0.24147056915994058</c:v>
                </c:pt>
                <c:pt idx="31">
                  <c:v>0.19951924497107545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7.9191424341782043E-2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1.6913179045076086E-2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8.905420159218096E-3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5.5951765210824692E-3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1.3013621315702988E-3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6.5763146026944289E-4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4.4252902448750154E-4</c:v>
                </c:pt>
                <c:pt idx="71">
                  <c:v>3.8860850464794954E-4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2.3343961362322561E-4</c:v>
                </c:pt>
                <c:pt idx="76">
                  <c:v>2.0601478543808618E-4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1.4239622363018464E-4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4.3979244993913455E-5</c:v>
                </c:pt>
                <c:pt idx="90">
                  <c:v>3.9277334050607356E-5</c:v>
                </c:pt>
                <c:pt idx="91">
                  <c:v>3.5104620159207477E-5</c:v>
                </c:pt>
                <c:pt idx="92">
                  <c:v>3.1398561190929935E-5</c:v>
                </c:pt>
                <c:pt idx="93">
                  <c:v>2.8104357952088862E-5</c:v>
                </c:pt>
                <c:pt idx="94">
                  <c:v>2.5173952234765642E-5</c:v>
                </c:pt>
                <c:pt idx="95">
                  <c:v>2.2565160100012401E-5</c:v>
                </c:pt>
                <c:pt idx="96">
                  <c:v>2.0240921393588664E-5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5.7771608833961965</c:v>
                </c:pt>
                <c:pt idx="3">
                  <c:v>19.972095289182324</c:v>
                </c:pt>
                <c:pt idx="4">
                  <c:v>32.826251977169129</c:v>
                </c:pt>
                <c:pt idx="5">
                  <c:v>36.433346807019582</c:v>
                </c:pt>
                <c:pt idx="6">
                  <c:v>32.198756240991244</c:v>
                </c:pt>
                <c:pt idx="7">
                  <c:v>24.73214837317159</c:v>
                </c:pt>
                <c:pt idx="8">
                  <c:v>17.367074133946065</c:v>
                </c:pt>
                <c:pt idx="9">
                  <c:v>11.500303185486166</c:v>
                </c:pt>
                <c:pt idx="10">
                  <c:v>7.3259697526529637</c:v>
                </c:pt>
                <c:pt idx="11">
                  <c:v>4.5493809445334188</c:v>
                </c:pt>
                <c:pt idx="12">
                  <c:v>2.7791264220493628</c:v>
                </c:pt>
                <c:pt idx="13">
                  <c:v>1.6806773415264191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0.36383648842605876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4.8499637236258789E-2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5.4516982097750622E-5</c:v>
                </c:pt>
                <c:pt idx="36">
                  <c:v>3.6233062091893961E-5</c:v>
                </c:pt>
                <c:pt idx="37">
                  <c:v>2.4202169709192035E-5</c:v>
                </c:pt>
                <c:pt idx="38">
                  <c:v>1.6245462275469058E-5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1.6371949461751934E-6</c:v>
                </c:pt>
                <c:pt idx="45">
                  <c:v>1.1339549835821426E-6</c:v>
                </c:pt>
                <c:pt idx="46">
                  <c:v>7.8861301898841064E-7</c:v>
                </c:pt>
                <c:pt idx="47">
                  <c:v>5.5063608477131349E-7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6.9046488078788548E-8</c:v>
                </c:pt>
                <c:pt idx="54">
                  <c:v>4.9457986872646788E-8</c:v>
                </c:pt>
                <c:pt idx="55">
                  <c:v>3.5545181342800911E-8</c:v>
                </c:pt>
                <c:pt idx="56">
                  <c:v>2.5629702090279789E-8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1.547278914601359E-9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4.7732533288633541E-10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2.0279321554633336E-10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5.0984906491278556E-11</c:v>
                </c:pt>
                <c:pt idx="78">
                  <c:v>3.893670637883868E-11</c:v>
                </c:pt>
                <c:pt idx="79">
                  <c:v>2.9797858011377831E-11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1.3519420775686367E-11</c:v>
                </c:pt>
                <c:pt idx="83">
                  <c:v>1.0429534487160754E-11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2.2864183272947829E-12</c:v>
                </c:pt>
                <c:pt idx="90">
                  <c:v>1.7865926078701755E-12</c:v>
                </c:pt>
                <c:pt idx="91">
                  <c:v>1.398428981486493E-12</c:v>
                </c:pt>
                <c:pt idx="92">
                  <c:v>1.0964499471370088E-12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5.3373268178504361E-13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838200</xdr:colOff>
          <xdr:row>9</xdr:row>
          <xdr:rowOff>95250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838200</xdr:colOff>
          <xdr:row>10</xdr:row>
          <xdr:rowOff>57150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904875</xdr:colOff>
          <xdr:row>13</xdr:row>
          <xdr:rowOff>104775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895350</xdr:colOff>
          <xdr:row>14</xdr:row>
          <xdr:rowOff>38100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12</xdr:col>
          <xdr:colOff>152400</xdr:colOff>
          <xdr:row>5</xdr:row>
          <xdr:rowOff>171450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12</xdr:col>
          <xdr:colOff>152400</xdr:colOff>
          <xdr:row>9</xdr:row>
          <xdr:rowOff>161925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12</xdr:col>
          <xdr:colOff>152400</xdr:colOff>
          <xdr:row>11</xdr:row>
          <xdr:rowOff>171450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12</xdr:col>
          <xdr:colOff>133350</xdr:colOff>
          <xdr:row>13</xdr:row>
          <xdr:rowOff>171450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12</xdr:col>
          <xdr:colOff>133350</xdr:colOff>
          <xdr:row>15</xdr:row>
          <xdr:rowOff>114300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12</xdr:col>
          <xdr:colOff>123825</xdr:colOff>
          <xdr:row>17</xdr:row>
          <xdr:rowOff>133350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12</xdr:col>
          <xdr:colOff>104775</xdr:colOff>
          <xdr:row>19</xdr:row>
          <xdr:rowOff>152400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476250</xdr:colOff>
          <xdr:row>14</xdr:row>
          <xdr:rowOff>133350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2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552450</xdr:colOff>
          <xdr:row>15</xdr:row>
          <xdr:rowOff>142875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2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13</xdr:col>
          <xdr:colOff>133350</xdr:colOff>
          <xdr:row>17</xdr:row>
          <xdr:rowOff>9525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2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581025</xdr:colOff>
          <xdr:row>18</xdr:row>
          <xdr:rowOff>57150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2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447675</xdr:colOff>
          <xdr:row>22</xdr:row>
          <xdr:rowOff>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2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819150</xdr:colOff>
          <xdr:row>11</xdr:row>
          <xdr:rowOff>123825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2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285750</xdr:colOff>
          <xdr:row>8</xdr:row>
          <xdr:rowOff>95250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3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4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457200</xdr:colOff>
          <xdr:row>7</xdr:row>
          <xdr:rowOff>76200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4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457200</xdr:colOff>
          <xdr:row>8</xdr:row>
          <xdr:rowOff>85725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4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276225</xdr:colOff>
          <xdr:row>7</xdr:row>
          <xdr:rowOff>66675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9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9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9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695325</xdr:colOff>
          <xdr:row>46</xdr:row>
          <xdr:rowOff>76200</xdr:rowOff>
        </xdr:from>
        <xdr:to>
          <xdr:col>19</xdr:col>
          <xdr:colOff>171450</xdr:colOff>
          <xdr:row>51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09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zoomScaleNormal="100" workbookViewId="0">
      <selection activeCell="F13" sqref="F13"/>
    </sheetView>
  </sheetViews>
  <sheetFormatPr baseColWidth="10" defaultColWidth="11.5703125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25">
      <c r="A4" s="88"/>
      <c r="B4" s="88"/>
      <c r="D4" s="87"/>
      <c r="E4" s="87"/>
      <c r="F4" s="87"/>
      <c r="G4" s="87"/>
      <c r="H4" s="87"/>
      <c r="I4" s="87"/>
      <c r="J4" s="324" t="s">
        <v>37</v>
      </c>
      <c r="K4" s="324"/>
      <c r="L4" s="324"/>
      <c r="M4" s="168"/>
      <c r="T4" s="148" t="s">
        <v>184</v>
      </c>
      <c r="U4" s="148" t="s">
        <v>262</v>
      </c>
    </row>
    <row r="5" spans="1:21" ht="21" customHeight="1" x14ac:dyDescent="0.25">
      <c r="A5" s="88"/>
      <c r="B5" s="88"/>
      <c r="D5" s="325" t="s">
        <v>192</v>
      </c>
      <c r="E5" s="325"/>
      <c r="F5" s="167"/>
      <c r="G5" s="147"/>
      <c r="H5" s="147"/>
      <c r="I5" s="147"/>
      <c r="J5" s="317" t="s">
        <v>4</v>
      </c>
      <c r="K5" s="318">
        <v>78</v>
      </c>
      <c r="L5" s="318"/>
      <c r="N5" s="146"/>
      <c r="T5" s="148" t="s">
        <v>185</v>
      </c>
      <c r="U5" s="148">
        <v>1</v>
      </c>
    </row>
    <row r="6" spans="1:21" ht="15" customHeight="1" x14ac:dyDescent="0.25">
      <c r="A6" s="88"/>
      <c r="B6" s="88"/>
      <c r="D6" s="325"/>
      <c r="E6" s="325"/>
      <c r="F6" s="167"/>
      <c r="G6" s="90"/>
      <c r="H6" s="90"/>
      <c r="J6" s="317"/>
      <c r="K6" s="318"/>
      <c r="L6" s="318"/>
      <c r="N6" s="146"/>
      <c r="T6" s="148" t="s">
        <v>186</v>
      </c>
      <c r="U6" s="148" t="s">
        <v>253</v>
      </c>
    </row>
    <row r="7" spans="1:21" ht="15.75" customHeight="1" x14ac:dyDescent="0.25">
      <c r="A7" s="88"/>
      <c r="B7" s="88"/>
      <c r="G7" s="90"/>
      <c r="H7" s="90"/>
      <c r="J7" s="317" t="s">
        <v>177</v>
      </c>
      <c r="K7" s="318">
        <v>0</v>
      </c>
      <c r="L7" s="318"/>
      <c r="T7" s="148" t="s">
        <v>187</v>
      </c>
      <c r="U7" s="148">
        <v>10</v>
      </c>
    </row>
    <row r="8" spans="1:21" ht="18.75" customHeight="1" x14ac:dyDescent="0.25">
      <c r="A8" s="88"/>
      <c r="B8" s="88"/>
      <c r="D8" s="324" t="s">
        <v>164</v>
      </c>
      <c r="E8" s="324"/>
      <c r="F8" s="324"/>
      <c r="J8" s="317"/>
      <c r="K8" s="318"/>
      <c r="L8" s="318"/>
      <c r="T8" s="148" t="s">
        <v>188</v>
      </c>
      <c r="U8" s="148" t="s">
        <v>252</v>
      </c>
    </row>
    <row r="9" spans="1:21" ht="17.25" customHeight="1" x14ac:dyDescent="0.25">
      <c r="A9" s="88"/>
      <c r="B9" s="88"/>
      <c r="D9" s="324" t="s">
        <v>40</v>
      </c>
      <c r="E9" s="324"/>
      <c r="F9" s="167"/>
      <c r="J9" s="317" t="s">
        <v>140</v>
      </c>
      <c r="K9" s="318">
        <v>0</v>
      </c>
      <c r="L9" s="318"/>
      <c r="T9" s="148" t="s">
        <v>4</v>
      </c>
      <c r="U9" s="148">
        <v>20</v>
      </c>
    </row>
    <row r="10" spans="1:21" ht="21.75" customHeight="1" x14ac:dyDescent="0.25">
      <c r="A10" s="88"/>
      <c r="B10" s="88"/>
      <c r="D10" s="324" t="s">
        <v>41</v>
      </c>
      <c r="E10" s="324"/>
      <c r="F10" s="167"/>
      <c r="J10" s="317"/>
      <c r="K10" s="318"/>
      <c r="L10" s="318"/>
      <c r="T10" s="148" t="s">
        <v>177</v>
      </c>
      <c r="U10" s="148">
        <v>20</v>
      </c>
    </row>
    <row r="11" spans="1:21" ht="15" customHeight="1" x14ac:dyDescent="0.25">
      <c r="A11" s="88"/>
      <c r="B11" s="88"/>
      <c r="J11" s="317" t="s">
        <v>32</v>
      </c>
      <c r="K11" s="318">
        <v>5</v>
      </c>
      <c r="L11" s="318"/>
      <c r="M11" s="86"/>
      <c r="T11" s="148" t="s">
        <v>140</v>
      </c>
      <c r="U11" s="148">
        <v>1</v>
      </c>
    </row>
    <row r="12" spans="1:21" ht="15" customHeight="1" x14ac:dyDescent="0.25">
      <c r="A12" s="88"/>
      <c r="B12" s="88"/>
      <c r="D12" s="324" t="s">
        <v>38</v>
      </c>
      <c r="E12" s="324"/>
      <c r="F12" s="324"/>
      <c r="J12" s="317"/>
      <c r="K12" s="318"/>
      <c r="L12" s="318"/>
      <c r="M12" s="86"/>
      <c r="T12" s="148" t="s">
        <v>32</v>
      </c>
      <c r="U12" s="148">
        <v>9</v>
      </c>
    </row>
    <row r="13" spans="1:21" ht="17.25" customHeight="1" x14ac:dyDescent="0.25">
      <c r="A13" s="88"/>
      <c r="B13" s="88"/>
      <c r="D13" s="324" t="s">
        <v>138</v>
      </c>
      <c r="E13" s="324"/>
      <c r="F13" s="167"/>
      <c r="J13" s="317" t="s">
        <v>33</v>
      </c>
      <c r="K13" s="318">
        <v>5</v>
      </c>
      <c r="L13" s="318"/>
      <c r="T13" s="148" t="s">
        <v>33</v>
      </c>
      <c r="U13" s="148">
        <v>10</v>
      </c>
    </row>
    <row r="14" spans="1:21" ht="21.75" customHeight="1" x14ac:dyDescent="0.25">
      <c r="A14" s="88"/>
      <c r="B14" s="88"/>
      <c r="D14" s="324" t="s">
        <v>39</v>
      </c>
      <c r="E14" s="324"/>
      <c r="F14" s="167"/>
      <c r="J14" s="317"/>
      <c r="K14" s="318"/>
      <c r="L14" s="318"/>
      <c r="T14" s="148" t="s">
        <v>189</v>
      </c>
      <c r="U14" s="148">
        <v>6</v>
      </c>
    </row>
    <row r="15" spans="1:21" ht="18.75" customHeight="1" x14ac:dyDescent="0.25">
      <c r="A15" s="88"/>
      <c r="B15" s="88"/>
      <c r="D15" s="139"/>
      <c r="J15" s="317" t="s">
        <v>34</v>
      </c>
      <c r="K15" s="318">
        <v>7</v>
      </c>
      <c r="L15" s="318"/>
      <c r="T15" s="148" t="s">
        <v>190</v>
      </c>
      <c r="U15" s="148">
        <v>13</v>
      </c>
    </row>
    <row r="16" spans="1:21" ht="15" customHeight="1" x14ac:dyDescent="0.25">
      <c r="A16" s="88"/>
      <c r="B16" s="88"/>
      <c r="J16" s="317"/>
      <c r="K16" s="318"/>
      <c r="L16" s="318"/>
      <c r="T16" s="148" t="s">
        <v>191</v>
      </c>
      <c r="U16" s="148">
        <v>10</v>
      </c>
    </row>
    <row r="17" spans="1:21" ht="15" customHeight="1" x14ac:dyDescent="0.25">
      <c r="A17" s="88"/>
      <c r="B17" s="88"/>
      <c r="D17" s="142"/>
      <c r="E17" s="320" t="s">
        <v>135</v>
      </c>
      <c r="F17" s="321"/>
      <c r="G17" s="321"/>
      <c r="H17" s="321"/>
      <c r="J17" s="317" t="s">
        <v>35</v>
      </c>
      <c r="K17" s="318">
        <v>4</v>
      </c>
      <c r="L17" s="318"/>
      <c r="T17" s="148" t="s">
        <v>194</v>
      </c>
      <c r="U17" s="148">
        <v>11</v>
      </c>
    </row>
    <row r="18" spans="1:21" ht="15" customHeight="1" x14ac:dyDescent="0.25">
      <c r="A18" s="88"/>
      <c r="B18" s="88"/>
      <c r="C18" s="137"/>
      <c r="D18" s="142"/>
      <c r="E18" s="320" t="s">
        <v>136</v>
      </c>
      <c r="F18" s="321"/>
      <c r="G18" s="321" t="s">
        <v>137</v>
      </c>
      <c r="H18" s="321"/>
      <c r="J18" s="317"/>
      <c r="K18" s="318"/>
      <c r="L18" s="318"/>
    </row>
    <row r="19" spans="1:21" ht="18" customHeight="1" x14ac:dyDescent="0.25">
      <c r="A19" s="88"/>
      <c r="B19" s="88"/>
      <c r="C19" s="137"/>
      <c r="D19" s="143"/>
      <c r="E19" s="320"/>
      <c r="F19" s="321"/>
      <c r="G19" s="321"/>
      <c r="H19" s="321"/>
      <c r="J19" s="317" t="s">
        <v>36</v>
      </c>
      <c r="K19" s="318">
        <v>1</v>
      </c>
      <c r="L19" s="318"/>
    </row>
    <row r="20" spans="1:21" ht="18.75" customHeight="1" x14ac:dyDescent="0.25">
      <c r="A20" s="88"/>
      <c r="B20" s="88"/>
      <c r="C20" s="137"/>
      <c r="D20" s="141" t="s">
        <v>29</v>
      </c>
      <c r="E20" s="322">
        <v>36.898395721925127</v>
      </c>
      <c r="F20" s="322"/>
      <c r="G20" s="323">
        <v>1803088.5777970687</v>
      </c>
      <c r="H20" s="323"/>
      <c r="J20" s="317"/>
      <c r="K20" s="318"/>
      <c r="L20" s="318"/>
    </row>
    <row r="21" spans="1:21" ht="15" customHeight="1" x14ac:dyDescent="0.25">
      <c r="A21" s="88"/>
      <c r="B21" s="88"/>
      <c r="C21" s="137"/>
      <c r="D21" s="140" t="s">
        <v>31</v>
      </c>
      <c r="E21" s="322">
        <v>15.508021390374328</v>
      </c>
      <c r="F21" s="322"/>
      <c r="G21" s="323">
        <v>757819.83704514476</v>
      </c>
      <c r="H21" s="323"/>
      <c r="I21" s="138"/>
      <c r="J21" s="317" t="s">
        <v>194</v>
      </c>
    </row>
    <row r="22" spans="1:21" ht="18.75" customHeight="1" x14ac:dyDescent="0.25">
      <c r="A22" s="88"/>
      <c r="B22" s="88"/>
      <c r="C22" s="137"/>
      <c r="D22" s="140" t="s">
        <v>10</v>
      </c>
      <c r="E22" s="322">
        <v>40.641711229946523</v>
      </c>
      <c r="F22" s="322"/>
      <c r="G22" s="323">
        <v>1986010.6074286555</v>
      </c>
      <c r="H22" s="323"/>
      <c r="I22" s="133"/>
      <c r="J22" s="317"/>
      <c r="K22" s="133"/>
    </row>
    <row r="23" spans="1:21" ht="15.75" customHeight="1" x14ac:dyDescent="0.25">
      <c r="A23" s="88"/>
      <c r="B23" s="88"/>
      <c r="C23" s="137"/>
      <c r="D23" s="140" t="s">
        <v>11</v>
      </c>
      <c r="E23" s="322">
        <v>6.9518716577540109</v>
      </c>
      <c r="F23" s="322"/>
      <c r="G23" s="323">
        <v>339712.34074437531</v>
      </c>
      <c r="H23" s="323"/>
      <c r="J23" s="169" t="s">
        <v>139</v>
      </c>
      <c r="K23" s="319">
        <v>100</v>
      </c>
      <c r="L23" s="319"/>
    </row>
    <row r="24" spans="1:21" ht="15.75" x14ac:dyDescent="0.25">
      <c r="A24" s="88"/>
      <c r="B24" s="88"/>
      <c r="E24" s="125"/>
      <c r="F24" s="125"/>
      <c r="G24" s="125"/>
      <c r="L24" s="11"/>
    </row>
    <row r="25" spans="1:21" ht="15.75" x14ac:dyDescent="0.25">
      <c r="A25" s="88"/>
      <c r="B25" s="88"/>
      <c r="E25" s="125"/>
      <c r="F25" s="125"/>
      <c r="G25" s="125"/>
      <c r="L25" s="11"/>
    </row>
    <row r="26" spans="1:21" x14ac:dyDescent="0.25">
      <c r="A26" s="88"/>
      <c r="B26" s="88"/>
      <c r="I26" s="11"/>
      <c r="J26" s="11"/>
      <c r="K26" s="11"/>
      <c r="L26" s="11"/>
    </row>
    <row r="27" spans="1:21" x14ac:dyDescent="0.25">
      <c r="A27" s="88"/>
      <c r="B27" s="88"/>
      <c r="F27" s="136"/>
      <c r="G27" s="135"/>
      <c r="I27" s="135"/>
    </row>
    <row r="28" spans="1:21" x14ac:dyDescent="0.25">
      <c r="F28" s="136"/>
      <c r="G28" s="135"/>
      <c r="I28" s="135"/>
    </row>
    <row r="29" spans="1:21" x14ac:dyDescent="0.25">
      <c r="F29" s="136"/>
      <c r="G29" s="135"/>
      <c r="I29" s="135"/>
    </row>
    <row r="30" spans="1:21" x14ac:dyDescent="0.25">
      <c r="F30" s="136"/>
      <c r="G30" s="135"/>
      <c r="I30" s="135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12</xdr:col>
                <xdr:colOff>104775</xdr:colOff>
                <xdr:row>19</xdr:row>
                <xdr:rowOff>152400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12</xdr:col>
                <xdr:colOff>123825</xdr:colOff>
                <xdr:row>17</xdr:row>
                <xdr:rowOff>133350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12</xdr:col>
                <xdr:colOff>133350</xdr:colOff>
                <xdr:row>15</xdr:row>
                <xdr:rowOff>114300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12</xdr:col>
                <xdr:colOff>133350</xdr:colOff>
                <xdr:row>13</xdr:row>
                <xdr:rowOff>171450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12</xdr:col>
                <xdr:colOff>152400</xdr:colOff>
                <xdr:row>11</xdr:row>
                <xdr:rowOff>171450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12</xdr:col>
                <xdr:colOff>152400</xdr:colOff>
                <xdr:row>9</xdr:row>
                <xdr:rowOff>161925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12</xdr:col>
                <xdr:colOff>152400</xdr:colOff>
                <xdr:row>5</xdr:row>
                <xdr:rowOff>171450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895350</xdr:colOff>
                <xdr:row>14</xdr:row>
                <xdr:rowOff>38100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904875</xdr:colOff>
                <xdr:row>13</xdr:row>
                <xdr:rowOff>104775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838200</xdr:colOff>
                <xdr:row>10</xdr:row>
                <xdr:rowOff>57150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838200</xdr:colOff>
                <xdr:row>9</xdr:row>
                <xdr:rowOff>95250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EC8D-9712-4CBF-AE1D-F4746C9AD9D9}">
  <sheetPr codeName="Hoja12">
    <tabColor rgb="FF0070C0"/>
  </sheetPr>
  <dimension ref="A1"/>
  <sheetViews>
    <sheetView workbookViewId="0"/>
  </sheetViews>
  <sheetFormatPr baseColWidth="10" defaultColWidth="11.5703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7" zoomScaleNormal="100" workbookViewId="0">
      <selection activeCell="K53" sqref="K53"/>
    </sheetView>
  </sheetViews>
  <sheetFormatPr baseColWidth="10" defaultColWidth="11.5703125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25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25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25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25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75" x14ac:dyDescent="0.25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.75" x14ac:dyDescent="0.25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25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25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.75" x14ac:dyDescent="0.3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.75" x14ac:dyDescent="0.3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.75" x14ac:dyDescent="0.3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.75" x14ac:dyDescent="0.3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25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25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25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25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25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25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25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25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25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25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25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25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5" customHeight="1" x14ac:dyDescent="0.25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5" customHeight="1" x14ac:dyDescent="0.25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5" customHeight="1" x14ac:dyDescent="0.25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5" customHeight="1" x14ac:dyDescent="0.25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5" customHeight="1" x14ac:dyDescent="0.25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5" customHeight="1" x14ac:dyDescent="0.25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5" customHeight="1" x14ac:dyDescent="0.25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5" customHeight="1" x14ac:dyDescent="0.25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5" customHeight="1" x14ac:dyDescent="0.25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5" customHeight="1" x14ac:dyDescent="0.25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5" customHeight="1" x14ac:dyDescent="0.25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5" customHeight="1" x14ac:dyDescent="0.25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5" customHeight="1" x14ac:dyDescent="0.25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5" customHeight="1" x14ac:dyDescent="0.25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5" customHeight="1" x14ac:dyDescent="0.25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5" customHeight="1" x14ac:dyDescent="0.25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5" customHeight="1" x14ac:dyDescent="0.25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5" customHeight="1" x14ac:dyDescent="0.25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5" customHeight="1" x14ac:dyDescent="0.25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5" customHeight="1" x14ac:dyDescent="0.25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5" customHeight="1" x14ac:dyDescent="0.25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5" customHeight="1" x14ac:dyDescent="0.25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5" customHeight="1" x14ac:dyDescent="0.25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5" customHeight="1" x14ac:dyDescent="0.25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5" customHeight="1" x14ac:dyDescent="0.25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25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25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25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25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447675</xdr:colOff>
                <xdr:row>22</xdr:row>
                <xdr:rowOff>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476250</xdr:colOff>
                <xdr:row>14</xdr:row>
                <xdr:rowOff>133350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552450</xdr:colOff>
                <xdr:row>15</xdr:row>
                <xdr:rowOff>142875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13</xdr:col>
                <xdr:colOff>133350</xdr:colOff>
                <xdr:row>17</xdr:row>
                <xdr:rowOff>9525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581025</xdr:colOff>
                <xdr:row>18</xdr:row>
                <xdr:rowOff>57150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819150</xdr:colOff>
                <xdr:row>11</xdr:row>
                <xdr:rowOff>123825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baseColWidth="10" defaultColWidth="11.42578125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1"/>
    </row>
    <row r="3" spans="3:48" x14ac:dyDescent="0.25">
      <c r="L3" s="181"/>
    </row>
    <row r="5" spans="3:48" x14ac:dyDescent="0.25">
      <c r="AU5" s="11" t="s">
        <v>29</v>
      </c>
      <c r="AV5" s="220" t="s">
        <v>170</v>
      </c>
    </row>
    <row r="6" spans="3:48" ht="18.75" x14ac:dyDescent="0.25">
      <c r="C6" s="337" t="s">
        <v>72</v>
      </c>
      <c r="D6" s="337"/>
      <c r="E6" s="337"/>
      <c r="F6" s="337"/>
      <c r="H6" s="334" t="s">
        <v>167</v>
      </c>
      <c r="I6" s="334"/>
      <c r="J6" s="334"/>
      <c r="K6" s="334"/>
      <c r="AU6" s="11" t="s">
        <v>116</v>
      </c>
      <c r="AV6" s="220" t="s">
        <v>169</v>
      </c>
    </row>
    <row r="7" spans="3:48" ht="18" x14ac:dyDescent="0.25">
      <c r="C7" s="338" t="s">
        <v>26</v>
      </c>
      <c r="D7" s="338"/>
      <c r="E7" s="338"/>
      <c r="F7" s="175">
        <v>10.09</v>
      </c>
      <c r="H7" s="335" t="s">
        <v>24</v>
      </c>
      <c r="I7" s="335"/>
      <c r="J7" s="335">
        <v>122</v>
      </c>
      <c r="K7" s="335"/>
      <c r="L7" s="133"/>
      <c r="AU7" s="11" t="s">
        <v>10</v>
      </c>
      <c r="AV7" s="221" t="s">
        <v>257</v>
      </c>
    </row>
    <row r="8" spans="3:48" ht="20.25" customHeight="1" x14ac:dyDescent="0.25">
      <c r="C8" s="338" t="s">
        <v>25</v>
      </c>
      <c r="D8" s="338"/>
      <c r="E8" s="338"/>
      <c r="F8" s="175" t="s">
        <v>11</v>
      </c>
      <c r="H8" s="335" t="s">
        <v>23</v>
      </c>
      <c r="I8" s="335"/>
      <c r="J8" s="335">
        <v>36</v>
      </c>
      <c r="K8" s="335"/>
      <c r="L8" s="131"/>
      <c r="AU8" s="11" t="s">
        <v>11</v>
      </c>
      <c r="AV8" s="221" t="s">
        <v>258</v>
      </c>
    </row>
    <row r="9" spans="3:48" ht="15.75" x14ac:dyDescent="0.25">
      <c r="C9" s="338"/>
      <c r="D9" s="338"/>
      <c r="E9" s="338"/>
      <c r="F9" s="175"/>
      <c r="H9" s="334" t="s">
        <v>168</v>
      </c>
      <c r="I9" s="334"/>
      <c r="J9" s="334"/>
      <c r="K9" s="334"/>
      <c r="L9" s="222"/>
      <c r="AV9" s="220" t="s">
        <v>175</v>
      </c>
    </row>
    <row r="10" spans="3:48" ht="18" x14ac:dyDescent="0.35">
      <c r="C10" s="338" t="s">
        <v>91</v>
      </c>
      <c r="D10" s="338"/>
      <c r="E10" s="338"/>
      <c r="F10" s="175">
        <v>3</v>
      </c>
      <c r="H10" s="336" t="s">
        <v>21</v>
      </c>
      <c r="I10" s="336"/>
      <c r="J10" s="332">
        <v>0</v>
      </c>
      <c r="K10" s="332"/>
      <c r="AV10" s="223" t="s">
        <v>259</v>
      </c>
    </row>
    <row r="11" spans="3:48" ht="18" x14ac:dyDescent="0.35">
      <c r="C11" s="338"/>
      <c r="D11" s="338"/>
      <c r="E11" s="338"/>
      <c r="F11" s="175"/>
      <c r="H11" s="336" t="s">
        <v>22</v>
      </c>
      <c r="I11" s="336"/>
      <c r="J11" s="332">
        <v>0</v>
      </c>
      <c r="K11" s="332"/>
      <c r="AV11" s="223" t="s">
        <v>260</v>
      </c>
    </row>
    <row r="12" spans="3:48" ht="15.75" customHeight="1" x14ac:dyDescent="0.25">
      <c r="C12" s="337" t="s">
        <v>1</v>
      </c>
      <c r="D12" s="337"/>
      <c r="E12" s="337"/>
      <c r="F12" s="337"/>
      <c r="G12" s="224"/>
    </row>
    <row r="13" spans="3:48" ht="30" x14ac:dyDescent="0.25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.75" thickBot="1" x14ac:dyDescent="0.3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25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1"/>
      <c r="Z15" s="331"/>
      <c r="AA15" s="331"/>
      <c r="AB15" s="232"/>
    </row>
    <row r="16" spans="3:48" ht="15" customHeight="1" thickBot="1" x14ac:dyDescent="0.3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25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29"/>
      <c r="N17" s="329"/>
      <c r="O17" s="329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25">
      <c r="C19" s="225">
        <v>6</v>
      </c>
      <c r="D19" s="175"/>
      <c r="E19" s="175"/>
      <c r="F19" s="175"/>
      <c r="H19" s="247"/>
      <c r="I19" s="248"/>
      <c r="J19" s="234"/>
      <c r="K19" s="234"/>
      <c r="M19" s="329"/>
      <c r="N19" s="329"/>
      <c r="O19" s="329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25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25">
      <c r="C21" s="225">
        <v>8</v>
      </c>
      <c r="D21" s="175"/>
      <c r="E21" s="175"/>
      <c r="F21" s="175"/>
      <c r="I21" s="239"/>
      <c r="J21" s="222"/>
      <c r="K21" s="222"/>
      <c r="L21" s="222"/>
      <c r="M21" s="329"/>
      <c r="N21" s="329"/>
      <c r="O21" s="329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25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25">
      <c r="C23" s="225">
        <v>10</v>
      </c>
      <c r="D23" s="175"/>
      <c r="E23" s="175"/>
      <c r="F23" s="175"/>
      <c r="I23" s="239"/>
      <c r="M23" s="329"/>
      <c r="N23" s="329"/>
      <c r="O23" s="329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25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25">
      <c r="E25" s="179"/>
      <c r="F25" s="179"/>
      <c r="G25" s="179"/>
      <c r="I25" s="239"/>
      <c r="M25" s="330"/>
      <c r="N25" s="330"/>
      <c r="O25" s="330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25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25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7.25" x14ac:dyDescent="0.25">
      <c r="F28" s="94"/>
      <c r="I28" s="239"/>
    </row>
    <row r="29" spans="3:28" ht="17.25" x14ac:dyDescent="0.25">
      <c r="F29" s="94"/>
    </row>
    <row r="30" spans="3:28" ht="15.75" x14ac:dyDescent="0.25">
      <c r="G30" s="134"/>
      <c r="H30" s="134"/>
      <c r="I30" s="134"/>
      <c r="J30" s="13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285750</xdr:colOff>
                <xdr:row>8</xdr:row>
                <xdr:rowOff>95250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7.85546875" style="188" customWidth="1"/>
    <col min="2" max="2" width="5.85546875" style="188" customWidth="1"/>
    <col min="3" max="3" width="11.42578125" style="188"/>
    <col min="4" max="4" width="14.85546875" style="188" customWidth="1"/>
    <col min="5" max="5" width="11.42578125" style="188"/>
    <col min="6" max="6" width="19.7109375" style="188" customWidth="1"/>
    <col min="7" max="7" width="11.42578125" style="188"/>
    <col min="8" max="11" width="14.28515625" style="188" customWidth="1"/>
    <col min="12" max="12" width="14.42578125" style="188" customWidth="1"/>
    <col min="13" max="16384" width="11.42578125" style="188"/>
  </cols>
  <sheetData>
    <row r="1" spans="1:3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39"/>
      <c r="AA4" s="339"/>
      <c r="AB4" s="339"/>
      <c r="AC4" s="339"/>
      <c r="AD4" s="339"/>
      <c r="AE4" s="339"/>
    </row>
    <row r="5" spans="1:31" x14ac:dyDescent="0.25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7"/>
      <c r="B6"/>
      <c r="C6"/>
      <c r="D6"/>
      <c r="E6"/>
      <c r="F6"/>
      <c r="G6"/>
      <c r="H6"/>
      <c r="I6" s="340" t="s">
        <v>42</v>
      </c>
      <c r="J6" s="341"/>
      <c r="K6" s="341"/>
      <c r="L6" s="342"/>
      <c r="M6"/>
      <c r="N6"/>
      <c r="O6"/>
    </row>
    <row r="7" spans="1:31" ht="18" customHeight="1" x14ac:dyDescent="0.25">
      <c r="A7" s="187"/>
      <c r="B7"/>
      <c r="C7" s="348" t="s">
        <v>91</v>
      </c>
      <c r="D7" s="348"/>
      <c r="E7" s="348"/>
      <c r="F7" s="173">
        <v>3</v>
      </c>
      <c r="G7"/>
      <c r="H7"/>
      <c r="I7" s="344" t="s">
        <v>44</v>
      </c>
      <c r="J7" s="344"/>
      <c r="K7" s="343" t="s">
        <v>43</v>
      </c>
      <c r="L7" s="343"/>
      <c r="M7"/>
      <c r="N7"/>
      <c r="O7"/>
    </row>
    <row r="8" spans="1:31" ht="18" customHeight="1" x14ac:dyDescent="0.25">
      <c r="A8" s="187"/>
      <c r="B8"/>
      <c r="C8"/>
      <c r="D8"/>
      <c r="E8"/>
      <c r="F8" s="170"/>
      <c r="G8"/>
      <c r="H8"/>
      <c r="I8" s="344" t="s">
        <v>45</v>
      </c>
      <c r="J8" s="344"/>
      <c r="K8" s="343" t="s">
        <v>43</v>
      </c>
      <c r="L8" s="343"/>
      <c r="M8"/>
      <c r="N8"/>
      <c r="O8"/>
    </row>
    <row r="9" spans="1:31" x14ac:dyDescent="0.25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.75" x14ac:dyDescent="0.25">
      <c r="A11" s="187"/>
      <c r="B11"/>
      <c r="C11" s="345" t="s">
        <v>1</v>
      </c>
      <c r="D11" s="346"/>
      <c r="E11" s="346"/>
      <c r="F11" s="347"/>
      <c r="G11"/>
      <c r="H11"/>
      <c r="I11"/>
      <c r="J11"/>
      <c r="K11"/>
      <c r="L11"/>
      <c r="M11"/>
      <c r="N11"/>
      <c r="O11"/>
    </row>
    <row r="12" spans="1:31" ht="30" x14ac:dyDescent="0.25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25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25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8" t="s">
        <v>151</v>
      </c>
      <c r="J15" s="348"/>
      <c r="K15" s="348"/>
      <c r="L15" s="203" t="s">
        <v>256</v>
      </c>
      <c r="M15" s="133"/>
      <c r="N15" s="133"/>
      <c r="O15" s="133"/>
    </row>
    <row r="16" spans="1:31" ht="15.75" customHeight="1" x14ac:dyDescent="0.25">
      <c r="A16" s="187"/>
      <c r="B16"/>
      <c r="C16" s="114">
        <v>4</v>
      </c>
      <c r="D16" s="173"/>
      <c r="E16" s="173"/>
      <c r="F16" s="173"/>
      <c r="G16"/>
      <c r="H16"/>
      <c r="I16" s="348" t="s">
        <v>152</v>
      </c>
      <c r="J16" s="348"/>
      <c r="K16" s="348"/>
      <c r="L16" s="203" t="s">
        <v>256</v>
      </c>
      <c r="M16" s="133"/>
      <c r="N16" s="133"/>
      <c r="O16" s="133"/>
    </row>
    <row r="17" spans="1:26" ht="17.25" x14ac:dyDescent="0.3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7.25" x14ac:dyDescent="0.3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7.25" x14ac:dyDescent="0.3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25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25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25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.75" x14ac:dyDescent="0.25">
      <c r="A24" s="187"/>
      <c r="E24" s="211"/>
      <c r="F24" s="211"/>
      <c r="Z24" s="212"/>
    </row>
    <row r="25" spans="1:26" ht="18.75" x14ac:dyDescent="0.25">
      <c r="A25" s="187"/>
      <c r="G25" s="211"/>
      <c r="Z25" s="212"/>
    </row>
    <row r="26" spans="1:26" ht="17.25" x14ac:dyDescent="0.25">
      <c r="A26" s="187"/>
      <c r="F26" s="213"/>
      <c r="Z26" s="212" t="s">
        <v>254</v>
      </c>
    </row>
    <row r="27" spans="1:26" ht="17.25" x14ac:dyDescent="0.25">
      <c r="A27" s="187"/>
      <c r="F27" s="213"/>
      <c r="Z27" s="212" t="s">
        <v>255</v>
      </c>
    </row>
    <row r="28" spans="1:26" ht="17.25" x14ac:dyDescent="0.25">
      <c r="A28" s="187"/>
      <c r="F28" s="213"/>
      <c r="Z28" s="212">
        <v>6.1799999999999998E-8</v>
      </c>
    </row>
    <row r="29" spans="1:26" x14ac:dyDescent="0.25">
      <c r="Z29" s="212">
        <v>3.95</v>
      </c>
    </row>
    <row r="30" spans="1:26" x14ac:dyDescent="0.25">
      <c r="Z30" s="212">
        <v>1.1358E-3</v>
      </c>
    </row>
    <row r="31" spans="1:26" x14ac:dyDescent="0.25">
      <c r="Z31" s="214">
        <v>3.2909999999999999</v>
      </c>
    </row>
    <row r="32" spans="1:26" x14ac:dyDescent="0.25">
      <c r="Z32" s="212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457200</xdr:colOff>
                <xdr:row>7</xdr:row>
                <xdr:rowOff>76200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457200</xdr:colOff>
                <xdr:row>8</xdr:row>
                <xdr:rowOff>85725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6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E14" sqref="E14"/>
    </sheetView>
  </sheetViews>
  <sheetFormatPr baseColWidth="10" defaultColWidth="11.5703125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2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25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25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.75" x14ac:dyDescent="0.25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75" x14ac:dyDescent="0.25">
      <c r="A7" s="217"/>
      <c r="B7" s="217"/>
      <c r="C7" s="353" t="s">
        <v>26</v>
      </c>
      <c r="D7" s="353"/>
      <c r="E7" s="353"/>
      <c r="F7" s="255">
        <v>50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25">
      <c r="A8" s="217"/>
      <c r="B8" s="217"/>
      <c r="C8" s="353" t="s">
        <v>25</v>
      </c>
      <c r="D8" s="353"/>
      <c r="E8" s="353"/>
      <c r="F8" s="255" t="s">
        <v>263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25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25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25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.75" x14ac:dyDescent="0.25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30" x14ac:dyDescent="0.25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25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25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25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7.25" x14ac:dyDescent="0.3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7.25" x14ac:dyDescent="0.3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7.25" x14ac:dyDescent="0.3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25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25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25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25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.75" x14ac:dyDescent="0.25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7.25" x14ac:dyDescent="0.25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7.25" x14ac:dyDescent="0.25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7.25" x14ac:dyDescent="0.25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25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25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25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25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25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25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25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25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25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25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zoomScale="85" zoomScaleNormal="85" workbookViewId="0">
      <selection activeCell="N30" sqref="N30"/>
    </sheetView>
  </sheetViews>
  <sheetFormatPr baseColWidth="10" defaultColWidth="11.5703125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1" customFormat="1" ht="15" customHeight="1" x14ac:dyDescent="0.25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BW1" s="11">
        <v>75</v>
      </c>
      <c r="BX1" s="11">
        <v>76</v>
      </c>
      <c r="BY1" s="11">
        <v>77</v>
      </c>
      <c r="BZ1" s="11">
        <v>78</v>
      </c>
      <c r="CA1" s="226" t="e">
        <v>#DIV/0!</v>
      </c>
      <c r="CB1" s="11">
        <v>85</v>
      </c>
      <c r="CC1" s="11">
        <v>81</v>
      </c>
      <c r="CD1" s="11">
        <v>82</v>
      </c>
      <c r="CE1" s="11">
        <v>83</v>
      </c>
      <c r="CF1" s="11">
        <v>84</v>
      </c>
      <c r="CG1" s="11">
        <v>85</v>
      </c>
      <c r="CH1" s="11">
        <v>86</v>
      </c>
      <c r="CI1" s="11">
        <v>87</v>
      </c>
      <c r="CJ1" s="11">
        <v>88</v>
      </c>
      <c r="CK1" s="11">
        <v>89</v>
      </c>
      <c r="CL1" s="11">
        <v>90</v>
      </c>
      <c r="CM1" s="11">
        <v>91</v>
      </c>
    </row>
    <row r="2" spans="1:97" ht="15" customHeight="1" x14ac:dyDescent="0.25">
      <c r="B2" s="96"/>
      <c r="C2" s="123"/>
      <c r="D2" s="123"/>
      <c r="E2" s="123"/>
      <c r="F2" s="97"/>
      <c r="G2" s="364" t="s">
        <v>65</v>
      </c>
      <c r="H2" s="364"/>
      <c r="I2" s="364"/>
      <c r="J2" s="364"/>
      <c r="K2" s="360"/>
      <c r="L2" s="361" t="s">
        <v>49</v>
      </c>
      <c r="M2" s="365"/>
      <c r="N2" s="365"/>
      <c r="O2" s="365"/>
      <c r="P2" s="362"/>
      <c r="Q2" s="366" t="s">
        <v>50</v>
      </c>
      <c r="R2" s="367"/>
      <c r="S2" s="367"/>
      <c r="T2" s="367"/>
      <c r="U2" s="368"/>
      <c r="V2" s="361" t="s">
        <v>51</v>
      </c>
      <c r="W2" s="365"/>
      <c r="X2" s="365"/>
      <c r="Y2" s="365"/>
      <c r="Z2" s="362"/>
      <c r="AB2" s="361" t="s">
        <v>0</v>
      </c>
      <c r="AC2" s="362"/>
      <c r="AD2" s="366" t="s">
        <v>31</v>
      </c>
      <c r="AE2" s="368"/>
      <c r="AF2" s="361" t="s">
        <v>10</v>
      </c>
      <c r="AG2" s="362"/>
      <c r="AH2" s="366" t="s">
        <v>11</v>
      </c>
      <c r="AI2" s="368"/>
      <c r="AK2" s="361" t="s">
        <v>60</v>
      </c>
      <c r="AL2" s="365"/>
      <c r="AM2" s="365"/>
      <c r="AN2" s="362"/>
      <c r="AP2" s="361" t="s">
        <v>0</v>
      </c>
      <c r="AQ2" s="362"/>
      <c r="AR2" s="359" t="s">
        <v>31</v>
      </c>
      <c r="AS2" s="360"/>
      <c r="AT2" s="361" t="s">
        <v>10</v>
      </c>
      <c r="AU2" s="362"/>
      <c r="AV2" s="359" t="s">
        <v>11</v>
      </c>
      <c r="AW2" s="360"/>
      <c r="AY2" s="316"/>
      <c r="AZ2" s="97"/>
      <c r="BB2" s="354" t="s">
        <v>61</v>
      </c>
      <c r="BC2" s="355"/>
      <c r="BD2" s="355"/>
      <c r="BE2" s="355"/>
      <c r="BF2" s="356"/>
      <c r="BG2" s="357" t="s">
        <v>62</v>
      </c>
      <c r="BH2" s="358"/>
      <c r="BI2" s="358"/>
      <c r="BJ2" s="358"/>
      <c r="BK2" s="358"/>
      <c r="BM2" s="354" t="s">
        <v>61</v>
      </c>
      <c r="BN2" s="355"/>
      <c r="BO2" s="355"/>
      <c r="BP2" s="355"/>
      <c r="BQ2" s="356"/>
      <c r="BR2" s="357" t="s">
        <v>62</v>
      </c>
      <c r="BS2" s="358"/>
      <c r="BT2" s="358"/>
      <c r="BU2" s="358"/>
      <c r="BV2" s="358"/>
      <c r="CA2" s="132" t="e">
        <v>#DIV/0!</v>
      </c>
      <c r="CB2">
        <v>3</v>
      </c>
    </row>
    <row r="3" spans="1:97" ht="42" customHeight="1" x14ac:dyDescent="0.25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25">
      <c r="A4">
        <v>1</v>
      </c>
      <c r="B4" s="121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25">
      <c r="A5">
        <v>2</v>
      </c>
      <c r="B5" s="121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25">
      <c r="A6">
        <v>3</v>
      </c>
      <c r="B6" s="121">
        <v>1.5</v>
      </c>
      <c r="C6" s="20">
        <v>5.7771608833961965</v>
      </c>
      <c r="D6" s="20">
        <v>4.7605152483056923</v>
      </c>
      <c r="E6" s="20">
        <v>1.0950807514640619E-16</v>
      </c>
      <c r="F6" s="20">
        <v>5.0397948011464576E-6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25">
      <c r="A7">
        <v>4</v>
      </c>
      <c r="B7" s="121">
        <v>2</v>
      </c>
      <c r="C7" s="20">
        <v>19.972095289182324</v>
      </c>
      <c r="D7" s="20">
        <v>10.710955146851211</v>
      </c>
      <c r="E7" s="20">
        <v>1.1759734859855953E-11</v>
      </c>
      <c r="F7" s="20">
        <v>9.3579365247105253E-4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25">
      <c r="A8">
        <v>5</v>
      </c>
      <c r="B8" s="121">
        <v>2.5</v>
      </c>
      <c r="C8" s="20">
        <v>32.826251977169129</v>
      </c>
      <c r="D8" s="20">
        <v>15.995120928826335</v>
      </c>
      <c r="E8" s="20">
        <v>2.2589422048739467E-8</v>
      </c>
      <c r="F8" s="20">
        <v>2.462851738949844E-2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25">
      <c r="A9">
        <v>6</v>
      </c>
      <c r="B9" s="121">
        <v>3</v>
      </c>
      <c r="C9" s="20">
        <v>36.433346807019582</v>
      </c>
      <c r="D9" s="20">
        <v>19.145891541151848</v>
      </c>
      <c r="E9" s="20">
        <v>4.3192740320749634E-6</v>
      </c>
      <c r="F9" s="20">
        <v>0.21462148420327809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25">
      <c r="A10">
        <v>7</v>
      </c>
      <c r="B10" s="121">
        <v>3.5</v>
      </c>
      <c r="C10" s="20">
        <v>32.198756240991244</v>
      </c>
      <c r="D10" s="20">
        <v>20.093085940899694</v>
      </c>
      <c r="E10" s="20">
        <v>1.9178942093744385E-4</v>
      </c>
      <c r="F10" s="20">
        <v>0.93784915714764161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25">
      <c r="A11">
        <v>8</v>
      </c>
      <c r="B11" s="121">
        <v>4</v>
      </c>
      <c r="C11" s="20">
        <v>24.73214837317159</v>
      </c>
      <c r="D11" s="20">
        <v>19.401982224594843</v>
      </c>
      <c r="E11" s="20">
        <v>3.1722395453638382E-3</v>
      </c>
      <c r="F11" s="20">
        <v>2.5852286884627191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25">
      <c r="A12">
        <v>9</v>
      </c>
      <c r="B12" s="121">
        <v>4.5</v>
      </c>
      <c r="C12" s="20">
        <v>17.367074133946065</v>
      </c>
      <c r="D12" s="20">
        <v>17.730767805417607</v>
      </c>
      <c r="E12" s="20">
        <v>2.6150125731252305E-2</v>
      </c>
      <c r="F12" s="20">
        <v>5.1612874234912116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25">
      <c r="A13">
        <v>10</v>
      </c>
      <c r="B13" s="121">
        <v>5</v>
      </c>
      <c r="C13" s="20">
        <v>11.500303185486166</v>
      </c>
      <c r="D13" s="20">
        <v>15.606798399314259</v>
      </c>
      <c r="E13" s="20">
        <v>0.13916471050075616</v>
      </c>
      <c r="F13" s="20">
        <v>8.1530141067954318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25">
      <c r="A14">
        <v>11</v>
      </c>
      <c r="B14" s="121">
        <v>5.5</v>
      </c>
      <c r="C14" s="20">
        <v>7.3259697526529637</v>
      </c>
      <c r="D14" s="20">
        <v>13.383614336839198</v>
      </c>
      <c r="E14" s="20">
        <v>0.70104083165052455</v>
      </c>
      <c r="F14" s="20">
        <v>10.813536964682509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25">
      <c r="A15">
        <v>12</v>
      </c>
      <c r="B15" s="121">
        <v>6</v>
      </c>
      <c r="C15" s="20">
        <v>4.5493809445334188</v>
      </c>
      <c r="D15" s="20">
        <v>11.268467517219708</v>
      </c>
      <c r="E15" s="20">
        <v>3.3165624014858537</v>
      </c>
      <c r="F15" s="20">
        <v>12.551316727867661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25">
      <c r="A16">
        <v>13</v>
      </c>
      <c r="B16" s="121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13.135149264546412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25">
      <c r="A17">
        <v>14</v>
      </c>
      <c r="B17" s="121">
        <v>7</v>
      </c>
      <c r="C17" s="20">
        <v>1.6806773415264191</v>
      </c>
      <c r="D17" s="20">
        <v>7.712940669209857</v>
      </c>
      <c r="E17" s="20">
        <v>17.949351244108627</v>
      </c>
      <c r="F17" s="20">
        <v>12.673014304797936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25">
      <c r="A18">
        <v>15</v>
      </c>
      <c r="B18" s="121">
        <v>7.5</v>
      </c>
      <c r="C18" s="20">
        <v>1.0107306444274524</v>
      </c>
      <c r="D18" s="20">
        <v>6.3118702042644168</v>
      </c>
      <c r="E18" s="20">
        <v>20.114248592711633</v>
      </c>
      <c r="F18" s="20">
        <v>11.475317970407644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25">
      <c r="A19">
        <v>16</v>
      </c>
      <c r="B19" s="121">
        <v>8</v>
      </c>
      <c r="C19" s="20">
        <v>0.60641325785716615</v>
      </c>
      <c r="D19" s="20">
        <v>5.1431789233970866</v>
      </c>
      <c r="E19" s="20">
        <v>16.109804337707192</v>
      </c>
      <c r="F19" s="20">
        <v>9.915675219229442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25">
      <c r="A20">
        <v>17</v>
      </c>
      <c r="B20" s="121">
        <v>8.5</v>
      </c>
      <c r="C20" s="20">
        <v>0.36383648842605876</v>
      </c>
      <c r="D20" s="20">
        <v>4.179335828286149</v>
      </c>
      <c r="E20" s="20">
        <v>10.888808907374576</v>
      </c>
      <c r="F20" s="20">
        <v>8.339778567224883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25">
      <c r="A21">
        <v>18</v>
      </c>
      <c r="B21" s="121">
        <v>9</v>
      </c>
      <c r="C21" s="20">
        <v>0.21867287610841205</v>
      </c>
      <c r="D21" s="20">
        <v>3.3906906315406062</v>
      </c>
      <c r="E21" s="20">
        <v>7.442085634106502</v>
      </c>
      <c r="F21" s="20">
        <v>7.0193662523897649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25">
      <c r="A22">
        <v>19</v>
      </c>
      <c r="B22" s="121">
        <v>9.5</v>
      </c>
      <c r="C22" s="20">
        <v>0.13182007004262689</v>
      </c>
      <c r="D22" s="20">
        <v>2.748889385282423</v>
      </c>
      <c r="E22" s="20">
        <v>5.6161160671101413</v>
      </c>
      <c r="F22" s="20">
        <v>6.1298012073299368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25">
      <c r="A23">
        <v>20</v>
      </c>
      <c r="B23" s="121">
        <v>10</v>
      </c>
      <c r="C23" s="20">
        <v>7.9774834435544395E-2</v>
      </c>
      <c r="D23" s="20">
        <v>2.228474874785185</v>
      </c>
      <c r="E23" s="20">
        <v>4.5017709266379509</v>
      </c>
      <c r="F23" s="20">
        <v>5.7381890974029481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-4.1550895405721459E-5</v>
      </c>
      <c r="Z23">
        <v>7.1095070072807506E-2</v>
      </c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25">
      <c r="A24">
        <v>21</v>
      </c>
      <c r="B24" s="121">
        <v>10.5</v>
      </c>
      <c r="C24" s="20">
        <v>4.8499637236258789E-2</v>
      </c>
      <c r="D24" s="20">
        <v>1.807444417018373</v>
      </c>
      <c r="E24" s="20">
        <v>3.6294453077649753</v>
      </c>
      <c r="F24" s="20">
        <v>5.8035421179720466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25">
      <c r="A25">
        <v>22</v>
      </c>
      <c r="B25" s="121">
        <v>11</v>
      </c>
      <c r="C25" s="20">
        <v>2.9635187369113847E-2</v>
      </c>
      <c r="D25" s="20">
        <v>1.4672443402791193</v>
      </c>
      <c r="E25" s="20">
        <v>2.9527437045589862</v>
      </c>
      <c r="F25" s="20">
        <v>6.1956102208059454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25">
      <c r="A26">
        <v>23</v>
      </c>
      <c r="B26" s="121">
        <v>11.5</v>
      </c>
      <c r="C26" s="20">
        <v>1.8206222364111842E-2</v>
      </c>
      <c r="D26" s="20">
        <v>1.1924875224863591</v>
      </c>
      <c r="E26" s="20">
        <v>2.646442189054254</v>
      </c>
      <c r="F26" s="20">
        <v>6.7326123030640241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25">
      <c r="A27">
        <v>24</v>
      </c>
      <c r="B27" s="121">
        <v>12</v>
      </c>
      <c r="C27" s="20">
        <v>1.124797056358719E-2</v>
      </c>
      <c r="D27" s="20">
        <v>0.97055857021151148</v>
      </c>
      <c r="E27" s="20">
        <v>2.9867785661526822</v>
      </c>
      <c r="F27" s="20">
        <v>7.2282245960984275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25">
      <c r="A28">
        <v>25</v>
      </c>
      <c r="B28" s="121">
        <v>12.5</v>
      </c>
      <c r="C28" s="20">
        <v>6.9893017855030349E-3</v>
      </c>
      <c r="D28" s="20">
        <v>0.7911967105997777</v>
      </c>
      <c r="E28" s="20">
        <v>4.2048553116447591</v>
      </c>
      <c r="F28" s="20">
        <v>7.5333978820482956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25">
      <c r="A29">
        <v>26</v>
      </c>
      <c r="B29" s="121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7.561559420509198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25">
      <c r="A30">
        <v>27</v>
      </c>
      <c r="B30" s="121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25">
      <c r="A31">
        <v>28</v>
      </c>
      <c r="B31" s="121">
        <v>14</v>
      </c>
      <c r="C31" s="20">
        <v>1.7369936243790973E-3</v>
      </c>
      <c r="D31" s="20">
        <v>0.43327234374996659</v>
      </c>
      <c r="E31" s="20">
        <v>10.96994348387549</v>
      </c>
      <c r="F31" s="20">
        <v>6.7651322128130857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25">
      <c r="A32">
        <v>29</v>
      </c>
      <c r="B32" s="121">
        <v>14.5</v>
      </c>
      <c r="C32" s="20">
        <v>1.1049569374177457E-3</v>
      </c>
      <c r="D32" s="20">
        <v>0.35584304165053393</v>
      </c>
      <c r="E32" s="20">
        <v>12.181108218103251</v>
      </c>
      <c r="F32" s="20">
        <v>6.0473725192963688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25">
      <c r="A33">
        <v>30</v>
      </c>
      <c r="B33" s="121">
        <v>15</v>
      </c>
      <c r="C33" s="20">
        <v>7.0697991766523974E-4</v>
      </c>
      <c r="D33" s="20">
        <v>0.29283524223680368</v>
      </c>
      <c r="E33" s="20">
        <v>12.061529535115145</v>
      </c>
      <c r="F33" s="20">
        <v>5.2234866364913293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25">
      <c r="A34">
        <v>31</v>
      </c>
      <c r="B34" s="121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25">
      <c r="A35">
        <v>32</v>
      </c>
      <c r="B35" s="121">
        <v>16</v>
      </c>
      <c r="C35" s="20">
        <v>2.9440430919613192E-4</v>
      </c>
      <c r="D35" s="20">
        <v>0.19951924497107545</v>
      </c>
      <c r="E35" s="20">
        <v>8.6732886194945049</v>
      </c>
      <c r="F35" s="20">
        <v>3.5553064107499082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25">
      <c r="A36">
        <v>33</v>
      </c>
      <c r="B36" s="121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25">
      <c r="A37">
        <v>34</v>
      </c>
      <c r="B37" s="121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2.1784022795305922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25">
      <c r="A38">
        <v>35</v>
      </c>
      <c r="B38" s="121">
        <v>17.5</v>
      </c>
      <c r="C38" s="20">
        <v>8.2448393330531008E-5</v>
      </c>
      <c r="D38" s="20">
        <v>0.11392199564721488</v>
      </c>
      <c r="E38" s="20">
        <v>2.7647562266488954</v>
      </c>
      <c r="F38" s="20">
        <v>1.6487503246071948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25">
      <c r="A39">
        <v>36</v>
      </c>
      <c r="B39" s="121">
        <v>18</v>
      </c>
      <c r="C39" s="20">
        <v>5.4516982097750622E-5</v>
      </c>
      <c r="D39" s="20">
        <v>9.4889120018841158E-2</v>
      </c>
      <c r="E39" s="20">
        <v>1.6360023538969704</v>
      </c>
      <c r="F39" s="20">
        <v>1.2234729111923055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25">
      <c r="A40">
        <v>37</v>
      </c>
      <c r="B40" s="121">
        <v>18.5</v>
      </c>
      <c r="C40" s="20">
        <v>3.6233062091893961E-5</v>
      </c>
      <c r="D40" s="20">
        <v>7.9191424341782043E-2</v>
      </c>
      <c r="E40" s="20">
        <v>0.91034851380487358</v>
      </c>
      <c r="F40" s="20">
        <v>0.89172360756128721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25">
      <c r="A41">
        <v>38</v>
      </c>
      <c r="B41" s="121">
        <v>19</v>
      </c>
      <c r="C41" s="20">
        <v>2.4202169709192035E-5</v>
      </c>
      <c r="D41" s="20">
        <v>6.6218920333807482E-2</v>
      </c>
      <c r="E41" s="20">
        <v>0.47890066132979647</v>
      </c>
      <c r="F41" s="20">
        <v>0.63938761704403624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25">
      <c r="A42">
        <v>39</v>
      </c>
      <c r="B42" s="121">
        <v>19.5</v>
      </c>
      <c r="C42" s="20">
        <v>1.6245462275469058E-5</v>
      </c>
      <c r="D42" s="20">
        <v>5.5477463603646457E-2</v>
      </c>
      <c r="E42" s="20">
        <v>0.23933832389245449</v>
      </c>
      <c r="F42" s="20">
        <v>0.4516816676821811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25">
      <c r="A43">
        <v>40</v>
      </c>
      <c r="B43" s="121">
        <v>20</v>
      </c>
      <c r="C43" s="20">
        <v>1.0956987436690861E-5</v>
      </c>
      <c r="D43" s="20">
        <v>4.6566038451719777E-2</v>
      </c>
      <c r="E43" s="20">
        <v>0.11414438716552955</v>
      </c>
      <c r="F43" s="20">
        <v>0.3147837899636009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25">
      <c r="A44">
        <v>41</v>
      </c>
      <c r="B44" s="121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25">
      <c r="A45">
        <v>42</v>
      </c>
      <c r="B45" s="121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25">
      <c r="A46">
        <v>43</v>
      </c>
      <c r="B46" s="121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25">
      <c r="A47">
        <v>44</v>
      </c>
      <c r="B47" s="121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6.6321917606760927E-2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25">
      <c r="A48">
        <v>45</v>
      </c>
      <c r="B48" s="121">
        <v>22.5</v>
      </c>
      <c r="C48" s="20">
        <v>1.6371949461751934E-6</v>
      </c>
      <c r="D48" s="20">
        <v>1.9936251182123308E-2</v>
      </c>
      <c r="E48" s="20">
        <v>1.6100248360196539E-3</v>
      </c>
      <c r="F48" s="20">
        <v>4.389208443876131E-2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25">
      <c r="A49">
        <v>46</v>
      </c>
      <c r="B49" s="121">
        <v>23</v>
      </c>
      <c r="C49" s="20">
        <v>1.1339549835821426E-6</v>
      </c>
      <c r="D49" s="20">
        <v>1.6913179045076086E-2</v>
      </c>
      <c r="E49" s="20">
        <v>6.3288288463051281E-4</v>
      </c>
      <c r="F49" s="20">
        <v>2.8824016849710386E-2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25">
      <c r="A50">
        <v>47</v>
      </c>
      <c r="B50" s="121">
        <v>23.5</v>
      </c>
      <c r="C50" s="20">
        <v>7.8861301898841064E-7</v>
      </c>
      <c r="D50" s="20">
        <v>1.4372446074699253E-2</v>
      </c>
      <c r="E50" s="20">
        <v>2.4545781459225458E-4</v>
      </c>
      <c r="F50" s="20">
        <v>1.8796048362822493E-2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25">
      <c r="A51">
        <v>48</v>
      </c>
      <c r="B51" s="121">
        <v>24</v>
      </c>
      <c r="C51" s="20">
        <v>5.5063608477131349E-7</v>
      </c>
      <c r="D51" s="20">
        <v>1.2233374459176372E-2</v>
      </c>
      <c r="E51" s="20">
        <v>9.485440416665839E-5</v>
      </c>
      <c r="F51" s="20">
        <v>1.2178740465265953E-2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25">
      <c r="A52">
        <v>49</v>
      </c>
      <c r="B52" s="121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7.8454880423093343E-3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25">
      <c r="A53">
        <v>50</v>
      </c>
      <c r="B53" s="121">
        <v>25</v>
      </c>
      <c r="C53" s="20">
        <v>2.7158690278083494E-7</v>
      </c>
      <c r="D53" s="20">
        <v>8.905420159218096E-3</v>
      </c>
      <c r="E53" s="20">
        <v>1.4846743935754852E-5</v>
      </c>
      <c r="F53" s="20">
        <v>5.0275639666005631E-3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25">
      <c r="A54">
        <v>51</v>
      </c>
      <c r="B54" s="121">
        <v>25.5</v>
      </c>
      <c r="C54" s="20">
        <v>1.9181270508546093E-7</v>
      </c>
      <c r="D54" s="20">
        <v>7.6158910757205649E-3</v>
      </c>
      <c r="E54" s="20">
        <v>6.2396122782658644E-6</v>
      </c>
      <c r="F54" s="20">
        <v>3.2065348562229927E-3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25">
      <c r="A55">
        <v>52</v>
      </c>
      <c r="B55" s="121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2.0363856355909032E-3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25">
      <c r="A56">
        <v>53</v>
      </c>
      <c r="B56" s="121">
        <v>26.5</v>
      </c>
      <c r="C56" s="20">
        <v>9.6722626698470732E-8</v>
      </c>
      <c r="D56" s="20">
        <v>5.5951765210824692E-3</v>
      </c>
      <c r="E56" s="20">
        <v>1.342315565618213E-6</v>
      </c>
      <c r="F56" s="20">
        <v>1.2883114029161589E-3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25">
      <c r="A57">
        <v>54</v>
      </c>
      <c r="B57" s="121">
        <v>27</v>
      </c>
      <c r="C57" s="20">
        <v>6.9046488078788548E-8</v>
      </c>
      <c r="D57" s="20">
        <v>4.806352774608111E-3</v>
      </c>
      <c r="E57" s="20">
        <v>6.8884395522960762E-7</v>
      </c>
      <c r="F57" s="20">
        <v>8.1226409526693284E-4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25">
      <c r="A58">
        <v>55</v>
      </c>
      <c r="B58" s="121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25">
      <c r="A59">
        <v>56</v>
      </c>
      <c r="B59" s="121">
        <v>28</v>
      </c>
      <c r="C59" s="20">
        <v>3.5545181342800911E-8</v>
      </c>
      <c r="D59" s="20">
        <v>3.5618003741336841E-3</v>
      </c>
      <c r="E59" s="20">
        <v>2.0917863728828378E-7</v>
      </c>
      <c r="F59" s="20">
        <v>3.2008116931838841E-4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25">
      <c r="A60">
        <v>57</v>
      </c>
      <c r="B60" s="121">
        <v>28.5</v>
      </c>
      <c r="C60" s="20">
        <v>2.5629702090279789E-8</v>
      </c>
      <c r="D60" s="20">
        <v>3.0725450547288151E-3</v>
      </c>
      <c r="E60" s="20">
        <v>1.2031735266379027E-7</v>
      </c>
      <c r="F60" s="20">
        <v>2.0019661275849572E-4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25">
      <c r="A61">
        <v>58</v>
      </c>
      <c r="B61" s="121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1.2496605482305398E-4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25">
      <c r="A62">
        <v>59</v>
      </c>
      <c r="B62" s="121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7.7876447717339342E-5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25">
      <c r="A63">
        <v>60</v>
      </c>
      <c r="B63" s="121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4.8465813876066257E-5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25">
      <c r="A64">
        <v>61</v>
      </c>
      <c r="B64" s="121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3.0131086289337183E-5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25">
      <c r="A65">
        <v>62</v>
      </c>
      <c r="B65" s="121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25">
      <c r="A66">
        <v>63</v>
      </c>
      <c r="B66" s="121">
        <v>31.5</v>
      </c>
      <c r="C66" s="20">
        <v>3.8431621783706916E-9</v>
      </c>
      <c r="D66" s="20">
        <v>1.3013621315702988E-3</v>
      </c>
      <c r="E66" s="20">
        <v>5.2198035296554258E-9</v>
      </c>
      <c r="F66" s="20">
        <v>1.1624141011724667E-5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25">
      <c r="A67">
        <v>64</v>
      </c>
      <c r="B67" s="121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7.2177384504084519E-6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25">
      <c r="A68">
        <v>65</v>
      </c>
      <c r="B68" s="121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1">
        <v>33</v>
      </c>
      <c r="C69" s="20">
        <v>1.547278914601359E-9</v>
      </c>
      <c r="D69" s="20">
        <v>8.6109864216420313E-4</v>
      </c>
      <c r="E69" s="20">
        <v>1.1326563810323409E-9</v>
      </c>
      <c r="F69" s="20">
        <v>2.785681443780324E-6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25">
      <c r="A70">
        <v>67</v>
      </c>
      <c r="B70" s="121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1.7327175026458831E-6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25">
      <c r="A71">
        <v>68</v>
      </c>
      <c r="B71" s="121">
        <v>34</v>
      </c>
      <c r="C71" s="20">
        <v>8.5500652567720466E-10</v>
      </c>
      <c r="D71" s="20">
        <v>6.5763146026944289E-4</v>
      </c>
      <c r="E71" s="20">
        <v>4.1308432840657209E-10</v>
      </c>
      <c r="F71" s="20">
        <v>1.079189639070676E-6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25">
      <c r="A72">
        <v>69</v>
      </c>
      <c r="B72" s="121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6.7331813233129904E-7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25">
      <c r="A73">
        <v>70</v>
      </c>
      <c r="B73" s="121">
        <v>35</v>
      </c>
      <c r="C73" s="20">
        <v>4.7732533288633541E-10</v>
      </c>
      <c r="D73" s="20">
        <v>5.044574983070106E-4</v>
      </c>
      <c r="E73" s="20">
        <v>1.5185832948507949E-10</v>
      </c>
      <c r="F73" s="20">
        <v>4.2100512360518431E-7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25">
      <c r="A74">
        <v>71</v>
      </c>
      <c r="B74" s="121">
        <v>35.5</v>
      </c>
      <c r="C74" s="20">
        <v>3.5797378196975236E-10</v>
      </c>
      <c r="D74" s="20">
        <v>4.4252902448750154E-4</v>
      </c>
      <c r="E74" s="20">
        <v>9.2352994323082484E-11</v>
      </c>
      <c r="F74" s="20">
        <v>2.6394001634828986E-7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25">
      <c r="A75">
        <v>72</v>
      </c>
      <c r="B75" s="121">
        <v>36</v>
      </c>
      <c r="C75" s="20">
        <v>2.6911464140587664E-10</v>
      </c>
      <c r="D75" s="20">
        <v>3.8860850464794954E-4</v>
      </c>
      <c r="E75" s="20">
        <v>5.6278929493255826E-11</v>
      </c>
      <c r="F75" s="20">
        <v>1.6599499053993934E-7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25">
      <c r="A76">
        <v>73</v>
      </c>
      <c r="B76" s="121">
        <v>36.5</v>
      </c>
      <c r="C76" s="20">
        <v>2.0279321554633336E-10</v>
      </c>
      <c r="D76" s="20">
        <v>3.4160827643457876E-4</v>
      </c>
      <c r="E76" s="20">
        <v>3.4365910839886583E-11</v>
      </c>
      <c r="F76" s="20">
        <v>1.0478336363113587E-7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25">
      <c r="A77">
        <v>74</v>
      </c>
      <c r="B77" s="121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25">
      <c r="A78">
        <v>75</v>
      </c>
      <c r="B78" s="121">
        <v>37.5</v>
      </c>
      <c r="C78" s="20">
        <v>1.1595799389022605E-10</v>
      </c>
      <c r="D78" s="20">
        <v>2.6476883226831614E-4</v>
      </c>
      <c r="E78" s="20">
        <v>1.2893416393903716E-11</v>
      </c>
      <c r="F78" s="20">
        <v>4.2317225015618755E-8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25">
      <c r="A79">
        <v>76</v>
      </c>
      <c r="B79" s="121">
        <v>38</v>
      </c>
      <c r="C79" s="20">
        <v>8.7982378082512228E-11</v>
      </c>
      <c r="D79" s="20">
        <v>2.3343961362322561E-4</v>
      </c>
      <c r="E79" s="20">
        <v>7.9219360440261257E-12</v>
      </c>
      <c r="F79" s="20">
        <v>2.7106375020981147E-8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25">
      <c r="A80">
        <v>77</v>
      </c>
      <c r="B80" s="121">
        <v>38.5</v>
      </c>
      <c r="C80" s="20">
        <v>6.6903418035850607E-11</v>
      </c>
      <c r="D80" s="20">
        <v>2.0601478543808618E-4</v>
      </c>
      <c r="E80" s="20">
        <v>4.8774446162316546E-12</v>
      </c>
      <c r="F80" s="20">
        <v>1.7469367587027999E-8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25">
      <c r="A81">
        <v>78</v>
      </c>
      <c r="B81" s="121">
        <v>39</v>
      </c>
      <c r="C81" s="20">
        <v>5.0984906491278556E-11</v>
      </c>
      <c r="D81" s="20">
        <v>1.8198326609371616E-4</v>
      </c>
      <c r="E81" s="20">
        <v>3.0092053307371805E-12</v>
      </c>
      <c r="F81" s="20">
        <v>1.1334342671307784E-8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25">
      <c r="A82">
        <v>79</v>
      </c>
      <c r="B82" s="121">
        <v>39.5</v>
      </c>
      <c r="C82" s="20">
        <v>3.893670637883868E-11</v>
      </c>
      <c r="D82" s="20">
        <v>1.6090406230425701E-4</v>
      </c>
      <c r="E82" s="20">
        <v>1.8604152762457764E-12</v>
      </c>
      <c r="F82" s="20">
        <v>7.4075775906381694E-9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25">
      <c r="A83">
        <v>80</v>
      </c>
      <c r="B83" s="121">
        <v>40</v>
      </c>
      <c r="C83" s="20">
        <v>2.9797858011377831E-11</v>
      </c>
      <c r="D83" s="20">
        <v>1.4239622363018464E-4</v>
      </c>
      <c r="E83" s="20">
        <v>1.15256685991703E-12</v>
      </c>
      <c r="F83" s="20">
        <v>4.8791032881543386E-9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1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1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1">
        <v>41.5</v>
      </c>
      <c r="C86" s="20">
        <v>1.3519420775686367E-11</v>
      </c>
      <c r="D86" s="20">
        <v>9.9221288672271258E-5</v>
      </c>
      <c r="E86" s="20">
        <v>2.7746720557102217E-13</v>
      </c>
      <c r="F86" s="20">
        <v>1.4665970471854962E-9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1">
        <v>42</v>
      </c>
      <c r="C87" s="20">
        <v>1.0429534487160754E-11</v>
      </c>
      <c r="D87" s="20">
        <v>8.811650380312462E-5</v>
      </c>
      <c r="E87" s="20">
        <v>1.7331899415055902E-13</v>
      </c>
      <c r="F87" s="20">
        <v>9.998796236442199E-10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1">
        <v>42.5</v>
      </c>
      <c r="C88" s="20">
        <v>8.0613158843452606E-12</v>
      </c>
      <c r="D88" s="20">
        <v>7.8320407822323623E-5</v>
      </c>
      <c r="E88" s="20">
        <v>1.0848495573696117E-13</v>
      </c>
      <c r="F88" s="20">
        <v>6.877545985985402E-10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1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4.7720196049605226E-10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1">
        <v>43.5</v>
      </c>
      <c r="C90" s="20">
        <v>4.8432402855673834E-12</v>
      </c>
      <c r="D90" s="20">
        <v>6.2027390191027161E-5</v>
      </c>
      <c r="E90" s="20">
        <v>4.2763227210965386E-14</v>
      </c>
      <c r="F90" s="20">
        <v>3.339176189526567E-10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1">
        <v>44</v>
      </c>
      <c r="C91" s="20">
        <v>3.7644252815713704E-12</v>
      </c>
      <c r="D91" s="20">
        <v>5.5266681594179042E-5</v>
      </c>
      <c r="E91" s="20">
        <v>2.6930299075338237E-14</v>
      </c>
      <c r="F91" s="20">
        <v>2.3555332774190893E-10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1">
        <v>44.5</v>
      </c>
      <c r="C92" s="20">
        <v>2.9311814794537881E-12</v>
      </c>
      <c r="D92" s="20">
        <v>4.928179750718495E-5</v>
      </c>
      <c r="E92" s="20">
        <v>1.6993662837116722E-14</v>
      </c>
      <c r="F92" s="20">
        <v>1.6744199530912865E-10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1">
        <v>45</v>
      </c>
      <c r="C93" s="20">
        <v>2.2864183272947829E-12</v>
      </c>
      <c r="D93" s="20">
        <v>4.3979244993913455E-5</v>
      </c>
      <c r="E93" s="20">
        <v>1.0744936913146753E-14</v>
      </c>
      <c r="F93" s="20">
        <v>1.1988229402042999E-10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1">
        <v>45.5</v>
      </c>
      <c r="C94" s="20">
        <v>1.7865926078701755E-12</v>
      </c>
      <c r="D94" s="20">
        <v>3.9277334050607356E-5</v>
      </c>
      <c r="E94" s="20">
        <v>6.8074980127197871E-15</v>
      </c>
      <c r="F94" s="20">
        <v>8.6404994796662463E-11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1">
        <v>46</v>
      </c>
      <c r="C95" s="20">
        <v>1.398428981486493E-12</v>
      </c>
      <c r="D95" s="20">
        <v>3.5104620159207477E-5</v>
      </c>
      <c r="E95" s="20">
        <v>4.3214898826651405E-15</v>
      </c>
      <c r="F95" s="20">
        <v>6.2659861794784973E-11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1">
        <v>46.5</v>
      </c>
      <c r="C96" s="20">
        <v>1.0964499471370088E-12</v>
      </c>
      <c r="D96" s="20">
        <v>3.1398561190929935E-5</v>
      </c>
      <c r="E96" s="20">
        <v>2.748762253085783E-15</v>
      </c>
      <c r="F96" s="20">
        <v>4.5696575735509712E-11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1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3.3497103815163742E-11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1">
        <v>47.5</v>
      </c>
      <c r="C98" s="20">
        <v>6.7739403441086221E-13</v>
      </c>
      <c r="D98" s="20">
        <v>2.5173952234765642E-5</v>
      </c>
      <c r="E98" s="20">
        <v>1.1186607644499714E-15</v>
      </c>
      <c r="F98" s="20">
        <v>2.4669417798260915E-11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1">
        <v>48</v>
      </c>
      <c r="C99" s="20">
        <v>5.3373268178504361E-13</v>
      </c>
      <c r="D99" s="20">
        <v>2.2565160100012401E-5</v>
      </c>
      <c r="E99" s="20">
        <v>7.157247254241044E-16</v>
      </c>
      <c r="F99" s="20">
        <v>1.8245373482414909E-11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1">
        <v>48.5</v>
      </c>
      <c r="C100" s="20">
        <v>4.2120765574335262E-13</v>
      </c>
      <c r="D100" s="20">
        <v>2.0240921393588664E-5</v>
      </c>
      <c r="E100" s="20">
        <v>4.5880853966301048E-16</v>
      </c>
      <c r="F100" s="20">
        <v>1.3546274579441301E-11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1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1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7.5436902904875246E-12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1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8">
    <mergeCell ref="BB4:BK4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2:BQ2"/>
    <mergeCell ref="BR2:BV2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baseColWidth="10" defaultColWidth="11.5703125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29" t="s">
        <v>162</v>
      </c>
      <c r="B2" s="272">
        <v>90</v>
      </c>
      <c r="C2" s="11"/>
      <c r="D2" s="218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9" t="s">
        <v>153</v>
      </c>
      <c r="Q3" s="369"/>
      <c r="R3" s="369"/>
      <c r="S3" s="369" t="s">
        <v>154</v>
      </c>
      <c r="T3" s="369"/>
      <c r="U3" s="369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zoomScaleNormal="100" workbookViewId="0">
      <selection activeCell="L15" sqref="L15"/>
    </sheetView>
  </sheetViews>
  <sheetFormatPr baseColWidth="10" defaultColWidth="11.42578125" defaultRowHeight="15" x14ac:dyDescent="0.25"/>
  <cols>
    <col min="1" max="1" width="7.85546875" style="188" customWidth="1"/>
    <col min="2" max="2" width="5.7109375" style="188" customWidth="1"/>
    <col min="3" max="3" width="11.140625" style="188" customWidth="1"/>
    <col min="4" max="4" width="14" style="188" customWidth="1"/>
    <col min="5" max="5" width="11.140625" style="188" customWidth="1"/>
    <col min="6" max="6" width="18" style="188" customWidth="1"/>
    <col min="7" max="7" width="12.85546875" style="188" customWidth="1"/>
    <col min="8" max="8" width="16.5703125" style="188" customWidth="1"/>
    <col min="9" max="10" width="11.42578125" style="188"/>
    <col min="11" max="11" width="9.42578125" style="188" customWidth="1"/>
    <col min="12" max="12" width="9.28515625" style="188" customWidth="1"/>
    <col min="13" max="81" width="9.140625" style="188" customWidth="1"/>
    <col min="82" max="16384" width="11.42578125" style="188"/>
  </cols>
  <sheetData>
    <row r="1" spans="1:8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75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25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25">
      <c r="A6" s="187"/>
      <c r="B6"/>
      <c r="C6"/>
      <c r="D6"/>
      <c r="E6"/>
      <c r="F6"/>
      <c r="G6"/>
      <c r="H6"/>
      <c r="I6" s="376" t="s">
        <v>251</v>
      </c>
      <c r="J6" s="376"/>
      <c r="K6" s="376"/>
      <c r="L6" s="376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25">
      <c r="A7" s="187"/>
      <c r="B7"/>
      <c r="C7" s="370" t="s">
        <v>91</v>
      </c>
      <c r="D7" s="370"/>
      <c r="E7" s="370"/>
      <c r="F7" s="178">
        <f>'Análisis Espectral'!F7</f>
        <v>3</v>
      </c>
      <c r="G7"/>
      <c r="H7"/>
      <c r="I7" s="344" t="s">
        <v>250</v>
      </c>
      <c r="J7" s="344"/>
      <c r="K7" s="343" t="s">
        <v>43</v>
      </c>
      <c r="L7" s="343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25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25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25">
      <c r="A11" s="187"/>
      <c r="B11"/>
      <c r="C11" s="371" t="s">
        <v>1</v>
      </c>
      <c r="D11" s="372"/>
      <c r="E11" s="372"/>
      <c r="F11" s="373"/>
      <c r="G11" s="374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25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5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25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75" x14ac:dyDescent="0.25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25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70" t="s">
        <v>151</v>
      </c>
      <c r="J15" s="370"/>
      <c r="K15" s="370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25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70" t="s">
        <v>152</v>
      </c>
      <c r="J16" s="370"/>
      <c r="K16" s="370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25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25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25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25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25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25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25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25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25">
      <c r="A25" s="187"/>
      <c r="J25" s="204"/>
      <c r="Q25" s="200"/>
      <c r="R25" s="200"/>
      <c r="S25" s="200"/>
      <c r="T25" s="200"/>
    </row>
    <row r="26" spans="1:20" x14ac:dyDescent="0.25">
      <c r="A26" s="187"/>
      <c r="J26" s="204"/>
      <c r="Q26" s="200"/>
      <c r="R26" s="200"/>
      <c r="S26" s="200"/>
      <c r="T26" s="200"/>
    </row>
    <row r="27" spans="1:20" x14ac:dyDescent="0.25">
      <c r="A27" s="187"/>
      <c r="J27" s="204"/>
      <c r="Q27" s="200"/>
      <c r="R27" s="200"/>
      <c r="S27" s="200"/>
      <c r="T27" s="200"/>
    </row>
    <row r="28" spans="1:20" x14ac:dyDescent="0.25">
      <c r="A28" s="187"/>
      <c r="J28" s="204"/>
      <c r="Q28" s="200"/>
      <c r="R28" s="200"/>
      <c r="S28" s="200"/>
      <c r="T28" s="200"/>
    </row>
    <row r="29" spans="1:20" x14ac:dyDescent="0.25">
      <c r="A29" s="187"/>
      <c r="J29" s="204"/>
      <c r="Q29" s="200"/>
      <c r="R29" s="200"/>
      <c r="S29" s="200"/>
      <c r="T29" s="200"/>
    </row>
    <row r="30" spans="1:20" x14ac:dyDescent="0.25">
      <c r="A30" s="187"/>
      <c r="J30" s="204"/>
      <c r="Q30" s="200"/>
      <c r="R30" s="200"/>
      <c r="S30" s="200"/>
      <c r="T30" s="200"/>
    </row>
    <row r="31" spans="1:20" x14ac:dyDescent="0.25">
      <c r="A31" s="187"/>
      <c r="J31" s="204"/>
      <c r="Q31" s="200"/>
      <c r="R31" s="200"/>
      <c r="S31" s="200"/>
      <c r="T31" s="200"/>
    </row>
    <row r="32" spans="1:20" x14ac:dyDescent="0.25">
      <c r="A32" s="187"/>
      <c r="J32" s="204"/>
      <c r="Q32" s="200"/>
      <c r="R32" s="200"/>
      <c r="S32" s="200"/>
      <c r="T32" s="200"/>
    </row>
    <row r="33" spans="1:20" x14ac:dyDescent="0.25">
      <c r="A33" s="187"/>
      <c r="J33" s="204"/>
      <c r="Q33" s="200"/>
      <c r="R33" s="200"/>
      <c r="S33" s="200"/>
      <c r="T33" s="200"/>
    </row>
    <row r="34" spans="1:20" x14ac:dyDescent="0.25">
      <c r="A34" s="187"/>
      <c r="J34" s="204"/>
      <c r="Q34" s="200"/>
      <c r="R34" s="200"/>
      <c r="S34" s="200"/>
      <c r="T34" s="200"/>
    </row>
    <row r="35" spans="1:20" x14ac:dyDescent="0.25">
      <c r="A35" s="187"/>
      <c r="J35" s="204"/>
      <c r="Q35" s="200"/>
      <c r="R35" s="200"/>
      <c r="S35" s="200"/>
      <c r="T35" s="200"/>
    </row>
    <row r="36" spans="1:20" x14ac:dyDescent="0.25">
      <c r="A36" s="187"/>
      <c r="J36" s="204"/>
      <c r="Q36" s="200"/>
      <c r="R36" s="200"/>
      <c r="S36" s="200"/>
      <c r="T36" s="200"/>
    </row>
    <row r="37" spans="1:20" x14ac:dyDescent="0.25">
      <c r="A37" s="187"/>
      <c r="J37" s="204"/>
      <c r="Q37" s="200"/>
      <c r="R37" s="200"/>
      <c r="S37" s="200"/>
      <c r="T37" s="200"/>
    </row>
    <row r="38" spans="1:20" x14ac:dyDescent="0.25">
      <c r="A38" s="187"/>
      <c r="J38" s="204"/>
      <c r="Q38" s="200"/>
      <c r="R38" s="200"/>
      <c r="S38" s="200"/>
      <c r="T38" s="200"/>
    </row>
    <row r="39" spans="1:20" x14ac:dyDescent="0.25">
      <c r="A39" s="187"/>
      <c r="J39" s="204"/>
      <c r="Q39" s="200"/>
      <c r="R39" s="200"/>
      <c r="S39" s="200"/>
      <c r="T39" s="200"/>
    </row>
    <row r="40" spans="1:20" x14ac:dyDescent="0.25">
      <c r="J40" s="204"/>
      <c r="Q40" s="200"/>
      <c r="R40" s="200"/>
      <c r="S40" s="200"/>
      <c r="T40" s="200"/>
    </row>
    <row r="41" spans="1:20" x14ac:dyDescent="0.25">
      <c r="J41" s="204"/>
      <c r="Q41" s="200"/>
      <c r="R41" s="200"/>
      <c r="S41" s="200"/>
      <c r="T41" s="200"/>
    </row>
    <row r="42" spans="1:20" x14ac:dyDescent="0.25">
      <c r="J42" s="204"/>
      <c r="Q42" s="200"/>
      <c r="R42" s="200"/>
      <c r="S42" s="200"/>
      <c r="T42" s="200"/>
    </row>
    <row r="43" spans="1:20" x14ac:dyDescent="0.25">
      <c r="J43" s="204"/>
      <c r="Q43" s="200"/>
      <c r="R43" s="200"/>
      <c r="S43" s="200"/>
      <c r="T43" s="200"/>
    </row>
    <row r="44" spans="1:20" x14ac:dyDescent="0.25">
      <c r="J44" s="204"/>
      <c r="Q44" s="200"/>
      <c r="R44" s="200"/>
      <c r="S44" s="200"/>
      <c r="T44" s="200"/>
    </row>
    <row r="45" spans="1:20" x14ac:dyDescent="0.25">
      <c r="J45" s="204"/>
      <c r="Q45" s="200"/>
      <c r="R45" s="200"/>
      <c r="S45" s="200"/>
      <c r="T45" s="200"/>
    </row>
    <row r="46" spans="1:20" x14ac:dyDescent="0.25">
      <c r="J46" s="204"/>
      <c r="Q46" s="200"/>
      <c r="R46" s="200"/>
      <c r="S46" s="200"/>
      <c r="T46" s="200"/>
    </row>
    <row r="47" spans="1:20" x14ac:dyDescent="0.25">
      <c r="J47" s="204"/>
      <c r="Q47" s="200"/>
      <c r="R47" s="200"/>
      <c r="S47" s="200"/>
      <c r="T47" s="200"/>
    </row>
    <row r="48" spans="1:20" x14ac:dyDescent="0.25">
      <c r="J48" s="204"/>
      <c r="Q48" s="200"/>
      <c r="R48" s="200"/>
      <c r="S48" s="200"/>
      <c r="T48" s="200"/>
    </row>
    <row r="49" spans="10:20" x14ac:dyDescent="0.25">
      <c r="J49" s="204"/>
      <c r="Q49" s="200"/>
      <c r="R49" s="200"/>
      <c r="S49" s="200"/>
      <c r="T49" s="200"/>
    </row>
    <row r="50" spans="10:20" x14ac:dyDescent="0.25">
      <c r="J50" s="204"/>
      <c r="Q50" s="200"/>
      <c r="R50" s="200"/>
      <c r="S50" s="200"/>
      <c r="T50" s="200"/>
    </row>
    <row r="51" spans="10:20" x14ac:dyDescent="0.25">
      <c r="J51" s="204"/>
      <c r="Q51" s="200"/>
      <c r="R51" s="200"/>
      <c r="S51" s="200"/>
      <c r="T51" s="200"/>
    </row>
    <row r="52" spans="10:20" x14ac:dyDescent="0.25">
      <c r="J52" s="204"/>
      <c r="Q52" s="200"/>
      <c r="R52" s="200"/>
      <c r="S52" s="200"/>
      <c r="T52" s="200"/>
    </row>
    <row r="53" spans="10:20" x14ac:dyDescent="0.25">
      <c r="J53" s="204"/>
      <c r="Q53" s="200"/>
      <c r="R53" s="200"/>
      <c r="S53" s="200"/>
      <c r="T53" s="200"/>
    </row>
    <row r="54" spans="10:20" x14ac:dyDescent="0.25">
      <c r="J54" s="204"/>
      <c r="Q54" s="200"/>
      <c r="R54" s="200"/>
      <c r="S54" s="200"/>
      <c r="T54" s="200"/>
    </row>
    <row r="55" spans="10:20" x14ac:dyDescent="0.25">
      <c r="J55" s="204"/>
      <c r="Q55" s="200"/>
      <c r="R55" s="200"/>
      <c r="S55" s="200"/>
      <c r="T55" s="200"/>
    </row>
    <row r="56" spans="10:20" x14ac:dyDescent="0.25">
      <c r="J56" s="204"/>
      <c r="Q56" s="200"/>
      <c r="R56" s="200"/>
      <c r="S56" s="200"/>
      <c r="T56" s="200"/>
    </row>
    <row r="57" spans="10:20" x14ac:dyDescent="0.25">
      <c r="J57" s="204"/>
      <c r="Q57" s="200"/>
      <c r="R57" s="200"/>
      <c r="S57" s="200"/>
      <c r="T57" s="200"/>
    </row>
    <row r="58" spans="10:20" x14ac:dyDescent="0.25">
      <c r="J58" s="204"/>
      <c r="Q58" s="200"/>
      <c r="R58" s="200"/>
      <c r="S58" s="200"/>
      <c r="T58" s="200"/>
    </row>
    <row r="59" spans="10:20" x14ac:dyDescent="0.25">
      <c r="J59" s="204"/>
      <c r="Q59" s="200"/>
      <c r="R59" s="200"/>
      <c r="S59" s="200"/>
      <c r="T59" s="200"/>
    </row>
    <row r="60" spans="10:20" x14ac:dyDescent="0.25">
      <c r="J60" s="204"/>
      <c r="Q60" s="200"/>
      <c r="R60" s="200"/>
      <c r="S60" s="200"/>
      <c r="T60" s="200"/>
    </row>
    <row r="61" spans="10:20" x14ac:dyDescent="0.25">
      <c r="J61" s="204"/>
      <c r="Q61" s="200"/>
      <c r="R61" s="200"/>
      <c r="S61" s="200"/>
      <c r="T61" s="200"/>
    </row>
    <row r="62" spans="10:20" x14ac:dyDescent="0.25">
      <c r="J62" s="204"/>
      <c r="Q62" s="200"/>
      <c r="R62" s="200"/>
      <c r="S62" s="200"/>
      <c r="T62" s="200"/>
    </row>
    <row r="63" spans="10:20" x14ac:dyDescent="0.25">
      <c r="J63" s="204"/>
      <c r="Q63" s="200"/>
      <c r="R63" s="200"/>
      <c r="S63" s="200"/>
      <c r="T63" s="200"/>
    </row>
    <row r="64" spans="10:20" x14ac:dyDescent="0.25">
      <c r="J64" s="204"/>
      <c r="Q64" s="200"/>
      <c r="R64" s="200"/>
      <c r="S64" s="200"/>
      <c r="T64" s="200"/>
    </row>
    <row r="65" spans="10:20" x14ac:dyDescent="0.25">
      <c r="J65" s="204"/>
      <c r="Q65" s="200"/>
      <c r="R65" s="200"/>
      <c r="S65" s="200"/>
      <c r="T65" s="200"/>
    </row>
    <row r="66" spans="10:20" x14ac:dyDescent="0.25">
      <c r="J66" s="204"/>
      <c r="Q66" s="200"/>
      <c r="R66" s="200"/>
      <c r="S66" s="200"/>
      <c r="T66" s="200"/>
    </row>
    <row r="67" spans="10:20" x14ac:dyDescent="0.25">
      <c r="J67" s="204"/>
      <c r="Q67" s="200"/>
      <c r="R67" s="200"/>
      <c r="S67" s="200"/>
      <c r="T67" s="200"/>
    </row>
    <row r="68" spans="10:20" x14ac:dyDescent="0.25">
      <c r="J68" s="204"/>
      <c r="Q68" s="200"/>
      <c r="R68" s="200"/>
      <c r="S68" s="200"/>
      <c r="T68" s="200"/>
    </row>
    <row r="69" spans="10:20" x14ac:dyDescent="0.25">
      <c r="J69" s="204"/>
      <c r="Q69" s="200"/>
      <c r="R69" s="200"/>
      <c r="S69" s="200"/>
      <c r="T69" s="200"/>
    </row>
    <row r="71" spans="10:20" x14ac:dyDescent="0.25">
      <c r="Q71" s="200"/>
      <c r="R71" s="200"/>
      <c r="S71" s="200"/>
      <c r="T71" s="200"/>
    </row>
    <row r="74" spans="10:20" x14ac:dyDescent="0.25">
      <c r="Q74" s="205"/>
      <c r="R74" s="205"/>
      <c r="S74" s="205"/>
      <c r="T74" s="205"/>
    </row>
    <row r="75" spans="10:20" x14ac:dyDescent="0.25">
      <c r="Q75" s="201"/>
      <c r="R75" s="201"/>
      <c r="S75" s="201"/>
      <c r="T75" s="201"/>
    </row>
    <row r="77" spans="10:20" x14ac:dyDescent="0.25">
      <c r="Q77" s="205"/>
      <c r="R77" s="205"/>
    </row>
    <row r="78" spans="10:20" x14ac:dyDescent="0.25">
      <c r="Q78" s="201"/>
      <c r="R78" s="201"/>
    </row>
    <row r="81" spans="17:18" x14ac:dyDescent="0.25">
      <c r="Q81" s="206"/>
      <c r="R81" s="207"/>
    </row>
    <row r="83" spans="17:18" x14ac:dyDescent="0.25">
      <c r="Q83" s="205"/>
      <c r="R83" s="200"/>
    </row>
    <row r="84" spans="17:18" x14ac:dyDescent="0.25">
      <c r="Q84" s="205"/>
      <c r="R84" s="200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276225</xdr:colOff>
                <xdr:row>7</xdr:row>
                <xdr:rowOff>66675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zoomScale="85" zoomScaleNormal="85" workbookViewId="0">
      <selection activeCell="A7" sqref="A7"/>
    </sheetView>
  </sheetViews>
  <sheetFormatPr baseColWidth="10" defaultColWidth="11.5703125" defaultRowHeight="15" x14ac:dyDescent="0.25"/>
  <sheetData>
    <row r="1" spans="1:27" x14ac:dyDescent="0.25">
      <c r="B1">
        <v>5</v>
      </c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:27" x14ac:dyDescent="0.25">
      <c r="A2">
        <v>5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:27" x14ac:dyDescent="0.25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:27" x14ac:dyDescent="0.25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:27" x14ac:dyDescent="0.25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ht="15.75" x14ac:dyDescent="0.25">
      <c r="M6" s="277"/>
      <c r="N6" s="11"/>
      <c r="O6" s="11"/>
      <c r="P6" s="11"/>
      <c r="Q6" s="11"/>
      <c r="R6" s="11"/>
      <c r="S6" s="11"/>
      <c r="T6" s="11"/>
      <c r="U6" s="340" t="s">
        <v>42</v>
      </c>
      <c r="V6" s="341"/>
      <c r="W6" s="341"/>
      <c r="X6" s="342"/>
      <c r="Y6" s="11"/>
      <c r="Z6" s="11"/>
      <c r="AA6" s="11"/>
    </row>
    <row r="7" spans="1:27" ht="15.75" x14ac:dyDescent="0.25">
      <c r="M7" s="277"/>
      <c r="N7" s="11"/>
      <c r="O7" s="348" t="s">
        <v>91</v>
      </c>
      <c r="P7" s="348"/>
      <c r="Q7" s="348"/>
      <c r="R7" s="173">
        <v>3</v>
      </c>
      <c r="S7" s="11"/>
      <c r="T7" s="11"/>
      <c r="U7" s="378" t="s">
        <v>44</v>
      </c>
      <c r="V7" s="378"/>
      <c r="W7" s="379" t="s">
        <v>43</v>
      </c>
      <c r="X7" s="379"/>
      <c r="Y7" s="11"/>
      <c r="Z7" s="11"/>
      <c r="AA7" s="11"/>
    </row>
    <row r="8" spans="1:27" x14ac:dyDescent="0.25">
      <c r="M8" s="277"/>
      <c r="N8" s="11"/>
      <c r="O8" s="11"/>
      <c r="P8" s="11"/>
      <c r="Q8" s="11"/>
      <c r="R8" s="175"/>
      <c r="S8" s="11"/>
      <c r="T8" s="11"/>
      <c r="U8" s="378" t="s">
        <v>45</v>
      </c>
      <c r="V8" s="378"/>
      <c r="W8" s="379" t="s">
        <v>43</v>
      </c>
      <c r="X8" s="379"/>
      <c r="Y8" s="11"/>
      <c r="Z8" s="11"/>
      <c r="AA8" s="11"/>
    </row>
    <row r="9" spans="1:27" x14ac:dyDescent="0.25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25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:27" ht="18.75" x14ac:dyDescent="0.25">
      <c r="M11" s="277"/>
      <c r="N11" s="11"/>
      <c r="O11" s="380" t="s">
        <v>1</v>
      </c>
      <c r="P11" s="381"/>
      <c r="Q11" s="381"/>
      <c r="R11" s="382"/>
      <c r="S11" s="11"/>
      <c r="T11" s="11"/>
      <c r="U11" s="11"/>
      <c r="V11" s="11"/>
      <c r="W11" s="11"/>
      <c r="X11" s="11"/>
      <c r="Y11" s="11"/>
      <c r="Z11" s="11"/>
      <c r="AA11" s="11"/>
    </row>
    <row r="12" spans="1:27" ht="30" x14ac:dyDescent="0.25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25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 ht="15.75" x14ac:dyDescent="0.25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:27" ht="15.75" x14ac:dyDescent="0.25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8" t="s">
        <v>151</v>
      </c>
      <c r="V15" s="348"/>
      <c r="W15" s="348"/>
      <c r="X15" s="280" t="s">
        <v>256</v>
      </c>
      <c r="Y15" s="133"/>
      <c r="Z15" s="133"/>
      <c r="AA15" s="133"/>
    </row>
    <row r="16" spans="1:27" ht="15.75" x14ac:dyDescent="0.25">
      <c r="M16" s="277"/>
      <c r="N16" s="11"/>
      <c r="O16" s="114">
        <v>4</v>
      </c>
      <c r="P16" s="173"/>
      <c r="Q16" s="173"/>
      <c r="R16" s="173"/>
      <c r="S16" s="11"/>
      <c r="T16" s="11"/>
      <c r="U16" s="348" t="s">
        <v>152</v>
      </c>
      <c r="V16" s="348"/>
      <c r="W16" s="348"/>
      <c r="X16" s="280" t="s">
        <v>256</v>
      </c>
      <c r="Y16" s="133"/>
      <c r="Z16" s="133"/>
      <c r="AA16" s="133"/>
    </row>
    <row r="17" spans="2:27" x14ac:dyDescent="0.25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25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.75" x14ac:dyDescent="0.25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7.25" x14ac:dyDescent="0.25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7.25" x14ac:dyDescent="0.25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7.25" x14ac:dyDescent="0.25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25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25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25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25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77"/>
      <c r="AN41" s="377"/>
      <c r="AO41" s="377"/>
      <c r="AP41" s="377"/>
      <c r="AQ41" s="377"/>
      <c r="AR41" s="377"/>
    </row>
    <row r="42" spans="29:44" x14ac:dyDescent="0.25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25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25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25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25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25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25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25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25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25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25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25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7.25" x14ac:dyDescent="0.3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7.25" x14ac:dyDescent="0.3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7.25" x14ac:dyDescent="0.3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25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25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25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25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25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25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25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25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25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25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25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25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25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25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25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25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25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75" x14ac:dyDescent="0.25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25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75" x14ac:dyDescent="0.25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75" x14ac:dyDescent="0.25">
      <c r="A116" s="285"/>
      <c r="B116" s="292"/>
      <c r="C116" s="292"/>
      <c r="D116" s="292"/>
      <c r="E116" s="292"/>
      <c r="F116" s="292"/>
      <c r="G116" s="292"/>
      <c r="H116" s="292"/>
      <c r="I116" s="376" t="s">
        <v>251</v>
      </c>
      <c r="J116" s="376"/>
      <c r="K116" s="376"/>
      <c r="L116" s="376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.75" x14ac:dyDescent="0.25">
      <c r="A117" s="285"/>
      <c r="B117" s="292"/>
      <c r="C117" s="370" t="s">
        <v>91</v>
      </c>
      <c r="D117" s="370"/>
      <c r="E117" s="370"/>
      <c r="F117" s="178">
        <f>'Análisis Espectral'!F117</f>
        <v>0</v>
      </c>
      <c r="G117" s="292"/>
      <c r="H117" s="292"/>
      <c r="I117" s="378" t="s">
        <v>250</v>
      </c>
      <c r="J117" s="378"/>
      <c r="K117" s="379" t="s">
        <v>43</v>
      </c>
      <c r="L117" s="379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75" x14ac:dyDescent="0.25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75" x14ac:dyDescent="0.25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25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.75" x14ac:dyDescent="0.25">
      <c r="A121" s="285"/>
      <c r="B121" s="292"/>
      <c r="C121" s="383" t="s">
        <v>1</v>
      </c>
      <c r="D121" s="383"/>
      <c r="E121" s="383"/>
      <c r="F121" s="383"/>
      <c r="G121" s="384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30" x14ac:dyDescent="0.25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84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75" x14ac:dyDescent="0.25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75" x14ac:dyDescent="0.25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75" x14ac:dyDescent="0.25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70" t="s">
        <v>151</v>
      </c>
      <c r="J125" s="370"/>
      <c r="K125" s="370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75" x14ac:dyDescent="0.25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70" t="s">
        <v>152</v>
      </c>
      <c r="J126" s="370"/>
      <c r="K126" s="370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25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25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25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25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25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25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25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25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25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25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25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25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25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25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25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25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25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25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25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25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25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25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25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25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25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25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25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25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25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25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25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25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25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25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25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25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25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25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25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25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25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25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25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25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25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25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25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25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25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25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25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25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25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25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25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25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25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25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25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25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25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25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25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25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25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25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25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25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25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25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25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26:K126"/>
    <mergeCell ref="C117:E117"/>
    <mergeCell ref="I117:J117"/>
    <mergeCell ref="K117:L117"/>
    <mergeCell ref="C121:F121"/>
    <mergeCell ref="G121:G122"/>
    <mergeCell ref="I125:K125"/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Módulo9.Botón4_Haga_clic_en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Botón4_Haga_clic_en">
                <anchor moveWithCells="1" sizeWithCells="1">
                  <from>
                    <xdr:col>11</xdr:col>
                    <xdr:colOff>695325</xdr:colOff>
                    <xdr:row>46</xdr:row>
                    <xdr:rowOff>76200</xdr:rowOff>
                  </from>
                  <to>
                    <xdr:col>19</xdr:col>
                    <xdr:colOff>171450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86" zoomScaleNormal="85" workbookViewId="0">
      <selection activeCell="J6" sqref="J6:J7"/>
    </sheetView>
  </sheetViews>
  <sheetFormatPr baseColWidth="10" defaultColWidth="11.5703125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28515625" bestFit="1" customWidth="1"/>
    <col min="16" max="20" width="10.28515625" bestFit="1" customWidth="1"/>
    <col min="21" max="21" width="14.42578125" bestFit="1" customWidth="1"/>
    <col min="22" max="22" width="11.42578125" customWidth="1"/>
    <col min="25" max="25" width="15" bestFit="1" customWidth="1"/>
    <col min="26" max="26" width="14.85546875" bestFit="1" customWidth="1"/>
    <col min="27" max="28" width="15" bestFit="1" customWidth="1"/>
    <col min="29" max="29" width="13.42578125" customWidth="1"/>
    <col min="30" max="30" width="15.140625" customWidth="1"/>
  </cols>
  <sheetData>
    <row r="1" spans="1:33" ht="13.5" customHeight="1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2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5">
        <v>18.001371637588178</v>
      </c>
      <c r="H3" s="2"/>
      <c r="I3" s="2"/>
      <c r="J3" s="103">
        <v>260.96099323484378</v>
      </c>
      <c r="K3" s="103">
        <v>117.35871388133037</v>
      </c>
      <c r="L3" s="103">
        <v>19.801750436864612</v>
      </c>
      <c r="M3" s="113">
        <v>3.080943731531764E-4</v>
      </c>
      <c r="N3" s="113">
        <v>2.7621171290845537E-5</v>
      </c>
      <c r="O3" s="113">
        <v>-1.6291977293662665E-4</v>
      </c>
      <c r="P3" s="113"/>
      <c r="Q3" s="113"/>
      <c r="R3" s="113"/>
      <c r="S3" s="113"/>
      <c r="T3" s="113"/>
      <c r="U3" s="113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52">
        <v>3.080943731531764E-4</v>
      </c>
      <c r="AD3" s="152">
        <v>-1.6357195394692617E-4</v>
      </c>
      <c r="AE3" s="151"/>
      <c r="AF3" s="151"/>
    </row>
    <row r="4" spans="1:33" x14ac:dyDescent="0.25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52.443674538242703</v>
      </c>
      <c r="K4" s="103">
        <v>6.448060901115781</v>
      </c>
      <c r="L4" s="103">
        <v>-2.0993026728090811</v>
      </c>
      <c r="M4" s="113">
        <v>4.4202785727721666E-4</v>
      </c>
      <c r="N4" s="113">
        <v>-9.6983240032864478E-5</v>
      </c>
      <c r="O4" s="113">
        <v>-1.9714765691479643E-4</v>
      </c>
      <c r="P4" s="113"/>
      <c r="Q4" s="113"/>
      <c r="R4" s="113"/>
      <c r="S4" s="113"/>
      <c r="T4" s="113"/>
      <c r="U4" s="113"/>
      <c r="V4" s="113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52">
        <v>4.4202785727721666E-4</v>
      </c>
      <c r="AD4" s="152">
        <v>-1.7883767854323646E-4</v>
      </c>
    </row>
    <row r="5" spans="1:33" x14ac:dyDescent="0.25">
      <c r="G5" s="19"/>
      <c r="W5" s="112"/>
      <c r="X5" s="112"/>
      <c r="AD5" s="152"/>
      <c r="AF5" s="385"/>
      <c r="AG5" s="385"/>
    </row>
    <row r="6" spans="1:33" x14ac:dyDescent="0.25">
      <c r="J6" s="20">
        <v>246.51030745318153</v>
      </c>
      <c r="M6" s="113">
        <v>2.8718770969591038E-4</v>
      </c>
      <c r="AC6" s="152">
        <v>2.8718770969591038E-4</v>
      </c>
      <c r="AD6" s="152">
        <v>-1.5625462173688313E-4</v>
      </c>
      <c r="AF6" s="151"/>
      <c r="AG6" s="151"/>
    </row>
    <row r="7" spans="1:33" x14ac:dyDescent="0.25">
      <c r="J7" s="20">
        <v>48.822953784154095</v>
      </c>
      <c r="M7" s="113">
        <v>4.1059798962019749E-4</v>
      </c>
      <c r="AC7" s="152">
        <v>4.1059798962019749E-4</v>
      </c>
      <c r="AD7" s="152">
        <v>-1.6783722486327974E-4</v>
      </c>
      <c r="AF7" s="151"/>
      <c r="AG7" s="151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25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25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25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25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25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25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25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25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25">
      <c r="C24" s="19"/>
      <c r="D24" s="19"/>
      <c r="E24" s="19"/>
      <c r="F24" s="19"/>
      <c r="I24" s="124"/>
    </row>
    <row r="25" spans="2:9" x14ac:dyDescent="0.25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25">
      <c r="B26" s="93" t="s">
        <v>105</v>
      </c>
      <c r="C26" s="103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3" t="s">
        <v>106</v>
      </c>
      <c r="C27" s="103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3" t="s">
        <v>107</v>
      </c>
      <c r="C28" s="103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3" t="s">
        <v>108</v>
      </c>
      <c r="C29" s="103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3" t="s">
        <v>13</v>
      </c>
      <c r="C31" s="116">
        <v>123.21632005366375</v>
      </c>
      <c r="D31" s="116">
        <v>22.790090656341313</v>
      </c>
    </row>
    <row r="32" spans="2:9" x14ac:dyDescent="0.25">
      <c r="B32" s="93" t="s">
        <v>12</v>
      </c>
      <c r="C32" s="116">
        <v>123.21632005366375</v>
      </c>
      <c r="D32" s="116">
        <v>22.790090656341313</v>
      </c>
    </row>
    <row r="33" spans="2:9" x14ac:dyDescent="0.25">
      <c r="B33" s="93" t="s">
        <v>14</v>
      </c>
      <c r="C33" s="116">
        <v>3.7597898122435511E-2</v>
      </c>
      <c r="D33" s="116">
        <v>1.5243928293540341</v>
      </c>
    </row>
    <row r="34" spans="2:9" x14ac:dyDescent="0.25">
      <c r="B34" s="93" t="s">
        <v>15</v>
      </c>
      <c r="C34" s="116">
        <v>3.7597898122435511E-2</v>
      </c>
      <c r="D34" s="116">
        <v>1.5243928293540341</v>
      </c>
    </row>
    <row r="35" spans="2:9" x14ac:dyDescent="0.25">
      <c r="B35" s="93" t="s">
        <v>16</v>
      </c>
      <c r="C35" s="116">
        <v>1.2357748045726282E-3</v>
      </c>
      <c r="D35" s="116">
        <v>9.6993406381697206E-2</v>
      </c>
    </row>
    <row r="36" spans="2:9" x14ac:dyDescent="0.25">
      <c r="B36" s="93" t="s">
        <v>17</v>
      </c>
      <c r="C36" s="116">
        <v>1.2357748045726282E-3</v>
      </c>
      <c r="D36" s="116">
        <v>9.6993406381697206E-2</v>
      </c>
    </row>
    <row r="38" spans="2:9" x14ac:dyDescent="0.25">
      <c r="B38" s="102"/>
      <c r="C38" s="386" t="s">
        <v>113</v>
      </c>
      <c r="D38" s="387"/>
      <c r="E38" s="386" t="s">
        <v>114</v>
      </c>
      <c r="F38" s="387"/>
    </row>
    <row r="39" spans="2:9" x14ac:dyDescent="0.25">
      <c r="B39" s="13"/>
      <c r="C39" s="386" t="s">
        <v>112</v>
      </c>
      <c r="D39" s="387"/>
      <c r="E39" s="386" t="s">
        <v>112</v>
      </c>
      <c r="F39" s="387"/>
    </row>
    <row r="40" spans="2:9" x14ac:dyDescent="0.25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5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5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5">
        <v>6.540250164498998E-2</v>
      </c>
      <c r="G43" s="98"/>
      <c r="H43" s="98"/>
      <c r="I43" s="98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5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5">
        <v>0.12481292914825824</v>
      </c>
    </row>
    <row r="46" spans="2:9" x14ac:dyDescent="0.25">
      <c r="B46" s="18">
        <v>6</v>
      </c>
      <c r="C46" s="96">
        <v>0</v>
      </c>
      <c r="D46" s="96">
        <v>0.62868882239104062</v>
      </c>
      <c r="E46" s="96">
        <v>0</v>
      </c>
      <c r="F46" s="97">
        <v>0.12481292914825824</v>
      </c>
    </row>
    <row r="48" spans="2:9" x14ac:dyDescent="0.25">
      <c r="B48" s="99" t="s">
        <v>148</v>
      </c>
      <c r="C48" s="128"/>
    </row>
    <row r="49" spans="2:5" x14ac:dyDescent="0.25">
      <c r="B49" s="93">
        <v>1</v>
      </c>
      <c r="C49" s="95">
        <v>18.001371637588178</v>
      </c>
      <c r="E49" s="111"/>
    </row>
    <row r="50" spans="2:5" x14ac:dyDescent="0.25">
      <c r="B50" s="93">
        <v>2</v>
      </c>
      <c r="C50" s="95">
        <v>84.316389452137187</v>
      </c>
    </row>
    <row r="51" spans="2:5" x14ac:dyDescent="0.25">
      <c r="B51" s="93">
        <v>3</v>
      </c>
      <c r="C51" s="95">
        <v>97.734962717092728</v>
      </c>
    </row>
    <row r="52" spans="2:5" x14ac:dyDescent="0.25">
      <c r="B52" s="93">
        <v>4</v>
      </c>
      <c r="C52" s="95">
        <v>97.962008553310937</v>
      </c>
    </row>
    <row r="53" spans="2:5" x14ac:dyDescent="0.25">
      <c r="B53" s="93">
        <v>5</v>
      </c>
      <c r="C53" s="95">
        <v>128.97762253051542</v>
      </c>
    </row>
    <row r="54" spans="2:5" ht="15" customHeight="1" x14ac:dyDescent="0.25">
      <c r="B54" s="93">
        <v>6</v>
      </c>
      <c r="C54" s="95"/>
    </row>
    <row r="75" spans="5:5" x14ac:dyDescent="0.25">
      <c r="E75" s="149"/>
    </row>
    <row r="76" spans="5:5" x14ac:dyDescent="0.25">
      <c r="E76" s="149"/>
    </row>
    <row r="77" spans="5:5" x14ac:dyDescent="0.25">
      <c r="E77" s="149"/>
    </row>
    <row r="78" spans="5:5" x14ac:dyDescent="0.25">
      <c r="E78" s="149"/>
    </row>
    <row r="79" spans="5:5" x14ac:dyDescent="0.25">
      <c r="E79" s="149"/>
    </row>
    <row r="80" spans="5:5" x14ac:dyDescent="0.25">
      <c r="E80" s="149"/>
    </row>
    <row r="81" spans="5:5" x14ac:dyDescent="0.25">
      <c r="E81" s="149"/>
    </row>
    <row r="82" spans="5:5" x14ac:dyDescent="0.25">
      <c r="E82" s="149"/>
    </row>
    <row r="83" spans="5:5" x14ac:dyDescent="0.25">
      <c r="E83" s="149"/>
    </row>
    <row r="84" spans="5:5" x14ac:dyDescent="0.25">
      <c r="E84" s="149"/>
    </row>
    <row r="85" spans="5:5" x14ac:dyDescent="0.25">
      <c r="E85" s="149"/>
    </row>
    <row r="86" spans="5:5" x14ac:dyDescent="0.25">
      <c r="E86" s="149"/>
    </row>
    <row r="87" spans="5:5" x14ac:dyDescent="0.25">
      <c r="E87" s="149"/>
    </row>
    <row r="88" spans="5:5" x14ac:dyDescent="0.25">
      <c r="E88" s="149"/>
    </row>
    <row r="89" spans="5:5" x14ac:dyDescent="0.25">
      <c r="E89" s="149"/>
    </row>
    <row r="90" spans="5:5" x14ac:dyDescent="0.25">
      <c r="E90" s="149"/>
    </row>
    <row r="91" spans="5:5" x14ac:dyDescent="0.25">
      <c r="E91" s="149"/>
    </row>
    <row r="92" spans="5:5" x14ac:dyDescent="0.25">
      <c r="E92" s="149"/>
    </row>
    <row r="93" spans="5:5" x14ac:dyDescent="0.25">
      <c r="E93" s="149"/>
    </row>
    <row r="94" spans="5:5" x14ac:dyDescent="0.25">
      <c r="E94" s="149"/>
    </row>
    <row r="95" spans="5:5" x14ac:dyDescent="0.25">
      <c r="E95" s="149"/>
    </row>
    <row r="96" spans="5:5" x14ac:dyDescent="0.25">
      <c r="E96" s="149"/>
    </row>
    <row r="97" spans="5:5" x14ac:dyDescent="0.25">
      <c r="E97" s="149"/>
    </row>
    <row r="98" spans="5:5" x14ac:dyDescent="0.25">
      <c r="E98" s="149"/>
    </row>
    <row r="99" spans="5:5" x14ac:dyDescent="0.25">
      <c r="E99" s="149"/>
    </row>
    <row r="100" spans="5:5" x14ac:dyDescent="0.25">
      <c r="E100" s="149"/>
    </row>
    <row r="101" spans="5:5" x14ac:dyDescent="0.25">
      <c r="E101" s="149"/>
    </row>
    <row r="102" spans="5:5" x14ac:dyDescent="0.25">
      <c r="E102" s="149"/>
    </row>
    <row r="103" spans="5:5" x14ac:dyDescent="0.25">
      <c r="E103" s="149"/>
    </row>
    <row r="104" spans="5:5" x14ac:dyDescent="0.25">
      <c r="E104" s="149"/>
    </row>
    <row r="105" spans="5:5" x14ac:dyDescent="0.25">
      <c r="E105" s="149"/>
    </row>
    <row r="106" spans="5:5" x14ac:dyDescent="0.25">
      <c r="E106" s="149"/>
    </row>
    <row r="107" spans="5:5" x14ac:dyDescent="0.25">
      <c r="E107" s="149"/>
    </row>
    <row r="108" spans="5:5" x14ac:dyDescent="0.25">
      <c r="E108" s="149"/>
    </row>
    <row r="109" spans="5:5" x14ac:dyDescent="0.25">
      <c r="E109" s="149"/>
    </row>
    <row r="110" spans="5:5" x14ac:dyDescent="0.25">
      <c r="E110" s="149"/>
    </row>
    <row r="111" spans="5:5" x14ac:dyDescent="0.25">
      <c r="E111" s="149"/>
    </row>
    <row r="112" spans="5:5" x14ac:dyDescent="0.25">
      <c r="E112" s="149"/>
    </row>
    <row r="113" spans="5:5" x14ac:dyDescent="0.25">
      <c r="E113" s="149"/>
    </row>
    <row r="114" spans="5:5" x14ac:dyDescent="0.25">
      <c r="E114" s="149"/>
    </row>
    <row r="115" spans="5:5" x14ac:dyDescent="0.25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C3" sqref="C3"/>
    </sheetView>
  </sheetViews>
  <sheetFormatPr baseColWidth="10" defaultColWidth="11.5703125" defaultRowHeight="15" x14ac:dyDescent="0.25"/>
  <sheetData>
    <row r="1" spans="1:20" ht="16.5" customHeight="1" thickBot="1" x14ac:dyDescent="0.3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25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x14ac:dyDescent="0.25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.75" thickBot="1" x14ac:dyDescent="0.3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.75" thickBot="1" x14ac:dyDescent="0.3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14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4" baseType="lpstr">
      <vt:lpstr>Tránsito</vt:lpstr>
      <vt:lpstr>Hoja2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2025-06-25T04:05:10Z</dcterms:modified>
</cp:coreProperties>
</file>
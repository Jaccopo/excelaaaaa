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E2979810-839B-46F7-BE2D-6B27CD6F55ED}" xr6:coauthVersionLast="47" xr6:coauthVersionMax="47" xr10:uidLastSave="{00000000-0000-0000-0000-000000000000}"/>
  <bookViews>
    <workbookView xWindow="-120" yWindow="-120" windowWidth="29040" windowHeight="15840" tabRatio="903" activeTab="4" xr2:uid="{00000000-000D-0000-FFFF-FFFF00000000}"/>
  </bookViews>
  <sheets>
    <sheet name="Tránsito" sheetId="65" r:id="rId1"/>
    <sheet name="Hoja2" sheetId="68" r:id="rId2"/>
    <sheet name="Espectros de Carga" sheetId="56" r:id="rId3"/>
    <sheet name="Análisis Individual" sheetId="63" r:id="rId4"/>
    <sheet name="Análisis Espectral" sheetId="64" r:id="rId5"/>
    <sheet name="NuevoFormatoPav" sheetId="52" r:id="rId6"/>
    <sheet name="Larguillo" sheetId="61" r:id="rId7"/>
    <sheet name="avanzado" sheetId="60" r:id="rId8"/>
    <sheet name="Análisis probabilista" sheetId="66" r:id="rId9"/>
    <sheet name="Hoja1" sheetId="67" r:id="rId10"/>
    <sheet name="calculos" sheetId="58" r:id="rId11"/>
    <sheet name="Espectro Daño Deformacion" sheetId="42" state="hidden" r:id="rId12"/>
    <sheet name="Espectro Daño Fatiga" sheetId="43" state="hidden" r:id="rId13"/>
    <sheet name="Daño Acumulado Deformacion" sheetId="51" state="hidden" r:id="rId14"/>
    <sheet name="Daño Acumulado Fatiga" sheetId="38" state="hidden" r:id="rId15"/>
    <sheet name="factor_e_vert" sheetId="47" r:id="rId16"/>
    <sheet name="factor_e_rad" sheetId="49" r:id="rId17"/>
    <sheet name="factor_e_tan" sheetId="50" r:id="rId18"/>
  </sheets>
  <functionGroups builtInGroupCount="19"/>
  <externalReferences>
    <externalReference r:id="rId19"/>
    <externalReference r:id="rId20"/>
    <externalReference r:id="rId21"/>
    <externalReference r:id="rId22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4">#REF!</definedName>
    <definedName name="E.RADIAL.HOR.B" localSheetId="3">#REF!</definedName>
    <definedName name="E.RADIAL.HOR.B" localSheetId="10">'[4]ANALISIS PAVIMENTO'!$DS$61:$EJ$62</definedName>
    <definedName name="E.RADIAL.HOR.B" localSheetId="0">#REF!</definedName>
    <definedName name="E.RADIAL.HOR.B">#REF!</definedName>
    <definedName name="E.RADIAL.VERT.B" localSheetId="4">#REF!</definedName>
    <definedName name="E.RADIAL.VERT.B" localSheetId="3">#REF!</definedName>
    <definedName name="E.RADIAL.VERT.B" localSheetId="10">'[4]ANALISIS PAVIMENTO'!$DQ$63:$DR$85</definedName>
    <definedName name="E.RADIAL.VERT.B" localSheetId="0">#REF!</definedName>
    <definedName name="E.RADIAL.VERT.B">#REF!</definedName>
    <definedName name="E.TAN.HOR.B" localSheetId="4">#REF!</definedName>
    <definedName name="E.TAN.HOR.B" localSheetId="3">#REF!</definedName>
    <definedName name="E.TAN.HOR.B" localSheetId="10">'[4]ANALISIS PAVIMENTO'!$EN$61:$FE$62</definedName>
    <definedName name="E.TAN.HOR.B" localSheetId="0">#REF!</definedName>
    <definedName name="E.TAN.HOR.B">#REF!</definedName>
    <definedName name="E.TAN.VERT.B" localSheetId="4">#REF!</definedName>
    <definedName name="E.TAN.VERT.B" localSheetId="3">#REF!</definedName>
    <definedName name="E.TAN.VERT.B" localSheetId="10">'[4]ANALISIS PAVIMENTO'!$EL$63:$EM$85</definedName>
    <definedName name="E.TAN.VERT.B" localSheetId="0">#REF!</definedName>
    <definedName name="E.TAN.VERT.B">#REF!</definedName>
    <definedName name="E.VERT.HOR.B" localSheetId="4">#REF!</definedName>
    <definedName name="E.VERT.HOR.B" localSheetId="3">#REF!</definedName>
    <definedName name="E.VERT.HOR.B" localSheetId="10">'[4]ANALISIS PAVIMENTO'!$CX$61:$DO$62</definedName>
    <definedName name="E.VERT.HOR.B" localSheetId="0">#REF!</definedName>
    <definedName name="E.VERT.HOR.B">#REF!</definedName>
    <definedName name="E.VERT.VERT.B" localSheetId="4">#REF!</definedName>
    <definedName name="E.VERT.VERT.B" localSheetId="3">#REF!</definedName>
    <definedName name="E.VERT.VERT.B" localSheetId="10">'[4]ANALISIS PAVIMENTO'!$CV$63:$CW$85</definedName>
    <definedName name="E.VERT.VERT.B" localSheetId="0">#REF!</definedName>
    <definedName name="E.VERT.VERT.B">#REF!</definedName>
    <definedName name="FACTOR.E.RADIAL.B" localSheetId="4">#REF!</definedName>
    <definedName name="FACTOR.E.RADIAL.B" localSheetId="3">#REF!</definedName>
    <definedName name="FACTOR.E.RADIAL.B" localSheetId="10">'[4]ANALISIS PAVIMENTO'!$DS$63:$EJ$85</definedName>
    <definedName name="FACTOR.E.RADIAL.B" localSheetId="0">#REF!</definedName>
    <definedName name="FACTOR.E.RADIAL.B">#REF!</definedName>
    <definedName name="FACTOR.E.TAN.B" localSheetId="4">#REF!</definedName>
    <definedName name="FACTOR.E.TAN.B" localSheetId="3">#REF!</definedName>
    <definedName name="FACTOR.E.TAN.B" localSheetId="10">'[4]ANALISIS PAVIMENTO'!$EN$63:$FE$85</definedName>
    <definedName name="FACTOR.E.TAN.B" localSheetId="0">#REF!</definedName>
    <definedName name="FACTOR.E.TAN.B">#REF!</definedName>
    <definedName name="FACTOR.E.VERT.B" localSheetId="4">#REF!</definedName>
    <definedName name="FACTOR.E.VERT.B" localSheetId="3">#REF!</definedName>
    <definedName name="FACTOR.E.VERT.B" localSheetId="10">'[4]ANALISIS PAVIMENTO'!$CX$63:$DO$85</definedName>
    <definedName name="FACTOR.E.VERT.B" localSheetId="0">#REF!</definedName>
    <definedName name="FACTOR.E.VERT.B">#REF!</definedName>
    <definedName name="SENCILLO" localSheetId="4">'Análisis Espectral'!$F$8</definedName>
    <definedName name="SENCILLO" localSheetId="3">'Análisis Individual'!$F$8</definedName>
    <definedName name="SENCILLO">NuevoFormatoPav!$F$8</definedName>
    <definedName name="TANDEM" localSheetId="4">#REF!</definedName>
    <definedName name="TANDEM" localSheetId="3">#REF!</definedName>
    <definedName name="TANDEM" localSheetId="0">#REF!</definedName>
    <definedName name="TANDEM">#REF!</definedName>
    <definedName name="TRIDEM" localSheetId="4">'Análisis Espectral'!$F$8</definedName>
    <definedName name="TRIDEM" localSheetId="3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61" l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BJ1" i="61" s="1"/>
  <c r="BK1" i="61" s="1"/>
  <c r="BL1" i="61" s="1"/>
  <c r="BM1" i="61" s="1"/>
  <c r="BN1" i="61" s="1"/>
  <c r="BO1" i="61" s="1"/>
  <c r="BP1" i="61" s="1"/>
  <c r="BQ1" i="61" s="1"/>
  <c r="BR1" i="61" s="1"/>
  <c r="BS1" i="61" s="1"/>
  <c r="BT1" i="61" s="1"/>
  <c r="BU1" i="61" s="1"/>
  <c r="BV1" i="61" s="1"/>
  <c r="B1" i="61"/>
  <c r="F128" i="67"/>
  <c r="E128" i="67"/>
  <c r="D128" i="67"/>
  <c r="F127" i="67"/>
  <c r="E127" i="67"/>
  <c r="D127" i="67"/>
  <c r="F126" i="67"/>
  <c r="E126" i="67"/>
  <c r="D126" i="67"/>
  <c r="F125" i="67"/>
  <c r="E125" i="67"/>
  <c r="D125" i="67"/>
  <c r="F124" i="67"/>
  <c r="E124" i="67"/>
  <c r="D124" i="67"/>
  <c r="F123" i="67"/>
  <c r="E123" i="67"/>
  <c r="D123" i="67"/>
  <c r="F117" i="67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<sst xmlns="http://schemas.openxmlformats.org/spreadsheetml/2006/main" count="483" uniqueCount="264">
  <si>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</si>
  <si>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</si>
  <si>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</si>
  <si>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</si>
  <si>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</si>
  <si>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</si>
  <si>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</si>
  <si>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</si>
  <si>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</si>
  <si>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</si>
  <si>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</si>
  <si>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</si>
  <si>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</si>
  <si>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</si>
  <si>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</si>
  <si>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</si>
  <si>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</si>
  <si>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</si>
  <si>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</si>
  <si>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</si>
  <si>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</si>
  <si>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</si>
  <si>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</si>
  <si>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</si>
  <si>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</si>
  <si>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</si>
  <si>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</si>
  <si>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</si>
  <si>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</si>
  <si>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</si>
  <si>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</si>
  <si>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</si>
  <si>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</si>
  <si>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</si>
  <si>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</si>
  <si>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</si>
  <si>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</si>
  <si>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</si>
  <si>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</si>
  <si>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</si>
  <si>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</si>
  <si>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</si>
  <si>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</si>
  <si>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</si>
  <si>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</si>
  <si>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</si>
  <si>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</si>
  <si>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</si>
  <si>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</si>
  <si>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</si>
  <si>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</si>
  <si>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</si>
  <si>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</si>
  <si>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</si>
  <si>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</si>
  <si>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</si>
  <si>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</si>
  <si>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</si>
  <si>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</si>
  <si>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</si>
  <si>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</si>
  <si>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DEFORMACIÓN</t>
  </si>
  <si>
    <t>FATIGA</t>
  </si>
  <si>
    <t>PERSONALIZADO</t>
  </si>
  <si>
    <t>SIMPLE  (EJES/AÑO)</t>
  </si>
  <si>
    <t>RESPUESTA EJE SIMPLE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</si>
  <si>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</si>
  <si>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</si>
  <si>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</si>
  <si>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</si>
  <si>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</si>
  <si>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</si>
  <si>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</si>
  <si>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</si>
  <si>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</si>
  <si>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</si>
  <si>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</si>
  <si>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</si>
  <si>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</si>
  <si>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</si>
  <si>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</si>
  <si>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</si>
  <si>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</si>
  <si>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</si>
  <si>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</si>
  <si>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</si>
  <si>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</si>
  <si>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</si>
  <si>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</si>
  <si>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</si>
  <si>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</si>
  <si>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</si>
  <si>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</si>
  <si>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</si>
  <si>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</si>
  <si>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</si>
  <si>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</si>
  <si>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</si>
  <si>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</si>
  <si>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</si>
  <si>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</si>
  <si>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</si>
  <si>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</si>
  <si>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</si>
  <si>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</si>
  <si>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</si>
  <si>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</si>
  <si>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</si>
  <si>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</si>
  <si>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</si>
  <si>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</si>
  <si>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</si>
  <si>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</si>
  <si>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</si>
  <si>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</si>
  <si>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</si>
  <si>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</si>
  <si>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</si>
  <si>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</si>
  <si>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</si>
  <si>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</si>
  <si>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</si>
  <si>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</si>
  <si>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</si>
  <si>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</si>
  <si>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</si>
  <si>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</si>
  <si>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</si>
  <si>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</si>
  <si>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</si>
  <si>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</si>
  <si>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</si>
  <si>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</si>
  <si>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</si>
  <si>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</si>
  <si>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</si>
  <si>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</si>
  <si>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</si>
  <si>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</si>
  <si>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</si>
  <si>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</si>
  <si>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</si>
  <si>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</si>
  <si>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</si>
  <si>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</si>
  <si>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</si>
  <si>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</si>
  <si>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</si>
  <si>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</si>
  <si>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</si>
  <si>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</si>
  <si>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</si>
  <si>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</si>
  <si>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</si>
  <si>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</si>
  <si>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</si>
  <si>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</si>
  <si>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</si>
  <si>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</si>
  <si>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</si>
  <si>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</si>
  <si>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</si>
  <si>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</si>
  <si>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</si>
  <si>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</si>
  <si>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</si>
  <si>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</si>
  <si>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</si>
  <si>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</si>
  <si>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</si>
  <si>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</si>
  <si>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</si>
  <si>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</si>
  <si>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</si>
  <si>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</si>
  <si>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</si>
  <si>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</si>
  <si>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</si>
  <si>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</si>
  <si>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</si>
  <si>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</si>
  <si>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</si>
  <si>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</si>
  <si>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</si>
  <si>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</si>
  <si>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</si>
  <si>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</si>
  <si>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</si>
  <si>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</si>
  <si>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</si>
  <si>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</si>
  <si>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</si>
  <si>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</si>
  <si>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</si>
  <si>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</si>
  <si>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</si>
  <si>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</si>
  <si>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</si>
  <si>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</si>
  <si>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</si>
  <si>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</si>
  <si>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</si>
  <si>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</si>
  <si>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</si>
  <si>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</si>
  <si>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</si>
  <si>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</si>
  <si>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</si>
  <si>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</si>
  <si>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</si>
  <si>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</si>
  <si>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</si>
  <si>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</si>
  <si>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</si>
  <si>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</si>
  <si>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</si>
  <si>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</si>
  <si>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</si>
  <si>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</si>
  <si>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</si>
  <si>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</si>
  <si>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</si>
  <si>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</si>
  <si>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</si>
  <si>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</si>
  <si>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</si>
  <si>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</si>
  <si>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</si>
  <si>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</si>
  <si>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</si>
  <si>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</si>
  <si>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</si>
  <si>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</si>
  <si>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</si>
  <si>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</si>
  <si>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</si>
  <si>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</si>
  <si>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</si>
  <si>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</si>
  <si>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</si>
  <si>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</si>
  <si>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</si>
  <si>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</si>
  <si>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</si>
  <si>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</si>
  <si>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</si>
  <si>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</si>
  <si>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</si>
  <si>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</si>
  <si>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</si>
  <si>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</si>
  <si>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</si>
  <si>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 xml:space="preserve">20		</t>
  </si>
  <si>
    <t xml:space="preserve">0,5			</t>
  </si>
  <si>
    <t>0,000000000166</t>
  </si>
  <si>
    <t>4,32</t>
  </si>
  <si>
    <t xml:space="preserve"> &gt; 20</t>
  </si>
  <si>
    <r>
      <t xml:space="preserve">Def. tensión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</si>
  <si>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</si>
  <si>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rFont val="Calibri"/>
        <family val="2"/>
      </rPr>
      <t xml:space="preserve">t </t>
    </r>
    <r>
      <rPr>
        <sz val="11"/>
        <rFont val="Calibri"/>
        <family val="2"/>
      </rPr>
      <t>(kpa)</t>
    </r>
  </si>
  <si>
    <r>
      <t>σ</t>
    </r>
    <r>
      <rPr>
        <vertAlign val="subscript"/>
        <sz val="11"/>
        <rFont val="Calibri"/>
        <family val="2"/>
      </rPr>
      <t xml:space="preserve">z </t>
    </r>
    <r>
      <rPr>
        <sz val="11"/>
        <rFont val="Calibri"/>
        <family val="2"/>
      </rPr>
      <t>(kpa)</t>
    </r>
  </si>
  <si>
    <t>espectral</t>
  </si>
  <si>
    <t xml:space="preserve">500	</t>
  </si>
  <si>
    <t>Tridem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</si>
</sst>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6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b/>
      <sz val="11"/>
      <name val="Calibri"/>
      <family val="2"/>
    </font>
    <font>
      <sz val="14"/>
      <name val="Calibri"/>
      <family val="2"/>
      <scheme val="minor"/>
    </font>
    <font>
      <sz val="13"/>
      <name val="Calibri"/>
      <family val="2"/>
      <scheme val="minor"/>
    </font>
    <font>
      <b/>
      <sz val="11"/>
      <name val="Arial Narrow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sz val="11"/>
      <name val="Tahoma"/>
      <family val="2"/>
    </font>
    <font>
      <b/>
      <sz val="10.5"/>
      <name val="Arial Narrow"/>
      <family val="2"/>
    </font>
    <font>
      <b/>
      <sz val="10.5"/>
      <name val="Tahoma"/>
      <family val="2"/>
    </font>
    <font>
      <sz val="10"/>
      <name val="Simplified Arabic Fixed"/>
      <family val="3"/>
      <charset val="178"/>
    </font>
    <font>
      <sz val="15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55" fillId="0" borderId="0" applyFont="0" applyFill="0" applyBorder="0" applyAlignment="0" applyProtection="0"/>
  </cellStyleXfs>
  <cellXfs count="38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12" fillId="0" borderId="0" xfId="0" applyFont="1"/>
    <xf numFmtId="0" fontId="28" fillId="0" borderId="0" xfId="0" applyFont="1" applyAlignment="1">
      <alignment vertical="center"/>
    </xf>
    <xf numFmtId="0" fontId="30" fillId="0" borderId="0" xfId="0" applyFont="1"/>
    <xf numFmtId="0" fontId="33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0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4" fillId="14" borderId="41" xfId="0" applyFont="1" applyFill="1" applyBorder="1" applyAlignment="1">
      <alignment horizontal="center"/>
    </xf>
    <xf numFmtId="0" fontId="34" fillId="14" borderId="9" xfId="0" applyFont="1" applyFill="1" applyBorder="1" applyAlignment="1">
      <alignment horizontal="center"/>
    </xf>
    <xf numFmtId="0" fontId="34" fillId="14" borderId="3" xfId="0" applyFont="1" applyFill="1" applyBorder="1" applyAlignment="1">
      <alignment horizontal="center"/>
    </xf>
    <xf numFmtId="0" fontId="30" fillId="14" borderId="1" xfId="0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4" fillId="14" borderId="1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70" fontId="43" fillId="0" borderId="0" xfId="1" applyNumberFormat="1" applyFont="1" applyAlignment="1">
      <alignment vertical="center"/>
    </xf>
    <xf numFmtId="168" fontId="43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9" fillId="0" borderId="0" xfId="0" applyFont="1"/>
    <xf numFmtId="1" fontId="0" fillId="0" borderId="0" xfId="0" applyNumberFormat="1"/>
    <xf numFmtId="0" fontId="35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168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52" fillId="18" borderId="8" xfId="0" applyFont="1" applyFill="1" applyBorder="1" applyAlignment="1">
      <alignment horizontal="center"/>
    </xf>
    <xf numFmtId="0" fontId="52" fillId="18" borderId="0" xfId="0" applyFont="1" applyFill="1" applyAlignment="1">
      <alignment horizontal="center"/>
    </xf>
    <xf numFmtId="0" fontId="52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52" fillId="18" borderId="6" xfId="0" applyFont="1" applyFill="1" applyBorder="1" applyAlignment="1">
      <alignment horizontal="center"/>
    </xf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4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51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54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56" fillId="4" borderId="0" xfId="0" applyFont="1" applyFill="1" applyAlignment="1" applyProtection="1">
      <alignment horizontal="right" vertical="center"/>
      <protection locked="0"/>
    </xf>
    <xf numFmtId="9" fontId="56" fillId="4" borderId="0" xfId="2" applyFont="1" applyFill="1" applyBorder="1" applyAlignment="1" applyProtection="1">
      <alignment horizontal="center" vertical="center"/>
      <protection locked="0"/>
    </xf>
    <xf numFmtId="0" fontId="54" fillId="21" borderId="48" xfId="0" applyFont="1" applyFill="1" applyBorder="1" applyProtection="1">
      <protection locked="0"/>
    </xf>
    <xf numFmtId="0" fontId="54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51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Protection="1">
      <protection locked="0"/>
    </xf>
    <xf numFmtId="0" fontId="5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9" fillId="22" borderId="1" xfId="0" applyFont="1" applyFill="1" applyBorder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/>
    <xf numFmtId="0" fontId="3" fillId="0" borderId="41" xfId="0" applyFont="1" applyBorder="1"/>
    <xf numFmtId="0" fontId="3" fillId="0" borderId="3" xfId="0" applyFont="1" applyBorder="1"/>
    <xf numFmtId="0" fontId="57" fillId="0" borderId="0" xfId="0" applyFont="1"/>
    <xf numFmtId="0" fontId="3" fillId="0" borderId="0" xfId="0" applyFont="1" applyAlignment="1">
      <alignment horizontal="left" vertical="center"/>
    </xf>
    <xf numFmtId="11" fontId="3" fillId="0" borderId="0" xfId="0" applyNumberFormat="1" applyFont="1" applyAlignment="1">
      <alignment horizontal="center"/>
    </xf>
    <xf numFmtId="0" fontId="61" fillId="0" borderId="0" xfId="0" applyFont="1"/>
    <xf numFmtId="0" fontId="22" fillId="0" borderId="0" xfId="0" applyFont="1"/>
    <xf numFmtId="0" fontId="2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3" fillId="0" borderId="39" xfId="0" applyFont="1" applyBorder="1"/>
    <xf numFmtId="0" fontId="3" fillId="0" borderId="2" xfId="0" applyFont="1" applyBorder="1" applyAlignment="1">
      <alignment horizontal="center"/>
    </xf>
    <xf numFmtId="0" fontId="3" fillId="23" borderId="0" xfId="0" applyFont="1" applyFill="1"/>
    <xf numFmtId="0" fontId="22" fillId="23" borderId="0" xfId="0" applyFont="1" applyFill="1" applyAlignment="1">
      <alignment horizontal="center"/>
    </xf>
    <xf numFmtId="0" fontId="3" fillId="0" borderId="2" xfId="0" applyFont="1" applyBorder="1"/>
    <xf numFmtId="0" fontId="6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23" borderId="39" xfId="0" applyFont="1" applyFill="1" applyBorder="1"/>
    <xf numFmtId="0" fontId="57" fillId="23" borderId="0" xfId="0" applyFont="1" applyFill="1" applyAlignment="1">
      <alignment horizontal="center"/>
    </xf>
    <xf numFmtId="0" fontId="3" fillId="0" borderId="2" xfId="0" applyFont="1" applyBorder="1" applyAlignment="1">
      <alignment horizontal="left"/>
    </xf>
    <xf numFmtId="0" fontId="63" fillId="0" borderId="0" xfId="0" applyFont="1"/>
    <xf numFmtId="11" fontId="3" fillId="0" borderId="0" xfId="0" applyNumberFormat="1" applyFont="1"/>
    <xf numFmtId="0" fontId="3" fillId="24" borderId="0" xfId="0" applyFont="1" applyFill="1"/>
    <xf numFmtId="0" fontId="22" fillId="24" borderId="0" xfId="0" applyFont="1" applyFill="1" applyAlignment="1">
      <alignment horizontal="center"/>
    </xf>
    <xf numFmtId="0" fontId="63" fillId="0" borderId="0" xfId="0" applyFont="1" applyAlignment="1">
      <alignment horizontal="left"/>
    </xf>
    <xf numFmtId="2" fontId="3" fillId="0" borderId="2" xfId="0" applyNumberFormat="1" applyFont="1" applyBorder="1" applyAlignment="1">
      <alignment horizontal="left"/>
    </xf>
    <xf numFmtId="0" fontId="3" fillId="24" borderId="39" xfId="0" applyFont="1" applyFill="1" applyBorder="1"/>
    <xf numFmtId="0" fontId="57" fillId="24" borderId="0" xfId="0" applyFont="1" applyFill="1" applyAlignment="1">
      <alignment horizont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3" fillId="25" borderId="0" xfId="0" applyFont="1" applyFill="1"/>
    <xf numFmtId="0" fontId="22" fillId="25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57" fillId="2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53" fillId="16" borderId="0" xfId="0" applyFont="1" applyFill="1" applyAlignment="1">
      <alignment vertical="center"/>
    </xf>
    <xf numFmtId="0" fontId="3" fillId="16" borderId="1" xfId="0" applyFont="1" applyFill="1" applyBorder="1" applyAlignment="1">
      <alignment horizontal="center" vertical="center"/>
    </xf>
    <xf numFmtId="0" fontId="29" fillId="16" borderId="0" xfId="0" applyFont="1" applyFill="1" applyAlignment="1">
      <alignment vertical="center"/>
    </xf>
    <xf numFmtId="0" fontId="22" fillId="16" borderId="0" xfId="0" applyFont="1" applyFill="1"/>
    <xf numFmtId="0" fontId="3" fillId="16" borderId="1" xfId="0" applyFont="1" applyFill="1" applyBorder="1" applyAlignment="1">
      <alignment horizontal="center" vertical="center" wrapText="1"/>
    </xf>
    <xf numFmtId="0" fontId="67" fillId="16" borderId="0" xfId="0" applyFont="1" applyFill="1" applyAlignment="1">
      <alignment horizontal="center" vertical="center" wrapText="1"/>
    </xf>
    <xf numFmtId="0" fontId="22" fillId="16" borderId="1" xfId="0" applyFont="1" applyFill="1" applyBorder="1" applyAlignment="1">
      <alignment horizontal="center" vertical="center"/>
    </xf>
    <xf numFmtId="2" fontId="3" fillId="16" borderId="0" xfId="0" applyNumberFormat="1" applyFont="1" applyFill="1" applyAlignment="1">
      <alignment horizontal="center" vertical="center"/>
    </xf>
    <xf numFmtId="2" fontId="3" fillId="16" borderId="0" xfId="0" applyNumberFormat="1" applyFont="1" applyFill="1" applyAlignment="1">
      <alignment horizontal="center"/>
    </xf>
    <xf numFmtId="1" fontId="3" fillId="16" borderId="0" xfId="0" applyNumberFormat="1" applyFont="1" applyFill="1" applyAlignment="1">
      <alignment horizontal="center"/>
    </xf>
    <xf numFmtId="11" fontId="3" fillId="16" borderId="0" xfId="0" applyNumberFormat="1" applyFont="1" applyFill="1" applyAlignment="1">
      <alignment horizontal="center"/>
    </xf>
    <xf numFmtId="167" fontId="3" fillId="16" borderId="0" xfId="0" applyNumberFormat="1" applyFont="1" applyFill="1" applyAlignment="1">
      <alignment horizontal="center"/>
    </xf>
    <xf numFmtId="166" fontId="3" fillId="16" borderId="0" xfId="0" applyNumberFormat="1" applyFont="1" applyFill="1" applyAlignment="1">
      <alignment horizontal="center"/>
    </xf>
    <xf numFmtId="2" fontId="14" fillId="16" borderId="0" xfId="0" applyNumberFormat="1" applyFont="1" applyFill="1" applyAlignment="1">
      <alignment horizontal="center" vertical="center"/>
    </xf>
    <xf numFmtId="0" fontId="66" fillId="16" borderId="0" xfId="0" applyFont="1" applyFill="1" applyAlignment="1">
      <alignment horizontal="center"/>
    </xf>
    <xf numFmtId="0" fontId="64" fillId="16" borderId="0" xfId="0" applyFont="1" applyFill="1" applyAlignment="1">
      <alignment vertical="center"/>
    </xf>
    <xf numFmtId="167" fontId="3" fillId="16" borderId="0" xfId="0" applyNumberFormat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1" fontId="3" fillId="13" borderId="1" xfId="0" applyNumberFormat="1" applyFont="1" applyFill="1" applyBorder="1"/>
    <xf numFmtId="2" fontId="3" fillId="13" borderId="1" xfId="0" applyNumberFormat="1" applyFont="1" applyFill="1" applyBorder="1"/>
    <xf numFmtId="0" fontId="64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1" fontId="3" fillId="0" borderId="0" xfId="0" applyNumberFormat="1" applyFont="1" applyAlignment="1">
      <alignment horizontal="center" vertic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46" fillId="0" borderId="7" xfId="0" applyFont="1" applyBorder="1" applyAlignment="1">
      <alignment vertical="center"/>
    </xf>
    <xf numFmtId="168" fontId="29" fillId="13" borderId="1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3" fillId="16" borderId="0" xfId="0" applyFont="1" applyFill="1" applyProtection="1">
      <protection locked="0"/>
    </xf>
    <xf numFmtId="0" fontId="3" fillId="4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29" fillId="4" borderId="1" xfId="0" applyFont="1" applyFill="1" applyBorder="1" applyAlignment="1" applyProtection="1">
      <alignment horizontal="right" vertical="center"/>
      <protection locked="0"/>
    </xf>
    <xf numFmtId="9" fontId="29" fillId="4" borderId="1" xfId="2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Protection="1">
      <protection locked="0"/>
    </xf>
    <xf numFmtId="0" fontId="3" fillId="21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/>
    <xf numFmtId="0" fontId="2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168" fontId="29" fillId="0" borderId="1" xfId="0" applyNumberFormat="1" applyFont="1" applyBorder="1" applyAlignment="1">
      <alignment horizontal="center"/>
    </xf>
    <xf numFmtId="168" fontId="3" fillId="0" borderId="1" xfId="0" applyNumberFormat="1" applyFont="1" applyBorder="1"/>
    <xf numFmtId="168" fontId="3" fillId="0" borderId="1" xfId="0" applyNumberFormat="1" applyFont="1" applyBorder="1" applyProtection="1">
      <protection locked="0"/>
    </xf>
    <xf numFmtId="2" fontId="3" fillId="0" borderId="1" xfId="0" applyNumberFormat="1" applyFont="1" applyBorder="1" applyProtection="1">
      <protection locked="0"/>
    </xf>
    <xf numFmtId="0" fontId="53" fillId="0" borderId="1" xfId="0" applyFont="1" applyBorder="1" applyAlignment="1">
      <alignment vertical="center"/>
    </xf>
    <xf numFmtId="168" fontId="3" fillId="0" borderId="1" xfId="0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8" borderId="1" xfId="0" applyFont="1" applyFill="1" applyBorder="1"/>
    <xf numFmtId="0" fontId="53" fillId="2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/>
    </xf>
    <xf numFmtId="0" fontId="3" fillId="16" borderId="1" xfId="0" applyFont="1" applyFill="1" applyBorder="1"/>
    <xf numFmtId="0" fontId="22" fillId="16" borderId="1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/>
    </xf>
    <xf numFmtId="167" fontId="15" fillId="16" borderId="1" xfId="1" applyNumberFormat="1" applyFill="1" applyBorder="1" applyAlignment="1">
      <alignment horizontal="center" vertical="center"/>
    </xf>
    <xf numFmtId="0" fontId="0" fillId="0" borderId="6" xfId="0" applyBorder="1"/>
    <xf numFmtId="0" fontId="7" fillId="22" borderId="0" xfId="0" applyFont="1" applyFill="1" applyAlignment="1">
      <alignment horizontal="center" vertical="center"/>
    </xf>
    <xf numFmtId="0" fontId="41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8" fontId="48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47" fillId="17" borderId="42" xfId="1" applyNumberFormat="1" applyFont="1" applyFill="1" applyBorder="1" applyAlignment="1">
      <alignment horizontal="center" vertical="center"/>
    </xf>
    <xf numFmtId="3" fontId="47" fillId="17" borderId="42" xfId="1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textRotation="90" wrapText="1"/>
    </xf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53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8" fontId="22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71" fontId="3" fillId="0" borderId="0" xfId="0" applyNumberFormat="1" applyFont="1" applyAlignment="1">
      <alignment horizontal="center" readingOrder="1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0" fontId="20" fillId="0" borderId="0" xfId="0" applyFont="1" applyAlignment="1" applyProtection="1">
      <alignment horizontal="center"/>
      <protection locked="0"/>
    </xf>
    <xf numFmtId="0" fontId="29" fillId="22" borderId="4" xfId="0" applyFont="1" applyFill="1" applyBorder="1" applyAlignment="1">
      <alignment horizontal="center" vertical="center"/>
    </xf>
    <xf numFmtId="0" fontId="29" fillId="22" borderId="5" xfId="0" applyFont="1" applyFill="1" applyBorder="1" applyAlignment="1">
      <alignment horizontal="center" vertical="center"/>
    </xf>
    <xf numFmtId="0" fontId="29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3" fillId="16" borderId="4" xfId="0" applyFont="1" applyFill="1" applyBorder="1" applyAlignment="1">
      <alignment horizontal="center" vertical="center"/>
    </xf>
    <xf numFmtId="0" fontId="53" fillId="16" borderId="5" xfId="0" applyFont="1" applyFill="1" applyBorder="1" applyAlignment="1">
      <alignment horizontal="center" vertical="center"/>
    </xf>
    <xf numFmtId="0" fontId="53" fillId="16" borderId="2" xfId="0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 wrapText="1"/>
    </xf>
    <xf numFmtId="0" fontId="46" fillId="16" borderId="1" xfId="0" applyFont="1" applyFill="1" applyBorder="1" applyAlignment="1">
      <alignment horizontal="right" vertical="center"/>
    </xf>
    <xf numFmtId="0" fontId="0" fillId="0" borderId="47" xfId="0" applyBorder="1" applyAlignment="1">
      <alignment horizontal="center"/>
    </xf>
    <xf numFmtId="0" fontId="17" fillId="6" borderId="4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29" fillId="19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3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center"/>
      <protection locked="0"/>
    </xf>
    <xf numFmtId="0" fontId="53" fillId="22" borderId="4" xfId="0" applyFont="1" applyFill="1" applyBorder="1" applyAlignment="1">
      <alignment horizontal="center" vertical="center"/>
    </xf>
    <xf numFmtId="0" fontId="53" fillId="22" borderId="5" xfId="0" applyFont="1" applyFill="1" applyBorder="1" applyAlignment="1">
      <alignment horizontal="center" vertical="center"/>
    </xf>
    <xf numFmtId="0" fontId="53" fillId="22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18" Type="http://schemas.openxmlformats.org/officeDocument/2006/relationships/worksheet" Target="worksheets/sheet14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worksheet" Target="worksheets/sheet13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4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Relationship Id="rId22" Type="http://schemas.openxmlformats.org/officeDocument/2006/relationships/externalLink" Target="externalLinks/externalLink4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3.1753350949166831E-19</c:v>
                </c:pt>
                <c:pt idx="1">
                  <c:v>4.6516849591301319E-10</c:v>
                </c:pt>
                <c:pt idx="2">
                  <c:v>5.0397948011464576E-6</c:v>
                </c:pt>
                <c:pt idx="3">
                  <c:v>9.3579365247105253E-4</c:v>
                </c:pt>
                <c:pt idx="4">
                  <c:v>2.462851738949844E-2</c:v>
                </c:pt>
                <c:pt idx="5">
                  <c:v>0.21462148420327809</c:v>
                </c:pt>
                <c:pt idx="6">
                  <c:v>0.93784915714764161</c:v>
                </c:pt>
                <c:pt idx="7">
                  <c:v>2.5852286884627191</c:v>
                </c:pt>
                <c:pt idx="8">
                  <c:v>5.1612874234912116</c:v>
                </c:pt>
                <c:pt idx="9">
                  <c:v>8.1530141067954318</c:v>
                </c:pt>
                <c:pt idx="10">
                  <c:v>10.813536964682509</c:v>
                </c:pt>
                <c:pt idx="11">
                  <c:v>12.551316727867661</c:v>
                </c:pt>
                <c:pt idx="12">
                  <c:v>13.135149264546412</c:v>
                </c:pt>
                <c:pt idx="13">
                  <c:v>12.673014304797936</c:v>
                </c:pt>
                <c:pt idx="14">
                  <c:v>11.475317970407644</c:v>
                </c:pt>
                <c:pt idx="15">
                  <c:v>9.915675219229442</c:v>
                </c:pt>
                <c:pt idx="16">
                  <c:v>8.339778567224883</c:v>
                </c:pt>
                <c:pt idx="17">
                  <c:v>7.0193662523897649</c:v>
                </c:pt>
                <c:pt idx="18">
                  <c:v>6.1298012073299368</c:v>
                </c:pt>
                <c:pt idx="19">
                  <c:v>5.7381890974029481</c:v>
                </c:pt>
                <c:pt idx="20">
                  <c:v>5.8035421179720466</c:v>
                </c:pt>
                <c:pt idx="21">
                  <c:v>6.1956102208059454</c:v>
                </c:pt>
                <c:pt idx="22">
                  <c:v>6.7326123030640241</c:v>
                </c:pt>
                <c:pt idx="23">
                  <c:v>7.2282245960984275</c:v>
                </c:pt>
                <c:pt idx="24">
                  <c:v>7.5333978820482956</c:v>
                </c:pt>
                <c:pt idx="25">
                  <c:v>7.561559420509198</c:v>
                </c:pt>
                <c:pt idx="26">
                  <c:v>7.293427684636268</c:v>
                </c:pt>
                <c:pt idx="27">
                  <c:v>6.7651322128130857</c:v>
                </c:pt>
                <c:pt idx="28">
                  <c:v>6.0473725192963688</c:v>
                </c:pt>
                <c:pt idx="29">
                  <c:v>5.2234866364913293</c:v>
                </c:pt>
                <c:pt idx="30">
                  <c:v>4.3719004119118967</c:v>
                </c:pt>
                <c:pt idx="31">
                  <c:v>3.5553064107499082</c:v>
                </c:pt>
                <c:pt idx="32">
                  <c:v>2.8163799556415423</c:v>
                </c:pt>
                <c:pt idx="33">
                  <c:v>2.1784022795305922</c:v>
                </c:pt>
                <c:pt idx="34">
                  <c:v>1.6487503246071948</c:v>
                </c:pt>
                <c:pt idx="35">
                  <c:v>1.2234729111923055</c:v>
                </c:pt>
                <c:pt idx="36">
                  <c:v>0.89172360756128721</c:v>
                </c:pt>
                <c:pt idx="37">
                  <c:v>0.63938761704403624</c:v>
                </c:pt>
                <c:pt idx="38">
                  <c:v>0.4516816676821811</c:v>
                </c:pt>
                <c:pt idx="39">
                  <c:v>0.3147837899636009</c:v>
                </c:pt>
                <c:pt idx="40">
                  <c:v>0.21668478684391812</c:v>
                </c:pt>
                <c:pt idx="41">
                  <c:v>0.14748837148376864</c:v>
                </c:pt>
                <c:pt idx="42">
                  <c:v>9.9365384466838819E-2</c:v>
                </c:pt>
                <c:pt idx="43">
                  <c:v>6.6321917606760927E-2</c:v>
                </c:pt>
                <c:pt idx="44">
                  <c:v>4.389208443876131E-2</c:v>
                </c:pt>
                <c:pt idx="45">
                  <c:v>2.8824016849710386E-2</c:v>
                </c:pt>
                <c:pt idx="46">
                  <c:v>1.8796048362822493E-2</c:v>
                </c:pt>
                <c:pt idx="47">
                  <c:v>1.2178740465265953E-2</c:v>
                </c:pt>
                <c:pt idx="48">
                  <c:v>7.8454880423093343E-3</c:v>
                </c:pt>
                <c:pt idx="49">
                  <c:v>5.0275639666005631E-3</c:v>
                </c:pt>
                <c:pt idx="50">
                  <c:v>3.2065348562229927E-3</c:v>
                </c:pt>
                <c:pt idx="51">
                  <c:v>2.0363856355909032E-3</c:v>
                </c:pt>
                <c:pt idx="52">
                  <c:v>1.2883114029161589E-3</c:v>
                </c:pt>
                <c:pt idx="53">
                  <c:v>8.1226409526693284E-4</c:v>
                </c:pt>
                <c:pt idx="54">
                  <c:v>5.1057244020002177E-4</c:v>
                </c:pt>
                <c:pt idx="55">
                  <c:v>3.2008116931838841E-4</c:v>
                </c:pt>
                <c:pt idx="56">
                  <c:v>2.0019661275849572E-4</c:v>
                </c:pt>
                <c:pt idx="57">
                  <c:v>1.2496605482305398E-4</c:v>
                </c:pt>
                <c:pt idx="58">
                  <c:v>7.7876447717339342E-5</c:v>
                </c:pt>
                <c:pt idx="59">
                  <c:v>4.8465813876066257E-5</c:v>
                </c:pt>
                <c:pt idx="60">
                  <c:v>3.0131086289337183E-5</c:v>
                </c:pt>
                <c:pt idx="61">
                  <c:v>1.8718805628029744E-5</c:v>
                </c:pt>
                <c:pt idx="62">
                  <c:v>1.1624141011724667E-5</c:v>
                </c:pt>
                <c:pt idx="63">
                  <c:v>7.2177384504084519E-6</c:v>
                </c:pt>
                <c:pt idx="64">
                  <c:v>4.4827203879372553E-6</c:v>
                </c:pt>
                <c:pt idx="65">
                  <c:v>2.785681443780324E-6</c:v>
                </c:pt>
                <c:pt idx="66">
                  <c:v>1.7327175026458831E-6</c:v>
                </c:pt>
                <c:pt idx="67">
                  <c:v>1.079189639070676E-6</c:v>
                </c:pt>
                <c:pt idx="68">
                  <c:v>6.7331813233129904E-7</c:v>
                </c:pt>
                <c:pt idx="69">
                  <c:v>4.2100512360518431E-7</c:v>
                </c:pt>
                <c:pt idx="70">
                  <c:v>2.6394001634828986E-7</c:v>
                </c:pt>
                <c:pt idx="71">
                  <c:v>1.6599499053993934E-7</c:v>
                </c:pt>
                <c:pt idx="72">
                  <c:v>1.0478336363113587E-7</c:v>
                </c:pt>
                <c:pt idx="73">
                  <c:v>6.6427271169317155E-8</c:v>
                </c:pt>
                <c:pt idx="74">
                  <c:v>4.2317225015618755E-8</c:v>
                </c:pt>
                <c:pt idx="75">
                  <c:v>2.7106375020981147E-8</c:v>
                </c:pt>
                <c:pt idx="76">
                  <c:v>1.7469367587027999E-8</c:v>
                </c:pt>
                <c:pt idx="77">
                  <c:v>1.1334342671307784E-8</c:v>
                </c:pt>
                <c:pt idx="78">
                  <c:v>7.4075775906381694E-9</c:v>
                </c:pt>
                <c:pt idx="79">
                  <c:v>4.8791032881543386E-9</c:v>
                </c:pt>
                <c:pt idx="80">
                  <c:v>3.2402408268469126E-9</c:v>
                </c:pt>
                <c:pt idx="81">
                  <c:v>2.1703765141320448E-9</c:v>
                </c:pt>
                <c:pt idx="82">
                  <c:v>1.4665970471854962E-9</c:v>
                </c:pt>
                <c:pt idx="83">
                  <c:v>9.998796236442199E-10</c:v>
                </c:pt>
                <c:pt idx="84">
                  <c:v>6.877545985985402E-10</c:v>
                </c:pt>
                <c:pt idx="85">
                  <c:v>4.7720196049605226E-10</c:v>
                </c:pt>
                <c:pt idx="86">
                  <c:v>3.339176189526567E-10</c:v>
                </c:pt>
                <c:pt idx="87">
                  <c:v>2.3555332774190893E-10</c:v>
                </c:pt>
                <c:pt idx="88">
                  <c:v>1.6744199530912865E-10</c:v>
                </c:pt>
                <c:pt idx="89">
                  <c:v>1.1988229402042999E-10</c:v>
                </c:pt>
                <c:pt idx="90">
                  <c:v>8.6404994796662463E-11</c:v>
                </c:pt>
                <c:pt idx="91">
                  <c:v>6.2659861794784973E-11</c:v>
                </c:pt>
                <c:pt idx="92">
                  <c:v>4.5696575735509712E-11</c:v>
                </c:pt>
                <c:pt idx="93">
                  <c:v>3.3497103815163742E-11</c:v>
                </c:pt>
                <c:pt idx="94">
                  <c:v>2.4669417798260915E-11</c:v>
                </c:pt>
                <c:pt idx="95">
                  <c:v>1.8245373482414909E-11</c:v>
                </c:pt>
                <c:pt idx="96">
                  <c:v>1.3546274579441301E-11</c:v>
                </c:pt>
                <c:pt idx="97">
                  <c:v>1.0092726959071102E-11</c:v>
                </c:pt>
                <c:pt idx="98">
                  <c:v>7.5436902904875246E-12</c:v>
                </c:pt>
                <c:pt idx="99">
                  <c:v>5.6549268638067578E-12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3.6237480807441398E-44</c:v>
                </c:pt>
                <c:pt idx="1">
                  <c:v>2.6485240668866928E-25</c:v>
                </c:pt>
                <c:pt idx="2">
                  <c:v>1.0950807514640619E-16</c:v>
                </c:pt>
                <c:pt idx="3">
                  <c:v>1.1759734859855953E-11</c:v>
                </c:pt>
                <c:pt idx="4">
                  <c:v>2.2589422048739467E-8</c:v>
                </c:pt>
                <c:pt idx="5">
                  <c:v>4.3192740320749634E-6</c:v>
                </c:pt>
                <c:pt idx="6">
                  <c:v>1.9178942093744385E-4</c:v>
                </c:pt>
                <c:pt idx="7">
                  <c:v>3.1722395453638382E-3</c:v>
                </c:pt>
                <c:pt idx="8">
                  <c:v>2.6150125731252305E-2</c:v>
                </c:pt>
                <c:pt idx="9">
                  <c:v>0.13916471050075616</c:v>
                </c:pt>
                <c:pt idx="10">
                  <c:v>0.70104083165052455</c:v>
                </c:pt>
                <c:pt idx="11">
                  <c:v>3.3165624014858537</c:v>
                </c:pt>
                <c:pt idx="12">
                  <c:v>10.091504899312715</c:v>
                </c:pt>
                <c:pt idx="13">
                  <c:v>17.949351244108627</c:v>
                </c:pt>
                <c:pt idx="14">
                  <c:v>20.114248592711633</c:v>
                </c:pt>
                <c:pt idx="15">
                  <c:v>16.109804337707192</c:v>
                </c:pt>
                <c:pt idx="16">
                  <c:v>10.888808907374576</c:v>
                </c:pt>
                <c:pt idx="17">
                  <c:v>7.442085634106502</c:v>
                </c:pt>
                <c:pt idx="18">
                  <c:v>5.6161160671101413</c:v>
                </c:pt>
                <c:pt idx="19">
                  <c:v>4.5017709266379509</c:v>
                </c:pt>
                <c:pt idx="20">
                  <c:v>3.6294453077649753</c:v>
                </c:pt>
                <c:pt idx="21">
                  <c:v>2.9527437045589862</c:v>
                </c:pt>
                <c:pt idx="22">
                  <c:v>2.646442189054254</c:v>
                </c:pt>
                <c:pt idx="23">
                  <c:v>2.9867785661526822</c:v>
                </c:pt>
                <c:pt idx="24">
                  <c:v>4.2048553116447591</c:v>
                </c:pt>
                <c:pt idx="25">
                  <c:v>6.2737774520790017</c:v>
                </c:pt>
                <c:pt idx="26">
                  <c:v>8.7691853760975125</c:v>
                </c:pt>
                <c:pt idx="27">
                  <c:v>10.96994348387549</c:v>
                </c:pt>
                <c:pt idx="28">
                  <c:v>12.181108218103251</c:v>
                </c:pt>
                <c:pt idx="29">
                  <c:v>12.061529535115145</c:v>
                </c:pt>
                <c:pt idx="30">
                  <c:v>10.738564313742675</c:v>
                </c:pt>
                <c:pt idx="31">
                  <c:v>8.6732886194945049</c:v>
                </c:pt>
                <c:pt idx="32">
                  <c:v>6.4094457194503542</c:v>
                </c:pt>
                <c:pt idx="33">
                  <c:v>4.3679208045867854</c:v>
                </c:pt>
                <c:pt idx="34">
                  <c:v>2.7647562266488954</c:v>
                </c:pt>
                <c:pt idx="35">
                  <c:v>1.6360023538969704</c:v>
                </c:pt>
                <c:pt idx="36">
                  <c:v>0.91034851380487358</c:v>
                </c:pt>
                <c:pt idx="37">
                  <c:v>0.47890066132979647</c:v>
                </c:pt>
                <c:pt idx="38">
                  <c:v>0.23933832389245449</c:v>
                </c:pt>
                <c:pt idx="39">
                  <c:v>0.11414438716552955</c:v>
                </c:pt>
                <c:pt idx="40">
                  <c:v>5.2166002948883926E-2</c:v>
                </c:pt>
                <c:pt idx="41">
                  <c:v>2.29372163697137E-2</c:v>
                </c:pt>
                <c:pt idx="42">
                  <c:v>9.7413477329632518E-3</c:v>
                </c:pt>
                <c:pt idx="43">
                  <c:v>4.0122918102917593E-3</c:v>
                </c:pt>
                <c:pt idx="44">
                  <c:v>1.6100248360196539E-3</c:v>
                </c:pt>
                <c:pt idx="45">
                  <c:v>6.3288288463051281E-4</c:v>
                </c:pt>
                <c:pt idx="46">
                  <c:v>2.4545781459225458E-4</c:v>
                </c:pt>
                <c:pt idx="47">
                  <c:v>9.485440416665839E-5</c:v>
                </c:pt>
                <c:pt idx="48">
                  <c:v>3.7018608790161658E-5</c:v>
                </c:pt>
                <c:pt idx="49">
                  <c:v>1.4846743935754852E-5</c:v>
                </c:pt>
                <c:pt idx="50">
                  <c:v>6.2396122782658644E-6</c:v>
                </c:pt>
                <c:pt idx="51">
                  <c:v>2.7937122528741105E-6</c:v>
                </c:pt>
                <c:pt idx="52">
                  <c:v>1.342315565618213E-6</c:v>
                </c:pt>
                <c:pt idx="53">
                  <c:v>6.8884395522960762E-7</c:v>
                </c:pt>
                <c:pt idx="54">
                  <c:v>3.7259283521759841E-7</c:v>
                </c:pt>
                <c:pt idx="55">
                  <c:v>2.0917863728828378E-7</c:v>
                </c:pt>
                <c:pt idx="56">
                  <c:v>1.2031735266379027E-7</c:v>
                </c:pt>
                <c:pt idx="57">
                  <c:v>7.0256541483690827E-8</c:v>
                </c:pt>
                <c:pt idx="58">
                  <c:v>4.1407451206506655E-8</c:v>
                </c:pt>
                <c:pt idx="59">
                  <c:v>2.4548481825732431E-8</c:v>
                </c:pt>
                <c:pt idx="60">
                  <c:v>1.4611584844927895E-8</c:v>
                </c:pt>
                <c:pt idx="61">
                  <c:v>8.7226983051200027E-9</c:v>
                </c:pt>
                <c:pt idx="62">
                  <c:v>5.2198035296554258E-9</c:v>
                </c:pt>
                <c:pt idx="63">
                  <c:v>3.1303500351245439E-9</c:v>
                </c:pt>
                <c:pt idx="64">
                  <c:v>1.8811113971799365E-9</c:v>
                </c:pt>
                <c:pt idx="65">
                  <c:v>1.1326563810323409E-9</c:v>
                </c:pt>
                <c:pt idx="66">
                  <c:v>6.833431019463353E-10</c:v>
                </c:pt>
                <c:pt idx="67">
                  <c:v>4.1308432840657209E-10</c:v>
                </c:pt>
                <c:pt idx="68">
                  <c:v>2.5020917791899651E-10</c:v>
                </c:pt>
                <c:pt idx="69">
                  <c:v>1.5185832948507949E-10</c:v>
                </c:pt>
                <c:pt idx="70">
                  <c:v>9.2352994323082484E-11</c:v>
                </c:pt>
                <c:pt idx="71">
                  <c:v>5.6278929493255826E-11</c:v>
                </c:pt>
                <c:pt idx="72">
                  <c:v>3.4365910839886583E-11</c:v>
                </c:pt>
                <c:pt idx="73">
                  <c:v>2.1028142841791286E-11</c:v>
                </c:pt>
                <c:pt idx="74">
                  <c:v>1.2893416393903716E-11</c:v>
                </c:pt>
                <c:pt idx="75">
                  <c:v>7.9219360440261257E-12</c:v>
                </c:pt>
                <c:pt idx="76">
                  <c:v>4.8774446162316546E-12</c:v>
                </c:pt>
                <c:pt idx="77">
                  <c:v>3.0092053307371805E-12</c:v>
                </c:pt>
                <c:pt idx="78">
                  <c:v>1.8604152762457764E-12</c:v>
                </c:pt>
                <c:pt idx="79">
                  <c:v>1.15256685991703E-12</c:v>
                </c:pt>
                <c:pt idx="80">
                  <c:v>7.1551631968387576E-13</c:v>
                </c:pt>
                <c:pt idx="81">
                  <c:v>4.451113692996448E-13</c:v>
                </c:pt>
                <c:pt idx="82">
                  <c:v>2.7746720557102217E-13</c:v>
                </c:pt>
                <c:pt idx="83">
                  <c:v>1.7331899415055902E-13</c:v>
                </c:pt>
                <c:pt idx="84">
                  <c:v>1.0848495573696117E-13</c:v>
                </c:pt>
                <c:pt idx="85">
                  <c:v>6.8042258985146983E-14</c:v>
                </c:pt>
                <c:pt idx="86">
                  <c:v>4.2763227210965386E-14</c:v>
                </c:pt>
                <c:pt idx="87">
                  <c:v>2.6930299075338237E-14</c:v>
                </c:pt>
                <c:pt idx="88">
                  <c:v>1.6993662837116722E-14</c:v>
                </c:pt>
                <c:pt idx="89">
                  <c:v>1.0744936913146753E-14</c:v>
                </c:pt>
                <c:pt idx="90">
                  <c:v>6.8074980127197871E-15</c:v>
                </c:pt>
                <c:pt idx="91">
                  <c:v>4.3214898826651405E-15</c:v>
                </c:pt>
                <c:pt idx="92">
                  <c:v>2.748762253085783E-15</c:v>
                </c:pt>
                <c:pt idx="93">
                  <c:v>1.7518373552265539E-15</c:v>
                </c:pt>
                <c:pt idx="94">
                  <c:v>1.1186607644499714E-15</c:v>
                </c:pt>
                <c:pt idx="95">
                  <c:v>7.157247254241044E-16</c:v>
                </c:pt>
                <c:pt idx="96">
                  <c:v>4.5880853966301048E-16</c:v>
                </c:pt>
                <c:pt idx="97">
                  <c:v>2.9467927636290825E-16</c:v>
                </c:pt>
                <c:pt idx="98">
                  <c:v>1.896247479902647E-16</c:v>
                </c:pt>
                <c:pt idx="99">
                  <c:v>1.2225380267803984E-16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1.0230462885613235E-2</c:v>
                </c:pt>
                <c:pt idx="1">
                  <c:v>0.86532236371898352</c:v>
                </c:pt>
                <c:pt idx="2">
                  <c:v>4.7605152483056923</c:v>
                </c:pt>
                <c:pt idx="3">
                  <c:v>10.710955146851211</c:v>
                </c:pt>
                <c:pt idx="4">
                  <c:v>15.995120928826335</c:v>
                </c:pt>
                <c:pt idx="5">
                  <c:v>19.145891541151848</c:v>
                </c:pt>
                <c:pt idx="6">
                  <c:v>20.093085940899694</c:v>
                </c:pt>
                <c:pt idx="7">
                  <c:v>19.401982224594843</c:v>
                </c:pt>
                <c:pt idx="8">
                  <c:v>17.730767805417607</c:v>
                </c:pt>
                <c:pt idx="9">
                  <c:v>15.606798399314259</c:v>
                </c:pt>
                <c:pt idx="10">
                  <c:v>13.383614336839198</c:v>
                </c:pt>
                <c:pt idx="11">
                  <c:v>11.268467517219708</c:v>
                </c:pt>
                <c:pt idx="12">
                  <c:v>9.3653787083903257</c:v>
                </c:pt>
                <c:pt idx="13">
                  <c:v>7.712940669209857</c:v>
                </c:pt>
                <c:pt idx="14">
                  <c:v>6.3118702042644168</c:v>
                </c:pt>
                <c:pt idx="15">
                  <c:v>5.1431789233970866</c:v>
                </c:pt>
                <c:pt idx="16">
                  <c:v>4.179335828286149</c:v>
                </c:pt>
                <c:pt idx="17">
                  <c:v>3.3906906315406062</c:v>
                </c:pt>
                <c:pt idx="18">
                  <c:v>2.748889385282423</c:v>
                </c:pt>
                <c:pt idx="19">
                  <c:v>2.228474874785185</c:v>
                </c:pt>
                <c:pt idx="20">
                  <c:v>1.807444417018373</c:v>
                </c:pt>
                <c:pt idx="21">
                  <c:v>1.4672443402791193</c:v>
                </c:pt>
                <c:pt idx="22">
                  <c:v>1.1924875224863591</c:v>
                </c:pt>
                <c:pt idx="23">
                  <c:v>0.97055857021151148</c:v>
                </c:pt>
                <c:pt idx="24">
                  <c:v>0.7911967105997777</c:v>
                </c:pt>
                <c:pt idx="25">
                  <c:v>0.64610218776533646</c:v>
                </c:pt>
                <c:pt idx="26">
                  <c:v>0.52858645474948052</c:v>
                </c:pt>
                <c:pt idx="27">
                  <c:v>0.43327234374996659</c:v>
                </c:pt>
                <c:pt idx="28">
                  <c:v>0.35584304165053393</c:v>
                </c:pt>
                <c:pt idx="29">
                  <c:v>0.29283524223680368</c:v>
                </c:pt>
                <c:pt idx="30">
                  <c:v>0.24147056915994058</c:v>
                </c:pt>
                <c:pt idx="31">
                  <c:v>0.19951924497107545</c:v>
                </c:pt>
                <c:pt idx="32">
                  <c:v>0.16519043047129084</c:v>
                </c:pt>
                <c:pt idx="33">
                  <c:v>0.13704434234827553</c:v>
                </c:pt>
                <c:pt idx="34">
                  <c:v>0.11392199564721488</c:v>
                </c:pt>
                <c:pt idx="35">
                  <c:v>9.4889120018841158E-2</c:v>
                </c:pt>
                <c:pt idx="36">
                  <c:v>7.9191424341782043E-2</c:v>
                </c:pt>
                <c:pt idx="37">
                  <c:v>6.6218920333807482E-2</c:v>
                </c:pt>
                <c:pt idx="38">
                  <c:v>5.5477463603646457E-2</c:v>
                </c:pt>
                <c:pt idx="39">
                  <c:v>4.6566038451719777E-2</c:v>
                </c:pt>
                <c:pt idx="40">
                  <c:v>3.915861132811882E-2</c:v>
                </c:pt>
                <c:pt idx="41">
                  <c:v>3.298961821233562E-2</c:v>
                </c:pt>
                <c:pt idx="42">
                  <c:v>2.7842343500715381E-2</c:v>
                </c:pt>
                <c:pt idx="43">
                  <c:v>2.3539601226641567E-2</c:v>
                </c:pt>
                <c:pt idx="44">
                  <c:v>1.9936251182123308E-2</c:v>
                </c:pt>
                <c:pt idx="45">
                  <c:v>1.6913179045076086E-2</c:v>
                </c:pt>
                <c:pt idx="46">
                  <c:v>1.4372446074699253E-2</c:v>
                </c:pt>
                <c:pt idx="47">
                  <c:v>1.2233374459176372E-2</c:v>
                </c:pt>
                <c:pt idx="48">
                  <c:v>1.0429382302211828E-2</c:v>
                </c:pt>
                <c:pt idx="49">
                  <c:v>8.905420159218096E-3</c:v>
                </c:pt>
                <c:pt idx="50">
                  <c:v>7.6158910757205649E-3</c:v>
                </c:pt>
                <c:pt idx="51">
                  <c:v>6.5229598973204515E-3</c:v>
                </c:pt>
                <c:pt idx="52">
                  <c:v>5.5951765210824692E-3</c:v>
                </c:pt>
                <c:pt idx="53">
                  <c:v>4.806352774608111E-3</c:v>
                </c:pt>
                <c:pt idx="54">
                  <c:v>4.1346445547695947E-3</c:v>
                </c:pt>
                <c:pt idx="55">
                  <c:v>3.5618003741336841E-3</c:v>
                </c:pt>
                <c:pt idx="56">
                  <c:v>3.0725450547288151E-3</c:v>
                </c:pt>
                <c:pt idx="57">
                  <c:v>2.6540733743980866E-3</c:v>
                </c:pt>
                <c:pt idx="58">
                  <c:v>2.2956333249080506E-3</c:v>
                </c:pt>
                <c:pt idx="59">
                  <c:v>1.9881825315446909E-3</c:v>
                </c:pt>
                <c:pt idx="60">
                  <c:v>1.7241045074323166E-3</c:v>
                </c:pt>
                <c:pt idx="61">
                  <c:v>1.4969739276518216E-3</c:v>
                </c:pt>
                <c:pt idx="62">
                  <c:v>1.3013621315702988E-3</c:v>
                </c:pt>
                <c:pt idx="63">
                  <c:v>1.1326756943699835E-3</c:v>
                </c:pt>
                <c:pt idx="64">
                  <c:v>9.8702222826611537E-4</c:v>
                </c:pt>
                <c:pt idx="65">
                  <c:v>8.6109864216420313E-4</c:v>
                </c:pt>
                <c:pt idx="66">
                  <c:v>7.5209795481859644E-4</c:v>
                </c:pt>
                <c:pt idx="67">
                  <c:v>6.5763146026944289E-4</c:v>
                </c:pt>
                <c:pt idx="68">
                  <c:v>5.7566361692322021E-4</c:v>
                </c:pt>
                <c:pt idx="69">
                  <c:v>5.044574983070106E-4</c:v>
                </c:pt>
                <c:pt idx="70">
                  <c:v>4.4252902448750154E-4</c:v>
                </c:pt>
                <c:pt idx="71">
                  <c:v>3.8860850464794954E-4</c:v>
                </c:pt>
                <c:pt idx="72">
                  <c:v>3.4160827643457876E-4</c:v>
                </c:pt>
                <c:pt idx="73">
                  <c:v>3.0059543695739921E-4</c:v>
                </c:pt>
                <c:pt idx="74">
                  <c:v>2.6476883226831614E-4</c:v>
                </c:pt>
                <c:pt idx="75">
                  <c:v>2.3343961362322561E-4</c:v>
                </c:pt>
                <c:pt idx="76">
                  <c:v>2.0601478543808618E-4</c:v>
                </c:pt>
                <c:pt idx="77">
                  <c:v>1.8198326609371616E-4</c:v>
                </c:pt>
                <c:pt idx="78">
                  <c:v>1.6090406230425701E-4</c:v>
                </c:pt>
                <c:pt idx="79">
                  <c:v>1.4239622363018464E-4</c:v>
                </c:pt>
                <c:pt idx="80">
                  <c:v>1.2613029832539028E-4</c:v>
                </c:pt>
                <c:pt idx="81">
                  <c:v>1.1182105704895388E-4</c:v>
                </c:pt>
                <c:pt idx="82">
                  <c:v>9.9221288672271258E-5</c:v>
                </c:pt>
                <c:pt idx="83">
                  <c:v>8.811650380312462E-5</c:v>
                </c:pt>
                <c:pt idx="84">
                  <c:v>7.8320407822323623E-5</c:v>
                </c:pt>
                <c:pt idx="85">
                  <c:v>6.9671027082570227E-5</c:v>
                </c:pt>
                <c:pt idx="86">
                  <c:v>6.2027390191027161E-5</c:v>
                </c:pt>
                <c:pt idx="87">
                  <c:v>5.5266681594179042E-5</c:v>
                </c:pt>
                <c:pt idx="88">
                  <c:v>4.928179750718495E-5</c:v>
                </c:pt>
                <c:pt idx="89">
                  <c:v>4.3979244993913455E-5</c:v>
                </c:pt>
                <c:pt idx="90">
                  <c:v>3.9277334050607356E-5</c:v>
                </c:pt>
                <c:pt idx="91">
                  <c:v>3.5104620159207477E-5</c:v>
                </c:pt>
                <c:pt idx="92">
                  <c:v>3.1398561190929935E-5</c:v>
                </c:pt>
                <c:pt idx="93">
                  <c:v>2.8104357952088862E-5</c:v>
                </c:pt>
                <c:pt idx="94">
                  <c:v>2.5173952234765642E-5</c:v>
                </c:pt>
                <c:pt idx="95">
                  <c:v>2.2565160100012401E-5</c:v>
                </c:pt>
                <c:pt idx="96">
                  <c:v>2.0240921393588664E-5</c:v>
                </c:pt>
                <c:pt idx="97">
                  <c:v>1.8168649267891271E-5</c:v>
                </c:pt>
                <c:pt idx="98">
                  <c:v>1.6319665837437104E-5</c:v>
                </c:pt>
                <c:pt idx="99">
                  <c:v>1.4668712094823936E-5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5.7771608833961965</c:v>
                </c:pt>
                <c:pt idx="3">
                  <c:v>19.972095289182324</c:v>
                </c:pt>
                <c:pt idx="4">
                  <c:v>32.826251977169129</c:v>
                </c:pt>
                <c:pt idx="5">
                  <c:v>36.433346807019582</c:v>
                </c:pt>
                <c:pt idx="6">
                  <c:v>32.198756240991244</c:v>
                </c:pt>
                <c:pt idx="7">
                  <c:v>24.73214837317159</c:v>
                </c:pt>
                <c:pt idx="8">
                  <c:v>17.367074133946065</c:v>
                </c:pt>
                <c:pt idx="9">
                  <c:v>11.500303185486166</c:v>
                </c:pt>
                <c:pt idx="10">
                  <c:v>7.3259697526529637</c:v>
                </c:pt>
                <c:pt idx="11">
                  <c:v>4.5493809445334188</c:v>
                </c:pt>
                <c:pt idx="12">
                  <c:v>2.7791264220493628</c:v>
                </c:pt>
                <c:pt idx="13">
                  <c:v>1.6806773415264191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0.36383648842605876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4.8499637236258789E-2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5.4516982097750622E-5</c:v>
                </c:pt>
                <c:pt idx="36">
                  <c:v>3.6233062091893961E-5</c:v>
                </c:pt>
                <c:pt idx="37">
                  <c:v>2.4202169709192035E-5</c:v>
                </c:pt>
                <c:pt idx="38">
                  <c:v>1.6245462275469058E-5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1.6371949461751934E-6</c:v>
                </c:pt>
                <c:pt idx="45">
                  <c:v>1.1339549835821426E-6</c:v>
                </c:pt>
                <c:pt idx="46">
                  <c:v>7.8861301898841064E-7</c:v>
                </c:pt>
                <c:pt idx="47">
                  <c:v>5.5063608477131349E-7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6.9046488078788548E-8</c:v>
                </c:pt>
                <c:pt idx="54">
                  <c:v>4.9457986872646788E-8</c:v>
                </c:pt>
                <c:pt idx="55">
                  <c:v>3.5545181342800911E-8</c:v>
                </c:pt>
                <c:pt idx="56">
                  <c:v>2.5629702090279789E-8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1.547278914601359E-9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4.7732533288633541E-10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2.0279321554633336E-10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5.0984906491278556E-11</c:v>
                </c:pt>
                <c:pt idx="78">
                  <c:v>3.893670637883868E-11</c:v>
                </c:pt>
                <c:pt idx="79">
                  <c:v>2.9797858011377831E-11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1.3519420775686367E-11</c:v>
                </c:pt>
                <c:pt idx="83">
                  <c:v>1.0429534487160754E-11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2.2864183272947829E-12</c:v>
                </c:pt>
                <c:pt idx="90">
                  <c:v>1.7865926078701755E-12</c:v>
                </c:pt>
                <c:pt idx="91">
                  <c:v>1.398428981486493E-12</c:v>
                </c:pt>
                <c:pt idx="92">
                  <c:v>1.0964499471370088E-12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5.3373268178504361E-13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838200</xdr:colOff>
          <xdr:row>9</xdr:row>
          <xdr:rowOff>95250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838200</xdr:colOff>
          <xdr:row>10</xdr:row>
          <xdr:rowOff>57150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904875</xdr:colOff>
          <xdr:row>13</xdr:row>
          <xdr:rowOff>104775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895350</xdr:colOff>
          <xdr:row>14</xdr:row>
          <xdr:rowOff>38100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12</xdr:col>
          <xdr:colOff>152400</xdr:colOff>
          <xdr:row>5</xdr:row>
          <xdr:rowOff>171450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12</xdr:col>
          <xdr:colOff>152400</xdr:colOff>
          <xdr:row>9</xdr:row>
          <xdr:rowOff>161925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12</xdr:col>
          <xdr:colOff>152400</xdr:colOff>
          <xdr:row>11</xdr:row>
          <xdr:rowOff>171450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12</xdr:col>
          <xdr:colOff>133350</xdr:colOff>
          <xdr:row>13</xdr:row>
          <xdr:rowOff>171450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12</xdr:col>
          <xdr:colOff>133350</xdr:colOff>
          <xdr:row>15</xdr:row>
          <xdr:rowOff>114300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12</xdr:col>
          <xdr:colOff>123825</xdr:colOff>
          <xdr:row>17</xdr:row>
          <xdr:rowOff>133350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12</xdr:col>
          <xdr:colOff>104775</xdr:colOff>
          <xdr:row>19</xdr:row>
          <xdr:rowOff>152400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219201" y="800100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476250</xdr:colOff>
          <xdr:row>14</xdr:row>
          <xdr:rowOff>133350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2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552450</xdr:colOff>
          <xdr:row>15</xdr:row>
          <xdr:rowOff>142875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2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13</xdr:col>
          <xdr:colOff>133350</xdr:colOff>
          <xdr:row>17</xdr:row>
          <xdr:rowOff>9525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2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581025</xdr:colOff>
          <xdr:row>18</xdr:row>
          <xdr:rowOff>57150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2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447675</xdr:colOff>
          <xdr:row>22</xdr:row>
          <xdr:rowOff>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2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819150</xdr:colOff>
          <xdr:row>11</xdr:row>
          <xdr:rowOff>123825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2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285750</xdr:colOff>
          <xdr:row>8</xdr:row>
          <xdr:rowOff>95250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3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4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457200</xdr:colOff>
          <xdr:row>7</xdr:row>
          <xdr:rowOff>76200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4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457200</xdr:colOff>
          <xdr:row>8</xdr:row>
          <xdr:rowOff>85725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4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276225</xdr:colOff>
          <xdr:row>7</xdr:row>
          <xdr:rowOff>66675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8</xdr:row>
          <xdr:rowOff>171450</xdr:rowOff>
        </xdr:from>
        <xdr:to>
          <xdr:col>9</xdr:col>
          <xdr:colOff>514350</xdr:colOff>
          <xdr:row>16</xdr:row>
          <xdr:rowOff>19050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9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D9581B1-F78D-43F4-86D1-B4238F50646E}"/>
            </a:ext>
          </a:extLst>
        </xdr:cNvPr>
        <xdr:cNvSpPr txBox="1"/>
      </xdr:nvSpPr>
      <xdr:spPr>
        <a:xfrm rot="16200000">
          <a:off x="-805519" y="3633132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14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A3D0E6D-E3BD-471A-8A7E-A144C643E05B}"/>
            </a:ext>
          </a:extLst>
        </xdr:cNvPr>
        <xdr:cNvSpPr txBox="1"/>
      </xdr:nvSpPr>
      <xdr:spPr>
        <a:xfrm>
          <a:off x="1104900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685800</xdr:colOff>
          <xdr:row>10</xdr:row>
          <xdr:rowOff>142875</xdr:rowOff>
        </xdr:from>
        <xdr:to>
          <xdr:col>23</xdr:col>
          <xdr:colOff>276225</xdr:colOff>
          <xdr:row>12</xdr:row>
          <xdr:rowOff>85725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9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190500</xdr:colOff>
      <xdr:row>111</xdr:row>
      <xdr:rowOff>38100</xdr:rowOff>
    </xdr:from>
    <xdr:ext cx="3270895" cy="468013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FD12A8D7-63F4-4315-AC13-428C249AD415}"/>
            </a:ext>
          </a:extLst>
        </xdr:cNvPr>
        <xdr:cNvSpPr txBox="1"/>
      </xdr:nvSpPr>
      <xdr:spPr>
        <a:xfrm>
          <a:off x="1095375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118</xdr:row>
          <xdr:rowOff>152400</xdr:rowOff>
        </xdr:from>
        <xdr:to>
          <xdr:col>11</xdr:col>
          <xdr:colOff>352425</xdr:colOff>
          <xdr:row>121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9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115</xdr:row>
      <xdr:rowOff>190499</xdr:rowOff>
    </xdr:from>
    <xdr:to>
      <xdr:col>6</xdr:col>
      <xdr:colOff>9525</xdr:colOff>
      <xdr:row>117</xdr:row>
      <xdr:rowOff>9525</xdr:rowOff>
    </xdr:to>
    <xdr:sp macro="" textlink="">
      <xdr:nvSpPr>
        <xdr:cNvPr id="5" name="5 Rectángulo">
          <a:extLst>
            <a:ext uri="{FF2B5EF4-FFF2-40B4-BE49-F238E27FC236}">
              <a16:creationId xmlns:a16="http://schemas.microsoft.com/office/drawing/2014/main" id="{2BA0D09B-7087-40CF-9CA5-8D5D96D5BB87}"/>
            </a:ext>
          </a:extLst>
        </xdr:cNvPr>
        <xdr:cNvSpPr/>
      </xdr:nvSpPr>
      <xdr:spPr>
        <a:xfrm>
          <a:off x="3333751" y="1162049"/>
          <a:ext cx="12001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695325</xdr:colOff>
          <xdr:row>46</xdr:row>
          <xdr:rowOff>76200</xdr:rowOff>
        </xdr:from>
        <xdr:to>
          <xdr:col>19</xdr:col>
          <xdr:colOff>171450</xdr:colOff>
          <xdr:row>51</xdr:row>
          <xdr:rowOff>0</xdr:rowOff>
        </xdr:to>
        <xdr:sp macro="" textlink="">
          <xdr:nvSpPr>
            <xdr:cNvPr id="139268" name="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09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zoomScaleNormal="100" workbookViewId="0">
      <selection activeCell="F13" sqref="F13"/>
    </sheetView>
  </sheetViews>
  <sheetFormatPr baseColWidth="10" defaultColWidth="11.5703125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2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2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21" ht="19.5" customHeight="1" x14ac:dyDescent="0.25">
      <c r="A4" s="88"/>
      <c r="B4" s="88"/>
      <c r="D4" s="87"/>
      <c r="E4" s="87"/>
      <c r="F4" s="87"/>
      <c r="G4" s="87"/>
      <c r="H4" s="87"/>
      <c r="I4" s="87"/>
      <c r="J4" s="317" t="s">
        <v>37</v>
      </c>
      <c r="K4" s="317"/>
      <c r="L4" s="317"/>
      <c r="M4" s="168"/>
      <c r="T4" s="148" t="s">
        <v>184</v>
      </c>
      <c r="U4" s="148" t="s">
        <v>262</v>
      </c>
    </row>
    <row r="5" spans="1:21" ht="21" customHeight="1" x14ac:dyDescent="0.25">
      <c r="A5" s="88"/>
      <c r="B5" s="88"/>
      <c r="D5" s="320" t="s">
        <v>192</v>
      </c>
      <c r="E5" s="320"/>
      <c r="F5" s="167"/>
      <c r="G5" s="147"/>
      <c r="H5" s="147"/>
      <c r="I5" s="147"/>
      <c r="J5" s="318" t="s">
        <v>4</v>
      </c>
      <c r="K5" s="319">
        <v>78</v>
      </c>
      <c r="L5" s="319"/>
      <c r="N5" s="146"/>
      <c r="T5" s="148" t="s">
        <v>185</v>
      </c>
      <c r="U5" s="148">
        <v>1</v>
      </c>
    </row>
    <row r="6" spans="1:21" ht="15" customHeight="1" x14ac:dyDescent="0.25">
      <c r="A6" s="88"/>
      <c r="B6" s="88"/>
      <c r="D6" s="320"/>
      <c r="E6" s="320"/>
      <c r="F6" s="167"/>
      <c r="G6" s="90"/>
      <c r="H6" s="90"/>
      <c r="J6" s="318"/>
      <c r="K6" s="319"/>
      <c r="L6" s="319"/>
      <c r="N6" s="146"/>
      <c r="T6" s="148" t="s">
        <v>186</v>
      </c>
      <c r="U6" s="148" t="s">
        <v>253</v>
      </c>
    </row>
    <row r="7" spans="1:21" ht="15.75" customHeight="1" x14ac:dyDescent="0.25">
      <c r="A7" s="88"/>
      <c r="B7" s="88"/>
      <c r="G7" s="90"/>
      <c r="H7" s="90"/>
      <c r="J7" s="318" t="s">
        <v>177</v>
      </c>
      <c r="K7" s="319">
        <v>0</v>
      </c>
      <c r="L7" s="319"/>
      <c r="T7" s="148" t="s">
        <v>187</v>
      </c>
      <c r="U7" s="148">
        <v>10</v>
      </c>
    </row>
    <row r="8" spans="1:21" ht="18.75" customHeight="1" x14ac:dyDescent="0.25">
      <c r="A8" s="88"/>
      <c r="B8" s="88"/>
      <c r="D8" s="317" t="s">
        <v>164</v>
      </c>
      <c r="E8" s="317"/>
      <c r="F8" s="317"/>
      <c r="J8" s="318"/>
      <c r="K8" s="319"/>
      <c r="L8" s="319"/>
      <c r="T8" s="148" t="s">
        <v>188</v>
      </c>
      <c r="U8" s="148" t="s">
        <v>252</v>
      </c>
    </row>
    <row r="9" spans="1:21" ht="17.25" customHeight="1" x14ac:dyDescent="0.25">
      <c r="A9" s="88"/>
      <c r="B9" s="88"/>
      <c r="D9" s="317" t="s">
        <v>40</v>
      </c>
      <c r="E9" s="317"/>
      <c r="F9" s="167"/>
      <c r="J9" s="318" t="s">
        <v>140</v>
      </c>
      <c r="K9" s="319">
        <v>0</v>
      </c>
      <c r="L9" s="319"/>
      <c r="T9" s="148" t="s">
        <v>4</v>
      </c>
      <c r="U9" s="148">
        <v>20</v>
      </c>
    </row>
    <row r="10" spans="1:21" ht="21.75" customHeight="1" x14ac:dyDescent="0.25">
      <c r="A10" s="88"/>
      <c r="B10" s="88"/>
      <c r="D10" s="317" t="s">
        <v>41</v>
      </c>
      <c r="E10" s="317"/>
      <c r="F10" s="167"/>
      <c r="J10" s="318"/>
      <c r="K10" s="319"/>
      <c r="L10" s="319"/>
      <c r="T10" s="148" t="s">
        <v>177</v>
      </c>
      <c r="U10" s="148">
        <v>20</v>
      </c>
    </row>
    <row r="11" spans="1:21" ht="15" customHeight="1" x14ac:dyDescent="0.25">
      <c r="A11" s="88"/>
      <c r="B11" s="88"/>
      <c r="J11" s="318" t="s">
        <v>32</v>
      </c>
      <c r="K11" s="319">
        <v>5</v>
      </c>
      <c r="L11" s="319"/>
      <c r="M11" s="86"/>
      <c r="T11" s="148" t="s">
        <v>140</v>
      </c>
      <c r="U11" s="148">
        <v>1</v>
      </c>
    </row>
    <row r="12" spans="1:21" ht="15" customHeight="1" x14ac:dyDescent="0.25">
      <c r="A12" s="88"/>
      <c r="B12" s="88"/>
      <c r="D12" s="317" t="s">
        <v>38</v>
      </c>
      <c r="E12" s="317"/>
      <c r="F12" s="317"/>
      <c r="J12" s="318"/>
      <c r="K12" s="319"/>
      <c r="L12" s="319"/>
      <c r="M12" s="86"/>
      <c r="T12" s="148" t="s">
        <v>32</v>
      </c>
      <c r="U12" s="148">
        <v>9</v>
      </c>
    </row>
    <row r="13" spans="1:21" ht="17.25" customHeight="1" x14ac:dyDescent="0.25">
      <c r="A13" s="88"/>
      <c r="B13" s="88"/>
      <c r="D13" s="317" t="s">
        <v>138</v>
      </c>
      <c r="E13" s="317"/>
      <c r="F13" s="167"/>
      <c r="J13" s="318" t="s">
        <v>33</v>
      </c>
      <c r="K13" s="319">
        <v>5</v>
      </c>
      <c r="L13" s="319"/>
      <c r="T13" s="148" t="s">
        <v>33</v>
      </c>
      <c r="U13" s="148">
        <v>10</v>
      </c>
    </row>
    <row r="14" spans="1:21" ht="21.75" customHeight="1" x14ac:dyDescent="0.25">
      <c r="A14" s="88"/>
      <c r="B14" s="88"/>
      <c r="D14" s="317" t="s">
        <v>39</v>
      </c>
      <c r="E14" s="317"/>
      <c r="F14" s="167"/>
      <c r="J14" s="318"/>
      <c r="K14" s="319"/>
      <c r="L14" s="319"/>
      <c r="T14" s="148" t="s">
        <v>189</v>
      </c>
      <c r="U14" s="148">
        <v>6</v>
      </c>
    </row>
    <row r="15" spans="1:21" ht="18.75" customHeight="1" x14ac:dyDescent="0.25">
      <c r="A15" s="88"/>
      <c r="B15" s="88"/>
      <c r="D15" s="139"/>
      <c r="J15" s="318" t="s">
        <v>34</v>
      </c>
      <c r="K15" s="319">
        <v>7</v>
      </c>
      <c r="L15" s="319"/>
      <c r="T15" s="148" t="s">
        <v>190</v>
      </c>
      <c r="U15" s="148">
        <v>13</v>
      </c>
    </row>
    <row r="16" spans="1:21" ht="15" customHeight="1" x14ac:dyDescent="0.25">
      <c r="A16" s="88"/>
      <c r="B16" s="88"/>
      <c r="J16" s="318"/>
      <c r="K16" s="319"/>
      <c r="L16" s="319"/>
      <c r="T16" s="148" t="s">
        <v>191</v>
      </c>
      <c r="U16" s="148">
        <v>10</v>
      </c>
    </row>
    <row r="17" spans="1:21" ht="15" customHeight="1" x14ac:dyDescent="0.25">
      <c r="A17" s="88"/>
      <c r="B17" s="88"/>
      <c r="D17" s="142"/>
      <c r="E17" s="322" t="s">
        <v>135</v>
      </c>
      <c r="F17" s="323"/>
      <c r="G17" s="323"/>
      <c r="H17" s="323"/>
      <c r="J17" s="318" t="s">
        <v>35</v>
      </c>
      <c r="K17" s="319">
        <v>4</v>
      </c>
      <c r="L17" s="319"/>
      <c r="T17" s="148" t="s">
        <v>194</v>
      </c>
      <c r="U17" s="148">
        <v>11</v>
      </c>
    </row>
    <row r="18" spans="1:21" ht="15" customHeight="1" x14ac:dyDescent="0.25">
      <c r="A18" s="88"/>
      <c r="B18" s="88"/>
      <c r="C18" s="137"/>
      <c r="D18" s="142"/>
      <c r="E18" s="322" t="s">
        <v>136</v>
      </c>
      <c r="F18" s="323"/>
      <c r="G18" s="323" t="s">
        <v>137</v>
      </c>
      <c r="H18" s="323"/>
      <c r="J18" s="318"/>
      <c r="K18" s="319"/>
      <c r="L18" s="319"/>
    </row>
    <row r="19" spans="1:21" ht="18" customHeight="1" x14ac:dyDescent="0.25">
      <c r="A19" s="88"/>
      <c r="B19" s="88"/>
      <c r="C19" s="137"/>
      <c r="D19" s="143"/>
      <c r="E19" s="322"/>
      <c r="F19" s="323"/>
      <c r="G19" s="323"/>
      <c r="H19" s="323"/>
      <c r="J19" s="318" t="s">
        <v>36</v>
      </c>
      <c r="K19" s="319">
        <v>1</v>
      </c>
      <c r="L19" s="319"/>
    </row>
    <row r="20" spans="1:21" ht="18.75" customHeight="1" x14ac:dyDescent="0.25">
      <c r="A20" s="88"/>
      <c r="B20" s="88"/>
      <c r="C20" s="137"/>
      <c r="D20" s="141" t="s">
        <v>29</v>
      </c>
      <c r="E20" s="324">
        <v>36.898395721925127</v>
      </c>
      <c r="F20" s="324"/>
      <c r="G20" s="325">
        <v>1803088.5777970687</v>
      </c>
      <c r="H20" s="325"/>
      <c r="J20" s="318"/>
      <c r="K20" s="319"/>
      <c r="L20" s="319"/>
    </row>
    <row r="21" spans="1:21" ht="15" customHeight="1" x14ac:dyDescent="0.25">
      <c r="A21" s="88"/>
      <c r="B21" s="88"/>
      <c r="C21" s="137"/>
      <c r="D21" s="140" t="s">
        <v>31</v>
      </c>
      <c r="E21" s="324">
        <v>15.508021390374328</v>
      </c>
      <c r="F21" s="324"/>
      <c r="G21" s="325">
        <v>757819.83704514476</v>
      </c>
      <c r="H21" s="325"/>
      <c r="I21" s="138"/>
      <c r="J21" s="318" t="s">
        <v>194</v>
      </c>
    </row>
    <row r="22" spans="1:21" ht="18.75" customHeight="1" x14ac:dyDescent="0.25">
      <c r="A22" s="88"/>
      <c r="B22" s="88"/>
      <c r="C22" s="137"/>
      <c r="D22" s="140" t="s">
        <v>10</v>
      </c>
      <c r="E22" s="324">
        <v>40.641711229946523</v>
      </c>
      <c r="F22" s="324"/>
      <c r="G22" s="325">
        <v>1986010.6074286555</v>
      </c>
      <c r="H22" s="325"/>
      <c r="I22" s="133"/>
      <c r="J22" s="318"/>
      <c r="K22" s="133"/>
    </row>
    <row r="23" spans="1:21" ht="15.75" customHeight="1" x14ac:dyDescent="0.25">
      <c r="A23" s="88"/>
      <c r="B23" s="88"/>
      <c r="C23" s="137"/>
      <c r="D23" s="140" t="s">
        <v>11</v>
      </c>
      <c r="E23" s="324">
        <v>6.9518716577540109</v>
      </c>
      <c r="F23" s="324"/>
      <c r="G23" s="325">
        <v>339712.34074437531</v>
      </c>
      <c r="H23" s="325"/>
      <c r="J23" s="169" t="s">
        <v>139</v>
      </c>
      <c r="K23" s="321">
        <v>100</v>
      </c>
      <c r="L23" s="321"/>
    </row>
    <row r="24" spans="1:21" ht="15.75" x14ac:dyDescent="0.25">
      <c r="A24" s="88"/>
      <c r="B24" s="88"/>
      <c r="E24" s="125"/>
      <c r="F24" s="125"/>
      <c r="G24" s="125"/>
      <c r="L24" s="11"/>
    </row>
    <row r="25" spans="1:21" ht="15.75" x14ac:dyDescent="0.25">
      <c r="A25" s="88"/>
      <c r="B25" s="88"/>
      <c r="E25" s="125"/>
      <c r="F25" s="125"/>
      <c r="G25" s="125"/>
      <c r="L25" s="11"/>
    </row>
    <row r="26" spans="1:21" x14ac:dyDescent="0.25">
      <c r="A26" s="88"/>
      <c r="B26" s="88"/>
      <c r="I26" s="11"/>
      <c r="J26" s="11"/>
      <c r="K26" s="11"/>
      <c r="L26" s="11"/>
    </row>
    <row r="27" spans="1:21" x14ac:dyDescent="0.25">
      <c r="A27" s="88"/>
      <c r="B27" s="88"/>
      <c r="F27" s="136"/>
      <c r="G27" s="135"/>
      <c r="I27" s="135"/>
    </row>
    <row r="28" spans="1:21" x14ac:dyDescent="0.25">
      <c r="F28" s="136"/>
      <c r="G28" s="135"/>
      <c r="I28" s="135"/>
    </row>
    <row r="29" spans="1:21" x14ac:dyDescent="0.25">
      <c r="F29" s="136"/>
      <c r="G29" s="135"/>
      <c r="I29" s="135"/>
    </row>
    <row r="30" spans="1:21" x14ac:dyDescent="0.25">
      <c r="F30" s="136"/>
      <c r="G30" s="135"/>
      <c r="I30" s="135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4:L4"/>
    <mergeCell ref="J5:J6"/>
    <mergeCell ref="K5:L6"/>
    <mergeCell ref="D5:E6"/>
    <mergeCell ref="D8:F8"/>
    <mergeCell ref="J7:J8"/>
    <mergeCell ref="K7:L8"/>
    <mergeCell ref="D13:E13"/>
    <mergeCell ref="D14:E14"/>
    <mergeCell ref="D9:E9"/>
    <mergeCell ref="D10:E10"/>
    <mergeCell ref="D12:F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14" r:id="rId3" name="FDS1">
          <controlPr defaultSize="0" autoLine="0" r:id="rId4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3" name="FDS1"/>
      </mc:Fallback>
    </mc:AlternateContent>
    <mc:AlternateContent xmlns:mc="http://schemas.openxmlformats.org/markup-compatibility/2006">
      <mc:Choice Requires="x14">
        <control shapeId="115715" r:id="rId5" name="FDC1">
          <controlPr defaultSize="0" autoLine="0" r:id="rId6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5" name="FDC1"/>
      </mc:Fallback>
    </mc:AlternateContent>
    <mc:AlternateContent xmlns:mc="http://schemas.openxmlformats.org/markup-compatibility/2006">
      <mc:Choice Requires="x14">
        <control shapeId="115716" r:id="rId7" name="años1">
          <controlPr defaultSize="0" autoLine="0" r:id="rId8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7" name="años1"/>
      </mc:Fallback>
    </mc:AlternateContent>
    <mc:AlternateContent xmlns:mc="http://schemas.openxmlformats.org/markup-compatibility/2006">
      <mc:Choice Requires="x14">
        <control shapeId="115717" r:id="rId9" name="Tasa1">
          <controlPr defaultSize="0" autoLine="0" r:id="rId10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9" name="Tasa1"/>
      </mc:Fallback>
    </mc:AlternateContent>
    <mc:AlternateContent xmlns:mc="http://schemas.openxmlformats.org/markup-compatibility/2006">
      <mc:Choice Requires="x14">
        <control shapeId="115718" r:id="rId11" name="vehiculoA">
          <controlPr defaultSize="0" autoLine="0" r:id="rId1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11" name="vehiculoA"/>
      </mc:Fallback>
    </mc:AlternateContent>
    <mc:AlternateContent xmlns:mc="http://schemas.openxmlformats.org/markup-compatibility/2006">
      <mc:Choice Requires="x14">
        <control shapeId="115719" r:id="rId13" name="VehiculoB2">
          <controlPr defaultSize="0" autoLine="0" autoPict="0" r:id="rId14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3" name="VehiculoB2"/>
      </mc:Fallback>
    </mc:AlternateContent>
    <mc:AlternateContent xmlns:mc="http://schemas.openxmlformats.org/markup-compatibility/2006">
      <mc:Choice Requires="x14">
        <control shapeId="115720" r:id="rId15" name="VehiculoB3">
          <controlPr defaultSize="0" autoLine="0" r:id="rId16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5" name="VehiculoB3"/>
      </mc:Fallback>
    </mc:AlternateContent>
    <mc:AlternateContent xmlns:mc="http://schemas.openxmlformats.org/markup-compatibility/2006">
      <mc:Choice Requires="x14">
        <control shapeId="115721" r:id="rId17" name="VehiculoC2">
          <controlPr defaultSize="0" autoLine="0" r:id="rId18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7" name="VehiculoC2"/>
      </mc:Fallback>
    </mc:AlternateContent>
    <mc:AlternateContent xmlns:mc="http://schemas.openxmlformats.org/markup-compatibility/2006">
      <mc:Choice Requires="x14">
        <control shapeId="115722" r:id="rId19" name="vehiculoC3">
          <controlPr defaultSize="0" autoLine="0" r:id="rId20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9" name="vehiculoC3"/>
      </mc:Fallback>
    </mc:AlternateContent>
    <mc:AlternateContent xmlns:mc="http://schemas.openxmlformats.org/markup-compatibility/2006">
      <mc:Choice Requires="x14">
        <control shapeId="115723" r:id="rId21" name="VehiculoT3S2">
          <controlPr defaultSize="0" autoLine="0" r:id="rId2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21" name="VehiculoT3S2"/>
      </mc:Fallback>
    </mc:AlternateContent>
    <mc:AlternateContent xmlns:mc="http://schemas.openxmlformats.org/markup-compatibility/2006">
      <mc:Choice Requires="x14">
        <control shapeId="115724" r:id="rId23" name="VehiculoT3S3">
          <controlPr defaultSize="0" autoLine="0" r:id="rId24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23" name="VehiculoT3S3"/>
      </mc:Fallback>
    </mc:AlternateContent>
    <mc:AlternateContent xmlns:mc="http://schemas.openxmlformats.org/markup-compatibility/2006">
      <mc:Choice Requires="x14">
        <control shapeId="115725" r:id="rId25" name="VehiculoT3S2R4">
          <controlPr defaultSize="0" autoLine="0" r:id="rId26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25" name="VehiculoT3S2R4"/>
      </mc:Fallback>
    </mc:AlternateContent>
    <mc:AlternateContent xmlns:mc="http://schemas.openxmlformats.org/markup-compatibility/2006">
      <mc:Choice Requires="x14">
        <control shapeId="115726" r:id="rId27" name="TDPA1">
          <controlPr defaultSize="0" autoLine="0" autoPict="0" r:id="rId28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27" name="TDPA1"/>
      </mc:Fallback>
    </mc:AlternateContent>
    <mc:AlternateContent xmlns:mc="http://schemas.openxmlformats.org/markup-compatibility/2006">
      <mc:Choice Requires="x14">
        <control shapeId="115727" r:id="rId29" name="otros">
          <controlPr defaultSize="0" autoLine="0" autoPict="0" r:id="rId30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29" name="ot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CEC8D-9712-4CBF-AE1D-F4746C9AD9D9}">
  <sheetPr codeName="Hoja12">
    <tabColor rgb="FF0070C0"/>
  </sheetPr>
  <dimension ref="A1"/>
  <sheetViews>
    <sheetView workbookViewId="0"/>
  </sheetViews>
  <sheetFormatPr baseColWidth="10" defaultColWidth="11.57031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AF74"/>
  <sheetViews>
    <sheetView showGridLines="0" showRowColHeaders="0" topLeftCell="A7" zoomScaleNormal="100" workbookViewId="0">
      <selection activeCell="K53" sqref="K53"/>
    </sheetView>
  </sheetViews>
  <sheetFormatPr baseColWidth="10" defaultColWidth="11.5703125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32" x14ac:dyDescent="0.25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  <c r="AE1" s="308"/>
      <c r="AF1" s="292"/>
    </row>
    <row r="2" spans="1:32" x14ac:dyDescent="0.25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292"/>
      <c r="R2" s="292"/>
      <c r="S2" s="292"/>
      <c r="T2" s="292" t="s">
        <v>183</v>
      </c>
      <c r="U2" s="292">
        <v>0</v>
      </c>
      <c r="V2" s="292"/>
      <c r="W2" s="292"/>
      <c r="X2" s="292"/>
      <c r="Y2" s="292"/>
      <c r="Z2" s="292"/>
      <c r="AA2" s="292"/>
      <c r="AB2" s="292"/>
      <c r="AC2" s="292"/>
      <c r="AD2" s="292"/>
      <c r="AE2" s="308"/>
      <c r="AF2" s="292"/>
    </row>
    <row r="3" spans="1:32" x14ac:dyDescent="0.25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292"/>
      <c r="R3" s="292"/>
      <c r="S3" s="292"/>
      <c r="T3" s="292" t="s">
        <v>179</v>
      </c>
      <c r="U3" s="292" t="b">
        <v>1</v>
      </c>
      <c r="V3" s="292">
        <v>6.5</v>
      </c>
      <c r="W3" s="292">
        <v>0</v>
      </c>
      <c r="X3" s="292"/>
      <c r="Y3" s="292"/>
      <c r="Z3" s="292"/>
      <c r="AA3" s="292"/>
      <c r="AB3" s="292"/>
      <c r="AC3" s="292"/>
      <c r="AD3" s="292"/>
      <c r="AE3" s="308"/>
      <c r="AF3" s="292"/>
    </row>
    <row r="4" spans="1:32" x14ac:dyDescent="0.25">
      <c r="A4" s="312"/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292"/>
      <c r="R4" s="292"/>
      <c r="S4" s="292"/>
      <c r="T4" s="292" t="s">
        <v>182</v>
      </c>
      <c r="U4" s="292" t="b">
        <v>1</v>
      </c>
      <c r="V4" s="292">
        <v>6.5</v>
      </c>
      <c r="W4" s="292">
        <v>25</v>
      </c>
      <c r="X4" s="292"/>
      <c r="Y4" s="292"/>
      <c r="Z4" s="292"/>
      <c r="AA4" s="292"/>
      <c r="AB4" s="292"/>
      <c r="AC4" s="292"/>
      <c r="AD4" s="292"/>
      <c r="AE4" s="308"/>
      <c r="AF4" s="292"/>
    </row>
    <row r="5" spans="1:32" x14ac:dyDescent="0.25">
      <c r="A5" s="312"/>
      <c r="B5" s="312"/>
      <c r="C5" s="312"/>
      <c r="D5" s="312"/>
      <c r="E5" s="312"/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 t="s">
        <v>180</v>
      </c>
      <c r="U5" s="292" t="b">
        <v>1</v>
      </c>
      <c r="V5" s="292">
        <v>11</v>
      </c>
      <c r="W5" s="292">
        <v>0</v>
      </c>
      <c r="X5" s="292"/>
      <c r="Y5" s="292"/>
      <c r="Z5" s="292"/>
      <c r="AA5" s="292"/>
      <c r="AB5" s="292"/>
      <c r="AC5" s="292"/>
      <c r="AD5" s="292"/>
      <c r="AE5" s="308"/>
      <c r="AF5" s="292"/>
    </row>
    <row r="6" spans="1:32" x14ac:dyDescent="0.25">
      <c r="A6" s="312"/>
      <c r="B6" s="312"/>
      <c r="C6" s="312"/>
      <c r="D6" s="312" t="s">
        <v>200</v>
      </c>
      <c r="E6" s="31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 t="s">
        <v>181</v>
      </c>
      <c r="U6" s="292" t="b">
        <v>1</v>
      </c>
      <c r="V6" s="292">
        <v>11</v>
      </c>
      <c r="W6" s="292">
        <v>25</v>
      </c>
      <c r="X6" s="292"/>
      <c r="Y6" s="292"/>
      <c r="Z6" s="292"/>
      <c r="AA6" s="292"/>
      <c r="AB6" s="292"/>
      <c r="AC6" s="292"/>
      <c r="AD6" s="292"/>
      <c r="AE6" s="308"/>
      <c r="AF6" s="292"/>
    </row>
    <row r="7" spans="1:32" ht="15.75" x14ac:dyDescent="0.25">
      <c r="A7" s="312"/>
      <c r="B7" s="312"/>
      <c r="C7" s="312"/>
      <c r="D7" s="312"/>
      <c r="E7" s="312"/>
      <c r="F7" s="292"/>
      <c r="G7" s="292"/>
      <c r="H7" s="292"/>
      <c r="I7" s="292"/>
      <c r="J7" s="292"/>
      <c r="K7" s="292"/>
      <c r="L7" s="215"/>
      <c r="M7" s="292"/>
      <c r="N7" s="292"/>
      <c r="O7" s="292"/>
      <c r="P7" s="292"/>
      <c r="Q7" s="292"/>
      <c r="R7" s="292"/>
      <c r="S7" s="292"/>
      <c r="T7" s="292"/>
      <c r="U7" s="292"/>
      <c r="V7" s="292">
        <v>18</v>
      </c>
      <c r="W7" s="292">
        <v>0</v>
      </c>
      <c r="X7" s="292"/>
      <c r="Y7" s="292"/>
      <c r="Z7" s="292"/>
      <c r="AA7" s="292"/>
      <c r="AB7" s="292"/>
      <c r="AC7" s="292"/>
      <c r="AD7" s="292"/>
      <c r="AE7" s="308"/>
      <c r="AF7" s="292"/>
    </row>
    <row r="8" spans="1:32" ht="18.75" x14ac:dyDescent="0.25">
      <c r="A8" s="312"/>
      <c r="B8" s="312"/>
      <c r="C8" s="312"/>
      <c r="D8" s="312"/>
      <c r="E8" s="312"/>
      <c r="F8" s="292"/>
      <c r="G8" s="292"/>
      <c r="H8" s="292"/>
      <c r="I8" s="292"/>
      <c r="J8" s="292"/>
      <c r="K8" s="292"/>
      <c r="L8" s="309" t="s">
        <v>74</v>
      </c>
      <c r="M8" s="292"/>
      <c r="N8" s="292"/>
      <c r="O8" s="292"/>
      <c r="P8" s="292"/>
      <c r="Q8" s="292"/>
      <c r="R8" s="292"/>
      <c r="S8" s="292"/>
      <c r="T8" s="292">
        <v>4</v>
      </c>
      <c r="U8" s="292">
        <v>4</v>
      </c>
      <c r="V8" s="292">
        <v>18</v>
      </c>
      <c r="W8" s="292">
        <v>25</v>
      </c>
      <c r="X8" s="292"/>
      <c r="Y8" s="292"/>
      <c r="Z8" s="292"/>
      <c r="AA8" s="292"/>
      <c r="AB8" s="292"/>
      <c r="AC8" s="292"/>
      <c r="AD8" s="292"/>
      <c r="AE8" s="308"/>
      <c r="AF8" s="292"/>
    </row>
    <row r="9" spans="1:32" ht="15.75" customHeight="1" x14ac:dyDescent="0.25">
      <c r="A9" s="312"/>
      <c r="B9" s="312"/>
      <c r="C9" s="312"/>
      <c r="D9" s="312"/>
      <c r="E9" s="312"/>
      <c r="F9" s="292"/>
      <c r="G9" s="292"/>
      <c r="H9" s="292"/>
      <c r="I9" s="292"/>
      <c r="J9" s="292"/>
      <c r="K9" s="292"/>
      <c r="L9" s="215"/>
      <c r="M9" s="292"/>
      <c r="N9" s="292"/>
      <c r="O9" s="292"/>
      <c r="P9" s="292"/>
      <c r="Q9" s="292"/>
      <c r="R9" s="292"/>
      <c r="S9" s="292"/>
      <c r="T9" s="292">
        <v>3</v>
      </c>
      <c r="U9" s="292"/>
      <c r="V9" s="292">
        <v>23</v>
      </c>
      <c r="W9" s="292">
        <v>0</v>
      </c>
      <c r="X9" s="292"/>
      <c r="Y9" s="292"/>
      <c r="Z9" s="292"/>
      <c r="AA9" s="292"/>
      <c r="AB9" s="292"/>
      <c r="AC9" s="292"/>
      <c r="AD9" s="292"/>
      <c r="AE9" s="308"/>
      <c r="AF9" s="292"/>
    </row>
    <row r="10" spans="1:32" ht="15.75" customHeight="1" x14ac:dyDescent="0.25">
      <c r="A10" s="312"/>
      <c r="B10" s="312"/>
      <c r="C10" s="312"/>
      <c r="D10" s="312"/>
      <c r="E10" s="312"/>
      <c r="F10" s="292"/>
      <c r="G10" s="292"/>
      <c r="H10" s="292"/>
      <c r="I10" s="292"/>
      <c r="J10" s="292"/>
      <c r="K10" s="292"/>
      <c r="L10" s="310"/>
      <c r="M10" s="292"/>
      <c r="N10" s="292"/>
      <c r="O10" s="292"/>
      <c r="P10" s="292"/>
      <c r="Q10" s="292"/>
      <c r="R10" s="292"/>
      <c r="S10" s="292"/>
      <c r="T10" s="292">
        <v>2</v>
      </c>
      <c r="U10" s="292"/>
      <c r="V10" s="292">
        <v>23</v>
      </c>
      <c r="W10" s="292">
        <v>25</v>
      </c>
      <c r="X10" s="292"/>
      <c r="Y10" s="292"/>
      <c r="Z10" s="292"/>
      <c r="AA10" s="292"/>
      <c r="AB10" s="292"/>
      <c r="AC10" s="292"/>
      <c r="AD10" s="292"/>
      <c r="AE10" s="308"/>
      <c r="AF10" s="292"/>
    </row>
    <row r="11" spans="1:32" ht="18.75" x14ac:dyDescent="0.3">
      <c r="A11" s="312"/>
      <c r="B11" s="312"/>
      <c r="C11" s="312"/>
      <c r="D11" s="312"/>
      <c r="E11" s="312" t="s">
        <v>75</v>
      </c>
      <c r="F11" s="292"/>
      <c r="G11" s="292"/>
      <c r="H11" s="292"/>
      <c r="I11" s="292"/>
      <c r="J11" s="292"/>
      <c r="K11" s="292"/>
      <c r="L11" s="311"/>
      <c r="M11" s="292"/>
      <c r="N11" s="292"/>
      <c r="O11" s="292"/>
      <c r="P11" s="292"/>
      <c r="Q11" s="292"/>
      <c r="R11" s="292"/>
      <c r="S11" s="292"/>
      <c r="T11" s="292">
        <v>1</v>
      </c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308"/>
      <c r="AF11" s="292"/>
    </row>
    <row r="12" spans="1:32" ht="18.75" x14ac:dyDescent="0.3">
      <c r="A12" s="312"/>
      <c r="B12" s="312"/>
      <c r="C12" s="312"/>
      <c r="D12" s="312"/>
      <c r="E12" s="312"/>
      <c r="F12" s="292"/>
      <c r="G12" s="292"/>
      <c r="H12" s="292"/>
      <c r="I12" s="292"/>
      <c r="J12" s="292"/>
      <c r="K12" s="292"/>
      <c r="L12" s="311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  <c r="AA12" s="292"/>
      <c r="AB12" s="292"/>
      <c r="AC12" s="292"/>
      <c r="AD12" s="292"/>
      <c r="AE12" s="308"/>
      <c r="AF12" s="292"/>
    </row>
    <row r="13" spans="1:32" ht="18.75" x14ac:dyDescent="0.3">
      <c r="A13" s="312"/>
      <c r="B13" s="312"/>
      <c r="C13" s="312"/>
      <c r="D13" s="312"/>
      <c r="E13" s="312"/>
      <c r="F13" s="292"/>
      <c r="G13" s="292"/>
      <c r="H13" s="292"/>
      <c r="I13" s="292"/>
      <c r="J13" s="292"/>
      <c r="K13" s="292"/>
      <c r="L13" s="311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308"/>
      <c r="AF13" s="292"/>
    </row>
    <row r="14" spans="1:32" ht="18.75" x14ac:dyDescent="0.3">
      <c r="A14" s="312"/>
      <c r="B14" s="312"/>
      <c r="C14" s="312"/>
      <c r="D14" s="312"/>
      <c r="E14" s="312"/>
      <c r="F14" s="292"/>
      <c r="G14" s="292"/>
      <c r="H14" s="292"/>
      <c r="I14" s="292"/>
      <c r="J14" s="292"/>
      <c r="K14" s="292"/>
      <c r="L14" s="311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  <c r="AA14" s="292"/>
      <c r="AB14" s="292"/>
      <c r="AC14" s="292"/>
      <c r="AD14" s="292"/>
      <c r="AE14" s="308"/>
      <c r="AF14" s="292"/>
    </row>
    <row r="15" spans="1:32" ht="16.5" customHeight="1" x14ac:dyDescent="0.3">
      <c r="A15" s="312"/>
      <c r="B15" s="312"/>
      <c r="C15" s="312"/>
      <c r="D15" s="312"/>
      <c r="E15" s="312"/>
      <c r="F15" s="292"/>
      <c r="G15" s="292"/>
      <c r="H15" s="292"/>
      <c r="I15" s="292"/>
      <c r="J15" s="292"/>
      <c r="K15" s="292"/>
      <c r="L15" s="311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</row>
    <row r="16" spans="1:32" ht="19.5" customHeight="1" x14ac:dyDescent="0.25">
      <c r="A16" s="312"/>
      <c r="B16" s="312"/>
      <c r="C16" s="312"/>
      <c r="D16" s="312"/>
      <c r="E16" s="312"/>
      <c r="F16" s="292"/>
      <c r="G16" s="292"/>
      <c r="H16" s="292"/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  <c r="AA16" s="292"/>
      <c r="AB16" s="292"/>
      <c r="AC16" s="292"/>
      <c r="AD16" s="292"/>
      <c r="AE16" s="292"/>
      <c r="AF16" s="292"/>
    </row>
    <row r="17" spans="1:32" x14ac:dyDescent="0.25">
      <c r="A17" s="312"/>
      <c r="B17" s="312"/>
      <c r="C17" s="312"/>
      <c r="D17" s="312"/>
      <c r="E17" s="312"/>
      <c r="F17" s="292"/>
      <c r="G17" s="292"/>
      <c r="H17" s="292"/>
      <c r="I17" s="2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  <c r="AA17" s="292"/>
      <c r="AB17" s="292"/>
      <c r="AC17" s="292"/>
      <c r="AD17" s="292"/>
      <c r="AE17" s="292"/>
      <c r="AF17" s="292"/>
    </row>
    <row r="18" spans="1:32" x14ac:dyDescent="0.25">
      <c r="A18" s="312"/>
      <c r="B18" s="312"/>
      <c r="C18" s="312"/>
      <c r="D18" s="312"/>
      <c r="E18" s="312"/>
      <c r="F18" s="292"/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  <c r="AA18" s="292"/>
      <c r="AB18" s="292"/>
      <c r="AC18" s="292"/>
      <c r="AD18" s="292"/>
      <c r="AE18" s="292"/>
      <c r="AF18" s="292"/>
    </row>
    <row r="19" spans="1:32" x14ac:dyDescent="0.25">
      <c r="A19" s="312"/>
      <c r="B19" s="312"/>
      <c r="C19" s="312"/>
      <c r="D19" s="312"/>
      <c r="E19" s="312"/>
      <c r="F19" s="292"/>
      <c r="G19" s="292"/>
      <c r="H19" s="292"/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  <c r="AA19" s="292"/>
      <c r="AB19" s="292"/>
      <c r="AC19" s="292"/>
      <c r="AD19" s="292"/>
      <c r="AE19" s="292"/>
      <c r="AF19" s="292"/>
    </row>
    <row r="20" spans="1:32" x14ac:dyDescent="0.25">
      <c r="A20" s="312"/>
      <c r="B20" s="312"/>
      <c r="C20" s="312"/>
      <c r="D20" s="312"/>
      <c r="E20" s="312"/>
      <c r="F20" s="292"/>
      <c r="G20" s="292"/>
      <c r="H20" s="292"/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  <c r="AA20" s="292"/>
      <c r="AB20" s="292"/>
      <c r="AC20" s="292"/>
      <c r="AD20" s="292"/>
      <c r="AE20" s="292"/>
      <c r="AF20" s="292"/>
    </row>
    <row r="21" spans="1:32" x14ac:dyDescent="0.25">
      <c r="A21" s="312"/>
      <c r="B21" s="312"/>
      <c r="C21" s="312"/>
      <c r="D21" s="312"/>
      <c r="E21" s="312"/>
      <c r="F21" s="292"/>
      <c r="G21" s="292"/>
      <c r="H21" s="292"/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  <c r="AA21" s="292"/>
      <c r="AB21" s="292"/>
      <c r="AC21" s="292"/>
      <c r="AD21" s="292"/>
      <c r="AE21" s="292"/>
      <c r="AF21" s="292"/>
    </row>
    <row r="22" spans="1:32" x14ac:dyDescent="0.25">
      <c r="A22" s="312"/>
      <c r="B22" s="312"/>
      <c r="C22" s="312"/>
      <c r="D22" s="312"/>
      <c r="E22" s="31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  <c r="AA22" s="292"/>
      <c r="AB22" s="292"/>
      <c r="AC22" s="292"/>
      <c r="AD22" s="292"/>
      <c r="AE22" s="292"/>
      <c r="AF22" s="292"/>
    </row>
    <row r="23" spans="1:32" x14ac:dyDescent="0.25">
      <c r="A23" s="312"/>
      <c r="B23" s="312"/>
      <c r="C23" s="312"/>
      <c r="D23" s="312"/>
      <c r="E23" s="312"/>
      <c r="F23" s="292"/>
      <c r="G23" s="292"/>
      <c r="H23" s="2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  <c r="AA23" s="292"/>
      <c r="AB23" s="292"/>
      <c r="AC23" s="292"/>
      <c r="AD23" s="292"/>
      <c r="AE23" s="292"/>
      <c r="AF23" s="292"/>
    </row>
    <row r="24" spans="1:32" x14ac:dyDescent="0.25">
      <c r="A24" s="312"/>
      <c r="B24" s="312"/>
      <c r="C24" s="312"/>
      <c r="D24" s="312"/>
      <c r="E24" s="312"/>
      <c r="F24" s="292"/>
      <c r="G24" s="292"/>
      <c r="H24" s="292"/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  <c r="AA24" s="292"/>
      <c r="AB24" s="292"/>
      <c r="AC24" s="292"/>
      <c r="AD24" s="292"/>
      <c r="AE24" s="292"/>
      <c r="AF24" s="292"/>
    </row>
    <row r="25" spans="1:32" x14ac:dyDescent="0.25">
      <c r="A25" s="312"/>
      <c r="B25" s="312"/>
      <c r="C25" s="312"/>
      <c r="D25" s="312"/>
      <c r="E25" s="312"/>
      <c r="F25" s="292"/>
      <c r="G25" s="292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  <c r="AA25" s="292"/>
      <c r="AB25" s="292"/>
      <c r="AC25" s="292"/>
      <c r="AD25" s="292"/>
      <c r="AE25" s="292"/>
      <c r="AF25" s="292"/>
    </row>
    <row r="26" spans="1:32" x14ac:dyDescent="0.25">
      <c r="A26" s="312"/>
      <c r="B26" s="312"/>
      <c r="C26" s="312"/>
      <c r="D26" s="312"/>
      <c r="E26" s="312"/>
      <c r="F26" s="292"/>
      <c r="G26" s="292"/>
      <c r="H26" s="292"/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  <c r="AC26" s="292"/>
      <c r="AD26" s="292"/>
      <c r="AE26" s="292"/>
      <c r="AF26" s="292"/>
    </row>
    <row r="27" spans="1:32" x14ac:dyDescent="0.25">
      <c r="A27" s="292"/>
      <c r="B27" s="292"/>
      <c r="C27" s="292"/>
      <c r="D27" s="292"/>
      <c r="E27" s="292"/>
      <c r="F27" s="292"/>
      <c r="G27" s="292"/>
      <c r="H27" s="292"/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  <c r="AA27" s="292"/>
      <c r="AB27" s="292"/>
      <c r="AC27" s="292"/>
      <c r="AD27" s="292"/>
      <c r="AE27" s="292"/>
      <c r="AF27" s="292"/>
    </row>
    <row r="28" spans="1:32" x14ac:dyDescent="0.25">
      <c r="A28" s="312"/>
      <c r="B28" s="327" t="s">
        <v>67</v>
      </c>
      <c r="C28" s="328"/>
      <c r="D28" s="328"/>
      <c r="E28" s="328"/>
      <c r="F28" s="328"/>
      <c r="G28" s="328"/>
      <c r="H28" s="328"/>
      <c r="I28" s="328"/>
      <c r="J28" s="328"/>
      <c r="K28" s="328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  <c r="AA28" s="292"/>
      <c r="AB28" s="292"/>
      <c r="AC28" s="292"/>
      <c r="AD28" s="292"/>
      <c r="AE28" s="292"/>
      <c r="AF28" s="292"/>
    </row>
    <row r="29" spans="1:32" ht="15.95" customHeight="1" x14ac:dyDescent="0.25">
      <c r="A29" s="326" t="s">
        <v>78</v>
      </c>
      <c r="B29" s="258" t="s">
        <v>66</v>
      </c>
      <c r="C29" s="313" t="s">
        <v>52</v>
      </c>
      <c r="D29" s="313" t="s">
        <v>53</v>
      </c>
      <c r="E29" s="313" t="s">
        <v>54</v>
      </c>
      <c r="F29" s="314" t="s">
        <v>125</v>
      </c>
      <c r="G29" s="314" t="s">
        <v>126</v>
      </c>
      <c r="H29" s="314" t="s">
        <v>127</v>
      </c>
      <c r="I29" s="314" t="s">
        <v>128</v>
      </c>
      <c r="J29" s="314" t="s">
        <v>129</v>
      </c>
      <c r="K29" s="314" t="s">
        <v>130</v>
      </c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  <c r="AC29" s="292"/>
      <c r="AD29" s="292"/>
      <c r="AE29" s="292"/>
      <c r="AF29" s="292"/>
    </row>
    <row r="30" spans="1:32" ht="15.95" customHeight="1" x14ac:dyDescent="0.25">
      <c r="A30" s="326"/>
      <c r="B30" s="258" t="s">
        <v>29</v>
      </c>
      <c r="C30" s="315">
        <v>1</v>
      </c>
      <c r="D30" s="315">
        <v>0</v>
      </c>
      <c r="E30" s="315">
        <v>0</v>
      </c>
      <c r="F30" s="315">
        <v>1.2</v>
      </c>
      <c r="G30" s="315">
        <v>0</v>
      </c>
      <c r="H30" s="315">
        <v>0</v>
      </c>
      <c r="I30" s="315">
        <v>0.35</v>
      </c>
      <c r="J30" s="315">
        <v>1E-8</v>
      </c>
      <c r="K30" s="315">
        <v>1E-8</v>
      </c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</row>
    <row r="31" spans="1:32" ht="15.95" customHeight="1" x14ac:dyDescent="0.25">
      <c r="A31" s="326"/>
      <c r="B31" s="258" t="s">
        <v>31</v>
      </c>
      <c r="C31" s="315">
        <v>1</v>
      </c>
      <c r="D31" s="315">
        <v>0</v>
      </c>
      <c r="E31" s="315">
        <v>0</v>
      </c>
      <c r="F31" s="315">
        <v>1.504</v>
      </c>
      <c r="G31" s="315">
        <v>0</v>
      </c>
      <c r="H31" s="315">
        <v>0</v>
      </c>
      <c r="I31" s="315">
        <v>0.5</v>
      </c>
      <c r="J31" s="315">
        <v>1E-8</v>
      </c>
      <c r="K31" s="315">
        <v>1E-8</v>
      </c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2"/>
      <c r="AB31" s="292"/>
      <c r="AC31" s="292"/>
      <c r="AD31" s="292"/>
      <c r="AE31" s="292"/>
      <c r="AF31" s="292"/>
    </row>
    <row r="32" spans="1:32" ht="15.95" customHeight="1" x14ac:dyDescent="0.25">
      <c r="A32" s="326"/>
      <c r="B32" s="258" t="s">
        <v>10</v>
      </c>
      <c r="C32" s="315">
        <v>0.3</v>
      </c>
      <c r="D32" s="315">
        <v>0.25</v>
      </c>
      <c r="E32" s="315">
        <v>0.45</v>
      </c>
      <c r="F32" s="315">
        <v>2</v>
      </c>
      <c r="G32" s="315">
        <v>2.2000000000000002</v>
      </c>
      <c r="H32" s="315">
        <v>2.7</v>
      </c>
      <c r="I32" s="315">
        <v>0.1</v>
      </c>
      <c r="J32" s="315">
        <v>0.2</v>
      </c>
      <c r="K32" s="315">
        <v>0.1</v>
      </c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2"/>
      <c r="AB32" s="292"/>
      <c r="AC32" s="292"/>
      <c r="AD32" s="292"/>
      <c r="AE32" s="292"/>
      <c r="AF32" s="292"/>
    </row>
    <row r="33" spans="1:32" ht="15.95" customHeight="1" x14ac:dyDescent="0.25">
      <c r="A33" s="326"/>
      <c r="B33" s="258" t="s">
        <v>11</v>
      </c>
      <c r="C33" s="315">
        <v>0.6</v>
      </c>
      <c r="D33" s="315">
        <v>0.4</v>
      </c>
      <c r="E33" s="315">
        <v>0</v>
      </c>
      <c r="F33" s="315">
        <v>1.946</v>
      </c>
      <c r="G33" s="315">
        <v>2.6</v>
      </c>
      <c r="H33" s="315">
        <v>0</v>
      </c>
      <c r="I33" s="315">
        <v>0.27</v>
      </c>
      <c r="J33" s="315">
        <v>0.17</v>
      </c>
      <c r="K33" s="315">
        <v>1E-10</v>
      </c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2"/>
      <c r="AB33" s="292"/>
      <c r="AC33" s="292"/>
      <c r="AD33" s="292"/>
      <c r="AE33" s="292"/>
      <c r="AF33" s="292"/>
    </row>
    <row r="34" spans="1:32" ht="15.95" customHeight="1" x14ac:dyDescent="0.25">
      <c r="A34" s="326" t="s">
        <v>76</v>
      </c>
      <c r="B34" s="258" t="s">
        <v>66</v>
      </c>
      <c r="C34" s="313" t="s">
        <v>52</v>
      </c>
      <c r="D34" s="313" t="s">
        <v>53</v>
      </c>
      <c r="E34" s="313" t="s">
        <v>54</v>
      </c>
      <c r="F34" s="314" t="s">
        <v>125</v>
      </c>
      <c r="G34" s="314" t="s">
        <v>126</v>
      </c>
      <c r="H34" s="314" t="s">
        <v>127</v>
      </c>
      <c r="I34" s="314" t="s">
        <v>128</v>
      </c>
      <c r="J34" s="314" t="s">
        <v>129</v>
      </c>
      <c r="K34" s="314" t="s">
        <v>130</v>
      </c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  <c r="AA34" s="292"/>
      <c r="AB34" s="292"/>
      <c r="AC34" s="292"/>
      <c r="AD34" s="292"/>
      <c r="AE34" s="292"/>
      <c r="AF34" s="292"/>
    </row>
    <row r="35" spans="1:32" ht="15.95" customHeight="1" x14ac:dyDescent="0.25">
      <c r="A35" s="326"/>
      <c r="B35" s="258" t="s">
        <v>29</v>
      </c>
      <c r="C35" s="315">
        <v>1</v>
      </c>
      <c r="D35" s="315">
        <v>0</v>
      </c>
      <c r="E35" s="315">
        <v>0</v>
      </c>
      <c r="F35" s="315">
        <v>1.2</v>
      </c>
      <c r="G35" s="315">
        <v>0</v>
      </c>
      <c r="H35" s="315">
        <v>0</v>
      </c>
      <c r="I35" s="315">
        <v>0.35</v>
      </c>
      <c r="J35" s="315">
        <v>9.9999999999999994E-12</v>
      </c>
      <c r="K35" s="315">
        <v>1E-10</v>
      </c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2"/>
      <c r="AB35" s="292"/>
      <c r="AC35" s="292"/>
      <c r="AD35" s="292"/>
      <c r="AE35" s="292"/>
      <c r="AF35" s="292"/>
    </row>
    <row r="36" spans="1:32" ht="15.95" customHeight="1" x14ac:dyDescent="0.25">
      <c r="A36" s="326"/>
      <c r="B36" s="258" t="s">
        <v>31</v>
      </c>
      <c r="C36" s="315">
        <v>1</v>
      </c>
      <c r="D36" s="315">
        <v>0</v>
      </c>
      <c r="E36" s="315">
        <v>0</v>
      </c>
      <c r="F36" s="315">
        <v>1.7</v>
      </c>
      <c r="G36" s="315">
        <v>0</v>
      </c>
      <c r="H36" s="315">
        <v>0</v>
      </c>
      <c r="I36" s="315">
        <v>0.4</v>
      </c>
      <c r="J36" s="315">
        <v>9.9999999999999994E-12</v>
      </c>
      <c r="K36" s="315">
        <v>1E-10</v>
      </c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  <c r="AA36" s="292"/>
      <c r="AB36" s="292"/>
      <c r="AC36" s="292"/>
      <c r="AD36" s="292"/>
      <c r="AE36" s="292"/>
      <c r="AF36" s="292"/>
    </row>
    <row r="37" spans="1:32" ht="15.95" customHeight="1" x14ac:dyDescent="0.25">
      <c r="A37" s="326"/>
      <c r="B37" s="258" t="s">
        <v>10</v>
      </c>
      <c r="C37" s="315">
        <v>0.4</v>
      </c>
      <c r="D37" s="315">
        <v>0.3</v>
      </c>
      <c r="E37" s="315">
        <v>0.30000000000000004</v>
      </c>
      <c r="F37" s="315">
        <v>2.2000000000000002</v>
      </c>
      <c r="G37" s="315">
        <v>2.7719999999999998</v>
      </c>
      <c r="H37" s="315">
        <v>2.8</v>
      </c>
      <c r="I37" s="315">
        <v>0.1</v>
      </c>
      <c r="J37" s="315">
        <v>0.2</v>
      </c>
      <c r="K37" s="315">
        <v>0.1</v>
      </c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  <c r="AA37" s="292"/>
      <c r="AB37" s="292"/>
      <c r="AC37" s="292"/>
      <c r="AD37" s="292"/>
      <c r="AE37" s="292"/>
      <c r="AF37" s="292"/>
    </row>
    <row r="38" spans="1:32" ht="15.95" customHeight="1" x14ac:dyDescent="0.25">
      <c r="A38" s="326"/>
      <c r="B38" s="258" t="s">
        <v>11</v>
      </c>
      <c r="C38" s="315">
        <v>0.5</v>
      </c>
      <c r="D38" s="315">
        <v>0.5</v>
      </c>
      <c r="E38" s="315">
        <v>0</v>
      </c>
      <c r="F38" s="315">
        <v>1.946</v>
      </c>
      <c r="G38" s="315">
        <v>2.8</v>
      </c>
      <c r="H38" s="315">
        <v>0</v>
      </c>
      <c r="I38" s="315">
        <v>0.25</v>
      </c>
      <c r="J38" s="315">
        <v>0.2</v>
      </c>
      <c r="K38" s="315">
        <v>1E-10</v>
      </c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  <c r="AA38" s="292"/>
      <c r="AB38" s="292"/>
      <c r="AC38" s="292"/>
      <c r="AD38" s="292"/>
      <c r="AE38" s="292"/>
      <c r="AF38" s="292"/>
    </row>
    <row r="39" spans="1:32" ht="15.95" customHeight="1" x14ac:dyDescent="0.25">
      <c r="A39" s="326" t="s">
        <v>131</v>
      </c>
      <c r="B39" s="258" t="s">
        <v>66</v>
      </c>
      <c r="C39" s="313" t="s">
        <v>52</v>
      </c>
      <c r="D39" s="313" t="s">
        <v>53</v>
      </c>
      <c r="E39" s="313" t="s">
        <v>54</v>
      </c>
      <c r="F39" s="314" t="s">
        <v>125</v>
      </c>
      <c r="G39" s="314" t="s">
        <v>126</v>
      </c>
      <c r="H39" s="314" t="s">
        <v>127</v>
      </c>
      <c r="I39" s="314" t="s">
        <v>128</v>
      </c>
      <c r="J39" s="314" t="s">
        <v>129</v>
      </c>
      <c r="K39" s="314" t="s">
        <v>130</v>
      </c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  <c r="AA39" s="292"/>
      <c r="AB39" s="292"/>
      <c r="AC39" s="292"/>
      <c r="AD39" s="292"/>
      <c r="AE39" s="292"/>
      <c r="AF39" s="292"/>
    </row>
    <row r="40" spans="1:32" ht="15.95" customHeight="1" x14ac:dyDescent="0.25">
      <c r="A40" s="326"/>
      <c r="B40" s="258" t="s">
        <v>29</v>
      </c>
      <c r="C40" s="315">
        <v>1</v>
      </c>
      <c r="D40" s="315">
        <v>0</v>
      </c>
      <c r="E40" s="315">
        <v>0</v>
      </c>
      <c r="F40" s="315">
        <v>1.2</v>
      </c>
      <c r="G40" s="315">
        <v>0</v>
      </c>
      <c r="H40" s="315">
        <v>0</v>
      </c>
      <c r="I40" s="315">
        <v>0.35</v>
      </c>
      <c r="J40" s="315">
        <v>9.9999999999999994E-12</v>
      </c>
      <c r="K40" s="315">
        <v>1E-10</v>
      </c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  <c r="AA40" s="292"/>
      <c r="AB40" s="292"/>
      <c r="AC40" s="292"/>
      <c r="AD40" s="292"/>
      <c r="AE40" s="292"/>
      <c r="AF40" s="292"/>
    </row>
    <row r="41" spans="1:32" ht="15.95" customHeight="1" x14ac:dyDescent="0.25">
      <c r="A41" s="326"/>
      <c r="B41" s="258" t="s">
        <v>31</v>
      </c>
      <c r="C41" s="315">
        <v>1</v>
      </c>
      <c r="D41" s="315">
        <v>0</v>
      </c>
      <c r="E41" s="315">
        <v>0</v>
      </c>
      <c r="F41" s="315">
        <v>1.8</v>
      </c>
      <c r="G41" s="315">
        <v>0</v>
      </c>
      <c r="H41" s="315">
        <v>0</v>
      </c>
      <c r="I41" s="315">
        <v>0.36</v>
      </c>
      <c r="J41" s="315">
        <v>9.9999999999999994E-12</v>
      </c>
      <c r="K41" s="315">
        <v>1E-10</v>
      </c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  <c r="AA41" s="292"/>
      <c r="AB41" s="292"/>
      <c r="AC41" s="292"/>
      <c r="AD41" s="292"/>
      <c r="AE41" s="292"/>
      <c r="AF41" s="292"/>
    </row>
    <row r="42" spans="1:32" ht="15.95" customHeight="1" x14ac:dyDescent="0.25">
      <c r="A42" s="326"/>
      <c r="B42" s="258" t="s">
        <v>10</v>
      </c>
      <c r="C42" s="315">
        <v>0.4</v>
      </c>
      <c r="D42" s="315">
        <v>0.3</v>
      </c>
      <c r="E42" s="315">
        <v>0.30000000000000004</v>
      </c>
      <c r="F42" s="315">
        <v>2.3460000000000001</v>
      </c>
      <c r="G42" s="315">
        <v>2.7719999999999998</v>
      </c>
      <c r="H42" s="315">
        <v>3.218</v>
      </c>
      <c r="I42" s="315">
        <v>0.1</v>
      </c>
      <c r="J42" s="315">
        <v>0.3</v>
      </c>
      <c r="K42" s="315">
        <v>0.12</v>
      </c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  <c r="AA42" s="292"/>
      <c r="AB42" s="292"/>
      <c r="AC42" s="292"/>
      <c r="AD42" s="292"/>
      <c r="AE42" s="292"/>
      <c r="AF42" s="292"/>
    </row>
    <row r="43" spans="1:32" ht="15.95" customHeight="1" x14ac:dyDescent="0.25">
      <c r="A43" s="326"/>
      <c r="B43" s="258" t="s">
        <v>11</v>
      </c>
      <c r="C43" s="315">
        <v>0.5</v>
      </c>
      <c r="D43" s="315">
        <v>0.5</v>
      </c>
      <c r="E43" s="315">
        <v>0</v>
      </c>
      <c r="F43" s="315">
        <v>2.1</v>
      </c>
      <c r="G43" s="315">
        <v>3.05</v>
      </c>
      <c r="H43" s="315">
        <v>0</v>
      </c>
      <c r="I43" s="315">
        <v>0.27</v>
      </c>
      <c r="J43" s="315">
        <v>0.27</v>
      </c>
      <c r="K43" s="315">
        <v>1E-10</v>
      </c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  <c r="AA43" s="292"/>
      <c r="AB43" s="292"/>
      <c r="AC43" s="292"/>
      <c r="AD43" s="292"/>
      <c r="AE43" s="292"/>
      <c r="AF43" s="292"/>
    </row>
    <row r="44" spans="1:32" ht="15.95" customHeight="1" x14ac:dyDescent="0.25">
      <c r="A44" s="326" t="s">
        <v>132</v>
      </c>
      <c r="B44" s="258" t="s">
        <v>66</v>
      </c>
      <c r="C44" s="313" t="s">
        <v>52</v>
      </c>
      <c r="D44" s="313" t="s">
        <v>53</v>
      </c>
      <c r="E44" s="313" t="s">
        <v>54</v>
      </c>
      <c r="F44" s="314" t="s">
        <v>125</v>
      </c>
      <c r="G44" s="314" t="s">
        <v>126</v>
      </c>
      <c r="H44" s="314" t="s">
        <v>127</v>
      </c>
      <c r="I44" s="314" t="s">
        <v>128</v>
      </c>
      <c r="J44" s="314" t="s">
        <v>129</v>
      </c>
      <c r="K44" s="314" t="s">
        <v>130</v>
      </c>
      <c r="L44" s="31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2"/>
      <c r="AB44" s="292"/>
      <c r="AC44" s="292"/>
      <c r="AD44" s="292"/>
      <c r="AE44" s="292"/>
      <c r="AF44" s="292"/>
    </row>
    <row r="45" spans="1:32" ht="15.95" customHeight="1" x14ac:dyDescent="0.25">
      <c r="A45" s="326"/>
      <c r="B45" s="258" t="s">
        <v>29</v>
      </c>
      <c r="C45" s="315">
        <v>1</v>
      </c>
      <c r="D45" s="315">
        <v>0</v>
      </c>
      <c r="E45" s="315">
        <v>0</v>
      </c>
      <c r="F45" s="315">
        <v>1.2</v>
      </c>
      <c r="G45" s="315">
        <v>0</v>
      </c>
      <c r="H45" s="315">
        <v>0</v>
      </c>
      <c r="I45" s="315">
        <v>0.35</v>
      </c>
      <c r="J45" s="315">
        <v>9.9999999999999994E-12</v>
      </c>
      <c r="K45" s="315">
        <v>1E-10</v>
      </c>
      <c r="L45" s="31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  <c r="AA45" s="292"/>
      <c r="AB45" s="292"/>
      <c r="AC45" s="292"/>
      <c r="AD45" s="292"/>
      <c r="AE45" s="292"/>
      <c r="AF45" s="292"/>
    </row>
    <row r="46" spans="1:32" ht="15.95" customHeight="1" x14ac:dyDescent="0.25">
      <c r="A46" s="326"/>
      <c r="B46" s="258" t="s">
        <v>31</v>
      </c>
      <c r="C46" s="315">
        <v>1</v>
      </c>
      <c r="D46" s="315">
        <v>0</v>
      </c>
      <c r="E46" s="315">
        <v>0</v>
      </c>
      <c r="F46" s="315">
        <v>2.12</v>
      </c>
      <c r="G46" s="315">
        <v>0</v>
      </c>
      <c r="H46" s="315">
        <v>0</v>
      </c>
      <c r="I46" s="315">
        <v>0.32</v>
      </c>
      <c r="J46" s="315">
        <v>9.9999999999999994E-12</v>
      </c>
      <c r="K46" s="315">
        <v>1E-10</v>
      </c>
      <c r="L46" s="31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  <c r="AA46" s="292"/>
      <c r="AB46" s="292"/>
      <c r="AC46" s="292"/>
      <c r="AD46" s="292"/>
      <c r="AE46" s="292"/>
      <c r="AF46" s="292"/>
    </row>
    <row r="47" spans="1:32" ht="15.95" customHeight="1" x14ac:dyDescent="0.25">
      <c r="A47" s="326"/>
      <c r="B47" s="258" t="s">
        <v>10</v>
      </c>
      <c r="C47" s="315">
        <v>0.4</v>
      </c>
      <c r="D47" s="315">
        <v>0.2</v>
      </c>
      <c r="E47" s="315">
        <v>0.39999999999999991</v>
      </c>
      <c r="F47" s="315">
        <v>2.7</v>
      </c>
      <c r="G47" s="315">
        <v>3</v>
      </c>
      <c r="H47" s="315">
        <v>3.4</v>
      </c>
      <c r="I47" s="315">
        <v>0.1</v>
      </c>
      <c r="J47" s="315">
        <v>0.3</v>
      </c>
      <c r="K47" s="315">
        <v>0.12</v>
      </c>
      <c r="L47" s="31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  <c r="AA47" s="292"/>
      <c r="AB47" s="292"/>
      <c r="AC47" s="292"/>
      <c r="AD47" s="292"/>
      <c r="AE47" s="292"/>
      <c r="AF47" s="292"/>
    </row>
    <row r="48" spans="1:32" ht="15.95" customHeight="1" x14ac:dyDescent="0.25">
      <c r="A48" s="326"/>
      <c r="B48" s="258" t="s">
        <v>11</v>
      </c>
      <c r="C48" s="315">
        <v>0.5</v>
      </c>
      <c r="D48" s="315">
        <v>0.5</v>
      </c>
      <c r="E48" s="315">
        <v>0</v>
      </c>
      <c r="F48" s="315">
        <v>2.2999999999999998</v>
      </c>
      <c r="G48" s="315">
        <v>3.3</v>
      </c>
      <c r="H48" s="315">
        <v>0</v>
      </c>
      <c r="I48" s="315">
        <v>0.28000000000000003</v>
      </c>
      <c r="J48" s="315">
        <v>0.28000000000000003</v>
      </c>
      <c r="K48" s="315">
        <v>1E-10</v>
      </c>
      <c r="L48" s="31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  <c r="AA48" s="292"/>
      <c r="AB48" s="292"/>
      <c r="AC48" s="292"/>
      <c r="AD48" s="292"/>
      <c r="AE48" s="292"/>
      <c r="AF48" s="292"/>
    </row>
    <row r="49" spans="1:32" ht="15.95" customHeight="1" x14ac:dyDescent="0.25">
      <c r="A49" s="326" t="s">
        <v>63</v>
      </c>
      <c r="B49" s="258" t="s">
        <v>66</v>
      </c>
      <c r="C49" s="313" t="s">
        <v>52</v>
      </c>
      <c r="D49" s="313" t="s">
        <v>53</v>
      </c>
      <c r="E49" s="313" t="s">
        <v>54</v>
      </c>
      <c r="F49" s="314" t="s">
        <v>125</v>
      </c>
      <c r="G49" s="314" t="s">
        <v>126</v>
      </c>
      <c r="H49" s="314" t="s">
        <v>127</v>
      </c>
      <c r="I49" s="314" t="s">
        <v>128</v>
      </c>
      <c r="J49" s="314" t="s">
        <v>129</v>
      </c>
      <c r="K49" s="314" t="s">
        <v>130</v>
      </c>
      <c r="L49" s="31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  <c r="AA49" s="292"/>
      <c r="AB49" s="292"/>
      <c r="AC49" s="292"/>
      <c r="AD49" s="292"/>
      <c r="AE49" s="292"/>
      <c r="AF49" s="292"/>
    </row>
    <row r="50" spans="1:32" ht="15.95" customHeight="1" x14ac:dyDescent="0.25">
      <c r="A50" s="326"/>
      <c r="B50" s="258" t="s">
        <v>29</v>
      </c>
      <c r="C50" s="315" t="s">
        <v>203</v>
      </c>
      <c r="D50" s="315" t="s">
        <v>218</v>
      </c>
      <c r="E50" s="315" t="s">
        <v>219</v>
      </c>
      <c r="F50" s="315" t="s">
        <v>220</v>
      </c>
      <c r="G50" s="315" t="s">
        <v>221</v>
      </c>
      <c r="H50" s="315" t="s">
        <v>222</v>
      </c>
      <c r="I50" s="315" t="s">
        <v>223</v>
      </c>
      <c r="J50" s="315" t="s">
        <v>224</v>
      </c>
      <c r="K50" s="315" t="s">
        <v>225</v>
      </c>
      <c r="L50" s="31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  <c r="AA50" s="292"/>
      <c r="AB50" s="292"/>
      <c r="AC50" s="292"/>
      <c r="AD50" s="292"/>
      <c r="AE50" s="292"/>
      <c r="AF50" s="292"/>
    </row>
    <row r="51" spans="1:32" ht="15.95" customHeight="1" x14ac:dyDescent="0.25">
      <c r="A51" s="326"/>
      <c r="B51" s="258" t="s">
        <v>31</v>
      </c>
      <c r="C51" s="315" t="s">
        <v>193</v>
      </c>
      <c r="D51" s="315" t="s">
        <v>205</v>
      </c>
      <c r="E51" s="315" t="s">
        <v>204</v>
      </c>
      <c r="F51" s="315" t="s">
        <v>226</v>
      </c>
      <c r="G51" s="315" t="s">
        <v>227</v>
      </c>
      <c r="H51" s="315" t="s">
        <v>228</v>
      </c>
      <c r="I51" s="315" t="s">
        <v>229</v>
      </c>
      <c r="J51" s="315" t="s">
        <v>230</v>
      </c>
      <c r="K51" s="315" t="s">
        <v>231</v>
      </c>
      <c r="L51" s="31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  <c r="AA51" s="292"/>
      <c r="AB51" s="292"/>
      <c r="AC51" s="292"/>
      <c r="AD51" s="292"/>
      <c r="AE51" s="292"/>
      <c r="AF51" s="292"/>
    </row>
    <row r="52" spans="1:32" ht="15.95" customHeight="1" x14ac:dyDescent="0.25">
      <c r="A52" s="326"/>
      <c r="B52" s="258" t="s">
        <v>10</v>
      </c>
      <c r="C52" s="315" t="s">
        <v>232</v>
      </c>
      <c r="D52" s="315" t="s">
        <v>206</v>
      </c>
      <c r="E52" s="315" t="s">
        <v>233</v>
      </c>
      <c r="F52" s="315" t="s">
        <v>234</v>
      </c>
      <c r="G52" s="315" t="s">
        <v>235</v>
      </c>
      <c r="H52" s="315" t="s">
        <v>207</v>
      </c>
      <c r="I52" s="315" t="s">
        <v>236</v>
      </c>
      <c r="J52" s="315" t="s">
        <v>237</v>
      </c>
      <c r="K52" s="315" t="s">
        <v>208</v>
      </c>
      <c r="L52" s="31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  <c r="AA52" s="292"/>
      <c r="AB52" s="292"/>
      <c r="AC52" s="292"/>
      <c r="AD52" s="292"/>
      <c r="AE52" s="292"/>
      <c r="AF52" s="292"/>
    </row>
    <row r="53" spans="1:32" ht="15.95" customHeight="1" x14ac:dyDescent="0.25">
      <c r="A53" s="326"/>
      <c r="B53" s="258" t="s">
        <v>11</v>
      </c>
      <c r="C53" s="315" t="s">
        <v>209</v>
      </c>
      <c r="D53" s="315" t="s">
        <v>210</v>
      </c>
      <c r="E53" s="315" t="s">
        <v>217</v>
      </c>
      <c r="F53" s="315" t="s">
        <v>211</v>
      </c>
      <c r="G53" s="315" t="s">
        <v>212</v>
      </c>
      <c r="H53" s="315" t="s">
        <v>213</v>
      </c>
      <c r="I53" s="315" t="s">
        <v>214</v>
      </c>
      <c r="J53" s="315" t="s">
        <v>215</v>
      </c>
      <c r="K53" s="315" t="s">
        <v>216</v>
      </c>
      <c r="L53" s="31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  <c r="AA53" s="292"/>
      <c r="AB53" s="292"/>
      <c r="AC53" s="292"/>
      <c r="AD53" s="292"/>
      <c r="AE53" s="292"/>
      <c r="AF53" s="292"/>
    </row>
    <row r="54" spans="1:32" x14ac:dyDescent="0.25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292"/>
      <c r="AB54" s="292"/>
      <c r="AC54" s="292"/>
      <c r="AD54" s="292"/>
      <c r="AE54" s="292"/>
      <c r="AF54" s="292"/>
    </row>
    <row r="55" spans="1:32" x14ac:dyDescent="0.25">
      <c r="A55" s="292"/>
      <c r="B55" s="292"/>
      <c r="C55" s="292"/>
      <c r="D55" s="292"/>
      <c r="E55" s="292"/>
      <c r="F55" s="292"/>
      <c r="G55" s="292"/>
      <c r="H55" s="292"/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  <c r="AA55" s="292"/>
      <c r="AB55" s="292"/>
      <c r="AC55" s="292"/>
      <c r="AD55" s="292"/>
      <c r="AE55" s="292"/>
      <c r="AF55" s="292"/>
    </row>
    <row r="56" spans="1:32" x14ac:dyDescent="0.25">
      <c r="A56" s="292"/>
      <c r="B56" s="292"/>
      <c r="C56" s="292"/>
      <c r="D56" s="292"/>
      <c r="E56" s="292"/>
      <c r="F56" s="292"/>
      <c r="G56" s="292"/>
      <c r="H56" s="292"/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  <c r="AA56" s="292"/>
      <c r="AB56" s="292"/>
      <c r="AC56" s="292"/>
      <c r="AD56" s="292"/>
      <c r="AE56" s="292"/>
      <c r="AF56" s="292"/>
    </row>
    <row r="57" spans="1:32" x14ac:dyDescent="0.25">
      <c r="A57" s="292"/>
      <c r="B57" s="292"/>
      <c r="C57" s="292"/>
      <c r="D57" s="292"/>
      <c r="E57" s="292"/>
      <c r="F57" s="292"/>
      <c r="G57" s="292"/>
      <c r="H57" s="292"/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  <c r="AA57" s="292"/>
      <c r="AB57" s="292"/>
      <c r="AC57" s="292"/>
      <c r="AD57" s="292"/>
      <c r="AE57" s="292"/>
      <c r="AF57" s="292"/>
    </row>
    <row r="58" spans="1:32" x14ac:dyDescent="0.25">
      <c r="A58" s="292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2"/>
      <c r="AB58" s="292"/>
      <c r="AC58" s="292"/>
      <c r="AD58" s="292"/>
      <c r="AE58" s="292"/>
      <c r="AF58" s="292"/>
    </row>
    <row r="59" spans="1:32" x14ac:dyDescent="0.25">
      <c r="A59" s="292"/>
      <c r="B59" s="292"/>
      <c r="C59" s="292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</row>
    <row r="60" spans="1:32" x14ac:dyDescent="0.25">
      <c r="A60" s="292"/>
      <c r="B60" s="292"/>
      <c r="C60" s="292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</row>
    <row r="61" spans="1:32" x14ac:dyDescent="0.25">
      <c r="A61" s="292"/>
      <c r="B61" s="292"/>
      <c r="C61" s="292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</row>
    <row r="62" spans="1:32" x14ac:dyDescent="0.25">
      <c r="A62" s="292"/>
      <c r="B62" s="292"/>
      <c r="C62" s="292"/>
      <c r="D62" s="292"/>
      <c r="E62" s="292"/>
      <c r="F62" s="292"/>
      <c r="G62" s="292"/>
      <c r="H62" s="292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2"/>
      <c r="AB62" s="292"/>
      <c r="AC62" s="292"/>
      <c r="AD62" s="292"/>
      <c r="AE62" s="292"/>
      <c r="AF62" s="292"/>
    </row>
    <row r="63" spans="1:32" x14ac:dyDescent="0.25">
      <c r="A63" s="292"/>
      <c r="B63" s="292"/>
      <c r="C63" s="292"/>
      <c r="D63" s="292"/>
      <c r="E63" s="292"/>
      <c r="F63" s="292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  <c r="AC63" s="292"/>
      <c r="AD63" s="292"/>
      <c r="AE63" s="292"/>
      <c r="AF63" s="292"/>
    </row>
    <row r="64" spans="1:32" x14ac:dyDescent="0.25">
      <c r="A64" s="292"/>
      <c r="B64" s="292"/>
      <c r="C64" s="292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  <c r="AC64" s="292"/>
      <c r="AD64" s="292"/>
      <c r="AE64" s="292"/>
      <c r="AF64" s="292"/>
    </row>
    <row r="65" spans="1:32" x14ac:dyDescent="0.25">
      <c r="A65" s="292"/>
      <c r="B65" s="292"/>
      <c r="C65" s="292"/>
      <c r="D65" s="292"/>
      <c r="E65" s="292"/>
      <c r="F65" s="292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  <c r="AB65" s="292"/>
      <c r="AC65" s="292"/>
      <c r="AD65" s="292"/>
      <c r="AE65" s="292"/>
      <c r="AF65" s="292"/>
    </row>
    <row r="66" spans="1:32" x14ac:dyDescent="0.25">
      <c r="A66" s="292"/>
      <c r="B66" s="292"/>
      <c r="C66" s="292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  <c r="AB66" s="292"/>
      <c r="AC66" s="292"/>
      <c r="AD66" s="292"/>
      <c r="AE66" s="292"/>
      <c r="AF66" s="292"/>
    </row>
    <row r="67" spans="1:32" x14ac:dyDescent="0.25">
      <c r="A67" s="292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  <c r="AC67" s="292"/>
      <c r="AD67" s="292"/>
      <c r="AE67" s="292"/>
      <c r="AF67" s="292"/>
    </row>
    <row r="68" spans="1:32" x14ac:dyDescent="0.25">
      <c r="A68" s="292"/>
      <c r="B68" s="292"/>
      <c r="C68" s="292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92"/>
      <c r="AD68" s="292"/>
      <c r="AE68" s="292"/>
      <c r="AF68" s="292"/>
    </row>
    <row r="69" spans="1:32" x14ac:dyDescent="0.25">
      <c r="A69" s="292"/>
      <c r="B69" s="292"/>
      <c r="C69" s="292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  <c r="AB69" s="292"/>
      <c r="AC69" s="292"/>
      <c r="AD69" s="292"/>
      <c r="AE69" s="292"/>
      <c r="AF69" s="292"/>
    </row>
    <row r="70" spans="1:32" x14ac:dyDescent="0.25">
      <c r="A70" s="292"/>
      <c r="B70" s="292"/>
      <c r="C70" s="292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  <c r="AB70" s="292"/>
      <c r="AC70" s="292"/>
      <c r="AD70" s="292"/>
      <c r="AE70" s="292"/>
      <c r="AF70" s="292"/>
    </row>
    <row r="71" spans="1:32" x14ac:dyDescent="0.25">
      <c r="A71" s="292"/>
      <c r="B71" s="292"/>
      <c r="C71" s="292"/>
      <c r="D71" s="292"/>
      <c r="E71" s="292"/>
      <c r="F71" s="292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  <c r="AB71" s="292"/>
      <c r="AC71" s="292"/>
      <c r="AD71" s="292"/>
      <c r="AE71" s="292"/>
      <c r="AF71" s="292"/>
    </row>
    <row r="72" spans="1:32" x14ac:dyDescent="0.25">
      <c r="A72" s="292"/>
      <c r="B72" s="292"/>
      <c r="C72" s="292"/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  <c r="AC72" s="292"/>
      <c r="AD72" s="292"/>
      <c r="AE72" s="292"/>
      <c r="AF72" s="292"/>
    </row>
    <row r="73" spans="1:32" x14ac:dyDescent="0.25">
      <c r="A73" s="292"/>
      <c r="B73" s="292"/>
      <c r="C73" s="292"/>
      <c r="D73" s="292"/>
      <c r="E73" s="292"/>
      <c r="F73" s="292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  <c r="AB73" s="292"/>
      <c r="AC73" s="292"/>
      <c r="AD73" s="292"/>
      <c r="AE73" s="292"/>
      <c r="AF73" s="292"/>
    </row>
    <row r="74" spans="1:32" x14ac:dyDescent="0.25">
      <c r="A74" s="292"/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  <c r="AB74" s="292"/>
      <c r="AC74" s="292"/>
      <c r="AD74" s="292"/>
      <c r="AE74" s="292"/>
      <c r="AF74" s="292"/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4" r:id="rId3" name="ComboBox2">
          <controlPr defaultSize="0" autoLine="0" r:id="rId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3" name="ComboBox2"/>
      </mc:Fallback>
    </mc:AlternateContent>
    <mc:AlternateContent xmlns:mc="http://schemas.openxmlformats.org/markup-compatibility/2006">
      <mc:Choice Requires="x14">
        <control shapeId="91147" r:id="rId5" name="Tridem">
          <controlPr defaultSize="0" autoLine="0" r:id="rId6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5" name="Tridem"/>
      </mc:Fallback>
    </mc:AlternateContent>
    <mc:AlternateContent xmlns:mc="http://schemas.openxmlformats.org/markup-compatibility/2006">
      <mc:Choice Requires="x14">
        <control shapeId="91146" r:id="rId7" name="Tandem">
          <controlPr defaultSize="0" autoLine="0" r:id="rId8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7" name="Tandem"/>
      </mc:Fallback>
    </mc:AlternateContent>
    <mc:AlternateContent xmlns:mc="http://schemas.openxmlformats.org/markup-compatibility/2006">
      <mc:Choice Requires="x14">
        <control shapeId="91145" r:id="rId9" name="Sencillodual">
          <controlPr defaultSize="0" autoLine="0" r:id="rId10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9" name="Sencillodual"/>
      </mc:Fallback>
    </mc:AlternateContent>
    <mc:AlternateContent xmlns:mc="http://schemas.openxmlformats.org/markup-compatibility/2006">
      <mc:Choice Requires="x14">
        <control shapeId="91144" r:id="rId11" name="Sencillo">
          <controlPr defaultSize="0" autoLine="0" r:id="rId12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11" name="Sencillo"/>
      </mc:Fallback>
    </mc:AlternateContent>
    <mc:AlternateContent xmlns:mc="http://schemas.openxmlformats.org/markup-compatibility/2006">
      <mc:Choice Requires="x14">
        <control shapeId="91151" r:id="rId13" name="Legal">
          <controlPr defaultSize="0" autoLine="0" r:id="rId1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13" name="Lega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C2:AV30"/>
  <sheetViews>
    <sheetView showGridLines="0" zoomScaleNormal="100" workbookViewId="0">
      <selection activeCell="G28" sqref="G28"/>
    </sheetView>
  </sheetViews>
  <sheetFormatPr baseColWidth="10" defaultColWidth="11.42578125" defaultRowHeight="15" x14ac:dyDescent="0.25"/>
  <cols>
    <col min="1" max="1" width="7.85546875" style="11" customWidth="1"/>
    <col min="2" max="2" width="4" style="11" customWidth="1"/>
    <col min="3" max="3" width="11.42578125" style="11"/>
    <col min="4" max="4" width="15.28515625" style="11" customWidth="1"/>
    <col min="5" max="5" width="11.42578125" style="11"/>
    <col min="6" max="6" width="17.85546875" style="11" customWidth="1"/>
    <col min="7" max="7" width="11.42578125" style="11"/>
    <col min="8" max="8" width="4.7109375" style="11" customWidth="1"/>
    <col min="9" max="26" width="4.140625" style="11" customWidth="1"/>
    <col min="27" max="27" width="2.5703125" style="11" customWidth="1"/>
    <col min="28" max="28" width="6.42578125" style="11" customWidth="1"/>
    <col min="29" max="29" width="4.140625" style="11" customWidth="1"/>
    <col min="30" max="30" width="3.42578125" style="11" customWidth="1"/>
    <col min="31" max="45" width="4.140625" style="11" customWidth="1"/>
    <col min="46" max="46" width="11.42578125" style="11"/>
    <col min="47" max="47" width="13.42578125" style="11" customWidth="1"/>
    <col min="48" max="16384" width="11.42578125" style="11"/>
  </cols>
  <sheetData>
    <row r="2" spans="3:48" x14ac:dyDescent="0.25">
      <c r="L2" s="181"/>
    </row>
    <row r="3" spans="3:48" x14ac:dyDescent="0.25">
      <c r="L3" s="181"/>
    </row>
    <row r="5" spans="3:48" x14ac:dyDescent="0.25">
      <c r="AU5" s="11" t="s">
        <v>29</v>
      </c>
      <c r="AV5" s="220" t="s">
        <v>170</v>
      </c>
    </row>
    <row r="6" spans="3:48" ht="18.75" x14ac:dyDescent="0.25">
      <c r="C6" s="329" t="s">
        <v>72</v>
      </c>
      <c r="D6" s="329"/>
      <c r="E6" s="329"/>
      <c r="F6" s="329"/>
      <c r="H6" s="335" t="s">
        <v>167</v>
      </c>
      <c r="I6" s="335"/>
      <c r="J6" s="335"/>
      <c r="K6" s="335"/>
      <c r="AU6" s="11" t="s">
        <v>116</v>
      </c>
      <c r="AV6" s="220" t="s">
        <v>169</v>
      </c>
    </row>
    <row r="7" spans="3:48" ht="18" x14ac:dyDescent="0.25">
      <c r="C7" s="330" t="s">
        <v>26</v>
      </c>
      <c r="D7" s="330"/>
      <c r="E7" s="330"/>
      <c r="F7" s="175">
        <v>10.09</v>
      </c>
      <c r="H7" s="334" t="s">
        <v>24</v>
      </c>
      <c r="I7" s="334"/>
      <c r="J7" s="334">
        <v>122</v>
      </c>
      <c r="K7" s="334"/>
      <c r="L7" s="133"/>
      <c r="AU7" s="11" t="s">
        <v>10</v>
      </c>
      <c r="AV7" s="221" t="s">
        <v>257</v>
      </c>
    </row>
    <row r="8" spans="3:48" ht="20.25" customHeight="1" x14ac:dyDescent="0.25">
      <c r="C8" s="330" t="s">
        <v>25</v>
      </c>
      <c r="D8" s="330"/>
      <c r="E8" s="330"/>
      <c r="F8" s="175" t="s">
        <v>11</v>
      </c>
      <c r="H8" s="334" t="s">
        <v>23</v>
      </c>
      <c r="I8" s="334"/>
      <c r="J8" s="334">
        <v>36</v>
      </c>
      <c r="K8" s="334"/>
      <c r="L8" s="131"/>
      <c r="AU8" s="11" t="s">
        <v>11</v>
      </c>
      <c r="AV8" s="221" t="s">
        <v>258</v>
      </c>
    </row>
    <row r="9" spans="3:48" ht="15.75" x14ac:dyDescent="0.25">
      <c r="C9" s="330"/>
      <c r="D9" s="330"/>
      <c r="E9" s="330"/>
      <c r="F9" s="175"/>
      <c r="H9" s="335" t="s">
        <v>168</v>
      </c>
      <c r="I9" s="335"/>
      <c r="J9" s="335"/>
      <c r="K9" s="335"/>
      <c r="L9" s="222"/>
      <c r="AV9" s="220" t="s">
        <v>175</v>
      </c>
    </row>
    <row r="10" spans="3:48" ht="18" x14ac:dyDescent="0.35">
      <c r="C10" s="330" t="s">
        <v>91</v>
      </c>
      <c r="D10" s="330"/>
      <c r="E10" s="330"/>
      <c r="F10" s="175">
        <v>3</v>
      </c>
      <c r="H10" s="331" t="s">
        <v>21</v>
      </c>
      <c r="I10" s="331"/>
      <c r="J10" s="332">
        <v>0</v>
      </c>
      <c r="K10" s="332"/>
      <c r="AV10" s="223" t="s">
        <v>259</v>
      </c>
    </row>
    <row r="11" spans="3:48" ht="18" x14ac:dyDescent="0.35">
      <c r="C11" s="330"/>
      <c r="D11" s="330"/>
      <c r="E11" s="330"/>
      <c r="F11" s="175"/>
      <c r="H11" s="331" t="s">
        <v>22</v>
      </c>
      <c r="I11" s="331"/>
      <c r="J11" s="332">
        <v>0</v>
      </c>
      <c r="K11" s="332"/>
      <c r="AV11" s="223" t="s">
        <v>260</v>
      </c>
    </row>
    <row r="12" spans="3:48" ht="15.75" customHeight="1" x14ac:dyDescent="0.25">
      <c r="C12" s="329" t="s">
        <v>1</v>
      </c>
      <c r="D12" s="329"/>
      <c r="E12" s="329"/>
      <c r="F12" s="329"/>
      <c r="G12" s="224"/>
    </row>
    <row r="13" spans="3:48" ht="30" x14ac:dyDescent="0.25">
      <c r="C13" s="131" t="s">
        <v>149</v>
      </c>
      <c r="D13" s="131" t="s">
        <v>150</v>
      </c>
      <c r="E13" s="131" t="s">
        <v>77</v>
      </c>
      <c r="F13" s="131" t="s">
        <v>178</v>
      </c>
      <c r="H13" s="131"/>
      <c r="L13" s="222"/>
    </row>
    <row r="14" spans="3:48" ht="15.75" thickBot="1" x14ac:dyDescent="0.3">
      <c r="C14" s="225">
        <v>1</v>
      </c>
      <c r="D14" s="175" t="s">
        <v>171</v>
      </c>
      <c r="E14" s="175">
        <v>15</v>
      </c>
      <c r="F14" s="175">
        <v>3000</v>
      </c>
      <c r="H14" s="226"/>
      <c r="R14" s="227" t="s">
        <v>175</v>
      </c>
      <c r="S14" s="228"/>
      <c r="T14" s="228"/>
      <c r="U14" s="228"/>
      <c r="V14" s="228"/>
      <c r="W14" s="228"/>
      <c r="X14" s="228"/>
      <c r="Y14" s="11" t="s">
        <v>166</v>
      </c>
      <c r="AB14" s="229"/>
    </row>
    <row r="15" spans="3:48" ht="15" customHeight="1" x14ac:dyDescent="0.25">
      <c r="C15" s="225">
        <v>2</v>
      </c>
      <c r="D15" s="175" t="s">
        <v>172</v>
      </c>
      <c r="E15" s="175">
        <v>30</v>
      </c>
      <c r="F15" s="175">
        <v>300</v>
      </c>
      <c r="H15" s="226"/>
      <c r="P15" s="230"/>
      <c r="Q15" s="230"/>
      <c r="R15" s="231"/>
      <c r="S15" s="230"/>
      <c r="T15" s="230"/>
      <c r="U15" s="333" t="s">
        <v>171</v>
      </c>
      <c r="V15" s="333"/>
      <c r="W15" s="333"/>
      <c r="X15" s="333"/>
      <c r="Y15" s="338"/>
      <c r="Z15" s="338"/>
      <c r="AA15" s="338"/>
      <c r="AB15" s="232"/>
    </row>
    <row r="16" spans="3:48" ht="15" customHeight="1" thickBot="1" x14ac:dyDescent="0.3">
      <c r="C16" s="225">
        <v>3</v>
      </c>
      <c r="D16" s="175" t="s">
        <v>173</v>
      </c>
      <c r="E16" s="175"/>
      <c r="F16" s="175">
        <v>50</v>
      </c>
      <c r="I16" s="233" t="s">
        <v>195</v>
      </c>
      <c r="J16" s="234"/>
      <c r="K16" s="234"/>
      <c r="L16" s="235"/>
      <c r="M16" s="235"/>
      <c r="N16" s="235"/>
      <c r="O16" s="228"/>
      <c r="P16" s="236"/>
      <c r="Q16" s="236"/>
      <c r="R16" s="237" t="s">
        <v>170</v>
      </c>
      <c r="S16" s="230"/>
      <c r="T16" s="230"/>
      <c r="U16" s="333"/>
      <c r="V16" s="333"/>
      <c r="W16" s="333"/>
      <c r="X16" s="333"/>
      <c r="AB16" s="238"/>
    </row>
    <row r="17" spans="3:28" ht="15" customHeight="1" x14ac:dyDescent="0.25">
      <c r="C17" s="225">
        <v>4</v>
      </c>
      <c r="D17" s="175" t="s">
        <v>174</v>
      </c>
      <c r="E17" s="175"/>
      <c r="F17" s="175"/>
      <c r="I17" s="239"/>
      <c r="J17" s="240"/>
      <c r="K17" s="240"/>
      <c r="L17" s="240"/>
      <c r="M17" s="336"/>
      <c r="N17" s="336"/>
      <c r="O17" s="336"/>
      <c r="P17" s="241"/>
      <c r="Q17" s="241"/>
      <c r="R17" s="242"/>
      <c r="S17" s="241"/>
      <c r="T17" s="241"/>
      <c r="U17" s="333" t="s">
        <v>172</v>
      </c>
      <c r="V17" s="333"/>
      <c r="W17" s="333"/>
      <c r="X17" s="333"/>
      <c r="Y17" s="243" t="s">
        <v>198</v>
      </c>
      <c r="AB17" s="244"/>
    </row>
    <row r="18" spans="3:28" ht="15" customHeight="1" thickBot="1" x14ac:dyDescent="0.3">
      <c r="C18" s="225">
        <v>5</v>
      </c>
      <c r="D18" s="175"/>
      <c r="E18" s="175"/>
      <c r="F18" s="175"/>
      <c r="H18" s="131"/>
      <c r="I18" s="233" t="s">
        <v>196</v>
      </c>
      <c r="L18" s="228"/>
      <c r="M18" s="228"/>
      <c r="N18" s="228"/>
      <c r="O18" s="228"/>
      <c r="P18" s="245"/>
      <c r="Q18" s="245"/>
      <c r="R18" s="246" t="s">
        <v>169</v>
      </c>
      <c r="S18" s="241"/>
      <c r="T18" s="241"/>
      <c r="U18" s="333"/>
      <c r="V18" s="333"/>
      <c r="W18" s="333"/>
      <c r="X18" s="333"/>
      <c r="Y18" s="239"/>
      <c r="AB18" s="244"/>
    </row>
    <row r="19" spans="3:28" ht="15" customHeight="1" x14ac:dyDescent="0.25">
      <c r="C19" s="225">
        <v>6</v>
      </c>
      <c r="D19" s="175"/>
      <c r="E19" s="175"/>
      <c r="F19" s="175"/>
      <c r="H19" s="247"/>
      <c r="I19" s="248"/>
      <c r="J19" s="234"/>
      <c r="K19" s="234"/>
      <c r="M19" s="336"/>
      <c r="N19" s="336"/>
      <c r="O19" s="336"/>
      <c r="P19" s="249"/>
      <c r="Q19" s="249"/>
      <c r="R19" s="250"/>
      <c r="S19" s="249"/>
      <c r="T19" s="249"/>
      <c r="U19" s="333" t="s">
        <v>173</v>
      </c>
      <c r="V19" s="333"/>
      <c r="W19" s="333"/>
      <c r="X19" s="333"/>
      <c r="Y19" s="239" t="s">
        <v>199</v>
      </c>
      <c r="AB19" s="244"/>
    </row>
    <row r="20" spans="3:28" ht="15" customHeight="1" x14ac:dyDescent="0.25">
      <c r="C20" s="225">
        <v>7</v>
      </c>
      <c r="D20" s="175"/>
      <c r="E20" s="175"/>
      <c r="F20" s="175"/>
      <c r="H20" s="251"/>
      <c r="I20" s="239"/>
      <c r="J20" s="234"/>
      <c r="K20" s="234"/>
      <c r="L20" s="234"/>
      <c r="M20" s="234"/>
      <c r="N20" s="234"/>
      <c r="P20" s="249"/>
      <c r="Q20" s="249"/>
      <c r="R20" s="252"/>
      <c r="S20" s="249"/>
      <c r="T20" s="249"/>
      <c r="U20" s="333"/>
      <c r="V20" s="333"/>
      <c r="W20" s="333"/>
      <c r="X20" s="333"/>
      <c r="Y20" s="239"/>
      <c r="AB20" s="238"/>
    </row>
    <row r="21" spans="3:28" ht="15" customHeight="1" x14ac:dyDescent="0.25">
      <c r="C21" s="225">
        <v>8</v>
      </c>
      <c r="D21" s="175"/>
      <c r="E21" s="175"/>
      <c r="F21" s="175"/>
      <c r="I21" s="239"/>
      <c r="J21" s="222"/>
      <c r="K21" s="222"/>
      <c r="L21" s="222"/>
      <c r="M21" s="336"/>
      <c r="N21" s="336"/>
      <c r="O21" s="336"/>
      <c r="P21" s="249"/>
      <c r="Q21" s="249"/>
      <c r="R21" s="250"/>
      <c r="S21" s="249"/>
      <c r="T21" s="249"/>
      <c r="U21" s="333"/>
      <c r="V21" s="333"/>
      <c r="W21" s="333"/>
      <c r="X21" s="333"/>
      <c r="Y21" s="239"/>
      <c r="AB21" s="244"/>
    </row>
    <row r="22" spans="3:28" ht="15" customHeight="1" x14ac:dyDescent="0.25">
      <c r="C22" s="225">
        <v>9</v>
      </c>
      <c r="D22" s="175"/>
      <c r="E22" s="175"/>
      <c r="F22" s="175"/>
      <c r="I22" s="239"/>
      <c r="P22" s="249"/>
      <c r="Q22" s="249"/>
      <c r="R22" s="250"/>
      <c r="S22" s="249"/>
      <c r="T22" s="249"/>
      <c r="U22" s="333"/>
      <c r="V22" s="333"/>
      <c r="W22" s="333"/>
      <c r="X22" s="333"/>
      <c r="Y22" s="239"/>
      <c r="AB22" s="238"/>
    </row>
    <row r="23" spans="3:28" ht="15" customHeight="1" x14ac:dyDescent="0.25">
      <c r="C23" s="225">
        <v>10</v>
      </c>
      <c r="D23" s="175"/>
      <c r="E23" s="175"/>
      <c r="F23" s="175"/>
      <c r="I23" s="239"/>
      <c r="M23" s="336"/>
      <c r="N23" s="336"/>
      <c r="O23" s="336"/>
      <c r="P23" s="249"/>
      <c r="Q23" s="249"/>
      <c r="R23" s="250"/>
      <c r="S23" s="249"/>
      <c r="T23" s="249"/>
      <c r="U23" s="332"/>
      <c r="V23" s="332"/>
      <c r="W23" s="332"/>
      <c r="X23" s="332"/>
      <c r="Y23" s="239"/>
      <c r="AB23" s="238"/>
    </row>
    <row r="24" spans="3:28" ht="15" customHeight="1" x14ac:dyDescent="0.25">
      <c r="I24" s="239"/>
      <c r="P24" s="249"/>
      <c r="Q24" s="249"/>
      <c r="R24" s="250"/>
      <c r="S24" s="249"/>
      <c r="T24" s="249"/>
      <c r="U24" s="332"/>
      <c r="V24" s="332"/>
      <c r="W24" s="332"/>
      <c r="X24" s="332"/>
      <c r="Y24" s="239"/>
      <c r="AB24" s="238"/>
    </row>
    <row r="25" spans="3:28" ht="15" customHeight="1" x14ac:dyDescent="0.25">
      <c r="E25" s="179"/>
      <c r="F25" s="179"/>
      <c r="G25" s="179"/>
      <c r="I25" s="239"/>
      <c r="M25" s="337"/>
      <c r="N25" s="337"/>
      <c r="O25" s="337"/>
      <c r="P25" s="249"/>
      <c r="Q25" s="249"/>
      <c r="R25" s="250"/>
      <c r="S25" s="249"/>
      <c r="T25" s="249"/>
      <c r="U25" s="332"/>
      <c r="V25" s="332"/>
      <c r="W25" s="332"/>
      <c r="X25" s="332"/>
      <c r="Y25" s="239"/>
      <c r="AB25" s="238"/>
    </row>
    <row r="26" spans="3:28" ht="15" customHeight="1" x14ac:dyDescent="0.25">
      <c r="I26" s="239"/>
      <c r="P26" s="249"/>
      <c r="Q26" s="249"/>
      <c r="R26" s="250"/>
      <c r="S26" s="249"/>
      <c r="T26" s="249"/>
      <c r="U26" s="234"/>
      <c r="V26" s="234"/>
      <c r="W26" s="234"/>
      <c r="X26" s="234"/>
      <c r="Y26" s="239"/>
      <c r="AB26" s="238"/>
    </row>
    <row r="27" spans="3:28" ht="15" customHeight="1" x14ac:dyDescent="0.25">
      <c r="F27" s="94"/>
      <c r="I27" s="239"/>
      <c r="P27" s="249"/>
      <c r="Q27" s="249"/>
      <c r="R27" s="250"/>
      <c r="S27" s="249"/>
      <c r="T27" s="249"/>
      <c r="U27" s="234"/>
      <c r="V27" s="234"/>
      <c r="W27" s="234"/>
      <c r="X27" s="234"/>
      <c r="Y27" s="239"/>
      <c r="AB27" s="238"/>
    </row>
    <row r="28" spans="3:28" ht="17.25" x14ac:dyDescent="0.25">
      <c r="F28" s="94"/>
      <c r="I28" s="239"/>
    </row>
    <row r="29" spans="3:28" ht="17.25" x14ac:dyDescent="0.25">
      <c r="F29" s="94"/>
    </row>
    <row r="30" spans="3:28" ht="15.75" x14ac:dyDescent="0.25">
      <c r="G30" s="134"/>
      <c r="H30" s="134"/>
      <c r="I30" s="134"/>
      <c r="J30" s="134"/>
    </row>
  </sheetData>
  <mergeCells count="29"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  <mergeCell ref="H6:K6"/>
    <mergeCell ref="H8:I8"/>
    <mergeCell ref="J8:K8"/>
    <mergeCell ref="H9:K9"/>
    <mergeCell ref="H10:I10"/>
    <mergeCell ref="J10:K10"/>
    <mergeCell ref="H11:I11"/>
    <mergeCell ref="J11:K11"/>
    <mergeCell ref="U15:X16"/>
    <mergeCell ref="H7:I7"/>
    <mergeCell ref="J7:K7"/>
    <mergeCell ref="C12:F12"/>
    <mergeCell ref="C6:F6"/>
    <mergeCell ref="C7:E7"/>
    <mergeCell ref="C8:E8"/>
    <mergeCell ref="C9:E9"/>
    <mergeCell ref="C10:E10"/>
    <mergeCell ref="C11:E11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tabSelected="1" zoomScaleNormal="100" workbookViewId="0">
      <selection activeCell="F13" sqref="F13"/>
    </sheetView>
  </sheetViews>
  <sheetFormatPr baseColWidth="10" defaultColWidth="11.42578125" defaultRowHeight="15" x14ac:dyDescent="0.25"/>
  <cols>
    <col min="1" max="1" width="7.85546875" style="188" customWidth="1"/>
    <col min="2" max="2" width="5.85546875" style="188" customWidth="1"/>
    <col min="3" max="3" width="11.42578125" style="188"/>
    <col min="4" max="4" width="14.85546875" style="188" customWidth="1"/>
    <col min="5" max="5" width="11.42578125" style="188"/>
    <col min="6" max="6" width="19.7109375" style="188" customWidth="1"/>
    <col min="7" max="7" width="11.42578125" style="188"/>
    <col min="8" max="11" width="14.28515625" style="188" customWidth="1"/>
    <col min="12" max="12" width="14.42578125" style="188" customWidth="1"/>
    <col min="13" max="16384" width="11.42578125" style="188"/>
  </cols>
  <sheetData>
    <row r="1" spans="1:31" x14ac:dyDescent="0.25">
      <c r="A1" s="186">
        <v>1</v>
      </c>
      <c r="B1" s="186">
        <v>2</v>
      </c>
      <c r="C1" s="186">
        <v>3</v>
      </c>
      <c r="D1" s="186">
        <v>4</v>
      </c>
      <c r="E1" s="186">
        <v>5</v>
      </c>
      <c r="F1" s="186">
        <v>6</v>
      </c>
      <c r="G1" s="186">
        <v>7</v>
      </c>
      <c r="H1" s="186">
        <v>8</v>
      </c>
      <c r="I1" s="186">
        <v>9</v>
      </c>
      <c r="J1" s="186">
        <v>10</v>
      </c>
      <c r="K1" s="186">
        <v>11</v>
      </c>
      <c r="L1" s="186">
        <v>12</v>
      </c>
      <c r="M1" s="186">
        <v>13</v>
      </c>
      <c r="O1" s="187"/>
    </row>
    <row r="2" spans="1:31" x14ac:dyDescent="0.25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90"/>
      <c r="M2" s="186"/>
      <c r="N2" s="187"/>
      <c r="O2" s="187"/>
    </row>
    <row r="3" spans="1:31" x14ac:dyDescent="0.25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0"/>
      <c r="M3" s="186"/>
      <c r="N3" s="187"/>
      <c r="O3" s="187"/>
    </row>
    <row r="4" spans="1:31" x14ac:dyDescent="0.25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Z4" s="343"/>
      <c r="AA4" s="343"/>
      <c r="AB4" s="343"/>
      <c r="AC4" s="343"/>
      <c r="AD4" s="343"/>
      <c r="AE4" s="343"/>
    </row>
    <row r="5" spans="1:31" x14ac:dyDescent="0.25">
      <c r="A5" s="187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187"/>
      <c r="B6"/>
      <c r="C6"/>
      <c r="D6"/>
      <c r="E6"/>
      <c r="F6"/>
      <c r="G6"/>
      <c r="H6"/>
      <c r="I6" s="344" t="s">
        <v>42</v>
      </c>
      <c r="J6" s="345"/>
      <c r="K6" s="345"/>
      <c r="L6" s="346"/>
      <c r="M6"/>
      <c r="N6"/>
      <c r="O6"/>
    </row>
    <row r="7" spans="1:31" ht="18" customHeight="1" x14ac:dyDescent="0.25">
      <c r="A7" s="187"/>
      <c r="B7"/>
      <c r="C7" s="342" t="s">
        <v>91</v>
      </c>
      <c r="D7" s="342"/>
      <c r="E7" s="342"/>
      <c r="F7" s="173">
        <v>3</v>
      </c>
      <c r="G7"/>
      <c r="H7"/>
      <c r="I7" s="348" t="s">
        <v>44</v>
      </c>
      <c r="J7" s="348"/>
      <c r="K7" s="347" t="s">
        <v>43</v>
      </c>
      <c r="L7" s="347"/>
      <c r="M7"/>
      <c r="N7"/>
      <c r="O7"/>
    </row>
    <row r="8" spans="1:31" ht="18" customHeight="1" x14ac:dyDescent="0.25">
      <c r="A8" s="187"/>
      <c r="B8"/>
      <c r="C8"/>
      <c r="D8"/>
      <c r="E8"/>
      <c r="F8" s="170"/>
      <c r="G8"/>
      <c r="H8"/>
      <c r="I8" s="348" t="s">
        <v>45</v>
      </c>
      <c r="J8" s="348"/>
      <c r="K8" s="347" t="s">
        <v>43</v>
      </c>
      <c r="L8" s="347"/>
      <c r="M8"/>
      <c r="N8"/>
      <c r="O8"/>
    </row>
    <row r="9" spans="1:31" x14ac:dyDescent="0.25">
      <c r="A9" s="187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/>
      <c r="N10"/>
      <c r="O10"/>
    </row>
    <row r="11" spans="1:31" ht="18.75" x14ac:dyDescent="0.25">
      <c r="A11" s="187"/>
      <c r="B11"/>
      <c r="C11" s="339" t="s">
        <v>1</v>
      </c>
      <c r="D11" s="340"/>
      <c r="E11" s="340"/>
      <c r="F11" s="341"/>
      <c r="G11"/>
      <c r="H11"/>
      <c r="I11"/>
      <c r="J11"/>
      <c r="K11"/>
      <c r="L11"/>
      <c r="M11"/>
      <c r="N11"/>
      <c r="O11"/>
    </row>
    <row r="12" spans="1:31" ht="30" x14ac:dyDescent="0.25">
      <c r="A12" s="187"/>
      <c r="B12"/>
      <c r="C12" s="172" t="s">
        <v>149</v>
      </c>
      <c r="D12" s="172" t="s">
        <v>150</v>
      </c>
      <c r="E12" s="172" t="s">
        <v>77</v>
      </c>
      <c r="F12" s="172" t="s">
        <v>178</v>
      </c>
      <c r="G12"/>
      <c r="H12"/>
      <c r="I12"/>
      <c r="J12"/>
      <c r="K12"/>
      <c r="L12"/>
      <c r="M12" s="89"/>
      <c r="N12"/>
      <c r="O12"/>
    </row>
    <row r="13" spans="1:31" x14ac:dyDescent="0.25">
      <c r="A13" s="187"/>
      <c r="B13"/>
      <c r="C13" s="114">
        <v>1</v>
      </c>
      <c r="D13" s="173" t="s">
        <v>238</v>
      </c>
      <c r="E13" s="173">
        <v>10</v>
      </c>
      <c r="F13" s="173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187"/>
      <c r="B14"/>
      <c r="C14" s="114">
        <v>2</v>
      </c>
      <c r="D14" s="173" t="s">
        <v>197</v>
      </c>
      <c r="E14" s="173">
        <v>40</v>
      </c>
      <c r="F14" s="173">
        <v>691.2</v>
      </c>
      <c r="G14"/>
      <c r="H14"/>
      <c r="I14"/>
      <c r="J14"/>
      <c r="K14"/>
      <c r="L14" s="133"/>
      <c r="M14" s="133"/>
      <c r="N14" s="133"/>
      <c r="O14" s="133"/>
    </row>
    <row r="15" spans="1:31" ht="15.75" customHeight="1" x14ac:dyDescent="0.25">
      <c r="A15" s="187"/>
      <c r="B15"/>
      <c r="C15" s="114">
        <v>3</v>
      </c>
      <c r="D15" s="173" t="s">
        <v>202</v>
      </c>
      <c r="E15" s="173">
        <v>5</v>
      </c>
      <c r="F15" s="173">
        <v>115.2</v>
      </c>
      <c r="G15"/>
      <c r="H15"/>
      <c r="I15" s="342" t="s">
        <v>151</v>
      </c>
      <c r="J15" s="342"/>
      <c r="K15" s="342"/>
      <c r="L15" s="203" t="s">
        <v>256</v>
      </c>
      <c r="M15" s="133"/>
      <c r="N15" s="133"/>
      <c r="O15" s="133"/>
    </row>
    <row r="16" spans="1:31" ht="15.75" customHeight="1" x14ac:dyDescent="0.25">
      <c r="A16" s="187"/>
      <c r="B16"/>
      <c r="C16" s="114">
        <v>4</v>
      </c>
      <c r="D16" s="173"/>
      <c r="E16" s="173"/>
      <c r="F16" s="173"/>
      <c r="G16"/>
      <c r="H16"/>
      <c r="I16" s="342" t="s">
        <v>152</v>
      </c>
      <c r="J16" s="342"/>
      <c r="K16" s="342"/>
      <c r="L16" s="203" t="s">
        <v>256</v>
      </c>
      <c r="M16" s="133"/>
      <c r="N16" s="133"/>
      <c r="O16" s="133"/>
    </row>
    <row r="17" spans="1:26" ht="17.25" x14ac:dyDescent="0.3">
      <c r="A17" s="187"/>
      <c r="B17"/>
      <c r="C17" s="114">
        <v>5</v>
      </c>
      <c r="D17" s="173"/>
      <c r="E17" s="173"/>
      <c r="F17" s="173"/>
      <c r="G17"/>
      <c r="H17"/>
      <c r="I17"/>
      <c r="J17"/>
      <c r="K17"/>
      <c r="L17"/>
      <c r="M17"/>
      <c r="N17"/>
      <c r="O17"/>
      <c r="P17" s="208"/>
      <c r="Q17" s="209"/>
      <c r="R17" s="208"/>
    </row>
    <row r="18" spans="1:26" ht="17.25" x14ac:dyDescent="0.3">
      <c r="A18" s="187"/>
      <c r="B18"/>
      <c r="C18" s="114">
        <v>6</v>
      </c>
      <c r="D18" s="173"/>
      <c r="E18" s="173"/>
      <c r="F18" s="173"/>
      <c r="G18"/>
      <c r="H18"/>
      <c r="I18"/>
      <c r="J18"/>
      <c r="K18"/>
      <c r="L18"/>
      <c r="M18"/>
      <c r="N18"/>
      <c r="O18"/>
      <c r="P18" s="208"/>
      <c r="Q18" s="209"/>
      <c r="R18" s="208"/>
    </row>
    <row r="19" spans="1:26" ht="17.25" x14ac:dyDescent="0.3">
      <c r="A19" s="187"/>
      <c r="B19"/>
      <c r="C19" s="114">
        <v>7</v>
      </c>
      <c r="D19" s="173"/>
      <c r="E19" s="173"/>
      <c r="F19" s="173"/>
      <c r="G19"/>
      <c r="H19"/>
      <c r="I19"/>
      <c r="J19"/>
      <c r="K19"/>
      <c r="L19"/>
      <c r="M19"/>
      <c r="N19"/>
      <c r="O19"/>
      <c r="P19" s="208"/>
      <c r="Q19" s="209"/>
      <c r="R19" s="208"/>
    </row>
    <row r="20" spans="1:26" x14ac:dyDescent="0.25">
      <c r="A20" s="187"/>
      <c r="B20"/>
      <c r="C20" s="114">
        <v>8</v>
      </c>
      <c r="D20" s="173"/>
      <c r="E20" s="173"/>
      <c r="F20" s="173"/>
      <c r="G20"/>
      <c r="H20"/>
      <c r="I20"/>
      <c r="J20"/>
      <c r="K20"/>
      <c r="L20"/>
      <c r="M20"/>
      <c r="N20"/>
      <c r="O20"/>
    </row>
    <row r="21" spans="1:26" x14ac:dyDescent="0.25">
      <c r="A21" s="187"/>
      <c r="B21"/>
      <c r="C21" s="114">
        <v>9</v>
      </c>
      <c r="D21" s="173"/>
      <c r="E21" s="173"/>
      <c r="F21" s="173"/>
      <c r="G21"/>
      <c r="H21" s="145"/>
      <c r="I21"/>
      <c r="J21"/>
      <c r="K21"/>
      <c r="L21"/>
      <c r="M21"/>
      <c r="N21"/>
      <c r="O21"/>
    </row>
    <row r="22" spans="1:26" ht="15.75" customHeight="1" x14ac:dyDescent="0.25">
      <c r="A22" s="187"/>
      <c r="B22"/>
      <c r="C22" s="114">
        <v>10</v>
      </c>
      <c r="D22" s="173"/>
      <c r="E22" s="173"/>
      <c r="F22" s="173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187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10"/>
    </row>
    <row r="24" spans="1:26" ht="18.75" x14ac:dyDescent="0.25">
      <c r="A24" s="187"/>
      <c r="E24" s="211"/>
      <c r="F24" s="211"/>
      <c r="Z24" s="212"/>
    </row>
    <row r="25" spans="1:26" ht="18.75" x14ac:dyDescent="0.25">
      <c r="A25" s="187"/>
      <c r="G25" s="211"/>
      <c r="Z25" s="212"/>
    </row>
    <row r="26" spans="1:26" ht="17.25" x14ac:dyDescent="0.25">
      <c r="A26" s="187"/>
      <c r="F26" s="213"/>
      <c r="Z26" s="212" t="s">
        <v>254</v>
      </c>
    </row>
    <row r="27" spans="1:26" ht="17.25" x14ac:dyDescent="0.25">
      <c r="A27" s="187"/>
      <c r="F27" s="213"/>
      <c r="Z27" s="212" t="s">
        <v>255</v>
      </c>
    </row>
    <row r="28" spans="1:26" ht="17.25" x14ac:dyDescent="0.25">
      <c r="A28" s="187"/>
      <c r="F28" s="213"/>
      <c r="Z28" s="212">
        <v>6.1799999999999998E-8</v>
      </c>
    </row>
    <row r="29" spans="1:26" x14ac:dyDescent="0.25">
      <c r="Z29" s="212">
        <v>3.95</v>
      </c>
    </row>
    <row r="30" spans="1:26" x14ac:dyDescent="0.25">
      <c r="Z30" s="212">
        <v>1.1358E-3</v>
      </c>
    </row>
    <row r="31" spans="1:26" x14ac:dyDescent="0.25">
      <c r="Z31" s="214">
        <v>3.2909999999999999</v>
      </c>
    </row>
    <row r="32" spans="1:26" x14ac:dyDescent="0.25">
      <c r="Z32" s="212">
        <v>0.85399999999999998</v>
      </c>
    </row>
  </sheetData>
  <sheetProtection password="8FE7" sheet="1" objects="1" scenarios="1"/>
  <mergeCells count="11">
    <mergeCell ref="AC4:AE4"/>
    <mergeCell ref="I6:L6"/>
    <mergeCell ref="K7:L7"/>
    <mergeCell ref="K8:L8"/>
    <mergeCell ref="I7:J7"/>
    <mergeCell ref="I8:J8"/>
    <mergeCell ref="C11:F11"/>
    <mergeCell ref="I15:K15"/>
    <mergeCell ref="I16:K16"/>
    <mergeCell ref="C7:E7"/>
    <mergeCell ref="Z4:A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8" r:id="rId3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3" name="ComboBoxDeformacion"/>
      </mc:Fallback>
    </mc:AlternateContent>
    <mc:AlternateContent xmlns:mc="http://schemas.openxmlformats.org/markup-compatibility/2006">
      <mc:Choice Requires="x14">
        <control shapeId="108556" r:id="rId5" name="ComboBoxFatiga">
          <controlPr defaultSize="0" autoLine="0" r:id="rId6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5" name="ComboBoxFatiga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P70"/>
  <sheetViews>
    <sheetView showGridLines="0" zoomScale="85" zoomScaleNormal="85" workbookViewId="0">
      <selection activeCell="E14" sqref="E14"/>
    </sheetView>
  </sheetViews>
  <sheetFormatPr baseColWidth="10" defaultColWidth="11.5703125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42" x14ac:dyDescent="0.25">
      <c r="A1" s="217">
        <v>1</v>
      </c>
      <c r="B1" s="217">
        <v>2</v>
      </c>
      <c r="C1" s="217">
        <v>3</v>
      </c>
      <c r="D1" s="217">
        <v>4</v>
      </c>
      <c r="E1" s="217">
        <v>5</v>
      </c>
      <c r="F1" s="217">
        <v>6</v>
      </c>
      <c r="G1" s="217">
        <v>7</v>
      </c>
      <c r="H1" s="217">
        <v>8</v>
      </c>
      <c r="I1" s="217">
        <v>9</v>
      </c>
      <c r="J1" s="217">
        <v>10</v>
      </c>
      <c r="K1" s="217">
        <v>11</v>
      </c>
      <c r="L1" s="217">
        <v>12</v>
      </c>
      <c r="M1" s="217">
        <v>13</v>
      </c>
      <c r="N1" s="217">
        <v>14</v>
      </c>
      <c r="O1" s="217">
        <v>15</v>
      </c>
      <c r="P1" s="217">
        <v>16</v>
      </c>
      <c r="Q1" s="217">
        <v>16</v>
      </c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11"/>
      <c r="AP1" s="11"/>
    </row>
    <row r="2" spans="1:42" x14ac:dyDescent="0.25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53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11"/>
      <c r="AP2" s="11"/>
    </row>
    <row r="3" spans="1:42" x14ac:dyDescent="0.25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53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11"/>
      <c r="AP3" s="11"/>
    </row>
    <row r="4" spans="1:42" x14ac:dyDescent="0.25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11"/>
      <c r="AP4" s="11"/>
    </row>
    <row r="5" spans="1:42" x14ac:dyDescent="0.25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 t="s">
        <v>29</v>
      </c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  <c r="AN5" s="217"/>
      <c r="AO5" s="11"/>
      <c r="AP5" s="11"/>
    </row>
    <row r="6" spans="1:42" ht="18.75" x14ac:dyDescent="0.25">
      <c r="A6" s="217"/>
      <c r="B6" s="217"/>
      <c r="C6" s="349" t="s">
        <v>72</v>
      </c>
      <c r="D6" s="350"/>
      <c r="E6" s="350"/>
      <c r="F6" s="351"/>
      <c r="G6" s="254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 t="s">
        <v>116</v>
      </c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11"/>
      <c r="AP6" s="11"/>
    </row>
    <row r="7" spans="1:42" ht="15.75" x14ac:dyDescent="0.25">
      <c r="A7" s="217"/>
      <c r="B7" s="217"/>
      <c r="C7" s="353" t="s">
        <v>26</v>
      </c>
      <c r="D7" s="353"/>
      <c r="E7" s="353"/>
      <c r="F7" s="255">
        <v>50</v>
      </c>
      <c r="G7" s="217"/>
      <c r="H7" s="217"/>
      <c r="I7" s="217"/>
      <c r="J7" s="217"/>
      <c r="K7" s="217"/>
      <c r="L7" s="217"/>
      <c r="M7" s="256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 t="s">
        <v>10</v>
      </c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11"/>
      <c r="AP7" s="11"/>
    </row>
    <row r="8" spans="1:42" x14ac:dyDescent="0.25">
      <c r="A8" s="217"/>
      <c r="B8" s="217"/>
      <c r="C8" s="353" t="s">
        <v>25</v>
      </c>
      <c r="D8" s="353"/>
      <c r="E8" s="353"/>
      <c r="F8" s="255" t="s">
        <v>263</v>
      </c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 t="s">
        <v>11</v>
      </c>
      <c r="AC8" s="217"/>
      <c r="AD8" s="217"/>
      <c r="AE8" s="217"/>
      <c r="AF8" s="217"/>
      <c r="AG8" s="217"/>
      <c r="AH8" s="217"/>
      <c r="AI8" s="217"/>
      <c r="AJ8" s="217"/>
      <c r="AK8" s="217"/>
      <c r="AL8" s="217"/>
      <c r="AM8" s="217"/>
      <c r="AN8" s="217"/>
      <c r="AO8" s="11"/>
      <c r="AP8" s="11"/>
    </row>
    <row r="9" spans="1:42" x14ac:dyDescent="0.25">
      <c r="A9" s="217"/>
      <c r="B9" s="217"/>
      <c r="C9" s="353" t="s">
        <v>73</v>
      </c>
      <c r="D9" s="353"/>
      <c r="E9" s="353"/>
      <c r="F9" s="255">
        <v>90</v>
      </c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11"/>
      <c r="AP9" s="11"/>
    </row>
    <row r="10" spans="1:42" x14ac:dyDescent="0.25">
      <c r="A10" s="217"/>
      <c r="B10" s="217"/>
      <c r="C10" s="353" t="s">
        <v>91</v>
      </c>
      <c r="D10" s="353"/>
      <c r="E10" s="353"/>
      <c r="F10" s="255">
        <v>3</v>
      </c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11"/>
      <c r="AP10" s="11"/>
    </row>
    <row r="11" spans="1:42" x14ac:dyDescent="0.25">
      <c r="A11" s="217"/>
      <c r="B11" s="217"/>
      <c r="C11" s="353" t="s">
        <v>115</v>
      </c>
      <c r="D11" s="353"/>
      <c r="E11" s="353"/>
      <c r="F11" s="255">
        <v>0.35</v>
      </c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11"/>
      <c r="AP11" s="11"/>
    </row>
    <row r="12" spans="1:42" ht="18.75" x14ac:dyDescent="0.25">
      <c r="A12" s="217"/>
      <c r="B12" s="217"/>
      <c r="C12" s="349" t="s">
        <v>1</v>
      </c>
      <c r="D12" s="350"/>
      <c r="E12" s="350"/>
      <c r="F12" s="351"/>
      <c r="G12" s="254"/>
      <c r="H12" s="25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11"/>
      <c r="AP12" s="11"/>
    </row>
    <row r="13" spans="1:42" ht="30" x14ac:dyDescent="0.25">
      <c r="A13" s="217"/>
      <c r="B13" s="217"/>
      <c r="C13" s="258" t="s">
        <v>149</v>
      </c>
      <c r="D13" s="258" t="s">
        <v>150</v>
      </c>
      <c r="E13" s="258" t="s">
        <v>77</v>
      </c>
      <c r="F13" s="258" t="s">
        <v>165</v>
      </c>
      <c r="G13" s="259"/>
      <c r="H13" s="217"/>
      <c r="I13" s="216"/>
      <c r="J13" s="216"/>
      <c r="K13" s="216"/>
      <c r="L13" s="216"/>
      <c r="M13" s="216"/>
      <c r="N13" s="216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11"/>
      <c r="AP13" s="11"/>
    </row>
    <row r="14" spans="1:42" x14ac:dyDescent="0.25">
      <c r="A14" s="217"/>
      <c r="B14" s="217"/>
      <c r="C14" s="260">
        <v>1</v>
      </c>
      <c r="D14" s="255" t="s">
        <v>238</v>
      </c>
      <c r="E14" s="255">
        <v>10</v>
      </c>
      <c r="F14" s="255">
        <v>4032000</v>
      </c>
      <c r="G14" s="261"/>
      <c r="H14" s="217"/>
      <c r="I14" s="262"/>
      <c r="J14" s="263"/>
      <c r="K14" s="262"/>
      <c r="L14" s="264"/>
      <c r="M14" s="264"/>
      <c r="N14" s="265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11"/>
      <c r="AP14" s="11"/>
    </row>
    <row r="15" spans="1:42" x14ac:dyDescent="0.25">
      <c r="A15" s="217"/>
      <c r="B15" s="217"/>
      <c r="C15" s="260">
        <v>2</v>
      </c>
      <c r="D15" s="255" t="s">
        <v>197</v>
      </c>
      <c r="E15" s="255">
        <v>40</v>
      </c>
      <c r="F15" s="255">
        <v>691200</v>
      </c>
      <c r="G15" s="261"/>
      <c r="H15" s="217"/>
      <c r="I15" s="262"/>
      <c r="J15" s="263"/>
      <c r="K15" s="262"/>
      <c r="L15" s="264"/>
      <c r="M15" s="264"/>
      <c r="N15" s="266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11"/>
      <c r="AP15" s="11"/>
    </row>
    <row r="16" spans="1:42" x14ac:dyDescent="0.25">
      <c r="A16" s="217"/>
      <c r="B16" s="217"/>
      <c r="C16" s="260">
        <v>3</v>
      </c>
      <c r="D16" s="255" t="s">
        <v>202</v>
      </c>
      <c r="E16" s="255">
        <v>5</v>
      </c>
      <c r="F16" s="255">
        <v>115200</v>
      </c>
      <c r="G16" s="261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  <c r="AL16" s="217"/>
      <c r="AM16" s="217"/>
      <c r="AN16" s="217"/>
      <c r="AO16" s="11"/>
      <c r="AP16" s="11"/>
    </row>
    <row r="17" spans="1:42" ht="17.25" x14ac:dyDescent="0.3">
      <c r="A17" s="217"/>
      <c r="B17" s="217"/>
      <c r="C17" s="260">
        <v>4</v>
      </c>
      <c r="D17" s="255"/>
      <c r="E17" s="255"/>
      <c r="F17" s="255">
        <v>0</v>
      </c>
      <c r="G17" s="261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67"/>
      <c r="T17" s="268"/>
      <c r="U17" s="267"/>
      <c r="V17" s="217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11"/>
      <c r="AP17" s="11"/>
    </row>
    <row r="18" spans="1:42" ht="17.25" x14ac:dyDescent="0.3">
      <c r="A18" s="217"/>
      <c r="B18" s="217"/>
      <c r="C18" s="260">
        <v>5</v>
      </c>
      <c r="D18" s="255"/>
      <c r="E18" s="255"/>
      <c r="F18" s="255">
        <v>0</v>
      </c>
      <c r="G18" s="261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67"/>
      <c r="T18" s="268"/>
      <c r="U18" s="26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11"/>
      <c r="AP18" s="11"/>
    </row>
    <row r="19" spans="1:42" ht="17.25" x14ac:dyDescent="0.3">
      <c r="A19" s="217"/>
      <c r="B19" s="217"/>
      <c r="C19" s="260">
        <v>6</v>
      </c>
      <c r="D19" s="255"/>
      <c r="E19" s="255"/>
      <c r="F19" s="255">
        <v>0</v>
      </c>
      <c r="G19" s="261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67"/>
      <c r="T19" s="268"/>
      <c r="U19" s="26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11"/>
      <c r="AP19" s="11"/>
    </row>
    <row r="20" spans="1:42" x14ac:dyDescent="0.25">
      <c r="A20" s="217"/>
      <c r="B20" s="217"/>
      <c r="C20" s="260">
        <v>7</v>
      </c>
      <c r="D20" s="255"/>
      <c r="E20" s="255"/>
      <c r="F20" s="255">
        <v>0</v>
      </c>
      <c r="G20" s="261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J20" s="217"/>
      <c r="AK20" s="217"/>
      <c r="AL20" s="217"/>
      <c r="AM20" s="217"/>
      <c r="AN20" s="217"/>
      <c r="AO20" s="11"/>
      <c r="AP20" s="11"/>
    </row>
    <row r="21" spans="1:42" x14ac:dyDescent="0.25">
      <c r="A21" s="217"/>
      <c r="B21" s="217"/>
      <c r="C21" s="260">
        <v>8</v>
      </c>
      <c r="D21" s="255"/>
      <c r="E21" s="255"/>
      <c r="F21" s="255">
        <v>0</v>
      </c>
      <c r="G21" s="261"/>
      <c r="H21" s="217"/>
      <c r="I21" s="269"/>
      <c r="J21" s="269"/>
      <c r="K21" s="269"/>
      <c r="L21" s="270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11"/>
      <c r="AP21" s="11"/>
    </row>
    <row r="22" spans="1:42" ht="15.75" customHeight="1" x14ac:dyDescent="0.25">
      <c r="A22" s="217"/>
      <c r="B22" s="217"/>
      <c r="C22" s="260">
        <v>9</v>
      </c>
      <c r="D22" s="255"/>
      <c r="E22" s="255"/>
      <c r="F22" s="255">
        <v>0</v>
      </c>
      <c r="G22" s="261"/>
      <c r="H22" s="217"/>
      <c r="I22" s="352"/>
      <c r="J22" s="352"/>
      <c r="K22" s="352"/>
      <c r="L22" s="264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  <c r="AL22" s="217"/>
      <c r="AM22" s="217"/>
      <c r="AN22" s="217"/>
      <c r="AO22" s="11"/>
      <c r="AP22" s="11"/>
    </row>
    <row r="23" spans="1:42" ht="15.75" customHeight="1" x14ac:dyDescent="0.25">
      <c r="A23" s="217"/>
      <c r="B23" s="217"/>
      <c r="C23" s="260">
        <v>10</v>
      </c>
      <c r="D23" s="255"/>
      <c r="E23" s="255"/>
      <c r="F23" s="255">
        <v>0</v>
      </c>
      <c r="G23" s="261"/>
      <c r="H23" s="217"/>
      <c r="I23" s="352"/>
      <c r="J23" s="352"/>
      <c r="K23" s="352"/>
      <c r="L23" s="264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11"/>
      <c r="AP23" s="11"/>
    </row>
    <row r="24" spans="1:42" x14ac:dyDescent="0.25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11"/>
      <c r="AP24" s="11"/>
    </row>
    <row r="25" spans="1:42" ht="18.75" x14ac:dyDescent="0.25">
      <c r="A25" s="217"/>
      <c r="B25" s="217"/>
      <c r="C25" s="217"/>
      <c r="D25" s="217"/>
      <c r="E25" s="254"/>
      <c r="F25" s="254"/>
      <c r="G25" s="254"/>
      <c r="H25" s="254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11"/>
      <c r="AP25" s="11"/>
    </row>
    <row r="26" spans="1:42" x14ac:dyDescent="0.25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11"/>
      <c r="AP26" s="11"/>
    </row>
    <row r="27" spans="1:42" ht="17.25" x14ac:dyDescent="0.25">
      <c r="A27" s="217"/>
      <c r="B27" s="217"/>
      <c r="C27" s="217"/>
      <c r="D27" s="217"/>
      <c r="E27" s="217"/>
      <c r="F27" s="271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11"/>
      <c r="AP27" s="11"/>
    </row>
    <row r="28" spans="1:42" ht="17.25" x14ac:dyDescent="0.25">
      <c r="A28" s="217"/>
      <c r="B28" s="217"/>
      <c r="C28" s="217"/>
      <c r="D28" s="217"/>
      <c r="E28" s="217"/>
      <c r="F28" s="271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11"/>
      <c r="AP28" s="11"/>
    </row>
    <row r="29" spans="1:42" ht="17.25" x14ac:dyDescent="0.25">
      <c r="A29" s="217"/>
      <c r="B29" s="217"/>
      <c r="C29" s="217"/>
      <c r="D29" s="217"/>
      <c r="E29" s="217"/>
      <c r="F29" s="271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11"/>
      <c r="AP29" s="11"/>
    </row>
    <row r="30" spans="1:42" x14ac:dyDescent="0.25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11"/>
      <c r="AP30" s="11"/>
    </row>
    <row r="31" spans="1:42" x14ac:dyDescent="0.25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11"/>
      <c r="AP31" s="11"/>
    </row>
    <row r="32" spans="1:42" x14ac:dyDescent="0.25">
      <c r="A32" s="217"/>
      <c r="B32" s="217"/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11"/>
      <c r="AP32" s="11"/>
    </row>
    <row r="33" spans="1:42" x14ac:dyDescent="0.25">
      <c r="A33" s="217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11"/>
      <c r="AP33" s="11"/>
    </row>
    <row r="34" spans="1:42" x14ac:dyDescent="0.25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11"/>
      <c r="AP34" s="11"/>
    </row>
    <row r="35" spans="1:42" x14ac:dyDescent="0.25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11"/>
      <c r="AP35" s="11"/>
    </row>
    <row r="36" spans="1:42" x14ac:dyDescent="0.25">
      <c r="A36" s="217"/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11"/>
      <c r="AP36" s="11"/>
    </row>
    <row r="37" spans="1:42" x14ac:dyDescent="0.2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11"/>
      <c r="AP37" s="11"/>
    </row>
    <row r="38" spans="1:42" x14ac:dyDescent="0.25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11"/>
      <c r="AP38" s="11"/>
    </row>
    <row r="39" spans="1:42" x14ac:dyDescent="0.25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11"/>
      <c r="AP39" s="11"/>
    </row>
    <row r="40" spans="1:42" x14ac:dyDescent="0.25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11"/>
      <c r="AP40" s="11"/>
    </row>
    <row r="41" spans="1:42" x14ac:dyDescent="0.25">
      <c r="A41" s="217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11"/>
      <c r="AP41" s="11"/>
    </row>
    <row r="42" spans="1:42" x14ac:dyDescent="0.25">
      <c r="A42" s="217"/>
      <c r="B42" s="217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11"/>
      <c r="AP42" s="11"/>
    </row>
    <row r="43" spans="1:42" x14ac:dyDescent="0.25">
      <c r="A43" s="217"/>
      <c r="B43" s="217"/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11"/>
      <c r="AP43" s="11"/>
    </row>
    <row r="44" spans="1:42" x14ac:dyDescent="0.25">
      <c r="A44" s="217"/>
      <c r="B44" s="217"/>
      <c r="C44" s="217"/>
      <c r="D44" s="217"/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11"/>
      <c r="AP44" s="11"/>
    </row>
    <row r="45" spans="1:42" x14ac:dyDescent="0.25">
      <c r="A45" s="217"/>
      <c r="B45" s="217"/>
      <c r="C45" s="217"/>
      <c r="D45" s="217"/>
      <c r="E45" s="217"/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11"/>
      <c r="AP45" s="11"/>
    </row>
    <row r="46" spans="1:42" x14ac:dyDescent="0.25">
      <c r="A46" s="217"/>
      <c r="B46" s="217"/>
      <c r="C46" s="217"/>
      <c r="D46" s="217"/>
      <c r="E46" s="217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11"/>
      <c r="AP46" s="11"/>
    </row>
    <row r="47" spans="1:42" x14ac:dyDescent="0.25">
      <c r="A47" s="217"/>
      <c r="B47" s="217"/>
      <c r="C47" s="217"/>
      <c r="D47" s="217"/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11"/>
      <c r="AP47" s="11"/>
    </row>
    <row r="48" spans="1:42" x14ac:dyDescent="0.25">
      <c r="A48" s="217"/>
      <c r="B48" s="217"/>
      <c r="C48" s="217"/>
      <c r="D48" s="217"/>
      <c r="E48" s="217"/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11"/>
      <c r="AP48" s="11"/>
    </row>
    <row r="49" spans="1:42" x14ac:dyDescent="0.25">
      <c r="A49" s="217"/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11"/>
      <c r="AP49" s="11"/>
    </row>
    <row r="50" spans="1:42" x14ac:dyDescent="0.25">
      <c r="A50" s="217"/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11"/>
      <c r="AP50" s="11"/>
    </row>
    <row r="51" spans="1:42" x14ac:dyDescent="0.25">
      <c r="A51" s="217"/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11"/>
      <c r="AP51" s="11"/>
    </row>
    <row r="52" spans="1:42" x14ac:dyDescent="0.25">
      <c r="A52" s="217"/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11"/>
      <c r="AP52" s="11"/>
    </row>
    <row r="53" spans="1:42" x14ac:dyDescent="0.25">
      <c r="A53" s="217"/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11"/>
      <c r="AP53" s="11"/>
    </row>
    <row r="54" spans="1:42" x14ac:dyDescent="0.25">
      <c r="A54" s="217"/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11"/>
      <c r="AP54" s="11"/>
    </row>
    <row r="55" spans="1:42" x14ac:dyDescent="0.25">
      <c r="A55" s="217"/>
      <c r="B55" s="217"/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11"/>
      <c r="AP55" s="11"/>
    </row>
    <row r="56" spans="1:42" x14ac:dyDescent="0.25">
      <c r="A56" s="217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11"/>
      <c r="AP56" s="11"/>
    </row>
    <row r="57" spans="1:42" x14ac:dyDescent="0.25">
      <c r="A57" s="217"/>
      <c r="B57" s="217"/>
      <c r="C57" s="217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11"/>
      <c r="AP57" s="11"/>
    </row>
    <row r="58" spans="1:42" x14ac:dyDescent="0.25">
      <c r="A58" s="217"/>
      <c r="B58" s="217"/>
      <c r="C58" s="217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11"/>
      <c r="AP58" s="11"/>
    </row>
    <row r="59" spans="1:42" x14ac:dyDescent="0.25">
      <c r="A59" s="217"/>
      <c r="B59" s="217"/>
      <c r="C59" s="217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11"/>
      <c r="AP59" s="11"/>
    </row>
    <row r="60" spans="1:42" x14ac:dyDescent="0.25">
      <c r="A60" s="217"/>
      <c r="B60" s="217"/>
      <c r="C60" s="217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11"/>
      <c r="AP60" s="11"/>
    </row>
    <row r="61" spans="1:42" x14ac:dyDescent="0.25">
      <c r="A61" s="217"/>
      <c r="B61" s="217"/>
      <c r="C61" s="217"/>
      <c r="D61" s="217"/>
      <c r="E61" s="217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11"/>
      <c r="AP61" s="11"/>
    </row>
    <row r="62" spans="1:42" x14ac:dyDescent="0.25">
      <c r="A62" s="217"/>
      <c r="B62" s="217"/>
      <c r="C62" s="217"/>
      <c r="D62" s="217"/>
      <c r="E62" s="217"/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11"/>
      <c r="AP62" s="11"/>
    </row>
    <row r="63" spans="1:42" x14ac:dyDescent="0.25">
      <c r="A63" s="217"/>
      <c r="B63" s="217"/>
      <c r="C63" s="217"/>
      <c r="D63" s="217"/>
      <c r="E63" s="217"/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11"/>
      <c r="AP63" s="11"/>
    </row>
    <row r="64" spans="1:42" x14ac:dyDescent="0.25">
      <c r="A64" s="217"/>
      <c r="B64" s="217"/>
      <c r="C64" s="217"/>
      <c r="D64" s="217"/>
      <c r="E64" s="217"/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11"/>
      <c r="AP64" s="11"/>
    </row>
    <row r="65" spans="1:42" x14ac:dyDescent="0.25">
      <c r="A65" s="217"/>
      <c r="B65" s="217"/>
      <c r="C65" s="217"/>
      <c r="D65" s="217"/>
      <c r="E65" s="217"/>
      <c r="F65" s="217"/>
      <c r="G65" s="217"/>
      <c r="H65" s="217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11"/>
      <c r="AP65" s="11"/>
    </row>
    <row r="66" spans="1:42" x14ac:dyDescent="0.25">
      <c r="A66" s="217"/>
      <c r="B66" s="217"/>
      <c r="C66" s="217"/>
      <c r="D66" s="217"/>
      <c r="E66" s="217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</row>
    <row r="67" spans="1:42" x14ac:dyDescent="0.25">
      <c r="A67" s="217"/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</row>
    <row r="68" spans="1:42" x14ac:dyDescent="0.25">
      <c r="A68" s="217"/>
      <c r="B68" s="217"/>
      <c r="C68" s="217"/>
      <c r="D68" s="217"/>
      <c r="E68" s="217"/>
      <c r="F68" s="217"/>
      <c r="G68" s="217"/>
      <c r="H68" s="217"/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</row>
    <row r="69" spans="1:42" x14ac:dyDescent="0.25">
      <c r="A69" s="217"/>
      <c r="B69" s="217"/>
      <c r="C69" s="217"/>
      <c r="D69" s="217"/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</row>
    <row r="70" spans="1:42" x14ac:dyDescent="0.25">
      <c r="A70" s="217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topLeftCell="BJ1" zoomScale="85" zoomScaleNormal="85" workbookViewId="0">
      <selection activeCell="CA7" sqref="CA7"/>
    </sheetView>
  </sheetViews>
  <sheetFormatPr baseColWidth="10" defaultColWidth="11.5703125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s="11" customFormat="1" ht="15" customHeight="1" x14ac:dyDescent="0.25">
      <c r="A1" s="175">
        <v>1</v>
      </c>
      <c r="B1" s="275">
        <f>A1+1</f>
        <v>2</v>
      </c>
      <c r="C1" s="275">
        <f t="shared" ref="C1:BN1" si="0">B1+1</f>
        <v>3</v>
      </c>
      <c r="D1" s="275">
        <f t="shared" si="0"/>
        <v>4</v>
      </c>
      <c r="E1" s="275">
        <f t="shared" si="0"/>
        <v>5</v>
      </c>
      <c r="F1" s="275">
        <f t="shared" si="0"/>
        <v>6</v>
      </c>
      <c r="G1" s="275">
        <f t="shared" si="0"/>
        <v>7</v>
      </c>
      <c r="H1" s="275">
        <f t="shared" si="0"/>
        <v>8</v>
      </c>
      <c r="I1" s="275">
        <f t="shared" si="0"/>
        <v>9</v>
      </c>
      <c r="J1" s="275">
        <f t="shared" si="0"/>
        <v>10</v>
      </c>
      <c r="K1" s="275">
        <f t="shared" si="0"/>
        <v>11</v>
      </c>
      <c r="L1" s="275">
        <f t="shared" si="0"/>
        <v>12</v>
      </c>
      <c r="M1" s="275">
        <f t="shared" si="0"/>
        <v>13</v>
      </c>
      <c r="N1" s="275">
        <f t="shared" si="0"/>
        <v>14</v>
      </c>
      <c r="O1" s="275">
        <f t="shared" si="0"/>
        <v>15</v>
      </c>
      <c r="P1" s="275">
        <f t="shared" si="0"/>
        <v>16</v>
      </c>
      <c r="Q1" s="275">
        <f t="shared" si="0"/>
        <v>17</v>
      </c>
      <c r="R1" s="275">
        <f t="shared" si="0"/>
        <v>18</v>
      </c>
      <c r="S1" s="275">
        <f t="shared" si="0"/>
        <v>19</v>
      </c>
      <c r="T1" s="275">
        <f t="shared" si="0"/>
        <v>20</v>
      </c>
      <c r="U1" s="275">
        <f t="shared" si="0"/>
        <v>21</v>
      </c>
      <c r="V1" s="275">
        <f t="shared" si="0"/>
        <v>22</v>
      </c>
      <c r="W1" s="275">
        <f t="shared" si="0"/>
        <v>23</v>
      </c>
      <c r="X1" s="275">
        <f t="shared" si="0"/>
        <v>24</v>
      </c>
      <c r="Y1" s="275">
        <f t="shared" si="0"/>
        <v>25</v>
      </c>
      <c r="Z1" s="275">
        <f t="shared" si="0"/>
        <v>26</v>
      </c>
      <c r="AA1" s="275">
        <f t="shared" si="0"/>
        <v>27</v>
      </c>
      <c r="AB1" s="275">
        <f t="shared" si="0"/>
        <v>28</v>
      </c>
      <c r="AC1" s="275">
        <f t="shared" si="0"/>
        <v>29</v>
      </c>
      <c r="AD1" s="275">
        <f t="shared" si="0"/>
        <v>30</v>
      </c>
      <c r="AE1" s="275">
        <f t="shared" si="0"/>
        <v>31</v>
      </c>
      <c r="AF1" s="275">
        <f t="shared" si="0"/>
        <v>32</v>
      </c>
      <c r="AG1" s="275">
        <f t="shared" si="0"/>
        <v>33</v>
      </c>
      <c r="AH1" s="275">
        <f t="shared" si="0"/>
        <v>34</v>
      </c>
      <c r="AI1" s="275">
        <f t="shared" si="0"/>
        <v>35</v>
      </c>
      <c r="AJ1" s="275">
        <f t="shared" si="0"/>
        <v>36</v>
      </c>
      <c r="AK1" s="275">
        <f t="shared" si="0"/>
        <v>37</v>
      </c>
      <c r="AL1" s="275">
        <f t="shared" si="0"/>
        <v>38</v>
      </c>
      <c r="AM1" s="275">
        <f t="shared" si="0"/>
        <v>39</v>
      </c>
      <c r="AN1" s="275">
        <f t="shared" si="0"/>
        <v>40</v>
      </c>
      <c r="AO1" s="275">
        <f t="shared" si="0"/>
        <v>41</v>
      </c>
      <c r="AP1" s="275">
        <f t="shared" si="0"/>
        <v>42</v>
      </c>
      <c r="AQ1" s="275">
        <f t="shared" si="0"/>
        <v>43</v>
      </c>
      <c r="AR1" s="275">
        <f t="shared" si="0"/>
        <v>44</v>
      </c>
      <c r="AS1" s="275">
        <f t="shared" si="0"/>
        <v>45</v>
      </c>
      <c r="AT1" s="275">
        <f t="shared" si="0"/>
        <v>46</v>
      </c>
      <c r="AU1" s="275">
        <f t="shared" si="0"/>
        <v>47</v>
      </c>
      <c r="AV1" s="275">
        <f t="shared" si="0"/>
        <v>48</v>
      </c>
      <c r="AW1" s="275">
        <f t="shared" si="0"/>
        <v>49</v>
      </c>
      <c r="AX1" s="275">
        <f t="shared" si="0"/>
        <v>50</v>
      </c>
      <c r="AY1" s="275">
        <f t="shared" si="0"/>
        <v>51</v>
      </c>
      <c r="AZ1" s="275">
        <f t="shared" si="0"/>
        <v>52</v>
      </c>
      <c r="BA1" s="275">
        <f t="shared" si="0"/>
        <v>53</v>
      </c>
      <c r="BB1" s="275">
        <f t="shared" si="0"/>
        <v>54</v>
      </c>
      <c r="BC1" s="275">
        <f t="shared" si="0"/>
        <v>55</v>
      </c>
      <c r="BD1" s="275">
        <f t="shared" si="0"/>
        <v>56</v>
      </c>
      <c r="BE1" s="275">
        <f t="shared" si="0"/>
        <v>57</v>
      </c>
      <c r="BF1" s="275">
        <f t="shared" si="0"/>
        <v>58</v>
      </c>
      <c r="BG1" s="275">
        <f t="shared" si="0"/>
        <v>59</v>
      </c>
      <c r="BH1" s="275">
        <f t="shared" si="0"/>
        <v>60</v>
      </c>
      <c r="BI1" s="275">
        <f t="shared" si="0"/>
        <v>61</v>
      </c>
      <c r="BJ1" s="275">
        <f t="shared" si="0"/>
        <v>62</v>
      </c>
      <c r="BK1" s="275">
        <f t="shared" si="0"/>
        <v>63</v>
      </c>
      <c r="BL1" s="275">
        <f t="shared" si="0"/>
        <v>64</v>
      </c>
      <c r="BM1" s="275">
        <f t="shared" si="0"/>
        <v>65</v>
      </c>
      <c r="BN1" s="275">
        <f t="shared" si="0"/>
        <v>66</v>
      </c>
      <c r="BO1" s="275">
        <f t="shared" ref="BO1:BV1" si="1">BN1+1</f>
        <v>67</v>
      </c>
      <c r="BP1" s="275">
        <f t="shared" si="1"/>
        <v>68</v>
      </c>
      <c r="BQ1" s="275">
        <f t="shared" si="1"/>
        <v>69</v>
      </c>
      <c r="BR1" s="275">
        <f t="shared" si="1"/>
        <v>70</v>
      </c>
      <c r="BS1" s="275">
        <f t="shared" si="1"/>
        <v>71</v>
      </c>
      <c r="BT1" s="275">
        <f t="shared" si="1"/>
        <v>72</v>
      </c>
      <c r="BU1" s="275">
        <f t="shared" si="1"/>
        <v>73</v>
      </c>
      <c r="BV1" s="275">
        <f t="shared" si="1"/>
        <v>74</v>
      </c>
      <c r="BW1" s="11">
        <v>75</v>
      </c>
      <c r="BX1" s="11">
        <v>76</v>
      </c>
      <c r="BY1" s="11">
        <v>77</v>
      </c>
      <c r="BZ1" s="11">
        <v>78</v>
      </c>
      <c r="CA1" s="226" t="e">
        <v>#DIV/0!</v>
      </c>
      <c r="CB1" s="11">
        <v>85</v>
      </c>
      <c r="CC1" s="11">
        <v>81</v>
      </c>
      <c r="CD1" s="11">
        <v>82</v>
      </c>
      <c r="CE1" s="11">
        <v>83</v>
      </c>
      <c r="CF1" s="11">
        <v>84</v>
      </c>
      <c r="CG1" s="11">
        <v>85</v>
      </c>
      <c r="CH1" s="11">
        <v>86</v>
      </c>
      <c r="CI1" s="11">
        <v>87</v>
      </c>
      <c r="CJ1" s="11">
        <v>88</v>
      </c>
      <c r="CK1" s="11">
        <v>89</v>
      </c>
      <c r="CL1" s="11">
        <v>90</v>
      </c>
      <c r="CM1" s="11">
        <v>91</v>
      </c>
    </row>
    <row r="2" spans="1:97" ht="15" customHeight="1" x14ac:dyDescent="0.25">
      <c r="B2" s="96"/>
      <c r="C2" s="123"/>
      <c r="D2" s="123"/>
      <c r="E2" s="123"/>
      <c r="F2" s="97"/>
      <c r="G2" s="357" t="s">
        <v>65</v>
      </c>
      <c r="H2" s="357"/>
      <c r="I2" s="357"/>
      <c r="J2" s="357"/>
      <c r="K2" s="358"/>
      <c r="L2" s="355" t="s">
        <v>49</v>
      </c>
      <c r="M2" s="359"/>
      <c r="N2" s="359"/>
      <c r="O2" s="359"/>
      <c r="P2" s="356"/>
      <c r="Q2" s="360" t="s">
        <v>50</v>
      </c>
      <c r="R2" s="361"/>
      <c r="S2" s="361"/>
      <c r="T2" s="361"/>
      <c r="U2" s="362"/>
      <c r="V2" s="355" t="s">
        <v>51</v>
      </c>
      <c r="W2" s="359"/>
      <c r="X2" s="359"/>
      <c r="Y2" s="359"/>
      <c r="Z2" s="356"/>
      <c r="AB2" s="355" t="s">
        <v>0</v>
      </c>
      <c r="AC2" s="356"/>
      <c r="AD2" s="360" t="s">
        <v>31</v>
      </c>
      <c r="AE2" s="362"/>
      <c r="AF2" s="355" t="s">
        <v>10</v>
      </c>
      <c r="AG2" s="356"/>
      <c r="AH2" s="360" t="s">
        <v>11</v>
      </c>
      <c r="AI2" s="362"/>
      <c r="AK2" s="355" t="s">
        <v>60</v>
      </c>
      <c r="AL2" s="359"/>
      <c r="AM2" s="359"/>
      <c r="AN2" s="356"/>
      <c r="AP2" s="355" t="s">
        <v>0</v>
      </c>
      <c r="AQ2" s="356"/>
      <c r="AR2" s="368" t="s">
        <v>31</v>
      </c>
      <c r="AS2" s="358"/>
      <c r="AT2" s="355" t="s">
        <v>10</v>
      </c>
      <c r="AU2" s="356"/>
      <c r="AV2" s="368" t="s">
        <v>11</v>
      </c>
      <c r="AW2" s="358"/>
      <c r="AY2" s="316"/>
      <c r="AZ2" s="97"/>
      <c r="BB2" s="363" t="s">
        <v>61</v>
      </c>
      <c r="BC2" s="364"/>
      <c r="BD2" s="364"/>
      <c r="BE2" s="364"/>
      <c r="BF2" s="365"/>
      <c r="BG2" s="366" t="s">
        <v>62</v>
      </c>
      <c r="BH2" s="367"/>
      <c r="BI2" s="367"/>
      <c r="BJ2" s="367"/>
      <c r="BK2" s="367"/>
      <c r="BM2" s="363" t="s">
        <v>61</v>
      </c>
      <c r="BN2" s="364"/>
      <c r="BO2" s="364"/>
      <c r="BP2" s="364"/>
      <c r="BQ2" s="365"/>
      <c r="BR2" s="366" t="s">
        <v>62</v>
      </c>
      <c r="BS2" s="367"/>
      <c r="BT2" s="367"/>
      <c r="BU2" s="367"/>
      <c r="BV2" s="367"/>
      <c r="CA2" s="132" t="e">
        <v>#DIV/0!</v>
      </c>
      <c r="CB2">
        <v>3</v>
      </c>
    </row>
    <row r="3" spans="1:97" ht="42" customHeight="1" x14ac:dyDescent="0.25">
      <c r="A3" s="117" t="s">
        <v>163</v>
      </c>
      <c r="B3" s="122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18" t="s">
        <v>133</v>
      </c>
      <c r="H3" s="118" t="s">
        <v>121</v>
      </c>
      <c r="I3" s="119" t="s">
        <v>122</v>
      </c>
      <c r="J3" s="119" t="s">
        <v>134</v>
      </c>
      <c r="K3" s="119" t="s">
        <v>124</v>
      </c>
      <c r="L3" s="117" t="s">
        <v>120</v>
      </c>
      <c r="M3" s="117" t="s">
        <v>121</v>
      </c>
      <c r="N3" s="117" t="s">
        <v>122</v>
      </c>
      <c r="O3" s="117" t="s">
        <v>123</v>
      </c>
      <c r="P3" s="117" t="s">
        <v>124</v>
      </c>
      <c r="Q3" s="118" t="s">
        <v>120</v>
      </c>
      <c r="R3" s="118" t="s">
        <v>121</v>
      </c>
      <c r="S3" s="118" t="s">
        <v>122</v>
      </c>
      <c r="T3" s="118" t="s">
        <v>123</v>
      </c>
      <c r="U3" s="118" t="s">
        <v>124</v>
      </c>
      <c r="V3" s="117" t="s">
        <v>120</v>
      </c>
      <c r="W3" s="117" t="s">
        <v>121</v>
      </c>
      <c r="X3" s="117" t="s">
        <v>122</v>
      </c>
      <c r="Y3" s="117" t="s">
        <v>123</v>
      </c>
      <c r="Z3" s="117" t="s">
        <v>124</v>
      </c>
      <c r="AB3" s="117" t="s">
        <v>143</v>
      </c>
      <c r="AC3" s="117" t="s">
        <v>144</v>
      </c>
      <c r="AD3" s="118" t="s">
        <v>143</v>
      </c>
      <c r="AE3" s="118" t="s">
        <v>144</v>
      </c>
      <c r="AF3" s="117" t="s">
        <v>143</v>
      </c>
      <c r="AG3" s="117" t="s">
        <v>144</v>
      </c>
      <c r="AH3" s="118" t="s">
        <v>143</v>
      </c>
      <c r="AI3" s="118" t="s">
        <v>144</v>
      </c>
      <c r="AK3" s="120" t="s">
        <v>64</v>
      </c>
      <c r="AL3" s="120" t="s">
        <v>46</v>
      </c>
      <c r="AM3" s="120" t="s">
        <v>47</v>
      </c>
      <c r="AN3" s="120" t="s">
        <v>48</v>
      </c>
      <c r="AP3" s="117" t="s">
        <v>141</v>
      </c>
      <c r="AQ3" s="117" t="s">
        <v>142</v>
      </c>
      <c r="AR3" s="119" t="s">
        <v>141</v>
      </c>
      <c r="AS3" s="119" t="s">
        <v>142</v>
      </c>
      <c r="AT3" s="117" t="s">
        <v>141</v>
      </c>
      <c r="AU3" s="117" t="s">
        <v>142</v>
      </c>
      <c r="AV3" s="119" t="s">
        <v>141</v>
      </c>
      <c r="AW3" s="119" t="s">
        <v>142</v>
      </c>
      <c r="AY3" s="117" t="s">
        <v>145</v>
      </c>
      <c r="AZ3" s="117" t="s">
        <v>146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71</v>
      </c>
      <c r="BG3" s="126" t="s">
        <v>0</v>
      </c>
      <c r="BH3" s="126" t="s">
        <v>31</v>
      </c>
      <c r="BI3" s="126" t="s">
        <v>10</v>
      </c>
      <c r="BJ3" s="126" t="s">
        <v>11</v>
      </c>
      <c r="BK3" s="126" t="s">
        <v>71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71</v>
      </c>
      <c r="BR3" s="126" t="s">
        <v>0</v>
      </c>
      <c r="BS3" s="126" t="s">
        <v>31</v>
      </c>
      <c r="BT3" s="126" t="s">
        <v>10</v>
      </c>
      <c r="BU3" s="126" t="s">
        <v>11</v>
      </c>
      <c r="BV3" s="126" t="s">
        <v>71</v>
      </c>
      <c r="CA3" s="132">
        <v>10.165117271416666</v>
      </c>
      <c r="CD3" s="126" t="s">
        <v>239</v>
      </c>
      <c r="CE3" s="126" t="s">
        <v>240</v>
      </c>
      <c r="CF3" s="126" t="s">
        <v>241</v>
      </c>
      <c r="CG3" s="126" t="s">
        <v>242</v>
      </c>
      <c r="CH3" s="126" t="s">
        <v>243</v>
      </c>
      <c r="CI3" s="126" t="s">
        <v>244</v>
      </c>
      <c r="CJ3" s="126" t="s">
        <v>245</v>
      </c>
      <c r="CK3" s="126" t="s">
        <v>247</v>
      </c>
      <c r="CL3" s="126" t="s">
        <v>246</v>
      </c>
      <c r="CM3" s="126" t="s">
        <v>248</v>
      </c>
    </row>
    <row r="4" spans="1:97" x14ac:dyDescent="0.25">
      <c r="A4">
        <v>1</v>
      </c>
      <c r="B4" s="121">
        <v>0.5</v>
      </c>
      <c r="C4" s="20">
        <v>1.0110045112736447E-4</v>
      </c>
      <c r="D4" s="20">
        <v>1.0230462885613235E-2</v>
      </c>
      <c r="E4" s="20">
        <v>3.6237480807441398E-44</v>
      </c>
      <c r="F4" s="20">
        <v>3.1753350949166831E-19</v>
      </c>
      <c r="G4" s="19">
        <v>34.447191849550144</v>
      </c>
      <c r="H4" s="19">
        <v>1.6429286955575166</v>
      </c>
      <c r="I4" s="19">
        <v>1.4756716934778597E-5</v>
      </c>
      <c r="J4" s="19">
        <v>-1.8784192665114089E-5</v>
      </c>
      <c r="K4">
        <v>2.5746972159823248E-2</v>
      </c>
      <c r="L4" s="19">
        <v>6.3870249774190739</v>
      </c>
      <c r="M4" s="19">
        <v>1.4729591738217029</v>
      </c>
      <c r="N4" s="19">
        <v>1.3050061067115761E-5</v>
      </c>
      <c r="O4" s="19">
        <v>-6.2492049081970375E-6</v>
      </c>
      <c r="P4" s="19">
        <v>1.4862122215865314E-2</v>
      </c>
      <c r="Q4" s="19">
        <v>3.194648066689088</v>
      </c>
      <c r="R4" s="19">
        <v>0.78363224833402467</v>
      </c>
      <c r="S4" s="19">
        <v>6.6728562155084825E-6</v>
      </c>
      <c r="T4" s="19">
        <v>-3.1093348733755166E-6</v>
      </c>
      <c r="U4" s="19">
        <v>8.8345874512476396E-3</v>
      </c>
      <c r="V4" s="19">
        <v>2.1297909927772003</v>
      </c>
      <c r="W4" s="19">
        <v>0.52443674538242713</v>
      </c>
      <c r="X4" s="19">
        <v>4.4202785727721676E-6</v>
      </c>
      <c r="Y4" s="19">
        <v>-2.0775447702860735E-6</v>
      </c>
      <c r="Z4">
        <v>6.6074223895825415E-3</v>
      </c>
      <c r="AP4" s="127"/>
      <c r="AQ4" s="127"/>
      <c r="AR4" s="127"/>
      <c r="AS4" s="127"/>
      <c r="AT4" s="127"/>
      <c r="AU4" s="127"/>
      <c r="AV4" s="127"/>
      <c r="AW4" s="127"/>
      <c r="AY4" s="127"/>
      <c r="AZ4" s="127"/>
      <c r="BB4" s="354"/>
      <c r="BC4" s="354"/>
      <c r="BD4" s="354"/>
      <c r="BE4" s="354"/>
      <c r="BF4" s="354"/>
      <c r="BG4" s="354"/>
      <c r="BH4" s="354"/>
      <c r="BI4" s="354"/>
      <c r="BJ4" s="354"/>
      <c r="BK4" s="354"/>
      <c r="BM4" s="144" t="e">
        <f>IF((1/BB103)&gt;BM8,"&gt;20",1/BB103)</f>
        <v>#DIV/0!</v>
      </c>
      <c r="BN4" s="144" t="e">
        <f t="shared" ref="BN4:BV4" si="2">1/BC103</f>
        <v>#DIV/0!</v>
      </c>
      <c r="BO4" s="144" t="e">
        <f t="shared" si="2"/>
        <v>#DIV/0!</v>
      </c>
      <c r="BP4" s="144" t="e">
        <f t="shared" si="2"/>
        <v>#DIV/0!</v>
      </c>
      <c r="BQ4" s="144" t="e">
        <f t="shared" si="2"/>
        <v>#DIV/0!</v>
      </c>
      <c r="BR4" s="144" t="e">
        <f t="shared" si="2"/>
        <v>#DIV/0!</v>
      </c>
      <c r="BS4" s="144" t="e">
        <f t="shared" si="2"/>
        <v>#DIV/0!</v>
      </c>
      <c r="BT4" s="144" t="e">
        <f t="shared" si="2"/>
        <v>#DIV/0!</v>
      </c>
      <c r="BU4" s="144" t="e">
        <f t="shared" si="2"/>
        <v>#DIV/0!</v>
      </c>
      <c r="BV4" s="144" t="e">
        <f t="shared" si="2"/>
        <v>#DIV/0!</v>
      </c>
      <c r="CA4" s="132">
        <v>11.229759475135513</v>
      </c>
      <c r="CC4" s="126">
        <v>1</v>
      </c>
      <c r="CD4">
        <v>4838.3999999999996</v>
      </c>
      <c r="CE4">
        <v>829.44</v>
      </c>
      <c r="CF4">
        <v>138.24</v>
      </c>
      <c r="CJ4" s="121">
        <v>22.344743631988795</v>
      </c>
      <c r="CK4" s="121">
        <v>499.28756797930379</v>
      </c>
      <c r="CL4" s="121">
        <v>11.123903564670609</v>
      </c>
      <c r="CM4" s="121">
        <v>123.74123051609149</v>
      </c>
      <c r="CP4" s="121"/>
      <c r="CQ4" s="121"/>
      <c r="CR4" s="121"/>
      <c r="CS4" s="121"/>
    </row>
    <row r="5" spans="1:97" x14ac:dyDescent="0.25">
      <c r="A5">
        <v>2</v>
      </c>
      <c r="B5" s="121">
        <v>1</v>
      </c>
      <c r="C5" s="20">
        <v>0.31934053328052636</v>
      </c>
      <c r="D5" s="20">
        <v>0.86532236371898352</v>
      </c>
      <c r="E5" s="20">
        <v>2.6485240668866928E-25</v>
      </c>
      <c r="F5" s="20">
        <v>4.6516849591301319E-10</v>
      </c>
      <c r="G5" s="19">
        <v>65.821192319949603</v>
      </c>
      <c r="H5" s="19">
        <v>3.2786203880225178</v>
      </c>
      <c r="I5" s="19">
        <v>2.9440519429717865E-5</v>
      </c>
      <c r="J5" s="19">
        <v>-3.5377147257821141E-5</v>
      </c>
      <c r="K5">
        <v>4.5822489945566112E-2</v>
      </c>
      <c r="L5" s="19">
        <v>12.774049954838148</v>
      </c>
      <c r="M5" s="19">
        <v>2.9459183476434059</v>
      </c>
      <c r="N5" s="19">
        <v>2.6100122134231521E-5</v>
      </c>
      <c r="O5" s="19">
        <v>-1.2498409816394075E-5</v>
      </c>
      <c r="P5" s="19">
        <v>2.5746972159823248E-2</v>
      </c>
      <c r="Q5" s="19">
        <v>6.3892961333781759</v>
      </c>
      <c r="R5" s="19">
        <v>1.5672644966680493</v>
      </c>
      <c r="S5" s="19">
        <v>1.3345712431016965E-5</v>
      </c>
      <c r="T5" s="19">
        <v>-6.2186697467510332E-6</v>
      </c>
      <c r="U5" s="19">
        <v>1.4862122215865314E-2</v>
      </c>
      <c r="V5" s="19">
        <v>4.2595819855544006</v>
      </c>
      <c r="W5" s="19">
        <v>1.0488734907648543</v>
      </c>
      <c r="X5" s="19">
        <v>8.8405571455443351E-6</v>
      </c>
      <c r="Y5" s="19">
        <v>-4.155089540572147E-6</v>
      </c>
      <c r="Z5">
        <v>1.0923630408742528E-2</v>
      </c>
      <c r="AP5" s="127"/>
      <c r="AQ5" s="127"/>
      <c r="AR5" s="127"/>
      <c r="AS5" s="127"/>
      <c r="AT5" s="127"/>
      <c r="AU5" s="127"/>
      <c r="AV5" s="127"/>
      <c r="AW5" s="127"/>
      <c r="AY5" s="127"/>
      <c r="AZ5" s="127"/>
      <c r="CA5" s="22">
        <v>4032</v>
      </c>
      <c r="CC5" s="126">
        <v>2</v>
      </c>
      <c r="CD5">
        <v>4838.3999999999996</v>
      </c>
      <c r="CE5">
        <v>829.44</v>
      </c>
      <c r="CF5">
        <v>92.16</v>
      </c>
      <c r="CJ5" s="121">
        <v>22.344743631988795</v>
      </c>
      <c r="CK5" s="121">
        <v>499.28756797930379</v>
      </c>
      <c r="CL5" s="121">
        <v>5.3664783212133305</v>
      </c>
      <c r="CM5" s="155">
        <v>28.799089572052644</v>
      </c>
      <c r="CP5" s="121"/>
      <c r="CQ5" s="121"/>
      <c r="CR5" s="121"/>
      <c r="CS5" s="155"/>
    </row>
    <row r="6" spans="1:97" x14ac:dyDescent="0.25">
      <c r="A6">
        <v>3</v>
      </c>
      <c r="B6" s="121">
        <v>1.5</v>
      </c>
      <c r="C6" s="20">
        <v>5.7771608833961965</v>
      </c>
      <c r="D6" s="20">
        <v>4.7605152483056923</v>
      </c>
      <c r="E6" s="20">
        <v>1.0950807514640619E-16</v>
      </c>
      <c r="F6" s="20">
        <v>5.0397948011464576E-6</v>
      </c>
      <c r="G6" s="19">
        <v>94.49260016117023</v>
      </c>
      <c r="H6" s="19">
        <v>4.9071196288854182</v>
      </c>
      <c r="I6" s="19">
        <v>4.4051877225465732E-5</v>
      </c>
      <c r="J6" s="19">
        <v>-5.0069759250925061E-5</v>
      </c>
      <c r="K6">
        <v>6.4882869699649445E-2</v>
      </c>
      <c r="L6" s="19">
        <v>19.161074932257225</v>
      </c>
      <c r="M6" s="19">
        <v>4.4188775214651086</v>
      </c>
      <c r="N6" s="19">
        <v>3.9150183201347284E-5</v>
      </c>
      <c r="O6" s="19">
        <v>-1.8747614724591111E-5</v>
      </c>
      <c r="P6" s="19">
        <v>3.5963598615644174E-2</v>
      </c>
      <c r="Q6" s="19">
        <v>9.5839442000672666</v>
      </c>
      <c r="R6" s="19">
        <v>2.3508967450020735</v>
      </c>
      <c r="S6" s="19">
        <v>2.001856864652544E-5</v>
      </c>
      <c r="T6" s="19">
        <v>-9.3280046201265481E-6</v>
      </c>
      <c r="U6" s="19">
        <v>2.0425622065957973E-2</v>
      </c>
      <c r="V6" s="19">
        <v>6.3893729783316005</v>
      </c>
      <c r="W6" s="19">
        <v>1.5733102361472813</v>
      </c>
      <c r="X6" s="19">
        <v>1.3260835718316502E-5</v>
      </c>
      <c r="Y6" s="19">
        <v>-6.2326343108582184E-6</v>
      </c>
      <c r="Z6">
        <v>1.4862122215865314E-2</v>
      </c>
      <c r="AP6" s="127"/>
      <c r="AQ6" s="127"/>
      <c r="AR6" s="127"/>
      <c r="AS6" s="127"/>
      <c r="AT6" s="127"/>
      <c r="AU6" s="127"/>
      <c r="AV6" s="127"/>
      <c r="AW6" s="127"/>
      <c r="AY6" s="127"/>
      <c r="AZ6" s="127"/>
      <c r="BM6" s="153" t="s">
        <v>252</v>
      </c>
      <c r="BN6" s="153" t="str">
        <f>$BM$6</f>
        <v xml:space="preserve">20		</v>
      </c>
      <c r="BO6" s="153" t="str">
        <f t="shared" ref="BO6:BV6" si="3">$BM$6</f>
        <v xml:space="preserve">20		</v>
      </c>
      <c r="BP6" s="153" t="str">
        <f t="shared" si="3"/>
        <v xml:space="preserve">20		</v>
      </c>
      <c r="BQ6" s="153" t="str">
        <f t="shared" si="3"/>
        <v xml:space="preserve">20		</v>
      </c>
      <c r="BR6" s="153" t="str">
        <f t="shared" si="3"/>
        <v xml:space="preserve">20		</v>
      </c>
      <c r="BS6" s="153" t="str">
        <f t="shared" si="3"/>
        <v xml:space="preserve">20		</v>
      </c>
      <c r="BT6" s="153" t="str">
        <f t="shared" si="3"/>
        <v xml:space="preserve">20		</v>
      </c>
      <c r="BU6" s="153" t="str">
        <f t="shared" si="3"/>
        <v xml:space="preserve">20		</v>
      </c>
      <c r="BV6" s="153" t="str">
        <f t="shared" si="3"/>
        <v xml:space="preserve">20		</v>
      </c>
      <c r="CA6" s="22">
        <v>691.2</v>
      </c>
      <c r="CC6" s="126">
        <v>3</v>
      </c>
      <c r="CD6">
        <v>4838.3999999999996</v>
      </c>
      <c r="CE6">
        <v>552.96</v>
      </c>
      <c r="CF6">
        <v>138.24</v>
      </c>
      <c r="CJ6" s="121">
        <v>5.7093375898171317</v>
      </c>
      <c r="CK6" s="121">
        <v>32.596535714498891</v>
      </c>
      <c r="CL6" s="121">
        <v>6.1687294869373446</v>
      </c>
      <c r="CM6" s="121">
        <v>38.053223483010271</v>
      </c>
      <c r="CP6" s="121"/>
      <c r="CQ6" s="121"/>
      <c r="CR6" s="121"/>
      <c r="CS6" s="121"/>
    </row>
    <row r="7" spans="1:97" x14ac:dyDescent="0.25">
      <c r="A7">
        <v>4</v>
      </c>
      <c r="B7" s="121">
        <v>2</v>
      </c>
      <c r="C7" s="20">
        <v>19.972095289182324</v>
      </c>
      <c r="D7" s="20">
        <v>10.710955146851211</v>
      </c>
      <c r="E7" s="20">
        <v>1.1759734859855953E-11</v>
      </c>
      <c r="F7" s="20">
        <v>9.3579365247105253E-4</v>
      </c>
      <c r="G7" s="19">
        <v>120.77647086675722</v>
      </c>
      <c r="H7" s="19">
        <v>6.5284706176330785</v>
      </c>
      <c r="I7" s="19">
        <v>5.8591256259598396E-5</v>
      </c>
      <c r="J7" s="19">
        <v>-6.310710555748798E-5</v>
      </c>
      <c r="K7">
        <v>8.3355080356555505E-2</v>
      </c>
      <c r="L7" s="19">
        <v>25.548099909676296</v>
      </c>
      <c r="M7" s="19">
        <v>5.8918366952868118</v>
      </c>
      <c r="N7" s="19">
        <v>5.2200244268463043E-5</v>
      </c>
      <c r="O7" s="19">
        <v>-2.499681963278815E-5</v>
      </c>
      <c r="P7" s="19">
        <v>4.5822489945566112E-2</v>
      </c>
      <c r="Q7" s="19">
        <v>12.778592266756352</v>
      </c>
      <c r="R7" s="19">
        <v>3.1345289933360987</v>
      </c>
      <c r="S7" s="19">
        <v>2.669142486203393E-5</v>
      </c>
      <c r="T7" s="19">
        <v>-1.2437339493502066E-5</v>
      </c>
      <c r="U7" s="19">
        <v>2.5746972159823248E-2</v>
      </c>
      <c r="V7" s="19">
        <v>8.5191639711088012</v>
      </c>
      <c r="W7" s="19">
        <v>2.0977469815297085</v>
      </c>
      <c r="X7" s="19">
        <v>1.768111429108867E-5</v>
      </c>
      <c r="Y7" s="19">
        <v>-8.3101790811442941E-6</v>
      </c>
      <c r="Z7">
        <v>1.8604433753376823E-2</v>
      </c>
      <c r="AP7" s="127"/>
      <c r="AQ7" s="127"/>
      <c r="AR7" s="127"/>
      <c r="AS7" s="127"/>
      <c r="AT7" s="127"/>
      <c r="AU7" s="127"/>
      <c r="AV7" s="127"/>
      <c r="AW7" s="127"/>
      <c r="AY7" s="127"/>
      <c r="AZ7" s="127"/>
      <c r="CA7" s="22">
        <v>115.2</v>
      </c>
      <c r="CC7" s="126">
        <v>4</v>
      </c>
      <c r="CD7">
        <v>4838.3999999999996</v>
      </c>
      <c r="CE7">
        <v>552.96</v>
      </c>
      <c r="CF7">
        <v>92.16</v>
      </c>
      <c r="CJ7" s="121">
        <v>5.7093375898171317</v>
      </c>
      <c r="CK7" s="121">
        <v>32.596535714498891</v>
      </c>
      <c r="CL7" s="121">
        <v>2.9798516211145651</v>
      </c>
      <c r="CM7" s="121">
        <v>8.8795156838591023</v>
      </c>
      <c r="CP7" s="121"/>
      <c r="CQ7" s="121"/>
      <c r="CR7" s="121"/>
      <c r="CS7" s="121"/>
    </row>
    <row r="8" spans="1:97" x14ac:dyDescent="0.25">
      <c r="A8">
        <v>5</v>
      </c>
      <c r="B8" s="121">
        <v>2.5</v>
      </c>
      <c r="C8" s="20">
        <v>32.826251977169129</v>
      </c>
      <c r="D8" s="20">
        <v>15.995120928826335</v>
      </c>
      <c r="E8" s="20">
        <v>2.2589422048739467E-8</v>
      </c>
      <c r="F8" s="20">
        <v>2.462851738949844E-2</v>
      </c>
      <c r="G8" s="19">
        <v>144.94216271079068</v>
      </c>
      <c r="H8" s="19">
        <v>8.1427172051426577</v>
      </c>
      <c r="I8" s="19">
        <v>7.3059118703851469E-5</v>
      </c>
      <c r="J8" s="19">
        <v>-7.4696817434589816E-5</v>
      </c>
      <c r="K8">
        <v>0.10140136018334092</v>
      </c>
      <c r="L8" s="19">
        <v>34.110615459748551</v>
      </c>
      <c r="M8" s="19">
        <v>7.3647958691085149</v>
      </c>
      <c r="N8" s="19">
        <v>6.5250305335578815E-5</v>
      </c>
      <c r="O8" s="19">
        <v>-3.0704481546940387E-5</v>
      </c>
      <c r="P8" s="19">
        <v>5.5442251475167452E-2</v>
      </c>
      <c r="Q8" s="19">
        <v>15.973240333445441</v>
      </c>
      <c r="R8" s="19">
        <v>3.918161241670123</v>
      </c>
      <c r="S8" s="19">
        <v>3.3364281077542407E-5</v>
      </c>
      <c r="T8" s="19">
        <v>-1.5546674366877583E-5</v>
      </c>
      <c r="U8" s="19">
        <v>3.0911748381250541E-2</v>
      </c>
      <c r="V8" s="19">
        <v>10.648954963885997</v>
      </c>
      <c r="W8" s="19">
        <v>2.6221837269121351</v>
      </c>
      <c r="X8" s="19">
        <v>2.2101392863860832E-5</v>
      </c>
      <c r="Y8" s="19">
        <v>-1.0387723851430365E-5</v>
      </c>
      <c r="Z8">
        <v>2.2220749478272829E-2</v>
      </c>
      <c r="AP8" s="127"/>
      <c r="AQ8" s="127"/>
      <c r="AR8" s="127"/>
      <c r="AS8" s="127"/>
      <c r="AT8" s="127"/>
      <c r="AU8" s="127"/>
      <c r="AV8" s="127"/>
      <c r="AW8" s="127"/>
      <c r="AY8" s="127"/>
      <c r="AZ8" s="127"/>
      <c r="BM8" s="153" t="e">
        <f>IF((1/BB103)&gt;BM6,BM6,1/BB103)</f>
        <v>#DIV/0!</v>
      </c>
      <c r="BN8" s="153" t="e">
        <f t="shared" ref="BN8:BV8" si="4">IF((1/BC103)&gt;BN6,BN6,1/BC103)</f>
        <v>#DIV/0!</v>
      </c>
      <c r="BO8" s="153" t="e">
        <f t="shared" si="4"/>
        <v>#DIV/0!</v>
      </c>
      <c r="BP8" s="153" t="e">
        <f t="shared" si="4"/>
        <v>#DIV/0!</v>
      </c>
      <c r="BQ8" s="153" t="e">
        <f t="shared" si="4"/>
        <v>#DIV/0!</v>
      </c>
      <c r="BR8" s="153" t="e">
        <f t="shared" si="4"/>
        <v>#DIV/0!</v>
      </c>
      <c r="BS8" s="153" t="e">
        <f t="shared" si="4"/>
        <v>#DIV/0!</v>
      </c>
      <c r="BT8" s="153" t="e">
        <f t="shared" si="4"/>
        <v>#DIV/0!</v>
      </c>
      <c r="BU8" s="153" t="e">
        <f t="shared" si="4"/>
        <v>#DIV/0!</v>
      </c>
      <c r="BV8" s="153" t="e">
        <f t="shared" si="4"/>
        <v>#DIV/0!</v>
      </c>
      <c r="CA8" s="22"/>
      <c r="CC8" s="126">
        <v>5</v>
      </c>
      <c r="CD8">
        <v>3225.6</v>
      </c>
      <c r="CE8">
        <v>829.44</v>
      </c>
      <c r="CF8">
        <v>138.24</v>
      </c>
      <c r="CJ8" s="121">
        <v>16.904688884215748</v>
      </c>
      <c r="CK8" s="121">
        <v>285.76850627212747</v>
      </c>
      <c r="CL8" s="121">
        <v>8.5853474014725499</v>
      </c>
      <c r="CM8" s="121">
        <v>73.708190003971467</v>
      </c>
      <c r="CP8" s="121"/>
      <c r="CQ8" s="121"/>
      <c r="CR8" s="121"/>
      <c r="CS8" s="121"/>
    </row>
    <row r="9" spans="1:97" x14ac:dyDescent="0.25">
      <c r="A9">
        <v>6</v>
      </c>
      <c r="B9" s="121">
        <v>3</v>
      </c>
      <c r="C9" s="20">
        <v>36.433346807019582</v>
      </c>
      <c r="D9" s="20">
        <v>19.145891541151848</v>
      </c>
      <c r="E9" s="20">
        <v>4.3192740320749634E-6</v>
      </c>
      <c r="F9" s="20">
        <v>0.21462148420327809</v>
      </c>
      <c r="G9" s="19">
        <v>167.221184543291</v>
      </c>
      <c r="H9" s="19">
        <v>9.7499028970351542</v>
      </c>
      <c r="I9" s="19">
        <v>8.7455923000898404E-5</v>
      </c>
      <c r="J9" s="19">
        <v>-8.5015718849317648E-5</v>
      </c>
      <c r="K9">
        <v>0.1191050206176552</v>
      </c>
      <c r="L9" s="19">
        <v>41.058593046477547</v>
      </c>
      <c r="M9" s="19">
        <v>8.8377550429302172</v>
      </c>
      <c r="N9" s="19">
        <v>7.8300366402694568E-5</v>
      </c>
      <c r="O9" s="19">
        <v>-3.6422668918723029E-5</v>
      </c>
      <c r="P9" s="19">
        <v>6.4882869699649445E-2</v>
      </c>
      <c r="Q9" s="19">
        <v>19.167888400134533</v>
      </c>
      <c r="R9" s="19">
        <v>4.7017934900041469</v>
      </c>
      <c r="S9" s="19">
        <v>4.003713729305088E-5</v>
      </c>
      <c r="T9" s="19">
        <v>-1.8656009240253096E-5</v>
      </c>
      <c r="U9" s="19">
        <v>3.5963598615644174E-2</v>
      </c>
      <c r="V9" s="19">
        <v>12.778745956663201</v>
      </c>
      <c r="W9" s="19">
        <v>3.1466204722945625</v>
      </c>
      <c r="X9" s="19">
        <v>2.6521671436633004E-5</v>
      </c>
      <c r="Y9" s="19">
        <v>-1.2465268621716437E-5</v>
      </c>
      <c r="Z9">
        <v>2.5746972159823248E-2</v>
      </c>
      <c r="AP9" s="127"/>
      <c r="AQ9" s="127"/>
      <c r="AR9" s="127"/>
      <c r="AS9" s="127"/>
      <c r="AT9" s="127"/>
      <c r="AU9" s="127"/>
      <c r="AV9" s="127"/>
      <c r="AW9" s="127"/>
      <c r="AY9" s="127"/>
      <c r="AZ9" s="127"/>
      <c r="CA9" s="22"/>
      <c r="CC9" s="126">
        <v>6</v>
      </c>
      <c r="CD9">
        <v>3225.6</v>
      </c>
      <c r="CE9">
        <v>829.44</v>
      </c>
      <c r="CF9">
        <v>92.16</v>
      </c>
      <c r="CJ9" s="121">
        <v>16.904688884215748</v>
      </c>
      <c r="CK9" s="121">
        <v>285.76850627212747</v>
      </c>
      <c r="CL9" s="121">
        <v>4.1478011886774633</v>
      </c>
      <c r="CM9" s="121">
        <v>17.204254700794177</v>
      </c>
      <c r="CP9" s="121"/>
      <c r="CQ9" s="121"/>
      <c r="CR9" s="121"/>
      <c r="CS9" s="121"/>
    </row>
    <row r="10" spans="1:97" x14ac:dyDescent="0.25">
      <c r="A10">
        <v>7</v>
      </c>
      <c r="B10" s="121">
        <v>3.5</v>
      </c>
      <c r="C10" s="20">
        <v>32.198756240991244</v>
      </c>
      <c r="D10" s="20">
        <v>20.093085940899694</v>
      </c>
      <c r="E10" s="20">
        <v>1.9178942093744385E-4</v>
      </c>
      <c r="F10" s="20">
        <v>0.93784915714764161</v>
      </c>
      <c r="G10" s="19">
        <v>187.81349909065023</v>
      </c>
      <c r="H10" s="19">
        <v>11.350070856993135</v>
      </c>
      <c r="I10" s="19">
        <v>1.0178212390074343E-4</v>
      </c>
      <c r="J10" s="19">
        <v>-9.421513005309578E-5</v>
      </c>
      <c r="K10">
        <v>0.1365167296434146</v>
      </c>
      <c r="L10" s="19">
        <v>50.753467491315511</v>
      </c>
      <c r="M10" s="19">
        <v>10.31071421675192</v>
      </c>
      <c r="N10" s="19">
        <v>9.1350427469810334E-5</v>
      </c>
      <c r="O10" s="19">
        <v>-4.3058460434494405E-5</v>
      </c>
      <c r="P10" s="19">
        <v>7.4179560009902751E-2</v>
      </c>
      <c r="Q10" s="19">
        <v>22.362536466823613</v>
      </c>
      <c r="R10" s="19">
        <v>5.4854257383381713</v>
      </c>
      <c r="S10" s="19">
        <v>4.670999350855936E-5</v>
      </c>
      <c r="T10" s="19">
        <v>-2.1765344113628609E-5</v>
      </c>
      <c r="U10" s="19">
        <v>4.0928288003150841E-2</v>
      </c>
      <c r="V10" s="19">
        <v>14.908536949440398</v>
      </c>
      <c r="W10" s="19">
        <v>3.6710572176769887</v>
      </c>
      <c r="X10" s="19">
        <v>3.0941950009405162E-5</v>
      </c>
      <c r="Y10" s="19">
        <v>-1.4542813392002513E-5</v>
      </c>
      <c r="Z10">
        <v>2.9204362356658378E-2</v>
      </c>
      <c r="AP10" s="127"/>
      <c r="AQ10" s="127"/>
      <c r="AR10" s="127"/>
      <c r="AS10" s="127"/>
      <c r="AT10" s="127"/>
      <c r="AU10" s="127"/>
      <c r="AV10" s="127"/>
      <c r="AW10" s="127"/>
      <c r="AY10" s="127"/>
      <c r="AZ10" s="127"/>
      <c r="CA10" s="22"/>
      <c r="CC10" s="126">
        <v>7</v>
      </c>
      <c r="CD10">
        <v>3225.6</v>
      </c>
      <c r="CE10">
        <v>552.96</v>
      </c>
      <c r="CF10">
        <v>138.24</v>
      </c>
      <c r="CJ10" s="121">
        <v>3.8766905635162781</v>
      </c>
      <c r="CK10" s="121">
        <v>15.028729725256158</v>
      </c>
      <c r="CL10" s="121">
        <v>4.6513166160825419</v>
      </c>
      <c r="CM10" s="121">
        <v>21.63474626304555</v>
      </c>
      <c r="CP10" s="121"/>
      <c r="CQ10" s="121"/>
      <c r="CR10" s="121"/>
      <c r="CS10" s="121"/>
    </row>
    <row r="11" spans="1:97" x14ac:dyDescent="0.25">
      <c r="A11">
        <v>8</v>
      </c>
      <c r="B11" s="121">
        <v>4</v>
      </c>
      <c r="C11" s="20">
        <v>24.73214837317159</v>
      </c>
      <c r="D11" s="20">
        <v>19.401982224594843</v>
      </c>
      <c r="E11" s="20">
        <v>3.1722395453638382E-3</v>
      </c>
      <c r="F11" s="20">
        <v>2.5852286884627191</v>
      </c>
      <c r="G11" s="19">
        <v>206.89262217187238</v>
      </c>
      <c r="H11" s="19">
        <v>12.943263910039192</v>
      </c>
      <c r="I11" s="19">
        <v>1.1603817249666374E-4</v>
      </c>
      <c r="J11" s="19">
        <v>-1.0242513513830785E-4</v>
      </c>
      <c r="K11">
        <v>0.15367095683958015</v>
      </c>
      <c r="L11" s="19">
        <v>60.007880036013781</v>
      </c>
      <c r="M11" s="19">
        <v>11.783673390573624</v>
      </c>
      <c r="N11" s="19">
        <v>1.0440048853692609E-4</v>
      </c>
      <c r="O11" s="19">
        <v>-4.953610733337512E-5</v>
      </c>
      <c r="P11" s="19">
        <v>8.3355080356555505E-2</v>
      </c>
      <c r="Q11" s="19">
        <v>25.557184533512704</v>
      </c>
      <c r="R11" s="19">
        <v>6.2690579866721974</v>
      </c>
      <c r="S11" s="19">
        <v>5.338284972406786E-5</v>
      </c>
      <c r="T11" s="19">
        <v>-2.4874678987004133E-5</v>
      </c>
      <c r="U11" s="19">
        <v>4.5822489945566112E-2</v>
      </c>
      <c r="V11" s="19">
        <v>17.038327942217602</v>
      </c>
      <c r="W11" s="19">
        <v>4.195493963059417</v>
      </c>
      <c r="X11" s="19">
        <v>3.536222858217734E-5</v>
      </c>
      <c r="Y11" s="19">
        <v>-1.6620358162288588E-5</v>
      </c>
      <c r="Z11">
        <v>3.2606721860108906E-2</v>
      </c>
      <c r="AP11" s="127"/>
      <c r="AQ11" s="127"/>
      <c r="AR11" s="127"/>
      <c r="AS11" s="127"/>
      <c r="AT11" s="127"/>
      <c r="AU11" s="127"/>
      <c r="AV11" s="127"/>
      <c r="AW11" s="127"/>
      <c r="AY11" s="127"/>
      <c r="AZ11" s="127"/>
      <c r="CC11" s="126">
        <v>8</v>
      </c>
      <c r="CD11">
        <v>3225.6</v>
      </c>
      <c r="CE11">
        <v>552.96</v>
      </c>
      <c r="CF11">
        <v>92.16</v>
      </c>
      <c r="CJ11" s="121">
        <v>3.8766905635162781</v>
      </c>
      <c r="CK11" s="121">
        <v>15.028729725256158</v>
      </c>
      <c r="CL11" s="121">
        <v>2.2423156185396067</v>
      </c>
      <c r="CM11" s="121">
        <v>5.0279793331466589</v>
      </c>
      <c r="CP11" s="121"/>
      <c r="CQ11" s="121"/>
      <c r="CR11" s="121"/>
      <c r="CS11" s="121"/>
    </row>
    <row r="12" spans="1:97" x14ac:dyDescent="0.25">
      <c r="A12">
        <v>9</v>
      </c>
      <c r="B12" s="121">
        <v>4.5</v>
      </c>
      <c r="C12" s="20">
        <v>17.367074133946065</v>
      </c>
      <c r="D12" s="20">
        <v>17.730767805417607</v>
      </c>
      <c r="E12" s="20">
        <v>2.6150125731252305E-2</v>
      </c>
      <c r="F12" s="20">
        <v>5.1612874234912116</v>
      </c>
      <c r="G12" s="19">
        <v>224.6097756405683</v>
      </c>
      <c r="H12" s="19">
        <v>14.529524545777946</v>
      </c>
      <c r="I12" s="19">
        <v>1.3022451626076438E-4</v>
      </c>
      <c r="J12" s="19">
        <v>-1.0975803900221192E-4</v>
      </c>
      <c r="K12">
        <v>0.17059307996365608</v>
      </c>
      <c r="L12" s="19">
        <v>67.659036655452098</v>
      </c>
      <c r="M12" s="19">
        <v>13.256632564395327</v>
      </c>
      <c r="N12" s="19">
        <v>1.1745054960404185E-4</v>
      </c>
      <c r="O12" s="19">
        <v>-5.5242104658268594E-5</v>
      </c>
      <c r="P12" s="19">
        <v>9.2425183640581915E-2</v>
      </c>
      <c r="Q12" s="19">
        <v>28.751832600201787</v>
      </c>
      <c r="R12" s="19">
        <v>7.0526902350062217</v>
      </c>
      <c r="S12" s="19">
        <v>6.0055705939576334E-5</v>
      </c>
      <c r="T12" s="19">
        <v>-2.7984013860379649E-5</v>
      </c>
      <c r="U12" s="19">
        <v>5.0657705453049151E-2</v>
      </c>
      <c r="V12" s="19">
        <v>19.168118934994805</v>
      </c>
      <c r="W12" s="19">
        <v>4.7199307084418427</v>
      </c>
      <c r="X12" s="19">
        <v>3.9782507154949492E-5</v>
      </c>
      <c r="Y12" s="19">
        <v>-1.869790293257466E-5</v>
      </c>
      <c r="Z12">
        <v>3.5963598615644174E-2</v>
      </c>
      <c r="AP12" s="127"/>
      <c r="AQ12" s="127"/>
      <c r="AR12" s="127"/>
      <c r="AS12" s="127"/>
      <c r="AT12" s="127"/>
      <c r="AU12" s="127"/>
      <c r="AV12" s="127"/>
      <c r="AW12" s="127"/>
      <c r="AY12" s="127"/>
      <c r="AZ12" s="127"/>
      <c r="CC12" s="126">
        <v>9</v>
      </c>
      <c r="CJ12" s="121"/>
      <c r="CK12" s="121"/>
      <c r="CL12" s="121"/>
      <c r="CM12" s="121"/>
    </row>
    <row r="13" spans="1:97" x14ac:dyDescent="0.25">
      <c r="A13">
        <v>10</v>
      </c>
      <c r="B13" s="121">
        <v>5</v>
      </c>
      <c r="C13" s="20">
        <v>11.500303185486166</v>
      </c>
      <c r="D13" s="20">
        <v>15.606798399314259</v>
      </c>
      <c r="E13" s="20">
        <v>0.13916471050075616</v>
      </c>
      <c r="F13" s="20">
        <v>8.1530141067954318</v>
      </c>
      <c r="G13" s="19">
        <v>241.09729104053247</v>
      </c>
      <c r="H13" s="19">
        <v>16.108894921601472</v>
      </c>
      <c r="I13" s="19">
        <v>1.443415990791132E-4</v>
      </c>
      <c r="J13" s="19">
        <v>-1.1631118531097986E-4</v>
      </c>
      <c r="K13">
        <v>0.18730288175691334</v>
      </c>
      <c r="L13" s="19">
        <v>74.402780611052677</v>
      </c>
      <c r="M13" s="19">
        <v>14.72959173821703</v>
      </c>
      <c r="N13" s="19">
        <v>1.3050061067115763E-4</v>
      </c>
      <c r="O13" s="19">
        <v>-6.056774688856558E-5</v>
      </c>
      <c r="P13" s="19">
        <v>0.10140136018334092</v>
      </c>
      <c r="Q13" s="19">
        <v>31.946480666890881</v>
      </c>
      <c r="R13" s="19">
        <v>7.8363224833402461</v>
      </c>
      <c r="S13" s="19">
        <v>6.6728562155084814E-5</v>
      </c>
      <c r="T13" s="19">
        <v>-3.1093348733755166E-5</v>
      </c>
      <c r="U13" s="19">
        <v>5.5442251475167452E-2</v>
      </c>
      <c r="V13" s="19">
        <v>21.297909927771993</v>
      </c>
      <c r="W13" s="19">
        <v>5.2443674538242702</v>
      </c>
      <c r="X13" s="19">
        <v>4.4202785727721664E-5</v>
      </c>
      <c r="Y13" s="19">
        <v>-2.0775447702860729E-5</v>
      </c>
      <c r="Z13">
        <v>3.928191428383189E-2</v>
      </c>
      <c r="AP13" s="127"/>
      <c r="AQ13" s="127"/>
      <c r="AR13" s="127"/>
      <c r="AS13" s="127"/>
      <c r="AT13" s="127"/>
      <c r="AU13" s="127"/>
      <c r="AV13" s="127"/>
      <c r="AW13" s="127"/>
      <c r="AY13" s="127"/>
      <c r="AZ13" s="127"/>
      <c r="CC13" s="126">
        <v>10</v>
      </c>
      <c r="CJ13" s="121"/>
      <c r="CK13" s="121"/>
      <c r="CL13" s="121"/>
      <c r="CM13" s="121"/>
    </row>
    <row r="14" spans="1:97" x14ac:dyDescent="0.25">
      <c r="A14">
        <v>11</v>
      </c>
      <c r="B14" s="121">
        <v>5.5</v>
      </c>
      <c r="C14" s="20">
        <v>7.3259697526529637</v>
      </c>
      <c r="D14" s="20">
        <v>13.383614336839198</v>
      </c>
      <c r="E14" s="20">
        <v>0.70104083165052455</v>
      </c>
      <c r="F14" s="20">
        <v>10.813536964682509</v>
      </c>
      <c r="G14" s="19">
        <v>256.47141574422983</v>
      </c>
      <c r="H14" s="19">
        <v>17.681416865858363</v>
      </c>
      <c r="I14" s="19">
        <v>1.5838986128648356E-4</v>
      </c>
      <c r="J14" s="19">
        <v>-1.2216926716677272E-4</v>
      </c>
      <c r="K14">
        <v>0.20381644271230509</v>
      </c>
      <c r="L14" s="19">
        <v>80.606534555425426</v>
      </c>
      <c r="M14" s="19">
        <v>16.202550912038731</v>
      </c>
      <c r="N14" s="19">
        <v>1.4355067173827337E-4</v>
      </c>
      <c r="O14" s="19">
        <v>-6.5618764324787158E-5</v>
      </c>
      <c r="P14" s="19">
        <v>0.11029234762721271</v>
      </c>
      <c r="Q14" s="19">
        <v>35.141128733579968</v>
      </c>
      <c r="R14" s="19">
        <v>8.6199547316742695</v>
      </c>
      <c r="S14" s="19">
        <v>7.340141837059328E-5</v>
      </c>
      <c r="T14" s="19">
        <v>-3.4202683607130683E-5</v>
      </c>
      <c r="U14" s="19">
        <v>6.0182366582774621E-2</v>
      </c>
      <c r="V14" s="19">
        <v>23.427700920549203</v>
      </c>
      <c r="W14" s="19">
        <v>5.7688041992066976</v>
      </c>
      <c r="X14" s="19">
        <v>4.8623064300493836E-5</v>
      </c>
      <c r="Y14" s="19">
        <v>-2.2852992473146808E-5</v>
      </c>
      <c r="Z14">
        <v>4.2566870539294352E-2</v>
      </c>
      <c r="AP14" s="127"/>
      <c r="AQ14" s="127"/>
      <c r="AR14" s="127"/>
      <c r="AS14" s="127"/>
      <c r="AT14" s="127"/>
      <c r="AU14" s="127"/>
      <c r="AV14" s="127"/>
      <c r="AW14" s="127"/>
      <c r="AY14" s="127"/>
      <c r="AZ14" s="127"/>
      <c r="CC14" s="126">
        <v>11</v>
      </c>
      <c r="CJ14" s="121"/>
      <c r="CK14" s="121"/>
      <c r="CL14" s="121"/>
      <c r="CM14" s="121"/>
    </row>
    <row r="15" spans="1:97" x14ac:dyDescent="0.25">
      <c r="A15">
        <v>12</v>
      </c>
      <c r="B15" s="121">
        <v>6</v>
      </c>
      <c r="C15" s="20">
        <v>4.5493809445334188</v>
      </c>
      <c r="D15" s="20">
        <v>11.268467517219708</v>
      </c>
      <c r="E15" s="20">
        <v>3.3165624014858537</v>
      </c>
      <c r="F15" s="20">
        <v>12.551316727867661</v>
      </c>
      <c r="G15" s="19">
        <v>270.83463942069346</v>
      </c>
      <c r="H15" s="19">
        <v>19.24713188098703</v>
      </c>
      <c r="I15" s="19">
        <v>1.7236973970069606E-4</v>
      </c>
      <c r="J15" s="19">
        <v>-1.2740623235430449E-4</v>
      </c>
      <c r="K15">
        <v>0.22014724526141316</v>
      </c>
      <c r="L15" s="19">
        <v>86.321210094971079</v>
      </c>
      <c r="M15" s="19">
        <v>17.675510085860434</v>
      </c>
      <c r="N15" s="19">
        <v>1.5660073280538914E-4</v>
      </c>
      <c r="O15" s="19">
        <v>-7.0378804659705426E-5</v>
      </c>
      <c r="P15" s="19">
        <v>0.1191050206176552</v>
      </c>
      <c r="Q15" s="19">
        <v>38.335776800269066</v>
      </c>
      <c r="R15" s="19">
        <v>9.4035869800082938</v>
      </c>
      <c r="S15" s="19">
        <v>8.007427458610176E-5</v>
      </c>
      <c r="T15" s="19">
        <v>-3.7312018480506192E-5</v>
      </c>
      <c r="U15" s="19">
        <v>6.4882869699649445E-2</v>
      </c>
      <c r="V15" s="19">
        <v>25.557491913326402</v>
      </c>
      <c r="W15" s="19">
        <v>6.2932409445891251</v>
      </c>
      <c r="X15" s="19">
        <v>5.3043342873266007E-5</v>
      </c>
      <c r="Y15" s="19">
        <v>-2.4930537243432874E-5</v>
      </c>
      <c r="Z15">
        <v>4.5822489945566112E-2</v>
      </c>
      <c r="AP15" s="127"/>
      <c r="AQ15" s="127"/>
      <c r="AR15" s="127"/>
      <c r="AS15" s="127"/>
      <c r="AT15" s="127"/>
      <c r="AU15" s="127"/>
      <c r="AV15" s="127"/>
      <c r="AW15" s="127"/>
      <c r="AY15" s="127"/>
      <c r="AZ15" s="127"/>
      <c r="CC15" s="126">
        <v>12</v>
      </c>
      <c r="CJ15" s="121"/>
      <c r="CK15" s="121"/>
      <c r="CL15" s="121"/>
      <c r="CM15" s="121"/>
    </row>
    <row r="16" spans="1:97" x14ac:dyDescent="0.25">
      <c r="A16">
        <v>13</v>
      </c>
      <c r="B16" s="121">
        <v>6.5</v>
      </c>
      <c r="C16" s="20">
        <v>2.7791264220493628</v>
      </c>
      <c r="D16" s="20">
        <v>9.3653787083903257</v>
      </c>
      <c r="E16" s="20">
        <v>10.091504899312715</v>
      </c>
      <c r="F16" s="20">
        <v>13.135149264546412</v>
      </c>
      <c r="G16" s="19">
        <v>284.27763301347346</v>
      </c>
      <c r="H16" s="19">
        <v>20.806081146614606</v>
      </c>
      <c r="I16" s="19">
        <v>1.8628166765657852E-4</v>
      </c>
      <c r="J16" s="19">
        <v>-1.3208686255157897E-4</v>
      </c>
      <c r="K16">
        <v>0.23630685880029187</v>
      </c>
      <c r="L16" s="19">
        <v>92.022265164735174</v>
      </c>
      <c r="M16" s="19">
        <v>19.148469259682138</v>
      </c>
      <c r="N16" s="19">
        <v>1.6965079387250487E-4</v>
      </c>
      <c r="O16" s="19">
        <v>-7.4946362547331861E-5</v>
      </c>
      <c r="P16" s="19">
        <v>0.1278449436433704</v>
      </c>
      <c r="Q16" s="19">
        <v>41.530424866958136</v>
      </c>
      <c r="R16" s="19">
        <v>10.187219228342318</v>
      </c>
      <c r="S16" s="19">
        <v>8.6747130801610254E-5</v>
      </c>
      <c r="T16" s="19">
        <v>-4.0421353353881709E-5</v>
      </c>
      <c r="U16" s="19">
        <v>6.9547574246289545E-2</v>
      </c>
      <c r="V16" s="19">
        <v>27.687282906103601</v>
      </c>
      <c r="W16" s="19">
        <v>6.8176776899715508</v>
      </c>
      <c r="X16" s="19">
        <v>5.7463621446038159E-5</v>
      </c>
      <c r="Y16" s="19">
        <v>-2.7008082013718949E-5</v>
      </c>
      <c r="Z16">
        <v>4.9051956709489031E-2</v>
      </c>
      <c r="AP16" s="127"/>
      <c r="AQ16" s="127"/>
      <c r="AR16" s="127"/>
      <c r="AS16" s="127"/>
      <c r="AT16" s="127"/>
      <c r="AU16" s="127"/>
      <c r="AV16" s="127"/>
      <c r="AW16" s="127"/>
      <c r="AY16" s="127"/>
      <c r="AZ16" s="127"/>
      <c r="CC16" s="126">
        <v>13</v>
      </c>
      <c r="CJ16" s="121"/>
      <c r="CK16" s="121"/>
      <c r="CL16" s="121"/>
      <c r="CM16" s="121"/>
    </row>
    <row r="17" spans="1:91" x14ac:dyDescent="0.25">
      <c r="A17">
        <v>14</v>
      </c>
      <c r="B17" s="121">
        <v>7</v>
      </c>
      <c r="C17" s="20">
        <v>1.6806773415264191</v>
      </c>
      <c r="D17" s="20">
        <v>7.712940669209857</v>
      </c>
      <c r="E17" s="20">
        <v>17.949351244108627</v>
      </c>
      <c r="F17" s="20">
        <v>12.673014304797936</v>
      </c>
      <c r="G17" s="19">
        <v>296.88087283459009</v>
      </c>
      <c r="H17" s="19">
        <v>22.358305522619844</v>
      </c>
      <c r="I17" s="19">
        <v>2.0012607503953008E-4</v>
      </c>
      <c r="J17" s="19">
        <v>-1.3626808879261626E-4</v>
      </c>
      <c r="K17">
        <v>0.2523053873938344</v>
      </c>
      <c r="L17" s="19">
        <v>100.72438399416485</v>
      </c>
      <c r="M17" s="19">
        <v>20.621428433503841</v>
      </c>
      <c r="N17" s="19">
        <v>1.8270085493962067E-4</v>
      </c>
      <c r="O17" s="19">
        <v>-8.0130891358173192E-5</v>
      </c>
      <c r="P17" s="19">
        <v>0.1365167296434146</v>
      </c>
      <c r="Q17" s="19">
        <v>44.725072933647226</v>
      </c>
      <c r="R17" s="19">
        <v>10.970851476676343</v>
      </c>
      <c r="S17" s="19">
        <v>9.341998701711872E-5</v>
      </c>
      <c r="T17" s="19">
        <v>-4.3530688227257219E-5</v>
      </c>
      <c r="U17" s="19">
        <v>7.4179560009902751E-2</v>
      </c>
      <c r="V17" s="19">
        <v>29.817073898880796</v>
      </c>
      <c r="W17" s="19">
        <v>7.3421144353539773</v>
      </c>
      <c r="X17" s="19">
        <v>6.1883900018810324E-5</v>
      </c>
      <c r="Y17" s="19">
        <v>-2.9085626784005025E-5</v>
      </c>
      <c r="Z17">
        <v>5.2257840916847473E-2</v>
      </c>
      <c r="AP17" s="127"/>
      <c r="AQ17" s="127"/>
      <c r="AR17" s="127"/>
      <c r="AS17" s="127"/>
      <c r="AT17" s="127"/>
      <c r="AU17" s="127"/>
      <c r="AV17" s="127"/>
      <c r="AW17" s="127"/>
      <c r="AY17" s="127"/>
      <c r="AZ17" s="127"/>
      <c r="CC17" s="126">
        <v>14</v>
      </c>
      <c r="CJ17" s="121"/>
      <c r="CK17" s="121"/>
      <c r="CL17" s="121"/>
      <c r="CM17" s="121"/>
    </row>
    <row r="18" spans="1:91" x14ac:dyDescent="0.25">
      <c r="A18">
        <v>15</v>
      </c>
      <c r="B18" s="121">
        <v>7.5</v>
      </c>
      <c r="C18" s="20">
        <v>1.0107306444274524</v>
      </c>
      <c r="D18" s="20">
        <v>6.3118702042644168</v>
      </c>
      <c r="E18" s="20">
        <v>20.114248592711633</v>
      </c>
      <c r="F18" s="20">
        <v>11.475317970407644</v>
      </c>
      <c r="G18" s="19">
        <v>308.71600733814137</v>
      </c>
      <c r="H18" s="19">
        <v>23.903845552162682</v>
      </c>
      <c r="I18" s="19">
        <v>2.1390338831871335E-4</v>
      </c>
      <c r="J18" s="19">
        <v>-1.4000009237558899E-4</v>
      </c>
      <c r="K18">
        <v>0.26815177581335986</v>
      </c>
      <c r="L18" s="19">
        <v>109.41925405387082</v>
      </c>
      <c r="M18" s="19">
        <v>22.094387607325544</v>
      </c>
      <c r="N18" s="19">
        <v>1.9575091600673641E-4</v>
      </c>
      <c r="O18" s="19">
        <v>-8.5347097414718823E-5</v>
      </c>
      <c r="P18" s="19">
        <v>0.14512428105994626</v>
      </c>
      <c r="Q18" s="19">
        <v>47.919721000336317</v>
      </c>
      <c r="R18" s="19">
        <v>11.754483725010367</v>
      </c>
      <c r="S18" s="19">
        <v>1.000928432326272E-4</v>
      </c>
      <c r="T18" s="19">
        <v>-4.6640023100632742E-5</v>
      </c>
      <c r="U18" s="19">
        <v>7.8781358066855947E-2</v>
      </c>
      <c r="V18" s="19">
        <v>31.946864891658006</v>
      </c>
      <c r="W18" s="19">
        <v>7.8665511807364057</v>
      </c>
      <c r="X18" s="19">
        <v>6.6304178591582502E-5</v>
      </c>
      <c r="Y18" s="19">
        <v>-3.1163171554291104E-5</v>
      </c>
      <c r="Z18">
        <v>5.5442251475167452E-2</v>
      </c>
      <c r="AP18" s="127"/>
      <c r="AQ18" s="127"/>
      <c r="AR18" s="127"/>
      <c r="AS18" s="127"/>
      <c r="AT18" s="127"/>
      <c r="AU18" s="127"/>
      <c r="AV18" s="127"/>
      <c r="AW18" s="127"/>
      <c r="AY18" s="127"/>
      <c r="AZ18" s="127"/>
      <c r="CC18" s="126">
        <v>15</v>
      </c>
      <c r="CJ18" s="121"/>
      <c r="CK18" s="121"/>
      <c r="CL18" s="121"/>
      <c r="CM18" s="121"/>
    </row>
    <row r="19" spans="1:91" x14ac:dyDescent="0.25">
      <c r="A19">
        <v>16</v>
      </c>
      <c r="B19" s="121">
        <v>8</v>
      </c>
      <c r="C19" s="20">
        <v>0.60641325785716615</v>
      </c>
      <c r="D19" s="20">
        <v>5.1431789233970866</v>
      </c>
      <c r="E19" s="20">
        <v>16.109804337707192</v>
      </c>
      <c r="F19" s="20">
        <v>9.915675219229442</v>
      </c>
      <c r="G19" s="19">
        <v>319.84701249502922</v>
      </c>
      <c r="H19" s="19">
        <v>25.44274146467972</v>
      </c>
      <c r="I19" s="19">
        <v>2.2761403057987271E-4</v>
      </c>
      <c r="J19" s="19">
        <v>-1.4332723030910922E-4</v>
      </c>
      <c r="K19">
        <v>0.2838540270680262</v>
      </c>
      <c r="L19" s="19">
        <v>118.00175874017357</v>
      </c>
      <c r="M19" s="19">
        <v>23.567346781147247</v>
      </c>
      <c r="N19" s="19">
        <v>2.0880097707385217E-4</v>
      </c>
      <c r="O19" s="19">
        <v>-9.0522281345872745E-5</v>
      </c>
      <c r="P19" s="19">
        <v>0.15367095683958015</v>
      </c>
      <c r="Q19" s="19">
        <v>51.114369067025407</v>
      </c>
      <c r="R19" s="19">
        <v>12.538115973344395</v>
      </c>
      <c r="S19" s="19">
        <v>1.0676569944813572E-4</v>
      </c>
      <c r="T19" s="19">
        <v>-4.9749357974008266E-5</v>
      </c>
      <c r="U19" s="19">
        <v>8.3355080356555505E-2</v>
      </c>
      <c r="V19" s="19">
        <v>34.076655884435205</v>
      </c>
      <c r="W19" s="19">
        <v>8.390987926118834</v>
      </c>
      <c r="X19" s="19">
        <v>7.0724457164354681E-5</v>
      </c>
      <c r="Y19" s="19">
        <v>-3.3240716324577176E-5</v>
      </c>
      <c r="Z19">
        <v>5.8606943607842937E-2</v>
      </c>
      <c r="AP19" s="127"/>
      <c r="AQ19" s="127"/>
      <c r="AR19" s="127"/>
      <c r="AS19" s="127"/>
      <c r="AT19" s="127"/>
      <c r="AU19" s="127"/>
      <c r="AV19" s="127"/>
      <c r="AW19" s="127"/>
      <c r="AY19" s="127"/>
      <c r="AZ19" s="127"/>
      <c r="CC19" s="126">
        <v>16</v>
      </c>
      <c r="CJ19" s="121"/>
      <c r="CK19" s="121"/>
      <c r="CL19" s="121"/>
      <c r="CM19" s="121"/>
    </row>
    <row r="20" spans="1:91" x14ac:dyDescent="0.25">
      <c r="A20">
        <v>17</v>
      </c>
      <c r="B20" s="121">
        <v>8.5</v>
      </c>
      <c r="C20" s="20">
        <v>0.36383648842605876</v>
      </c>
      <c r="D20" s="20">
        <v>4.179335828286149</v>
      </c>
      <c r="E20" s="20">
        <v>10.888808907374576</v>
      </c>
      <c r="F20" s="20">
        <v>8.339778567224883</v>
      </c>
      <c r="G20" s="19">
        <v>330.33117261848764</v>
      </c>
      <c r="H20" s="19">
        <v>26.975033178846001</v>
      </c>
      <c r="I20" s="19">
        <v>2.4125842155777618E-4</v>
      </c>
      <c r="J20" s="19">
        <v>-1.4628881654519534E-4</v>
      </c>
      <c r="K20">
        <v>0.29941936238669181</v>
      </c>
      <c r="L20" s="19">
        <v>126.40695992814044</v>
      </c>
      <c r="M20" s="19">
        <v>25.04030595496895</v>
      </c>
      <c r="N20" s="19">
        <v>2.2185103814096796E-4</v>
      </c>
      <c r="O20" s="19">
        <v>-9.5610533571419227E-5</v>
      </c>
      <c r="P20" s="19">
        <v>0.16215969118728052</v>
      </c>
      <c r="Q20" s="19">
        <v>64.119895478526132</v>
      </c>
      <c r="R20" s="19">
        <v>13.321748221678419</v>
      </c>
      <c r="S20" s="19">
        <v>1.134385556636442E-4</v>
      </c>
      <c r="T20" s="19">
        <v>-5.1730383073569042E-5</v>
      </c>
      <c r="U20" s="19">
        <v>8.7902512792660606E-2</v>
      </c>
      <c r="V20" s="19">
        <v>36.206446877212407</v>
      </c>
      <c r="W20" s="19">
        <v>8.9154246715012615</v>
      </c>
      <c r="X20" s="19">
        <v>7.5144735737126859E-5</v>
      </c>
      <c r="Y20" s="19">
        <v>-3.5318261094863255E-5</v>
      </c>
      <c r="Z20">
        <v>6.1753396356564003E-2</v>
      </c>
      <c r="AP20" s="127"/>
      <c r="AQ20" s="127"/>
      <c r="AR20" s="127"/>
      <c r="AS20" s="127"/>
      <c r="AT20" s="127"/>
      <c r="AU20" s="127"/>
      <c r="AV20" s="127"/>
      <c r="AW20" s="127"/>
      <c r="AY20" s="127"/>
      <c r="AZ20" s="127"/>
      <c r="CC20" s="126">
        <v>17</v>
      </c>
      <c r="CJ20" s="121"/>
      <c r="CK20" s="121"/>
      <c r="CL20" s="121"/>
      <c r="CM20" s="121"/>
    </row>
    <row r="21" spans="1:91" x14ac:dyDescent="0.25">
      <c r="A21">
        <v>18</v>
      </c>
      <c r="B21" s="121">
        <v>9</v>
      </c>
      <c r="C21" s="20">
        <v>0.21867287610841205</v>
      </c>
      <c r="D21" s="20">
        <v>3.3906906315406062</v>
      </c>
      <c r="E21" s="20">
        <v>7.442085634106502</v>
      </c>
      <c r="F21" s="20">
        <v>7.0193662523897649</v>
      </c>
      <c r="G21" s="19">
        <v>340.21991637575536</v>
      </c>
      <c r="H21" s="19">
        <v>28.500760305503832</v>
      </c>
      <c r="I21" s="19">
        <v>2.5483697766829234E-4</v>
      </c>
      <c r="J21" s="19">
        <v>-1.4891978411651048E-4</v>
      </c>
      <c r="K21">
        <v>0.31485434242326743</v>
      </c>
      <c r="L21" s="19">
        <v>134.59597129798539</v>
      </c>
      <c r="M21" s="19">
        <v>26.513265128790653</v>
      </c>
      <c r="N21" s="19">
        <v>2.349010992080837E-4</v>
      </c>
      <c r="O21" s="19">
        <v>-1.0058343303213559E-4</v>
      </c>
      <c r="P21" s="19">
        <v>0.17059307996365608</v>
      </c>
      <c r="Q21" s="19">
        <v>67.706048944350655</v>
      </c>
      <c r="R21" s="19">
        <v>14.105380470012443</v>
      </c>
      <c r="S21" s="19">
        <v>1.2011141187915267E-4</v>
      </c>
      <c r="T21" s="19">
        <v>-5.4541723983068434E-5</v>
      </c>
      <c r="U21" s="19">
        <v>9.2425183640581915E-2</v>
      </c>
      <c r="V21" s="19">
        <v>38.33623786998961</v>
      </c>
      <c r="W21" s="19">
        <v>9.4398614168836854</v>
      </c>
      <c r="X21" s="19">
        <v>7.9565014309898984E-5</v>
      </c>
      <c r="Y21" s="19">
        <v>-3.7395805865149321E-5</v>
      </c>
      <c r="Z21">
        <v>6.4882869699649445E-2</v>
      </c>
      <c r="AP21" s="127"/>
      <c r="AQ21" s="127"/>
      <c r="AR21" s="127"/>
      <c r="AS21" s="127"/>
      <c r="AT21" s="127"/>
      <c r="AU21" s="127"/>
      <c r="AV21" s="127"/>
      <c r="AW21" s="127"/>
      <c r="AY21" s="127"/>
      <c r="AZ21" s="127"/>
      <c r="CC21" s="126">
        <v>18</v>
      </c>
      <c r="CJ21" s="121"/>
      <c r="CK21" s="121"/>
      <c r="CL21" s="121"/>
      <c r="CM21" s="121"/>
    </row>
    <row r="22" spans="1:91" x14ac:dyDescent="0.25">
      <c r="A22">
        <v>19</v>
      </c>
      <c r="B22" s="121">
        <v>9.5</v>
      </c>
      <c r="C22" s="20">
        <v>0.13182007004262689</v>
      </c>
      <c r="D22" s="20">
        <v>2.748889385282423</v>
      </c>
      <c r="E22" s="20">
        <v>5.6161160671101413</v>
      </c>
      <c r="F22" s="20">
        <v>6.1298012073299368</v>
      </c>
      <c r="G22" s="19">
        <v>349.55953210787254</v>
      </c>
      <c r="H22" s="19">
        <v>30.019962150559643</v>
      </c>
      <c r="I22" s="19">
        <v>2.6835011204011649E-4</v>
      </c>
      <c r="J22" s="19">
        <v>-1.5125124847435953E-4</v>
      </c>
      <c r="K22">
        <v>0.3301649614859955</v>
      </c>
      <c r="L22" s="19">
        <v>142.54698721458814</v>
      </c>
      <c r="M22" s="19">
        <v>27.986224302612356</v>
      </c>
      <c r="N22" s="19">
        <v>2.4795116027519947E-4</v>
      </c>
      <c r="O22" s="19">
        <v>-1.0542411861080847E-4</v>
      </c>
      <c r="P22" s="19">
        <v>0.17897344483115221</v>
      </c>
      <c r="Q22" s="19">
        <v>71.146792265677206</v>
      </c>
      <c r="R22" s="19">
        <v>14.889012718346468</v>
      </c>
      <c r="S22" s="19">
        <v>1.2678426809466115E-4</v>
      </c>
      <c r="T22" s="19">
        <v>-5.7293386606639275E-5</v>
      </c>
      <c r="U22" s="19">
        <v>9.6924414688665042E-2</v>
      </c>
      <c r="V22" s="19">
        <v>40.466028862766798</v>
      </c>
      <c r="W22" s="19">
        <v>9.9642981622661164</v>
      </c>
      <c r="X22" s="19">
        <v>8.398529288267119E-5</v>
      </c>
      <c r="Y22" s="19">
        <v>-3.9473350635435393E-5</v>
      </c>
      <c r="Z22">
        <v>6.7996447458530312E-2</v>
      </c>
      <c r="AP22" s="127"/>
      <c r="AQ22" s="127"/>
      <c r="AR22" s="127"/>
      <c r="AS22" s="127"/>
      <c r="AT22" s="127"/>
      <c r="AU22" s="127"/>
      <c r="AV22" s="127"/>
      <c r="AW22" s="127"/>
      <c r="AY22" s="127"/>
      <c r="AZ22" s="127"/>
      <c r="CC22" s="126">
        <v>19</v>
      </c>
      <c r="CJ22" s="121"/>
      <c r="CK22" s="121"/>
      <c r="CL22" s="121"/>
      <c r="CM22" s="121"/>
    </row>
    <row r="23" spans="1:91" x14ac:dyDescent="0.25">
      <c r="A23">
        <v>20</v>
      </c>
      <c r="B23" s="121">
        <v>10</v>
      </c>
      <c r="C23" s="20">
        <v>7.9774834435544395E-2</v>
      </c>
      <c r="D23" s="20">
        <v>2.228474874785185</v>
      </c>
      <c r="E23" s="20">
        <v>4.5017709266379509</v>
      </c>
      <c r="F23" s="20">
        <v>5.7381890974029481</v>
      </c>
      <c r="G23" s="19">
        <v>358.39178212482227</v>
      </c>
      <c r="H23" s="19">
        <v>31.532677717847974</v>
      </c>
      <c r="I23" s="19">
        <v>2.8179823454612947E-4</v>
      </c>
      <c r="J23" s="19">
        <v>-1.5331098851086174E-4</v>
      </c>
      <c r="K23">
        <v>0.34535672245091309</v>
      </c>
      <c r="L23" s="19">
        <v>150.24947372037127</v>
      </c>
      <c r="M23" s="19">
        <v>29.45918347643406</v>
      </c>
      <c r="N23" s="19">
        <v>2.6100122134231526E-4</v>
      </c>
      <c r="O23" s="19">
        <v>-1.1012343430246143E-4</v>
      </c>
      <c r="P23" s="19">
        <v>0.18730288175691334</v>
      </c>
      <c r="Q23" s="19">
        <v>74.446741923019019</v>
      </c>
      <c r="R23" s="19">
        <v>15.672644966680492</v>
      </c>
      <c r="S23" s="19">
        <v>1.3345712431016963E-4</v>
      </c>
      <c r="T23" s="19">
        <v>-5.997681600639401E-5</v>
      </c>
      <c r="U23" s="19">
        <v>0.10140136018334092</v>
      </c>
      <c r="V23" s="19">
        <v>42.595819855543986</v>
      </c>
      <c r="W23" s="19">
        <v>10.48873490764854</v>
      </c>
      <c r="X23" s="19">
        <v>8.8405571455443327E-5</v>
      </c>
      <c r="Y23" s="19">
        <v>-4.1550895405721459E-5</v>
      </c>
      <c r="Z23">
        <v>7.1095070072807506E-2</v>
      </c>
      <c r="AP23" s="127"/>
      <c r="AQ23" s="127"/>
      <c r="AR23" s="127"/>
      <c r="AS23" s="127"/>
      <c r="AT23" s="127"/>
      <c r="AU23" s="127"/>
      <c r="AV23" s="127"/>
      <c r="AW23" s="127"/>
      <c r="AY23" s="127"/>
      <c r="AZ23" s="127"/>
      <c r="CC23" s="126">
        <v>20</v>
      </c>
      <c r="CJ23" s="121"/>
      <c r="CK23" s="121"/>
      <c r="CL23" s="121"/>
      <c r="CM23" s="121"/>
    </row>
    <row r="24" spans="1:91" x14ac:dyDescent="0.25">
      <c r="A24">
        <v>21</v>
      </c>
      <c r="B24" s="121">
        <v>10.5</v>
      </c>
      <c r="C24" s="20">
        <v>4.8499637236258789E-2</v>
      </c>
      <c r="D24" s="20">
        <v>1.807444417018373</v>
      </c>
      <c r="E24" s="20">
        <v>3.6294453077649753</v>
      </c>
      <c r="F24" s="20">
        <v>5.8035421179720466</v>
      </c>
      <c r="G24" s="19">
        <v>366.75443208837254</v>
      </c>
      <c r="H24" s="19">
        <v>33.038945711963947</v>
      </c>
      <c r="I24" s="19">
        <v>2.9518175183441053E-4</v>
      </c>
      <c r="J24" s="19">
        <v>-1.5512385871626179E-4</v>
      </c>
      <c r="K24">
        <v>0.36043469747954388</v>
      </c>
      <c r="L24" s="19">
        <v>157.70034554421372</v>
      </c>
      <c r="M24" s="19">
        <v>30.932142650255763</v>
      </c>
      <c r="N24" s="19">
        <v>2.74051282409431E-4</v>
      </c>
      <c r="O24" s="19">
        <v>-1.1467738035319359E-4</v>
      </c>
      <c r="P24" s="19">
        <v>0.19558329829972665</v>
      </c>
      <c r="Q24" s="19">
        <v>77.611659132561329</v>
      </c>
      <c r="R24" s="19">
        <v>16.456277215014516</v>
      </c>
      <c r="S24" s="19">
        <v>1.4012998052567811E-4</v>
      </c>
      <c r="T24" s="19">
        <v>-6.2587147839253334E-5</v>
      </c>
      <c r="U24" s="19">
        <v>0.10585703689279108</v>
      </c>
      <c r="V24" s="19">
        <v>50.808445557402088</v>
      </c>
      <c r="W24" s="19">
        <v>11.013171653030964</v>
      </c>
      <c r="X24" s="19">
        <v>9.2825850028215465E-5</v>
      </c>
      <c r="Y24" s="19">
        <v>-4.2079102044070698E-5</v>
      </c>
      <c r="Z24">
        <v>7.4179560009902751E-2</v>
      </c>
      <c r="AP24" s="127"/>
      <c r="AQ24" s="127"/>
      <c r="AR24" s="127"/>
      <c r="AS24" s="127"/>
      <c r="AT24" s="127"/>
      <c r="AU24" s="127"/>
      <c r="AV24" s="127"/>
      <c r="AW24" s="127"/>
      <c r="AY24" s="127"/>
      <c r="AZ24" s="127"/>
      <c r="CC24" s="126">
        <v>21</v>
      </c>
      <c r="CJ24" s="121"/>
      <c r="CK24" s="121"/>
      <c r="CL24" s="121"/>
      <c r="CM24" s="121"/>
    </row>
    <row r="25" spans="1:91" x14ac:dyDescent="0.25">
      <c r="A25">
        <v>22</v>
      </c>
      <c r="B25" s="121">
        <v>11</v>
      </c>
      <c r="C25" s="20">
        <v>2.9635187369113847E-2</v>
      </c>
      <c r="D25" s="20">
        <v>1.4672443402791193</v>
      </c>
      <c r="E25" s="20">
        <v>2.9527437045589862</v>
      </c>
      <c r="F25" s="20">
        <v>6.1956102208059454</v>
      </c>
      <c r="G25" s="19">
        <v>374.68170874328888</v>
      </c>
      <c r="H25" s="19">
        <v>34.538804541064458</v>
      </c>
      <c r="I25" s="19">
        <v>3.0850106735890294E-4</v>
      </c>
      <c r="J25" s="19">
        <v>-1.567121434980163E-4</v>
      </c>
      <c r="K25">
        <v>0.37540357805566094</v>
      </c>
      <c r="L25" s="19">
        <v>164.90141642837557</v>
      </c>
      <c r="M25" s="19">
        <v>32.405101824077462</v>
      </c>
      <c r="N25" s="19">
        <v>2.8710134347654674E-4</v>
      </c>
      <c r="O25" s="19">
        <v>-1.1908540418100743E-4</v>
      </c>
      <c r="P25" s="19">
        <v>0.20381644271230509</v>
      </c>
      <c r="Q25" s="19">
        <v>80.647871022421455</v>
      </c>
      <c r="R25" s="19">
        <v>17.239909463348539</v>
      </c>
      <c r="S25" s="19">
        <v>1.4680283674118656E-4</v>
      </c>
      <c r="T25" s="19">
        <v>-6.5122045084309527E-5</v>
      </c>
      <c r="U25" s="19">
        <v>0.11029234762721271</v>
      </c>
      <c r="V25" s="19">
        <v>53.95403156944073</v>
      </c>
      <c r="W25" s="19">
        <v>11.537608398413395</v>
      </c>
      <c r="X25" s="19">
        <v>9.7246128600987671E-5</v>
      </c>
      <c r="Y25" s="19">
        <v>-4.4323224185227601E-5</v>
      </c>
      <c r="Z25">
        <v>7.7250641726295172E-2</v>
      </c>
      <c r="AP25" s="127"/>
      <c r="AQ25" s="127"/>
      <c r="AR25" s="127"/>
      <c r="AS25" s="127"/>
      <c r="AT25" s="127"/>
      <c r="AU25" s="127"/>
      <c r="AV25" s="127"/>
      <c r="AW25" s="127"/>
      <c r="AY25" s="127"/>
      <c r="AZ25" s="127"/>
      <c r="CC25" s="126">
        <v>22</v>
      </c>
      <c r="CJ25" s="121"/>
      <c r="CK25" s="121"/>
      <c r="CL25" s="121"/>
      <c r="CM25" s="121"/>
    </row>
    <row r="26" spans="1:91" x14ac:dyDescent="0.25">
      <c r="A26">
        <v>23</v>
      </c>
      <c r="B26" s="121">
        <v>11.5</v>
      </c>
      <c r="C26" s="20">
        <v>1.8206222364111842E-2</v>
      </c>
      <c r="D26" s="20">
        <v>1.1924875224863591</v>
      </c>
      <c r="E26" s="20">
        <v>2.646442189054254</v>
      </c>
      <c r="F26" s="20">
        <v>6.7326123030640241</v>
      </c>
      <c r="G26" s="19">
        <v>382.20469695847231</v>
      </c>
      <c r="H26" s="19">
        <v>36.032292319638664</v>
      </c>
      <c r="I26" s="19">
        <v>3.2175658140973733E-4</v>
      </c>
      <c r="J26" s="19">
        <v>-1.5809586274042123E-4</v>
      </c>
      <c r="K26">
        <v>0.39026771681396483</v>
      </c>
      <c r="L26" s="19">
        <v>172.05381552677915</v>
      </c>
      <c r="M26" s="19">
        <v>33.878060997899169</v>
      </c>
      <c r="N26" s="19">
        <v>3.0015140454366248E-4</v>
      </c>
      <c r="O26" s="19">
        <v>-1.2335647605325815E-4</v>
      </c>
      <c r="P26" s="19">
        <v>0.21200392697468898</v>
      </c>
      <c r="Q26" s="19">
        <v>83.561904547711379</v>
      </c>
      <c r="R26" s="19">
        <v>18.023541711682569</v>
      </c>
      <c r="S26" s="19">
        <v>1.5347569295669509E-4</v>
      </c>
      <c r="T26" s="19">
        <v>-6.7580901088918488E-5</v>
      </c>
      <c r="U26" s="19">
        <v>0.11470809985834203</v>
      </c>
      <c r="V26" s="19">
        <v>57.039264286871521</v>
      </c>
      <c r="W26" s="19">
        <v>12.062045143795823</v>
      </c>
      <c r="X26" s="19">
        <v>1.0166640717375984E-4</v>
      </c>
      <c r="Y26" s="19">
        <v>-4.6534700189678378E-5</v>
      </c>
      <c r="Z26">
        <v>8.0308957535348169E-2</v>
      </c>
      <c r="AP26" s="127"/>
      <c r="AQ26" s="127"/>
      <c r="AR26" s="127"/>
      <c r="AS26" s="127"/>
      <c r="AT26" s="127"/>
      <c r="AU26" s="127"/>
      <c r="AV26" s="127"/>
      <c r="AW26" s="127"/>
      <c r="AY26" s="127"/>
      <c r="AZ26" s="127"/>
      <c r="CC26" s="126">
        <v>23</v>
      </c>
      <c r="CJ26" s="121"/>
      <c r="CK26" s="121"/>
      <c r="CL26" s="121"/>
      <c r="CM26" s="121"/>
    </row>
    <row r="27" spans="1:91" x14ac:dyDescent="0.25">
      <c r="A27">
        <v>24</v>
      </c>
      <c r="B27" s="121">
        <v>12</v>
      </c>
      <c r="C27" s="20">
        <v>1.124797056358719E-2</v>
      </c>
      <c r="D27" s="20">
        <v>0.97055857021151148</v>
      </c>
      <c r="E27" s="20">
        <v>2.9867785661526822</v>
      </c>
      <c r="F27" s="20">
        <v>7.2282245960984275</v>
      </c>
      <c r="G27" s="19">
        <v>389.35168517707092</v>
      </c>
      <c r="H27" s="19">
        <v>37.519446871247254</v>
      </c>
      <c r="I27" s="19">
        <v>3.3494869114321498E-4</v>
      </c>
      <c r="J27" s="19">
        <v>-1.5929303611098217E-4</v>
      </c>
      <c r="K27">
        <v>0.40503116294028169</v>
      </c>
      <c r="L27" s="19">
        <v>180.87242418205233</v>
      </c>
      <c r="M27" s="19">
        <v>35.351020171720869</v>
      </c>
      <c r="N27" s="19">
        <v>3.1320146561077827E-4</v>
      </c>
      <c r="O27" s="19">
        <v>-1.2760058828333791E-4</v>
      </c>
      <c r="P27" s="19">
        <v>0.22014724526141316</v>
      </c>
      <c r="Q27" s="19">
        <v>86.360257074583842</v>
      </c>
      <c r="R27" s="19">
        <v>18.807173960016588</v>
      </c>
      <c r="S27" s="19">
        <v>1.6014854917220352E-4</v>
      </c>
      <c r="T27" s="19">
        <v>-6.9964287829111507E-5</v>
      </c>
      <c r="U27" s="19">
        <v>0.1191050206176552</v>
      </c>
      <c r="V27" s="19">
        <v>60.058499751909004</v>
      </c>
      <c r="W27" s="19">
        <v>12.58648188917825</v>
      </c>
      <c r="X27" s="19">
        <v>1.0608668574653201E-4</v>
      </c>
      <c r="Y27" s="19">
        <v>-4.8707556509475316E-5</v>
      </c>
      <c r="Z27">
        <v>8.3355080356555505E-2</v>
      </c>
      <c r="AP27" s="127"/>
      <c r="AQ27" s="127"/>
      <c r="AR27" s="127"/>
      <c r="AS27" s="127"/>
      <c r="AT27" s="127"/>
      <c r="AU27" s="127"/>
      <c r="AV27" s="127"/>
      <c r="AW27" s="127"/>
      <c r="AY27" s="127"/>
      <c r="AZ27" s="127"/>
      <c r="CC27" s="126">
        <v>24</v>
      </c>
      <c r="CJ27" s="121"/>
      <c r="CK27" s="121"/>
      <c r="CL27" s="121"/>
      <c r="CM27" s="121"/>
    </row>
    <row r="28" spans="1:91" x14ac:dyDescent="0.25">
      <c r="A28">
        <v>25</v>
      </c>
      <c r="B28" s="121">
        <v>12.5</v>
      </c>
      <c r="C28" s="20">
        <v>6.9893017855030349E-3</v>
      </c>
      <c r="D28" s="20">
        <v>0.7911967105997777</v>
      </c>
      <c r="E28" s="20">
        <v>4.2048553116447591</v>
      </c>
      <c r="F28" s="20">
        <v>7.5333978820482956</v>
      </c>
      <c r="G28" s="19">
        <v>396.14846685884999</v>
      </c>
      <c r="H28" s="19">
        <v>39.000305731232359</v>
      </c>
      <c r="I28" s="19">
        <v>3.4807779061146407E-4</v>
      </c>
      <c r="J28" s="19">
        <v>-1.6031991234435457E-4</v>
      </c>
      <c r="K28">
        <v>0.41969769245096344</v>
      </c>
      <c r="L28" s="19">
        <v>189.73185913510417</v>
      </c>
      <c r="M28" s="19">
        <v>36.823979345542575</v>
      </c>
      <c r="N28" s="19">
        <v>3.2625152667789406E-4</v>
      </c>
      <c r="O28" s="19">
        <v>-1.3182250816479955E-4</v>
      </c>
      <c r="P28" s="19">
        <v>0.22824778892657405</v>
      </c>
      <c r="Q28" s="19">
        <v>89.050983170846138</v>
      </c>
      <c r="R28" s="19">
        <v>19.590806208350617</v>
      </c>
      <c r="S28" s="19">
        <v>1.6682140538771205E-4</v>
      </c>
      <c r="T28" s="19">
        <v>-7.2248954180822506E-5</v>
      </c>
      <c r="U28" s="19">
        <v>0.12348376853347509</v>
      </c>
      <c r="V28" s="19">
        <v>62.891672149332798</v>
      </c>
      <c r="W28" s="19">
        <v>13.110918634560676</v>
      </c>
      <c r="X28" s="19">
        <v>1.1050696431930417E-4</v>
      </c>
      <c r="Y28" s="19">
        <v>-5.0782221866469847E-5</v>
      </c>
      <c r="Z28">
        <v>8.6389524058742853E-2</v>
      </c>
      <c r="AP28" s="127"/>
      <c r="AQ28" s="127"/>
      <c r="AR28" s="127"/>
      <c r="AS28" s="127"/>
      <c r="AT28" s="127"/>
      <c r="AU28" s="127"/>
      <c r="AV28" s="127"/>
      <c r="AW28" s="127"/>
      <c r="AY28" s="127"/>
      <c r="AZ28" s="127"/>
      <c r="CC28" s="126">
        <v>25</v>
      </c>
      <c r="CJ28" s="121"/>
      <c r="CK28" s="121"/>
      <c r="CL28" s="121"/>
      <c r="CM28" s="121"/>
    </row>
    <row r="29" spans="1:91" x14ac:dyDescent="0.25">
      <c r="A29">
        <v>26</v>
      </c>
      <c r="B29" s="121">
        <v>13</v>
      </c>
      <c r="C29" s="20">
        <v>4.3685187415609264E-3</v>
      </c>
      <c r="D29" s="20">
        <v>0.64610218776533646</v>
      </c>
      <c r="E29" s="20">
        <v>6.2737774520790017</v>
      </c>
      <c r="F29" s="20">
        <v>7.561559420509198</v>
      </c>
      <c r="G29" s="19">
        <v>402.61860425913937</v>
      </c>
      <c r="H29" s="19">
        <v>40.474906149397157</v>
      </c>
      <c r="I29" s="19">
        <v>3.6114427079175505E-4</v>
      </c>
      <c r="J29" s="19">
        <v>-1.6119116869578811E-4</v>
      </c>
      <c r="K29">
        <v>0.43427083433110497</v>
      </c>
      <c r="L29" s="19">
        <v>198.5847577607806</v>
      </c>
      <c r="M29" s="19">
        <v>38.296938519364275</v>
      </c>
      <c r="N29" s="19">
        <v>3.3930158774500975E-4</v>
      </c>
      <c r="O29" s="19">
        <v>-1.3600666056622218E-4</v>
      </c>
      <c r="P29" s="19">
        <v>0.23630685880029187</v>
      </c>
      <c r="Q29" s="19">
        <v>92.065717934374945</v>
      </c>
      <c r="R29" s="19">
        <v>20.374438456684636</v>
      </c>
      <c r="S29" s="19">
        <v>1.7349426160322051E-4</v>
      </c>
      <c r="T29" s="19">
        <v>-7.4513076311018549E-5</v>
      </c>
      <c r="U29" s="19">
        <v>0.1278449436433704</v>
      </c>
      <c r="V29" s="19">
        <v>65.331649934521877</v>
      </c>
      <c r="W29" s="19">
        <v>13.635355379943102</v>
      </c>
      <c r="X29" s="19">
        <v>1.1492724289207632E-4</v>
      </c>
      <c r="Y29" s="19">
        <v>-5.2673400668097315E-5</v>
      </c>
      <c r="Z29">
        <v>8.9412751925608533E-2</v>
      </c>
      <c r="AP29" s="127"/>
      <c r="AQ29" s="127"/>
      <c r="AR29" s="127"/>
      <c r="AS29" s="127"/>
      <c r="AT29" s="127"/>
      <c r="AU29" s="127"/>
      <c r="AV29" s="127"/>
      <c r="AW29" s="127"/>
      <c r="AY29" s="127"/>
      <c r="AZ29" s="127"/>
      <c r="CC29" s="126">
        <v>26</v>
      </c>
      <c r="CJ29" s="121"/>
      <c r="CK29" s="121"/>
      <c r="CL29" s="121"/>
      <c r="CM29" s="121"/>
    </row>
    <row r="30" spans="1:91" x14ac:dyDescent="0.25">
      <c r="A30">
        <v>27</v>
      </c>
      <c r="B30" s="121">
        <v>13.5</v>
      </c>
      <c r="C30" s="20">
        <v>2.746563737673938E-3</v>
      </c>
      <c r="D30" s="20">
        <v>0.52858645474948052</v>
      </c>
      <c r="E30" s="20">
        <v>8.7691853760975125</v>
      </c>
      <c r="F30" s="20">
        <v>7.293427684636268</v>
      </c>
      <c r="G30" s="19">
        <v>408.78365987166495</v>
      </c>
      <c r="H30" s="19">
        <v>41.94328509265614</v>
      </c>
      <c r="I30" s="19">
        <v>3.7414851961549948E-4</v>
      </c>
      <c r="J30" s="19">
        <v>-1.6192008490619841E-4</v>
      </c>
      <c r="K30">
        <v>0.44875389327848514</v>
      </c>
      <c r="L30" s="19">
        <v>207.39468837114981</v>
      </c>
      <c r="M30" s="19">
        <v>39.769897693185982</v>
      </c>
      <c r="N30" s="19">
        <v>3.523516488121256E-4</v>
      </c>
      <c r="O30" s="19">
        <v>-1.4014144214135411E-4</v>
      </c>
      <c r="P30" s="19">
        <v>0.24432567538506519</v>
      </c>
      <c r="Q30" s="19">
        <v>96.411589126841392</v>
      </c>
      <c r="R30" s="19">
        <v>21.158070705018666</v>
      </c>
      <c r="S30" s="19">
        <v>1.8016711781872904E-4</v>
      </c>
      <c r="T30" s="19">
        <v>-7.7082498089570936E-5</v>
      </c>
      <c r="U30" s="19">
        <v>0.13218909545876681</v>
      </c>
      <c r="V30" s="19">
        <v>67.706048944350655</v>
      </c>
      <c r="W30" s="19">
        <v>14.159792125325529</v>
      </c>
      <c r="X30" s="19">
        <v>1.193475214648485E-4</v>
      </c>
      <c r="Y30" s="19">
        <v>-5.4541723983068434E-5</v>
      </c>
      <c r="Z30">
        <v>9.2425183640581915E-2</v>
      </c>
      <c r="AP30" s="127"/>
      <c r="AQ30" s="127"/>
      <c r="AR30" s="127"/>
      <c r="AS30" s="127"/>
      <c r="AT30" s="127"/>
      <c r="AU30" s="127"/>
      <c r="AV30" s="127"/>
      <c r="AW30" s="127"/>
      <c r="AY30" s="127"/>
      <c r="AZ30" s="127"/>
      <c r="CC30" s="126">
        <v>27</v>
      </c>
      <c r="CJ30" s="121"/>
      <c r="CK30" s="121"/>
      <c r="CL30" s="121"/>
      <c r="CM30" s="121"/>
    </row>
    <row r="31" spans="1:91" x14ac:dyDescent="0.25">
      <c r="A31">
        <v>28</v>
      </c>
      <c r="B31" s="121">
        <v>14</v>
      </c>
      <c r="C31" s="20">
        <v>1.7369936243790973E-3</v>
      </c>
      <c r="D31" s="20">
        <v>0.43327234374996659</v>
      </c>
      <c r="E31" s="20">
        <v>10.96994348387549</v>
      </c>
      <c r="F31" s="20">
        <v>6.7651322128130857</v>
      </c>
      <c r="G31" s="19">
        <v>414.66340002440239</v>
      </c>
      <c r="H31" s="19">
        <v>43.405479247656992</v>
      </c>
      <c r="I31" s="19">
        <v>3.870909219969324E-4</v>
      </c>
      <c r="J31" s="19">
        <v>-1.6251869532304657E-4</v>
      </c>
      <c r="K31">
        <v>0.46314996963207666</v>
      </c>
      <c r="L31" s="19">
        <v>216.13371307595855</v>
      </c>
      <c r="M31" s="19">
        <v>41.242856867007681</v>
      </c>
      <c r="N31" s="19">
        <v>3.6540170987924133E-4</v>
      </c>
      <c r="O31" s="19">
        <v>-1.4421830577820201E-4</v>
      </c>
      <c r="P31" s="19">
        <v>0.2523053873938344</v>
      </c>
      <c r="Q31" s="19">
        <v>100.77265264281812</v>
      </c>
      <c r="R31" s="19">
        <v>21.941702953352685</v>
      </c>
      <c r="S31" s="19">
        <v>1.8683997403423744E-4</v>
      </c>
      <c r="T31" s="19">
        <v>-7.9672532012200562E-5</v>
      </c>
      <c r="U31" s="19">
        <v>0.1365167296434146</v>
      </c>
      <c r="V31" s="19">
        <v>70.015780123704943</v>
      </c>
      <c r="W31" s="19">
        <v>14.684228870707955</v>
      </c>
      <c r="X31" s="19">
        <v>1.2376780003762065E-4</v>
      </c>
      <c r="Y31" s="19">
        <v>-5.6383414325651206E-5</v>
      </c>
      <c r="Z31">
        <v>9.5427201092841155E-2</v>
      </c>
      <c r="AP31" s="127"/>
      <c r="AQ31" s="127"/>
      <c r="AR31" s="127"/>
      <c r="AS31" s="127"/>
      <c r="AT31" s="127"/>
      <c r="AU31" s="127"/>
      <c r="AV31" s="127"/>
      <c r="AW31" s="127"/>
      <c r="AY31" s="127"/>
      <c r="AZ31" s="127"/>
      <c r="CC31" s="126">
        <v>28</v>
      </c>
      <c r="CJ31" s="121"/>
      <c r="CK31" s="121"/>
      <c r="CL31" s="121"/>
      <c r="CM31" s="121"/>
    </row>
    <row r="32" spans="1:91" x14ac:dyDescent="0.25">
      <c r="A32">
        <v>29</v>
      </c>
      <c r="B32" s="121">
        <v>14.5</v>
      </c>
      <c r="C32" s="20">
        <v>1.1049569374177457E-3</v>
      </c>
      <c r="D32" s="20">
        <v>0.35584304165053393</v>
      </c>
      <c r="E32" s="20">
        <v>12.181108218103251</v>
      </c>
      <c r="F32" s="20">
        <v>6.0473725192963688</v>
      </c>
      <c r="G32" s="19">
        <v>420.27597442412679</v>
      </c>
      <c r="H32" s="19">
        <v>44.861525023372138</v>
      </c>
      <c r="I32" s="19">
        <v>3.9997185986145921E-4</v>
      </c>
      <c r="J32" s="19">
        <v>-1.6299792224577677E-4</v>
      </c>
      <c r="K32">
        <v>0.47746197694040715</v>
      </c>
      <c r="L32" s="19">
        <v>224.78052957031667</v>
      </c>
      <c r="M32" s="19">
        <v>42.715816040829388</v>
      </c>
      <c r="N32" s="19">
        <v>3.7845177094635707E-4</v>
      </c>
      <c r="O32" s="19">
        <v>-1.4823106623160562E-4</v>
      </c>
      <c r="P32" s="19">
        <v>0.2602470789652187</v>
      </c>
      <c r="Q32" s="19">
        <v>105.13063719961413</v>
      </c>
      <c r="R32" s="19">
        <v>22.725335201686715</v>
      </c>
      <c r="S32" s="19">
        <v>1.9351283024974597E-4</v>
      </c>
      <c r="T32" s="19">
        <v>-8.2270575942942274E-5</v>
      </c>
      <c r="U32" s="19">
        <v>0.14082831358291747</v>
      </c>
      <c r="V32" s="19">
        <v>72.262151590428743</v>
      </c>
      <c r="W32" s="19">
        <v>15.208665616090387</v>
      </c>
      <c r="X32" s="19">
        <v>1.2818807861039285E-4</v>
      </c>
      <c r="Y32" s="19">
        <v>-5.8195747618143677E-5</v>
      </c>
      <c r="Z32">
        <v>9.8419153236527196E-2</v>
      </c>
      <c r="AP32" s="127"/>
      <c r="AQ32" s="127"/>
      <c r="AR32" s="127"/>
      <c r="AS32" s="127"/>
      <c r="AT32" s="127"/>
      <c r="AU32" s="127"/>
      <c r="AV32" s="127"/>
      <c r="AW32" s="127"/>
      <c r="AY32" s="127"/>
      <c r="AZ32" s="127"/>
      <c r="CC32" s="126">
        <v>29</v>
      </c>
      <c r="CJ32" s="121"/>
      <c r="CK32" s="121"/>
      <c r="CL32" s="121"/>
      <c r="CM32" s="121"/>
    </row>
    <row r="33" spans="1:91" x14ac:dyDescent="0.25">
      <c r="A33">
        <v>30</v>
      </c>
      <c r="B33" s="121">
        <v>15</v>
      </c>
      <c r="C33" s="20">
        <v>7.0697991766523974E-4</v>
      </c>
      <c r="D33" s="20">
        <v>0.29283524223680368</v>
      </c>
      <c r="E33" s="20">
        <v>12.061529535115145</v>
      </c>
      <c r="F33" s="20">
        <v>5.2234866364913293</v>
      </c>
      <c r="G33" s="19">
        <v>425.63807486945291</v>
      </c>
      <c r="H33" s="19">
        <v>46.311458553664487</v>
      </c>
      <c r="I33" s="19">
        <v>4.1279171217371472E-4</v>
      </c>
      <c r="J33" s="19">
        <v>-1.6336769308837712E-4</v>
      </c>
      <c r="K33">
        <v>0.4916926575327728</v>
      </c>
      <c r="L33" s="19">
        <v>233.31904317587828</v>
      </c>
      <c r="M33" s="19">
        <v>44.188775214651088</v>
      </c>
      <c r="N33" s="19">
        <v>3.9150183201347281E-4</v>
      </c>
      <c r="O33" s="19">
        <v>-1.521753695509831E-4</v>
      </c>
      <c r="P33" s="19">
        <v>0.26815177581335986</v>
      </c>
      <c r="Q33" s="19">
        <v>109.47108816826491</v>
      </c>
      <c r="R33" s="19">
        <v>23.508967450020734</v>
      </c>
      <c r="S33" s="19">
        <v>2.001856864652544E-4</v>
      </c>
      <c r="T33" s="19">
        <v>-8.4866573521296559E-5</v>
      </c>
      <c r="U33" s="19">
        <v>0.14512428105994626</v>
      </c>
      <c r="V33" s="19">
        <v>74.446741923019019</v>
      </c>
      <c r="W33" s="19">
        <v>15.733102361472811</v>
      </c>
      <c r="X33" s="19">
        <v>1.32608357183165E-4</v>
      </c>
      <c r="Y33" s="19">
        <v>-5.997681600639401E-5</v>
      </c>
      <c r="Z33">
        <v>0.10140136018334092</v>
      </c>
      <c r="AP33" s="127"/>
      <c r="AQ33" s="127"/>
      <c r="AR33" s="127"/>
      <c r="AS33" s="127"/>
      <c r="AT33" s="127"/>
      <c r="AU33" s="127"/>
      <c r="AV33" s="127"/>
      <c r="AW33" s="127"/>
      <c r="AY33" s="127"/>
      <c r="AZ33" s="127"/>
      <c r="CC33" s="126">
        <v>30</v>
      </c>
      <c r="CJ33" s="121"/>
      <c r="CK33" s="121"/>
      <c r="CL33" s="121"/>
      <c r="CM33" s="121"/>
    </row>
    <row r="34" spans="1:91" x14ac:dyDescent="0.25">
      <c r="A34">
        <v>31</v>
      </c>
      <c r="B34" s="121">
        <v>15.5</v>
      </c>
      <c r="C34" s="20">
        <v>4.5493799292717623E-4</v>
      </c>
      <c r="D34" s="20">
        <v>0.24147056915994058</v>
      </c>
      <c r="E34" s="20">
        <v>10.738564313742675</v>
      </c>
      <c r="F34" s="20">
        <v>4.3719004119118967</v>
      </c>
      <c r="G34" s="19">
        <v>430.76507587222386</v>
      </c>
      <c r="H34" s="19">
        <v>47.75531569982315</v>
      </c>
      <c r="I34" s="19">
        <v>4.2555085496529053E-4</v>
      </c>
      <c r="J34" s="19">
        <v>-1.6363704355616966E-4</v>
      </c>
      <c r="K34">
        <v>0.50584459638631885</v>
      </c>
      <c r="L34" s="19">
        <v>241.73726165858633</v>
      </c>
      <c r="M34" s="19">
        <v>45.661734388472794</v>
      </c>
      <c r="N34" s="19">
        <v>4.0455189308058866E-4</v>
      </c>
      <c r="O34" s="19">
        <v>-1.5604828492788884E-4</v>
      </c>
      <c r="P34" s="19">
        <v>0.27602045051188023</v>
      </c>
      <c r="Q34" s="19">
        <v>113.78259731024866</v>
      </c>
      <c r="R34" s="19">
        <v>24.292599698354763</v>
      </c>
      <c r="S34" s="19">
        <v>2.0685854268076293E-4</v>
      </c>
      <c r="T34" s="19">
        <v>-8.7452506581199327E-5</v>
      </c>
      <c r="U34" s="19">
        <v>0.14940503620281792</v>
      </c>
      <c r="V34" s="19">
        <v>76.571306692479908</v>
      </c>
      <c r="W34" s="19">
        <v>16.257539106855237</v>
      </c>
      <c r="X34" s="19">
        <v>1.3702863575593716E-4</v>
      </c>
      <c r="Y34" s="19">
        <v>-6.1725345453441294E-5</v>
      </c>
      <c r="Z34">
        <v>0.10437411666975166</v>
      </c>
      <c r="AP34" s="127"/>
      <c r="AQ34" s="127"/>
      <c r="AR34" s="127"/>
      <c r="AS34" s="127"/>
      <c r="AT34" s="127"/>
      <c r="AU34" s="127"/>
      <c r="AV34" s="127"/>
      <c r="AW34" s="127"/>
      <c r="AY34" s="127"/>
      <c r="AZ34" s="127"/>
      <c r="CC34" s="126">
        <v>31</v>
      </c>
      <c r="CJ34" s="121"/>
      <c r="CK34" s="121"/>
      <c r="CL34" s="121"/>
      <c r="CM34" s="121"/>
    </row>
    <row r="35" spans="1:91" x14ac:dyDescent="0.25">
      <c r="A35">
        <v>32</v>
      </c>
      <c r="B35" s="121">
        <v>16</v>
      </c>
      <c r="C35" s="20">
        <v>2.9440430919613192E-4</v>
      </c>
      <c r="D35" s="20">
        <v>0.19951924497107545</v>
      </c>
      <c r="E35" s="20">
        <v>8.6732886194945049</v>
      </c>
      <c r="F35" s="20">
        <v>3.5553064107499082</v>
      </c>
      <c r="G35" s="19">
        <v>435.67115952574289</v>
      </c>
      <c r="H35" s="19">
        <v>49.193132053072347</v>
      </c>
      <c r="I35" s="19">
        <v>4.3824966136217432E-4</v>
      </c>
      <c r="J35" s="19">
        <v>-1.6381420870438548E-4</v>
      </c>
      <c r="K35">
        <v>0.51992023352817518</v>
      </c>
      <c r="L35" s="19">
        <v>250.02643429759047</v>
      </c>
      <c r="M35" s="19">
        <v>47.134693562294494</v>
      </c>
      <c r="N35" s="19">
        <v>4.1760195414770434E-4</v>
      </c>
      <c r="O35" s="19">
        <v>-1.5984798881727046E-4</v>
      </c>
      <c r="P35" s="19">
        <v>0.2838540270680262</v>
      </c>
      <c r="Q35" s="19">
        <v>118.05619853201691</v>
      </c>
      <c r="R35" s="19">
        <v>25.07623194668879</v>
      </c>
      <c r="S35" s="19">
        <v>2.1353139889627144E-4</v>
      </c>
      <c r="T35" s="19">
        <v>-9.0021996279268608E-5</v>
      </c>
      <c r="U35" s="19">
        <v>0.15367095683958015</v>
      </c>
      <c r="V35" s="19">
        <v>78.637709478190601</v>
      </c>
      <c r="W35" s="19">
        <v>16.781975852237668</v>
      </c>
      <c r="X35" s="19">
        <v>1.4144891432870936E-4</v>
      </c>
      <c r="Y35" s="19">
        <v>-6.3440554617221428E-5</v>
      </c>
      <c r="Z35">
        <v>0.10733769501047701</v>
      </c>
      <c r="AP35" s="127"/>
      <c r="AQ35" s="127"/>
      <c r="AR35" s="127"/>
      <c r="AS35" s="127"/>
      <c r="AT35" s="127"/>
      <c r="AU35" s="127"/>
      <c r="AV35" s="127"/>
      <c r="AW35" s="127"/>
      <c r="AY35" s="127"/>
      <c r="AZ35" s="127"/>
      <c r="CC35" s="126">
        <v>32</v>
      </c>
      <c r="CJ35" s="121"/>
      <c r="CK35" s="121"/>
      <c r="CL35" s="121"/>
      <c r="CM35" s="121"/>
    </row>
    <row r="36" spans="1:91" x14ac:dyDescent="0.25">
      <c r="A36">
        <v>33</v>
      </c>
      <c r="B36" s="121">
        <v>16.5</v>
      </c>
      <c r="C36" s="20">
        <v>1.9157657203389543E-4</v>
      </c>
      <c r="D36" s="20">
        <v>0.16519043047129084</v>
      </c>
      <c r="E36" s="20">
        <v>6.4094457194503542</v>
      </c>
      <c r="F36" s="20">
        <v>2.8163799556415423</v>
      </c>
      <c r="G36" s="19">
        <v>440.36942662157412</v>
      </c>
      <c r="H36" s="19">
        <v>50.624942937052992</v>
      </c>
      <c r="I36" s="19">
        <v>4.5088850161187219E-4</v>
      </c>
      <c r="J36" s="19">
        <v>-1.639067034705481E-4</v>
      </c>
      <c r="K36">
        <v>0.53392187516988687</v>
      </c>
      <c r="L36" s="19">
        <v>258.18037726548704</v>
      </c>
      <c r="M36" s="19">
        <v>48.607652736116194</v>
      </c>
      <c r="N36" s="19">
        <v>4.3065201521482008E-4</v>
      </c>
      <c r="O36" s="19">
        <v>-1.635735191531394E-4</v>
      </c>
      <c r="P36" s="19">
        <v>0.29165338491017079</v>
      </c>
      <c r="Q36" s="19">
        <v>122.28489086736485</v>
      </c>
      <c r="R36" s="19">
        <v>25.859864195022809</v>
      </c>
      <c r="S36" s="19">
        <v>2.2020425511177987E-4</v>
      </c>
      <c r="T36" s="19">
        <v>-9.2569987632056596E-5</v>
      </c>
      <c r="U36" s="19">
        <v>0.15792239736255001</v>
      </c>
      <c r="V36" s="19">
        <v>80.647871022421455</v>
      </c>
      <c r="W36" s="19">
        <v>17.306412597620088</v>
      </c>
      <c r="X36" s="19">
        <v>1.4586919290148146E-4</v>
      </c>
      <c r="Y36" s="19">
        <v>-6.5122045084309527E-5</v>
      </c>
      <c r="Z36">
        <v>0.11029234762721271</v>
      </c>
      <c r="AP36" s="127"/>
      <c r="AQ36" s="127"/>
      <c r="AR36" s="127"/>
      <c r="AS36" s="127"/>
      <c r="AT36" s="127"/>
      <c r="AU36" s="127"/>
      <c r="AV36" s="127"/>
      <c r="AW36" s="127"/>
      <c r="AY36" s="127"/>
      <c r="AZ36" s="127"/>
      <c r="CC36" s="126">
        <v>33</v>
      </c>
      <c r="CJ36" s="121"/>
      <c r="CK36" s="121"/>
      <c r="CL36" s="121"/>
      <c r="CM36" s="121"/>
    </row>
    <row r="37" spans="1:91" x14ac:dyDescent="0.25">
      <c r="A37">
        <v>34</v>
      </c>
      <c r="B37" s="121">
        <v>17</v>
      </c>
      <c r="C37" s="20">
        <v>1.2534399286555335E-4</v>
      </c>
      <c r="D37" s="20">
        <v>0.13704434234827553</v>
      </c>
      <c r="E37" s="20">
        <v>4.3679208045867854</v>
      </c>
      <c r="F37" s="20">
        <v>2.1784022795305922</v>
      </c>
      <c r="G37" s="19">
        <v>444.87199573318298</v>
      </c>
      <c r="H37" s="19">
        <v>52.050783410277646</v>
      </c>
      <c r="I37" s="19">
        <v>4.6346774311025227E-4</v>
      </c>
      <c r="J37" s="19">
        <v>-1.6392139404159382E-4</v>
      </c>
      <c r="K37">
        <v>0.54785170373830594</v>
      </c>
      <c r="L37" s="19">
        <v>266.19494217694677</v>
      </c>
      <c r="M37" s="19">
        <v>50.0806119099379</v>
      </c>
      <c r="N37" s="19">
        <v>4.4370207628193593E-4</v>
      </c>
      <c r="O37" s="19">
        <v>-1.6722458319296573E-4</v>
      </c>
      <c r="P37" s="19">
        <v>0.29941936238669181</v>
      </c>
      <c r="Q37" s="19">
        <v>126.46347642609726</v>
      </c>
      <c r="R37" s="19">
        <v>26.643496443356838</v>
      </c>
      <c r="S37" s="19">
        <v>2.268771113272884E-4</v>
      </c>
      <c r="T37" s="19">
        <v>-9.5077526890838344E-5</v>
      </c>
      <c r="U37" s="19">
        <v>0.16215969118728052</v>
      </c>
      <c r="V37" s="19">
        <v>82.603731889906769</v>
      </c>
      <c r="W37" s="19">
        <v>17.830849343002523</v>
      </c>
      <c r="X37" s="19">
        <v>1.5028947147425372E-4</v>
      </c>
      <c r="Y37" s="19">
        <v>-6.6769715589459498E-5</v>
      </c>
      <c r="Z37">
        <v>0.11323830922407199</v>
      </c>
      <c r="AP37" s="127"/>
      <c r="AQ37" s="127"/>
      <c r="AR37" s="127"/>
      <c r="AS37" s="127"/>
      <c r="AT37" s="127"/>
      <c r="AU37" s="127"/>
      <c r="AV37" s="127"/>
      <c r="AW37" s="127"/>
      <c r="AY37" s="127"/>
      <c r="AZ37" s="127"/>
      <c r="CC37" s="126">
        <v>34</v>
      </c>
      <c r="CJ37" s="121"/>
      <c r="CK37" s="121"/>
      <c r="CL37" s="121"/>
      <c r="CM37" s="121"/>
    </row>
    <row r="38" spans="1:91" x14ac:dyDescent="0.25">
      <c r="A38">
        <v>35</v>
      </c>
      <c r="B38" s="121">
        <v>17.5</v>
      </c>
      <c r="C38" s="20">
        <v>8.2448393330531008E-5</v>
      </c>
      <c r="D38" s="20">
        <v>0.11392199564721488</v>
      </c>
      <c r="E38" s="20">
        <v>2.7647562266488954</v>
      </c>
      <c r="F38" s="20">
        <v>1.6487503246071948</v>
      </c>
      <c r="G38" s="19">
        <v>449.19009174533818</v>
      </c>
      <c r="H38" s="19">
        <v>53.470688268558519</v>
      </c>
      <c r="I38" s="19">
        <v>4.7598775042807719E-4</v>
      </c>
      <c r="J38" s="19">
        <v>-1.6386456122222248E-4</v>
      </c>
      <c r="K38">
        <v>0.561711786940713</v>
      </c>
      <c r="L38" s="19">
        <v>274.06759540692309</v>
      </c>
      <c r="M38" s="19">
        <v>51.553571083759607</v>
      </c>
      <c r="N38" s="19">
        <v>4.5675213734905167E-4</v>
      </c>
      <c r="O38" s="19">
        <v>-1.7080140666410218E-4</v>
      </c>
      <c r="P38" s="19">
        <v>0.30715275985485724</v>
      </c>
      <c r="Q38" s="19">
        <v>130.5878287707566</v>
      </c>
      <c r="R38" s="19">
        <v>27.427128691690861</v>
      </c>
      <c r="S38" s="19">
        <v>2.3354996754279685E-4</v>
      </c>
      <c r="T38" s="19">
        <v>-9.7538753934343111E-5</v>
      </c>
      <c r="U38" s="19">
        <v>0.16638315287361161</v>
      </c>
      <c r="V38" s="19">
        <v>84.507225223904058</v>
      </c>
      <c r="W38" s="19">
        <v>18.35528608838494</v>
      </c>
      <c r="X38" s="19">
        <v>1.5470975004702579E-4</v>
      </c>
      <c r="Y38" s="19">
        <v>-6.8383694703741364E-5</v>
      </c>
      <c r="Z38">
        <v>0.11617579866749626</v>
      </c>
      <c r="AP38" s="127"/>
      <c r="AQ38" s="127"/>
      <c r="AR38" s="127"/>
      <c r="AS38" s="127"/>
      <c r="AT38" s="127"/>
      <c r="AU38" s="127"/>
      <c r="AV38" s="127"/>
      <c r="AW38" s="127"/>
      <c r="AY38" s="127"/>
      <c r="AZ38" s="127"/>
      <c r="CC38" s="126">
        <f t="shared" ref="CC38:CC67" si="5">CC37+1</f>
        <v>35</v>
      </c>
      <c r="CJ38" s="121"/>
      <c r="CK38" s="121"/>
      <c r="CL38" s="121"/>
      <c r="CM38" s="121"/>
    </row>
    <row r="39" spans="1:91" x14ac:dyDescent="0.25">
      <c r="A39">
        <v>36</v>
      </c>
      <c r="B39" s="121">
        <v>18</v>
      </c>
      <c r="C39" s="20">
        <v>5.4516982097750622E-5</v>
      </c>
      <c r="D39" s="20">
        <v>9.4889120018841158E-2</v>
      </c>
      <c r="E39" s="20">
        <v>1.6360023538969704</v>
      </c>
      <c r="F39" s="20">
        <v>1.2234729111923055</v>
      </c>
      <c r="G39" s="19">
        <v>453.33412510552938</v>
      </c>
      <c r="H39" s="19">
        <v>54.884692047409274</v>
      </c>
      <c r="I39" s="19">
        <v>4.8844888533725896E-4</v>
      </c>
      <c r="J39" s="19">
        <v>-1.6374195680691971E-4</v>
      </c>
      <c r="K39">
        <v>0.57550408598067138</v>
      </c>
      <c r="L39" s="19">
        <v>282.0350144267839</v>
      </c>
      <c r="M39" s="19">
        <v>53.026530257581307</v>
      </c>
      <c r="N39" s="19">
        <v>4.6980219841616741E-4</v>
      </c>
      <c r="O39" s="19">
        <v>-1.742476953857332E-4</v>
      </c>
      <c r="P39" s="19">
        <v>0.31485434242326743</v>
      </c>
      <c r="Q39" s="19">
        <v>134.65451928931046</v>
      </c>
      <c r="R39" s="19">
        <v>28.210760940024887</v>
      </c>
      <c r="S39" s="19">
        <v>2.4022282375830533E-4</v>
      </c>
      <c r="T39" s="19">
        <v>-9.9974032566511664E-5</v>
      </c>
      <c r="U39" s="19">
        <v>0.17059307996365608</v>
      </c>
      <c r="V39" s="19">
        <v>86.360257074583842</v>
      </c>
      <c r="W39" s="19">
        <v>18.879722833767371</v>
      </c>
      <c r="X39" s="19">
        <v>1.5913002861979797E-4</v>
      </c>
      <c r="Y39" s="19">
        <v>-6.9964287829111507E-5</v>
      </c>
      <c r="Z39">
        <v>0.1191050206176552</v>
      </c>
      <c r="AP39" s="127"/>
      <c r="AQ39" s="127"/>
      <c r="AR39" s="127"/>
      <c r="AS39" s="127"/>
      <c r="AT39" s="127"/>
      <c r="AU39" s="127"/>
      <c r="AV39" s="127"/>
      <c r="AW39" s="127"/>
      <c r="AY39" s="127"/>
      <c r="AZ39" s="127"/>
      <c r="CC39" s="126">
        <f t="shared" si="5"/>
        <v>36</v>
      </c>
      <c r="CJ39" s="121"/>
      <c r="CK39" s="121"/>
      <c r="CL39" s="121"/>
      <c r="CM39" s="121"/>
    </row>
    <row r="40" spans="1:91" x14ac:dyDescent="0.25">
      <c r="A40">
        <v>37</v>
      </c>
      <c r="B40" s="121">
        <v>18.5</v>
      </c>
      <c r="C40" s="20">
        <v>3.6233062091893961E-5</v>
      </c>
      <c r="D40" s="20">
        <v>7.9191424341782043E-2</v>
      </c>
      <c r="E40" s="20">
        <v>0.91034851380487358</v>
      </c>
      <c r="F40" s="20">
        <v>0.89172360756128721</v>
      </c>
      <c r="G40" s="19">
        <v>457.31376290151894</v>
      </c>
      <c r="H40" s="19">
        <v>56.292829024420975</v>
      </c>
      <c r="I40" s="19">
        <v>5.0085150683681294E-4</v>
      </c>
      <c r="J40" s="19">
        <v>-1.6355885381925231E-4</v>
      </c>
      <c r="K40">
        <v>0.58923046302381299</v>
      </c>
      <c r="L40" s="19">
        <v>290.79638757934225</v>
      </c>
      <c r="M40" s="19">
        <v>54.499489431403006</v>
      </c>
      <c r="N40" s="19">
        <v>4.8285225948328315E-4</v>
      </c>
      <c r="O40" s="19">
        <v>-1.7742858236128109E-4</v>
      </c>
      <c r="P40" s="19">
        <v>0.32252484239958906</v>
      </c>
      <c r="Q40" s="19">
        <v>138.66131808802189</v>
      </c>
      <c r="R40" s="19">
        <v>28.994393188358906</v>
      </c>
      <c r="S40" s="19">
        <v>2.4689567997381376E-4</v>
      </c>
      <c r="T40" s="19">
        <v>-1.023810048903171E-4</v>
      </c>
      <c r="U40" s="19">
        <v>0.17478975458147439</v>
      </c>
      <c r="V40" s="19">
        <v>88.16469241930055</v>
      </c>
      <c r="W40" s="19">
        <v>19.404159579149798</v>
      </c>
      <c r="X40" s="19">
        <v>1.6355030719257015E-4</v>
      </c>
      <c r="Y40" s="19">
        <v>-7.1511935336767064E-5</v>
      </c>
      <c r="Z40">
        <v>0.12202616694983484</v>
      </c>
      <c r="AP40" s="127"/>
      <c r="AQ40" s="127"/>
      <c r="AR40" s="127"/>
      <c r="AS40" s="127"/>
      <c r="AT40" s="127"/>
      <c r="AU40" s="127"/>
      <c r="AV40" s="127"/>
      <c r="AW40" s="127"/>
      <c r="AY40" s="127"/>
      <c r="AZ40" s="127"/>
      <c r="CC40" s="126">
        <f t="shared" si="5"/>
        <v>37</v>
      </c>
      <c r="CJ40" s="121"/>
      <c r="CK40" s="121"/>
      <c r="CL40" s="121"/>
      <c r="CM40" s="121"/>
    </row>
    <row r="41" spans="1:91" x14ac:dyDescent="0.25">
      <c r="A41">
        <v>38</v>
      </c>
      <c r="B41" s="121">
        <v>19</v>
      </c>
      <c r="C41" s="20">
        <v>2.4202169709192035E-5</v>
      </c>
      <c r="D41" s="20">
        <v>6.6218920333807482E-2</v>
      </c>
      <c r="E41" s="20">
        <v>0.47890066132979647</v>
      </c>
      <c r="F41" s="20">
        <v>0.63938761704403624</v>
      </c>
      <c r="G41" s="19">
        <v>461.13799272256364</v>
      </c>
      <c r="H41" s="19">
        <v>57.695133221613091</v>
      </c>
      <c r="I41" s="19">
        <v>5.1319597117855818E-4</v>
      </c>
      <c r="J41" s="19">
        <v>-1.6332009136424272E-4</v>
      </c>
      <c r="K41">
        <v>0.60289268799853657</v>
      </c>
      <c r="L41" s="19">
        <v>299.55626199352486</v>
      </c>
      <c r="M41" s="19">
        <v>55.972448605224713</v>
      </c>
      <c r="N41" s="19">
        <v>4.9590232055039894E-4</v>
      </c>
      <c r="O41" s="19">
        <v>-1.8057111785570274E-4</v>
      </c>
      <c r="P41" s="19">
        <v>0.3301649614859955</v>
      </c>
      <c r="Q41" s="19">
        <v>142.60668138524224</v>
      </c>
      <c r="R41" s="19">
        <v>29.778025436692936</v>
      </c>
      <c r="S41" s="19">
        <v>2.5356853618932229E-4</v>
      </c>
      <c r="T41" s="19">
        <v>-1.0475785301289257E-4</v>
      </c>
      <c r="U41" s="19">
        <v>0.17897344483115221</v>
      </c>
      <c r="V41" s="19">
        <v>89.925791496782395</v>
      </c>
      <c r="W41" s="19">
        <v>19.928596324532233</v>
      </c>
      <c r="X41" s="19">
        <v>1.6797058576534238E-4</v>
      </c>
      <c r="Y41" s="19">
        <v>-7.2977763931949006E-5</v>
      </c>
      <c r="Z41">
        <v>0.12493941799751206</v>
      </c>
      <c r="AP41" s="127"/>
      <c r="AQ41" s="127"/>
      <c r="AR41" s="127"/>
      <c r="AS41" s="127"/>
      <c r="AT41" s="127"/>
      <c r="AU41" s="127"/>
      <c r="AV41" s="127"/>
      <c r="AW41" s="127"/>
      <c r="AY41" s="127"/>
      <c r="AZ41" s="127"/>
      <c r="CC41" s="126">
        <f t="shared" si="5"/>
        <v>38</v>
      </c>
      <c r="CJ41" s="121"/>
      <c r="CK41" s="121"/>
      <c r="CL41" s="121"/>
      <c r="CM41" s="121"/>
    </row>
    <row r="42" spans="1:91" x14ac:dyDescent="0.25">
      <c r="A42">
        <v>39</v>
      </c>
      <c r="B42" s="121">
        <v>19.5</v>
      </c>
      <c r="C42" s="20">
        <v>1.6245462275469058E-5</v>
      </c>
      <c r="D42" s="20">
        <v>5.5477463603646457E-2</v>
      </c>
      <c r="E42" s="20">
        <v>0.23933832389245449</v>
      </c>
      <c r="F42" s="20">
        <v>0.4516816676821811</v>
      </c>
      <c r="G42" s="19">
        <v>464.81518013666943</v>
      </c>
      <c r="H42" s="19">
        <v>59.091638407757586</v>
      </c>
      <c r="I42" s="19">
        <v>5.2548263189249706E-4</v>
      </c>
      <c r="J42" s="19">
        <v>-1.6303011473939056E-4</v>
      </c>
      <c r="K42">
        <v>0.61649244480484899</v>
      </c>
      <c r="L42" s="19">
        <v>308.29718674079101</v>
      </c>
      <c r="M42" s="19">
        <v>57.445407779046427</v>
      </c>
      <c r="N42" s="19">
        <v>5.0895238161751484E-4</v>
      </c>
      <c r="O42" s="19">
        <v>-1.8367331936667373E-4</v>
      </c>
      <c r="P42" s="19">
        <v>0.33777537275730962</v>
      </c>
      <c r="Q42" s="19">
        <v>146.48962328780792</v>
      </c>
      <c r="R42" s="19">
        <v>30.561657685026962</v>
      </c>
      <c r="S42" s="19">
        <v>2.6024139240483077E-4</v>
      </c>
      <c r="T42" s="19">
        <v>-1.0710320375928034E-4</v>
      </c>
      <c r="U42" s="19">
        <v>0.18314440602356158</v>
      </c>
      <c r="V42" s="19">
        <v>92.065717934374945</v>
      </c>
      <c r="W42" s="19">
        <v>20.453033069914653</v>
      </c>
      <c r="X42" s="19">
        <v>1.7239086433811448E-4</v>
      </c>
      <c r="Y42" s="19">
        <v>-7.4513076311018549E-5</v>
      </c>
      <c r="Z42">
        <v>0.1278449436433704</v>
      </c>
      <c r="AP42" s="127"/>
      <c r="AQ42" s="127"/>
      <c r="AR42" s="127"/>
      <c r="AS42" s="127"/>
      <c r="AT42" s="127"/>
      <c r="AU42" s="127"/>
      <c r="AV42" s="127"/>
      <c r="AW42" s="127"/>
      <c r="AY42" s="127"/>
      <c r="AZ42" s="127"/>
      <c r="CC42" s="126">
        <f t="shared" si="5"/>
        <v>39</v>
      </c>
      <c r="CJ42" s="121"/>
      <c r="CK42" s="121"/>
      <c r="CL42" s="121"/>
      <c r="CM42" s="121"/>
    </row>
    <row r="43" spans="1:91" x14ac:dyDescent="0.25">
      <c r="A43">
        <v>40</v>
      </c>
      <c r="B43" s="121">
        <v>20</v>
      </c>
      <c r="C43" s="20">
        <v>1.0956987436690861E-5</v>
      </c>
      <c r="D43" s="20">
        <v>4.6566038451719777E-2</v>
      </c>
      <c r="E43" s="20">
        <v>0.11414438716552955</v>
      </c>
      <c r="F43" s="20">
        <v>0.3147837899636009</v>
      </c>
      <c r="G43" s="19">
        <v>468.35312050908152</v>
      </c>
      <c r="H43" s="19">
        <v>60.48237810068003</v>
      </c>
      <c r="I43" s="19">
        <v>5.3771183981195323E-4</v>
      </c>
      <c r="J43" s="19">
        <v>-1.6269301136441535E-4</v>
      </c>
      <c r="K43">
        <v>0.63003133699476255</v>
      </c>
      <c r="L43" s="19">
        <v>317.00454720136702</v>
      </c>
      <c r="M43" s="19">
        <v>58.918366952868119</v>
      </c>
      <c r="N43" s="19">
        <v>5.2200244268463052E-4</v>
      </c>
      <c r="O43" s="19">
        <v>-1.8673370905694534E-4</v>
      </c>
      <c r="P43" s="19">
        <v>0.34535672245091309</v>
      </c>
      <c r="Q43" s="19">
        <v>150.30961130357079</v>
      </c>
      <c r="R43" s="19">
        <v>31.345289933360984</v>
      </c>
      <c r="S43" s="19">
        <v>2.6691424862033925E-4</v>
      </c>
      <c r="T43" s="19">
        <v>-1.0941605059822911E-4</v>
      </c>
      <c r="U43" s="19">
        <v>0.18730288175691334</v>
      </c>
      <c r="V43" s="19">
        <v>94.960247518537031</v>
      </c>
      <c r="W43" s="19">
        <v>20.977469815297081</v>
      </c>
      <c r="X43" s="19">
        <v>1.7681114291088665E-4</v>
      </c>
      <c r="Y43" s="19">
        <v>-7.6223026670374505E-5</v>
      </c>
      <c r="Z43">
        <v>0.13074290428009669</v>
      </c>
      <c r="AP43" s="127"/>
      <c r="AQ43" s="127"/>
      <c r="AR43" s="127"/>
      <c r="AS43" s="127"/>
      <c r="AT43" s="127"/>
      <c r="AU43" s="127"/>
      <c r="AV43" s="127"/>
      <c r="AW43" s="127"/>
      <c r="AY43" s="127"/>
      <c r="AZ43" s="127"/>
      <c r="CC43" s="126">
        <f t="shared" si="5"/>
        <v>40</v>
      </c>
      <c r="CJ43" s="121"/>
      <c r="CK43" s="121"/>
      <c r="CL43" s="121"/>
      <c r="CM43" s="121"/>
    </row>
    <row r="44" spans="1:91" x14ac:dyDescent="0.25">
      <c r="A44">
        <v>41</v>
      </c>
      <c r="B44" s="121">
        <v>20.5</v>
      </c>
      <c r="C44" s="20">
        <v>7.4248027457524445E-6</v>
      </c>
      <c r="D44" s="20">
        <v>3.915861132811882E-2</v>
      </c>
      <c r="E44" s="20">
        <v>5.2166002948883926E-2</v>
      </c>
      <c r="F44" s="20">
        <v>0.21668478684391812</v>
      </c>
      <c r="G44" s="19">
        <v>471.75908579524099</v>
      </c>
      <c r="H44" s="19">
        <v>61.867385569534669</v>
      </c>
      <c r="I44" s="19">
        <v>5.498839430984286E-4</v>
      </c>
      <c r="J44" s="19">
        <v>-1.6231254301668103E-4</v>
      </c>
      <c r="K44">
        <v>0.64351089297944308</v>
      </c>
      <c r="L44" s="19">
        <v>325.66612656528815</v>
      </c>
      <c r="M44" s="19">
        <v>60.391326126689826</v>
      </c>
      <c r="N44" s="19">
        <v>5.3505250375174632E-4</v>
      </c>
      <c r="O44" s="19">
        <v>-1.89751226205476E-4</v>
      </c>
      <c r="P44" s="19">
        <v>0.35290963159270816</v>
      </c>
      <c r="Q44" s="19">
        <v>154.06648093697464</v>
      </c>
      <c r="R44" s="19">
        <v>32.12892218169501</v>
      </c>
      <c r="S44" s="19">
        <v>2.7358710483584779E-4</v>
      </c>
      <c r="T44" s="19">
        <v>-1.1169568945108995E-4</v>
      </c>
      <c r="U44" s="19">
        <v>0.19144910487201378</v>
      </c>
      <c r="V44" s="19">
        <v>97.864579525863064</v>
      </c>
      <c r="W44" s="19">
        <v>21.501906560679512</v>
      </c>
      <c r="X44" s="19">
        <v>1.8123142148365886E-4</v>
      </c>
      <c r="Y44" s="19">
        <v>-7.7944233639905584E-5</v>
      </c>
      <c r="Z44">
        <v>0.13363345165923191</v>
      </c>
      <c r="AP44" s="127"/>
      <c r="AQ44" s="127"/>
      <c r="AR44" s="127"/>
      <c r="AS44" s="127"/>
      <c r="AT44" s="127"/>
      <c r="AU44" s="127"/>
      <c r="AV44" s="127"/>
      <c r="AW44" s="127"/>
      <c r="AY44" s="127"/>
      <c r="AZ44" s="127"/>
      <c r="CC44" s="126">
        <f t="shared" si="5"/>
        <v>41</v>
      </c>
      <c r="CJ44" s="121"/>
      <c r="CK44" s="121"/>
      <c r="CL44" s="121"/>
      <c r="CM44" s="121"/>
    </row>
    <row r="45" spans="1:91" x14ac:dyDescent="0.25">
      <c r="A45">
        <v>42</v>
      </c>
      <c r="B45" s="121">
        <v>21</v>
      </c>
      <c r="C45" s="20">
        <v>5.054374204406671E-6</v>
      </c>
      <c r="D45" s="20">
        <v>3.298961821233562E-2</v>
      </c>
      <c r="E45" s="20">
        <v>2.29372163697137E-2</v>
      </c>
      <c r="F45" s="20">
        <v>0.14748837148376864</v>
      </c>
      <c r="G45" s="19">
        <v>475.03986686231292</v>
      </c>
      <c r="H45" s="19">
        <v>63.246693837055624</v>
      </c>
      <c r="I45" s="19">
        <v>5.6199928726617611E-4</v>
      </c>
      <c r="J45" s="19">
        <v>-1.6189217479659315E-4</v>
      </c>
      <c r="K45">
        <v>0.65693257081132805</v>
      </c>
      <c r="L45" s="19">
        <v>334.2717398424852</v>
      </c>
      <c r="M45" s="19">
        <v>61.864285300511526</v>
      </c>
      <c r="N45" s="19">
        <v>5.48102564818862E-4</v>
      </c>
      <c r="O45" s="19">
        <v>-1.9272515493602463E-4</v>
      </c>
      <c r="P45" s="19">
        <v>0.36043469747954388</v>
      </c>
      <c r="Q45" s="19">
        <v>157.7603656933278</v>
      </c>
      <c r="R45" s="19">
        <v>32.912554430029033</v>
      </c>
      <c r="S45" s="19">
        <v>2.8025996105135621E-4</v>
      </c>
      <c r="T45" s="19">
        <v>-1.1394166574918218E-4</v>
      </c>
      <c r="U45" s="19">
        <v>0.19558329829972665</v>
      </c>
      <c r="V45" s="19">
        <v>100.77265264281812</v>
      </c>
      <c r="W45" s="19">
        <v>22.026343306061928</v>
      </c>
      <c r="X45" s="19">
        <v>1.8565170005643093E-4</v>
      </c>
      <c r="Y45" s="19">
        <v>-7.9672532012200562E-5</v>
      </c>
      <c r="Z45">
        <v>0.1365167296434146</v>
      </c>
      <c r="AP45" s="127"/>
      <c r="AQ45" s="127"/>
      <c r="AR45" s="127"/>
      <c r="AS45" s="127"/>
      <c r="AT45" s="127"/>
      <c r="AU45" s="127"/>
      <c r="AV45" s="127"/>
      <c r="AW45" s="127"/>
      <c r="AY45" s="127"/>
      <c r="AZ45" s="127"/>
      <c r="CC45" s="126">
        <f t="shared" si="5"/>
        <v>42</v>
      </c>
      <c r="CJ45" s="121"/>
      <c r="CK45" s="121"/>
      <c r="CL45" s="121"/>
      <c r="CM45" s="121"/>
    </row>
    <row r="46" spans="1:91" x14ac:dyDescent="0.25">
      <c r="A46">
        <v>43</v>
      </c>
      <c r="B46" s="121">
        <v>21.5</v>
      </c>
      <c r="C46" s="20">
        <v>3.4561568789551759E-6</v>
      </c>
      <c r="D46" s="20">
        <v>2.7842343500715381E-2</v>
      </c>
      <c r="E46" s="20">
        <v>9.7413477329632518E-3</v>
      </c>
      <c r="F46" s="20">
        <v>9.9365384466838819E-2</v>
      </c>
      <c r="G46" s="19">
        <v>478.20181182515427</v>
      </c>
      <c r="H46" s="19">
        <v>64.62033568178407</v>
      </c>
      <c r="I46" s="19">
        <v>5.7405821520653067E-4</v>
      </c>
      <c r="J46" s="19">
        <v>-1.6143510119340858E-4</v>
      </c>
      <c r="K46">
        <v>0.67029776258353979</v>
      </c>
      <c r="L46" s="19">
        <v>342.81292732299943</v>
      </c>
      <c r="M46" s="19">
        <v>63.337244474333239</v>
      </c>
      <c r="N46" s="19">
        <v>5.6115262588597779E-4</v>
      </c>
      <c r="O46" s="19">
        <v>-1.9565506438373712E-4</v>
      </c>
      <c r="P46" s="19">
        <v>0.36793249503535214</v>
      </c>
      <c r="Q46" s="19">
        <v>161.39163957527578</v>
      </c>
      <c r="R46" s="19">
        <v>33.696186678363063</v>
      </c>
      <c r="S46" s="19">
        <v>2.8693281726686475E-4</v>
      </c>
      <c r="T46" s="19">
        <v>-1.161537306435244E-4</v>
      </c>
      <c r="U46" s="19">
        <v>0.19970567581534698</v>
      </c>
      <c r="V46" s="19">
        <v>103.67927932718111</v>
      </c>
      <c r="W46" s="19">
        <v>22.550780051444359</v>
      </c>
      <c r="X46" s="19">
        <v>1.9007197862920314E-4</v>
      </c>
      <c r="Y46" s="19">
        <v>-8.1404338349742099E-5</v>
      </c>
      <c r="Z46">
        <v>0.13939287487497021</v>
      </c>
      <c r="AP46" s="127"/>
      <c r="AQ46" s="127"/>
      <c r="AR46" s="127"/>
      <c r="AS46" s="127"/>
      <c r="AT46" s="127"/>
      <c r="AU46" s="127"/>
      <c r="AV46" s="127"/>
      <c r="AW46" s="127"/>
      <c r="AY46" s="127"/>
      <c r="AZ46" s="127"/>
      <c r="CC46" s="126">
        <f t="shared" si="5"/>
        <v>43</v>
      </c>
      <c r="CJ46" s="121"/>
      <c r="CK46" s="121"/>
      <c r="CL46" s="121"/>
      <c r="CM46" s="121"/>
    </row>
    <row r="47" spans="1:91" x14ac:dyDescent="0.25">
      <c r="A47">
        <v>44</v>
      </c>
      <c r="B47" s="121">
        <v>22</v>
      </c>
      <c r="C47" s="20">
        <v>2.3736619286178769E-6</v>
      </c>
      <c r="D47" s="20">
        <v>2.3539601226641567E-2</v>
      </c>
      <c r="E47" s="20">
        <v>4.0122918102917593E-3</v>
      </c>
      <c r="F47" s="20">
        <v>6.6321917606760927E-2</v>
      </c>
      <c r="G47" s="19">
        <v>481.25086082360741</v>
      </c>
      <c r="H47" s="19">
        <v>65.988343640271978</v>
      </c>
      <c r="I47" s="19">
        <v>5.8606106721196204E-4</v>
      </c>
      <c r="J47" s="19">
        <v>-1.609442695755294E-4</v>
      </c>
      <c r="K47">
        <v>0.68360779848385511</v>
      </c>
      <c r="L47" s="19">
        <v>351.2826969872001</v>
      </c>
      <c r="M47" s="19">
        <v>64.810203648154925</v>
      </c>
      <c r="N47" s="19">
        <v>5.7420268695309348E-4</v>
      </c>
      <c r="O47" s="19">
        <v>-1.9854075902831823E-4</v>
      </c>
      <c r="P47" s="19">
        <v>0.37540357805566094</v>
      </c>
      <c r="Q47" s="19">
        <v>164.96086974521953</v>
      </c>
      <c r="R47" s="19">
        <v>34.479818926697078</v>
      </c>
      <c r="S47" s="19">
        <v>2.9360567348237312E-4</v>
      </c>
      <c r="T47" s="19">
        <v>-1.1833180469097594E-4</v>
      </c>
      <c r="U47" s="19">
        <v>0.20381644271230509</v>
      </c>
      <c r="V47" s="19">
        <v>106.58002199728493</v>
      </c>
      <c r="W47" s="19">
        <v>23.07521679682679</v>
      </c>
      <c r="X47" s="19">
        <v>1.9449225720197534E-4</v>
      </c>
      <c r="Y47" s="19">
        <v>-8.3136569502909009E-5</v>
      </c>
      <c r="Z47">
        <v>0.14226201737180658</v>
      </c>
      <c r="AP47" s="127"/>
      <c r="AQ47" s="127"/>
      <c r="AR47" s="127"/>
      <c r="AS47" s="127"/>
      <c r="AT47" s="127"/>
      <c r="AU47" s="127"/>
      <c r="AV47" s="127"/>
      <c r="AW47" s="127"/>
      <c r="AY47" s="127"/>
      <c r="AZ47" s="127"/>
      <c r="CC47" s="126">
        <f t="shared" si="5"/>
        <v>44</v>
      </c>
      <c r="CJ47" s="121"/>
      <c r="CK47" s="121"/>
      <c r="CL47" s="121"/>
      <c r="CM47" s="121"/>
    </row>
    <row r="48" spans="1:91" x14ac:dyDescent="0.25">
      <c r="A48">
        <v>45</v>
      </c>
      <c r="B48" s="121">
        <v>22.5</v>
      </c>
      <c r="C48" s="20">
        <v>1.6371949461751934E-6</v>
      </c>
      <c r="D48" s="20">
        <v>1.9936251182123308E-2</v>
      </c>
      <c r="E48" s="20">
        <v>1.6100248360196539E-3</v>
      </c>
      <c r="F48" s="20">
        <v>4.389208443876131E-2</v>
      </c>
      <c r="G48" s="19">
        <v>484.19257761692279</v>
      </c>
      <c r="H48" s="19">
        <v>67.350750009261304</v>
      </c>
      <c r="I48" s="19">
        <v>5.9800818099987147E-4</v>
      </c>
      <c r="J48" s="19">
        <v>-1.6042240138932937E-4</v>
      </c>
      <c r="K48">
        <v>0.69686395053616224</v>
      </c>
      <c r="L48" s="19">
        <v>359.6753073823316</v>
      </c>
      <c r="M48" s="19">
        <v>66.283162821976646</v>
      </c>
      <c r="N48" s="19">
        <v>5.8725274802020949E-4</v>
      </c>
      <c r="O48" s="19">
        <v>-2.0138223736823868E-4</v>
      </c>
      <c r="P48" s="19">
        <v>0.38284848035300079</v>
      </c>
      <c r="Q48" s="19">
        <v>168.46877748967918</v>
      </c>
      <c r="R48" s="19">
        <v>35.263451175031108</v>
      </c>
      <c r="S48" s="19">
        <v>3.0027852969788165E-4</v>
      </c>
      <c r="T48" s="19">
        <v>-1.2047594767046317E-4</v>
      </c>
      <c r="U48" s="19">
        <v>0.20791579640571115</v>
      </c>
      <c r="V48" s="19">
        <v>109.47108816826491</v>
      </c>
      <c r="W48" s="19">
        <v>23.599653542209211</v>
      </c>
      <c r="X48" s="19">
        <v>1.9891253577474744E-4</v>
      </c>
      <c r="Y48" s="19">
        <v>-8.4866573521296559E-5</v>
      </c>
      <c r="Z48">
        <v>0.14512428105994626</v>
      </c>
      <c r="AP48" s="127"/>
      <c r="AQ48" s="127"/>
      <c r="AR48" s="127"/>
      <c r="AS48" s="127"/>
      <c r="AT48" s="127"/>
      <c r="AU48" s="127"/>
      <c r="AV48" s="127"/>
      <c r="AW48" s="127"/>
      <c r="AY48" s="127"/>
      <c r="AZ48" s="127"/>
      <c r="CC48" s="126">
        <f t="shared" si="5"/>
        <v>45</v>
      </c>
      <c r="CJ48" s="121"/>
      <c r="CK48" s="121"/>
      <c r="CL48" s="121"/>
      <c r="CM48" s="121"/>
    </row>
    <row r="49" spans="1:91" x14ac:dyDescent="0.25">
      <c r="A49">
        <v>46</v>
      </c>
      <c r="B49" s="121">
        <v>23</v>
      </c>
      <c r="C49" s="20">
        <v>1.1339549835821426E-6</v>
      </c>
      <c r="D49" s="20">
        <v>1.6913179045076086E-2</v>
      </c>
      <c r="E49" s="20">
        <v>6.3288288463051281E-4</v>
      </c>
      <c r="F49" s="20">
        <v>2.8824016849710386E-2</v>
      </c>
      <c r="G49" s="19">
        <v>487.03217832675381</v>
      </c>
      <c r="H49" s="19">
        <v>68.70758684784127</v>
      </c>
      <c r="I49" s="19">
        <v>6.0989989173613297E-4</v>
      </c>
      <c r="J49" s="19">
        <v>-1.5987201131595176E-4</v>
      </c>
      <c r="K49">
        <v>0.71006743605858835</v>
      </c>
      <c r="L49" s="19">
        <v>367.98608407934353</v>
      </c>
      <c r="M49" s="19">
        <v>67.756121995798338</v>
      </c>
      <c r="N49" s="19">
        <v>6.0030280908732496E-4</v>
      </c>
      <c r="O49" s="19">
        <v>-2.0417965746223071E-4</v>
      </c>
      <c r="P49" s="19">
        <v>0.39026771681396483</v>
      </c>
      <c r="Q49" s="19">
        <v>172.11247400325067</v>
      </c>
      <c r="R49" s="19">
        <v>36.047083423365137</v>
      </c>
      <c r="S49" s="19">
        <v>3.0695138591339019E-4</v>
      </c>
      <c r="T49" s="19">
        <v>-1.2259386055928621E-4</v>
      </c>
      <c r="U49" s="19">
        <v>0.21200392697468898</v>
      </c>
      <c r="V49" s="19">
        <v>112.34924136195605</v>
      </c>
      <c r="W49" s="19">
        <v>24.124090287591645</v>
      </c>
      <c r="X49" s="19">
        <v>2.0333281434751967E-4</v>
      </c>
      <c r="Y49" s="19">
        <v>-8.6592070890527972E-5</v>
      </c>
      <c r="Z49">
        <v>0.14797978425065431</v>
      </c>
      <c r="AP49" s="127"/>
      <c r="AQ49" s="127"/>
      <c r="AR49" s="127"/>
      <c r="AS49" s="127"/>
      <c r="AT49" s="127"/>
      <c r="AU49" s="127"/>
      <c r="AV49" s="127"/>
      <c r="AW49" s="127"/>
      <c r="AY49" s="127"/>
      <c r="AZ49" s="127"/>
      <c r="CC49" s="126">
        <f t="shared" si="5"/>
        <v>46</v>
      </c>
      <c r="CJ49" s="121"/>
      <c r="CK49" s="121"/>
      <c r="CL49" s="121"/>
      <c r="CM49" s="121"/>
    </row>
    <row r="50" spans="1:91" x14ac:dyDescent="0.25">
      <c r="A50">
        <v>47</v>
      </c>
      <c r="B50" s="121">
        <v>23.5</v>
      </c>
      <c r="C50" s="20">
        <v>7.8861301898841064E-7</v>
      </c>
      <c r="D50" s="20">
        <v>1.4372446074699253E-2</v>
      </c>
      <c r="E50" s="20">
        <v>2.4545781459225458E-4</v>
      </c>
      <c r="F50" s="20">
        <v>1.8796048362822493E-2</v>
      </c>
      <c r="G50" s="19">
        <v>489.77455762159417</v>
      </c>
      <c r="H50" s="19">
        <v>70.058885979582158</v>
      </c>
      <c r="I50" s="19">
        <v>6.217365320583903E-4</v>
      </c>
      <c r="J50" s="19">
        <v>-1.5929542460551576E-4</v>
      </c>
      <c r="K50">
        <v>0.72321942086425495</v>
      </c>
      <c r="L50" s="19">
        <v>376.21126409624952</v>
      </c>
      <c r="M50" s="19">
        <v>69.229081169620045</v>
      </c>
      <c r="N50" s="19">
        <v>6.1335287015444086E-4</v>
      </c>
      <c r="O50" s="19">
        <v>-2.0693330814331232E-4</v>
      </c>
      <c r="P50" s="19">
        <v>0.39766178437718624</v>
      </c>
      <c r="Q50" s="19">
        <v>176.51329996328226</v>
      </c>
      <c r="R50" s="19">
        <v>36.83071567169916</v>
      </c>
      <c r="S50" s="19">
        <v>3.1362424212889867E-4</v>
      </c>
      <c r="T50" s="19">
        <v>-1.2471732365611389E-4</v>
      </c>
      <c r="U50" s="19">
        <v>0.21608101765113102</v>
      </c>
      <c r="V50" s="19">
        <v>115.21172519714928</v>
      </c>
      <c r="W50" s="19">
        <v>24.648527032974069</v>
      </c>
      <c r="X50" s="19">
        <v>2.0775309292029182E-4</v>
      </c>
      <c r="Y50" s="19">
        <v>-8.8311104403730129E-5</v>
      </c>
      <c r="Z50">
        <v>0.15082864006898161</v>
      </c>
      <c r="AP50" s="127"/>
      <c r="AQ50" s="127"/>
      <c r="AR50" s="127"/>
      <c r="AS50" s="127"/>
      <c r="AT50" s="127"/>
      <c r="AU50" s="127"/>
      <c r="AV50" s="127"/>
      <c r="AW50" s="127"/>
      <c r="AY50" s="127"/>
      <c r="AZ50" s="127"/>
      <c r="CC50" s="126">
        <f t="shared" si="5"/>
        <v>47</v>
      </c>
      <c r="CJ50" s="121"/>
      <c r="CK50" s="121"/>
      <c r="CL50" s="121"/>
      <c r="CM50" s="121"/>
    </row>
    <row r="51" spans="1:91" x14ac:dyDescent="0.25">
      <c r="A51">
        <v>48</v>
      </c>
      <c r="B51" s="121">
        <v>24</v>
      </c>
      <c r="C51" s="20">
        <v>5.5063608477131349E-7</v>
      </c>
      <c r="D51" s="20">
        <v>1.2233374459176372E-2</v>
      </c>
      <c r="E51" s="20">
        <v>9.485440416665839E-5</v>
      </c>
      <c r="F51" s="20">
        <v>1.2178740465265953E-2</v>
      </c>
      <c r="G51" s="19">
        <v>492.4243126018917</v>
      </c>
      <c r="H51" s="19">
        <v>71.404678994646616</v>
      </c>
      <c r="I51" s="19">
        <v>6.3351843209908927E-4</v>
      </c>
      <c r="J51" s="19">
        <v>-1.5869479278212011E-4</v>
      </c>
      <c r="K51">
        <v>0.73632102222777629</v>
      </c>
      <c r="L51" s="19">
        <v>384.34786369242477</v>
      </c>
      <c r="M51" s="19">
        <v>70.702040343441737</v>
      </c>
      <c r="N51" s="19">
        <v>6.2640293122155654E-4</v>
      </c>
      <c r="O51" s="19">
        <v>-2.0964358493288313E-4</v>
      </c>
      <c r="P51" s="19">
        <v>0.40503116294028169</v>
      </c>
      <c r="Q51" s="19">
        <v>180.9311701754913</v>
      </c>
      <c r="R51" s="19">
        <v>37.614347920033175</v>
      </c>
      <c r="S51" s="19">
        <v>3.2029709834440704E-4</v>
      </c>
      <c r="T51" s="19">
        <v>-1.2683945939020452E-4</v>
      </c>
      <c r="U51" s="19">
        <v>0.22014724526141316</v>
      </c>
      <c r="V51" s="19">
        <v>118.05619853201691</v>
      </c>
      <c r="W51" s="19">
        <v>25.1729637783565</v>
      </c>
      <c r="X51" s="19">
        <v>2.1217337149306403E-4</v>
      </c>
      <c r="Y51" s="19">
        <v>-9.0021996279268608E-5</v>
      </c>
      <c r="Z51">
        <v>0.15367095683958015</v>
      </c>
      <c r="AP51" s="127"/>
      <c r="AQ51" s="127"/>
      <c r="AR51" s="127"/>
      <c r="AS51" s="127"/>
      <c r="AT51" s="127"/>
      <c r="AU51" s="127"/>
      <c r="AV51" s="127"/>
      <c r="AW51" s="127"/>
      <c r="AY51" s="127"/>
      <c r="AZ51" s="127"/>
      <c r="CC51" s="126">
        <f t="shared" si="5"/>
        <v>48</v>
      </c>
      <c r="CJ51" s="121"/>
      <c r="CK51" s="121"/>
      <c r="CL51" s="121"/>
      <c r="CM51" s="121"/>
    </row>
    <row r="52" spans="1:91" x14ac:dyDescent="0.25">
      <c r="A52">
        <v>49</v>
      </c>
      <c r="B52" s="121">
        <v>24.5</v>
      </c>
      <c r="C52" s="20">
        <v>3.8597480108420847E-7</v>
      </c>
      <c r="D52" s="20">
        <v>1.0429382302211828E-2</v>
      </c>
      <c r="E52" s="20">
        <v>3.7018608790161658E-5</v>
      </c>
      <c r="F52" s="20">
        <v>7.8454880423093343E-3</v>
      </c>
      <c r="G52" s="19">
        <v>494.98576461570451</v>
      </c>
      <c r="H52" s="19">
        <v>72.744997251878203</v>
      </c>
      <c r="I52" s="19">
        <v>6.4524591950827336E-4</v>
      </c>
      <c r="J52" s="19">
        <v>-1.5807210789036687E-4</v>
      </c>
      <c r="K52">
        <v>0.74937331163818155</v>
      </c>
      <c r="L52" s="19">
        <v>392.39356575682086</v>
      </c>
      <c r="M52" s="19">
        <v>72.174999517263458</v>
      </c>
      <c r="N52" s="19">
        <v>6.3945299228867244E-4</v>
      </c>
      <c r="O52" s="19">
        <v>-2.1231096986037265E-4</v>
      </c>
      <c r="P52" s="19">
        <v>0.41237631620275228</v>
      </c>
      <c r="Q52" s="19">
        <v>185.3618965443826</v>
      </c>
      <c r="R52" s="19">
        <v>38.397980168367205</v>
      </c>
      <c r="S52" s="19">
        <v>3.2696995455991557E-4</v>
      </c>
      <c r="T52" s="19">
        <v>-1.2892001926479335E-4</v>
      </c>
      <c r="U52" s="19">
        <v>0.22420278062668356</v>
      </c>
      <c r="V52" s="19">
        <v>120.88067990518178</v>
      </c>
      <c r="W52" s="19">
        <v>25.697400523738917</v>
      </c>
      <c r="X52" s="19">
        <v>2.1659365006583607E-4</v>
      </c>
      <c r="Y52" s="19">
        <v>-9.172331138007048E-5</v>
      </c>
      <c r="Z52">
        <v>0.15650683843485014</v>
      </c>
      <c r="AP52" s="127"/>
      <c r="AQ52" s="127"/>
      <c r="AR52" s="127"/>
      <c r="AS52" s="127"/>
      <c r="AT52" s="127"/>
      <c r="AU52" s="127"/>
      <c r="AV52" s="127"/>
      <c r="AW52" s="127"/>
      <c r="AY52" s="127"/>
      <c r="AZ52" s="127"/>
      <c r="CC52" s="126">
        <f t="shared" si="5"/>
        <v>49</v>
      </c>
      <c r="CJ52" s="121"/>
      <c r="CK52" s="121"/>
      <c r="CL52" s="121"/>
      <c r="CM52" s="121"/>
    </row>
    <row r="53" spans="1:91" x14ac:dyDescent="0.25">
      <c r="A53">
        <v>50</v>
      </c>
      <c r="B53" s="121">
        <v>25</v>
      </c>
      <c r="C53" s="20">
        <v>2.7158690278083494E-7</v>
      </c>
      <c r="D53" s="20">
        <v>8.905420159218096E-3</v>
      </c>
      <c r="E53" s="20">
        <v>1.4846743935754852E-5</v>
      </c>
      <c r="F53" s="20">
        <v>5.0275639666005631E-3</v>
      </c>
      <c r="G53" s="19">
        <v>497.46297920906579</v>
      </c>
      <c r="H53" s="19">
        <v>74.07987188086905</v>
      </c>
      <c r="I53" s="19">
        <v>6.5691931947614004E-4</v>
      </c>
      <c r="J53" s="19">
        <v>-1.5742921543436631E-4</v>
      </c>
      <c r="K53">
        <v>0.76237731735677039</v>
      </c>
      <c r="L53" s="19">
        <v>400.34662367411818</v>
      </c>
      <c r="M53" s="19">
        <v>73.647958691085151</v>
      </c>
      <c r="N53" s="19">
        <v>6.5250305335578813E-4</v>
      </c>
      <c r="O53" s="19">
        <v>-2.1493601453697339E-4</v>
      </c>
      <c r="P53" s="19">
        <v>0.41969769245096344</v>
      </c>
      <c r="Q53" s="19">
        <v>189.79769730858561</v>
      </c>
      <c r="R53" s="19">
        <v>39.181612416701235</v>
      </c>
      <c r="S53" s="19">
        <v>3.3364281077542411E-4</v>
      </c>
      <c r="T53" s="19">
        <v>-1.3097506320701734E-4</v>
      </c>
      <c r="U53" s="19">
        <v>0.22824778892657405</v>
      </c>
      <c r="V53" s="19">
        <v>123.6834998250651</v>
      </c>
      <c r="W53" s="19">
        <v>26.221837269121352</v>
      </c>
      <c r="X53" s="19">
        <v>2.2101392863860833E-4</v>
      </c>
      <c r="Y53" s="19">
        <v>-9.3413825587178193E-5</v>
      </c>
      <c r="Z53">
        <v>0.15933638458978064</v>
      </c>
      <c r="AP53" s="127"/>
      <c r="AQ53" s="127"/>
      <c r="AR53" s="127"/>
      <c r="AS53" s="127"/>
      <c r="AT53" s="127"/>
      <c r="AU53" s="127"/>
      <c r="AV53" s="127"/>
      <c r="AW53" s="127"/>
      <c r="AY53" s="127"/>
      <c r="AZ53" s="127"/>
      <c r="CC53" s="126">
        <f t="shared" si="5"/>
        <v>50</v>
      </c>
      <c r="CJ53" s="121"/>
      <c r="CK53" s="121"/>
      <c r="CL53" s="121"/>
      <c r="CM53" s="121"/>
    </row>
    <row r="54" spans="1:91" x14ac:dyDescent="0.25">
      <c r="A54">
        <v>51</v>
      </c>
      <c r="B54" s="121">
        <v>25.5</v>
      </c>
      <c r="C54" s="20">
        <v>1.9181270508546093E-7</v>
      </c>
      <c r="D54" s="20">
        <v>7.6158910757205649E-3</v>
      </c>
      <c r="E54" s="20">
        <v>6.2396122782658644E-6</v>
      </c>
      <c r="F54" s="20">
        <v>3.2065348562229927E-3</v>
      </c>
      <c r="G54" s="19">
        <v>499.85978439268638</v>
      </c>
      <c r="H54" s="19">
        <v>75.409333784003763</v>
      </c>
      <c r="I54" s="19">
        <v>6.6853895475533858E-4</v>
      </c>
      <c r="J54" s="19">
        <v>-1.5676782614292904E-4</v>
      </c>
      <c r="K54">
        <v>0.77533402679652896</v>
      </c>
      <c r="L54" s="19">
        <v>408.20577908891602</v>
      </c>
      <c r="M54" s="19">
        <v>75.120917864906858</v>
      </c>
      <c r="N54" s="19">
        <v>6.6555311442290392E-4</v>
      </c>
      <c r="O54" s="19">
        <v>-2.1751932594746179E-4</v>
      </c>
      <c r="P54" s="19">
        <v>0.42699572529056673</v>
      </c>
      <c r="Q54" s="19">
        <v>194.23128182957888</v>
      </c>
      <c r="R54" s="19">
        <v>39.965244665035257</v>
      </c>
      <c r="S54" s="19">
        <v>3.4031566699093259E-4</v>
      </c>
      <c r="T54" s="19">
        <v>-1.330252835949769E-4</v>
      </c>
      <c r="U54" s="19">
        <v>0.23228243003051591</v>
      </c>
      <c r="V54" s="19">
        <v>126.46347642609726</v>
      </c>
      <c r="W54" s="19">
        <v>26.746274014503783</v>
      </c>
      <c r="X54" s="19">
        <v>2.2543420721138054E-4</v>
      </c>
      <c r="Y54" s="19">
        <v>-9.5077526890838344E-5</v>
      </c>
      <c r="Z54">
        <v>0.16215969118728052</v>
      </c>
      <c r="AP54" s="127"/>
      <c r="AQ54" s="127"/>
      <c r="AR54" s="127"/>
      <c r="AS54" s="127"/>
      <c r="AT54" s="127"/>
      <c r="AU54" s="127"/>
      <c r="AV54" s="127"/>
      <c r="AW54" s="127"/>
      <c r="AY54" s="127"/>
      <c r="AZ54" s="127"/>
      <c r="CC54" s="126">
        <f t="shared" si="5"/>
        <v>51</v>
      </c>
      <c r="CJ54" s="121"/>
      <c r="CK54" s="121"/>
      <c r="CL54" s="121"/>
      <c r="CM54" s="121"/>
    </row>
    <row r="55" spans="1:91" x14ac:dyDescent="0.25">
      <c r="A55">
        <v>52</v>
      </c>
      <c r="B55" s="121">
        <v>26</v>
      </c>
      <c r="C55" s="20">
        <v>1.3596550303513534E-7</v>
      </c>
      <c r="D55" s="20">
        <v>6.5229598973204515E-3</v>
      </c>
      <c r="E55" s="20">
        <v>2.7937122528741105E-6</v>
      </c>
      <c r="F55" s="20">
        <v>2.0363856355909032E-3</v>
      </c>
      <c r="G55" s="19">
        <v>502.1797873868457</v>
      </c>
      <c r="H55" s="19">
        <v>76.73341363848445</v>
      </c>
      <c r="I55" s="19">
        <v>6.8010514568305716E-4</v>
      </c>
      <c r="J55" s="19">
        <v>-1.560895266795519E-4</v>
      </c>
      <c r="K55">
        <v>0.7882443887380608</v>
      </c>
      <c r="L55" s="19">
        <v>416.16575211919701</v>
      </c>
      <c r="M55" s="19">
        <v>76.59387703872855</v>
      </c>
      <c r="N55" s="19">
        <v>6.786031754900195E-4</v>
      </c>
      <c r="O55" s="19">
        <v>-2.1988038837671833E-4</v>
      </c>
      <c r="P55" s="19">
        <v>0.43427083433110497</v>
      </c>
      <c r="Q55" s="19">
        <v>198.65784759359872</v>
      </c>
      <c r="R55" s="19">
        <v>40.748876913369273</v>
      </c>
      <c r="S55" s="19">
        <v>3.4698852320644101E-4</v>
      </c>
      <c r="T55" s="19">
        <v>-1.3506878310168727E-4</v>
      </c>
      <c r="U55" s="19">
        <v>0.23630685880029187</v>
      </c>
      <c r="V55" s="19">
        <v>129.21931879175551</v>
      </c>
      <c r="W55" s="19">
        <v>27.270710759886203</v>
      </c>
      <c r="X55" s="19">
        <v>2.2985448578415264E-4</v>
      </c>
      <c r="Y55" s="19">
        <v>-9.6721093970656883E-5</v>
      </c>
      <c r="Z55">
        <v>0.1649768505172948</v>
      </c>
      <c r="AP55" s="127"/>
      <c r="AQ55" s="127"/>
      <c r="AR55" s="127"/>
      <c r="AS55" s="127"/>
      <c r="AT55" s="127"/>
      <c r="AU55" s="127"/>
      <c r="AV55" s="127"/>
      <c r="AW55" s="127"/>
      <c r="AY55" s="127"/>
      <c r="AZ55" s="127"/>
      <c r="CC55" s="126">
        <f t="shared" si="5"/>
        <v>52</v>
      </c>
      <c r="CJ55" s="121"/>
      <c r="CK55" s="121"/>
      <c r="CL55" s="121"/>
      <c r="CM55" s="121"/>
    </row>
    <row r="56" spans="1:91" x14ac:dyDescent="0.25">
      <c r="A56">
        <v>53</v>
      </c>
      <c r="B56" s="121">
        <v>26.5</v>
      </c>
      <c r="C56" s="20">
        <v>9.6722626698470732E-8</v>
      </c>
      <c r="D56" s="20">
        <v>5.5951765210824692E-3</v>
      </c>
      <c r="E56" s="20">
        <v>1.342315565618213E-6</v>
      </c>
      <c r="F56" s="20">
        <v>1.2883114029161589E-3</v>
      </c>
      <c r="G56" s="19">
        <v>504.42638998890169</v>
      </c>
      <c r="H56" s="19">
        <v>78.052141898331584</v>
      </c>
      <c r="I56" s="19">
        <v>6.9161821020284847E-4</v>
      </c>
      <c r="J56" s="19">
        <v>-1.55395789402572E-4</v>
      </c>
      <c r="K56">
        <v>0.80110931539551444</v>
      </c>
      <c r="L56" s="19">
        <v>424.28008787802378</v>
      </c>
      <c r="M56" s="19">
        <v>78.066836212550257</v>
      </c>
      <c r="N56" s="19">
        <v>6.9165323655713529E-4</v>
      </c>
      <c r="O56" s="19">
        <v>-2.2199708414523517E-4</v>
      </c>
      <c r="P56" s="19">
        <v>0.4415234258269769</v>
      </c>
      <c r="Q56" s="19">
        <v>203.07318603083058</v>
      </c>
      <c r="R56" s="19">
        <v>41.53250916170331</v>
      </c>
      <c r="S56" s="19">
        <v>3.536613794219496E-4</v>
      </c>
      <c r="T56" s="19">
        <v>-1.3710390983746626E-4</v>
      </c>
      <c r="U56" s="19">
        <v>0.24032122536698319</v>
      </c>
      <c r="V56" s="19">
        <v>131.94992497309153</v>
      </c>
      <c r="W56" s="19">
        <v>27.795147505268634</v>
      </c>
      <c r="X56" s="19">
        <v>2.3427476435692484E-4</v>
      </c>
      <c r="Y56" s="19">
        <v>-9.8353525364397234E-5</v>
      </c>
      <c r="Z56">
        <v>0.16778795151258016</v>
      </c>
      <c r="AP56" s="127"/>
      <c r="AQ56" s="127"/>
      <c r="AR56" s="127"/>
      <c r="AS56" s="127"/>
      <c r="AT56" s="127"/>
      <c r="AU56" s="127"/>
      <c r="AV56" s="127"/>
      <c r="AW56" s="127"/>
      <c r="AY56" s="127"/>
      <c r="AZ56" s="127"/>
      <c r="CC56" s="126">
        <f t="shared" si="5"/>
        <v>53</v>
      </c>
      <c r="CJ56" s="121"/>
      <c r="CK56" s="121"/>
      <c r="CL56" s="121"/>
      <c r="CM56" s="121"/>
    </row>
    <row r="57" spans="1:91" x14ac:dyDescent="0.25">
      <c r="A57">
        <v>54</v>
      </c>
      <c r="B57" s="121">
        <v>27</v>
      </c>
      <c r="C57" s="20">
        <v>6.9046488078788548E-8</v>
      </c>
      <c r="D57" s="20">
        <v>4.806352774608111E-3</v>
      </c>
      <c r="E57" s="20">
        <v>6.8884395522960762E-7</v>
      </c>
      <c r="F57" s="20">
        <v>8.1226409526693284E-4</v>
      </c>
      <c r="G57" s="19">
        <v>506.6028026925199</v>
      </c>
      <c r="H57" s="19">
        <v>79.36554879636634</v>
      </c>
      <c r="I57" s="19">
        <v>7.0307846388624083E-4</v>
      </c>
      <c r="J57" s="19">
        <v>-1.5468798126924504E-4</v>
      </c>
      <c r="K57">
        <v>0.81392968434469148</v>
      </c>
      <c r="L57" s="19">
        <v>432.33828346508108</v>
      </c>
      <c r="M57" s="19">
        <v>79.539795386371964</v>
      </c>
      <c r="N57" s="19">
        <v>7.0470329762425119E-4</v>
      </c>
      <c r="O57" s="19">
        <v>-2.2407594039478262E-4</v>
      </c>
      <c r="P57" s="19">
        <v>0.44875389327848514</v>
      </c>
      <c r="Q57" s="19">
        <v>207.47361258398837</v>
      </c>
      <c r="R57" s="19">
        <v>42.316141410037332</v>
      </c>
      <c r="S57" s="19">
        <v>3.6033423563745808E-4</v>
      </c>
      <c r="T57" s="19">
        <v>-1.3912922801507697E-4</v>
      </c>
      <c r="U57" s="19">
        <v>0.24432567538506519</v>
      </c>
      <c r="V57" s="19">
        <v>134.65451928931046</v>
      </c>
      <c r="W57" s="19">
        <v>28.319584250651058</v>
      </c>
      <c r="X57" s="19">
        <v>2.3869504292969699E-4</v>
      </c>
      <c r="Y57" s="19">
        <v>-9.9974032566511664E-5</v>
      </c>
      <c r="Z57">
        <v>0.17059307996365608</v>
      </c>
      <c r="AP57" s="127"/>
      <c r="AQ57" s="127"/>
      <c r="AR57" s="127"/>
      <c r="AS57" s="127"/>
      <c r="AT57" s="127"/>
      <c r="AU57" s="127"/>
      <c r="AV57" s="127"/>
      <c r="AW57" s="127"/>
      <c r="AY57" s="127"/>
      <c r="AZ57" s="127"/>
      <c r="CC57" s="126">
        <f t="shared" si="5"/>
        <v>54</v>
      </c>
      <c r="CJ57" s="121"/>
      <c r="CK57" s="121"/>
      <c r="CL57" s="121"/>
      <c r="CM57" s="121"/>
    </row>
    <row r="58" spans="1:91" x14ac:dyDescent="0.25">
      <c r="A58">
        <v>55</v>
      </c>
      <c r="B58" s="121">
        <v>27.5</v>
      </c>
      <c r="C58" s="20">
        <v>4.9457986872646788E-8</v>
      </c>
      <c r="D58" s="20">
        <v>4.1346445547695947E-3</v>
      </c>
      <c r="E58" s="20">
        <v>3.7259283521759841E-7</v>
      </c>
      <c r="F58" s="20">
        <v>5.1057244020002177E-4</v>
      </c>
      <c r="G58" s="19">
        <v>508.71205767416939</v>
      </c>
      <c r="H58" s="19">
        <v>80.673664346170554</v>
      </c>
      <c r="I58" s="19">
        <v>7.1448621995411749E-4</v>
      </c>
      <c r="J58" s="19">
        <v>-1.5396737196729079E-4</v>
      </c>
      <c r="K58">
        <v>0.82670634032434931</v>
      </c>
      <c r="L58" s="19">
        <v>440.33676586905767</v>
      </c>
      <c r="M58" s="19">
        <v>81.01275456019367</v>
      </c>
      <c r="N58" s="19">
        <v>7.1775335869136698E-4</v>
      </c>
      <c r="O58" s="19">
        <v>-2.2611791998807467E-4</v>
      </c>
      <c r="P58" s="19">
        <v>0.45596261799626714</v>
      </c>
      <c r="Q58" s="19">
        <v>211.85590562252722</v>
      </c>
      <c r="R58" s="19">
        <v>43.099773658371355</v>
      </c>
      <c r="S58" s="19">
        <v>3.6700709185296651E-4</v>
      </c>
      <c r="T58" s="19">
        <v>-1.4114349235496188E-4</v>
      </c>
      <c r="U58" s="19">
        <v>0.24832035026605651</v>
      </c>
      <c r="V58" s="19">
        <v>137.33248101756632</v>
      </c>
      <c r="W58" s="19">
        <v>28.844020996033482</v>
      </c>
      <c r="X58" s="19">
        <v>2.4311532150246914E-4</v>
      </c>
      <c r="Y58" s="19">
        <v>-1.0158194812779144E-4</v>
      </c>
      <c r="Z58">
        <v>0.17339231871513694</v>
      </c>
      <c r="AP58" s="127"/>
      <c r="AQ58" s="127"/>
      <c r="AR58" s="127"/>
      <c r="AS58" s="127"/>
      <c r="AT58" s="127"/>
      <c r="AU58" s="127"/>
      <c r="AV58" s="127"/>
      <c r="AW58" s="127"/>
      <c r="AY58" s="127"/>
      <c r="AZ58" s="127"/>
      <c r="CC58" s="126">
        <f t="shared" si="5"/>
        <v>55</v>
      </c>
      <c r="CJ58" s="121"/>
      <c r="CK58" s="121"/>
      <c r="CL58" s="121"/>
      <c r="CM58" s="121"/>
    </row>
    <row r="59" spans="1:91" x14ac:dyDescent="0.25">
      <c r="A59">
        <v>56</v>
      </c>
      <c r="B59" s="121">
        <v>28</v>
      </c>
      <c r="C59" s="20">
        <v>3.5545181342800911E-8</v>
      </c>
      <c r="D59" s="20">
        <v>3.5618003741336841E-3</v>
      </c>
      <c r="E59" s="20">
        <v>2.0917863728828378E-7</v>
      </c>
      <c r="F59" s="20">
        <v>3.2008116931838841E-4</v>
      </c>
      <c r="G59" s="19">
        <v>510.75702075046246</v>
      </c>
      <c r="H59" s="19">
        <v>81.97651834402707</v>
      </c>
      <c r="I59" s="19">
        <v>7.2584178929786206E-4</v>
      </c>
      <c r="J59" s="19">
        <v>-1.532351413484458E-4</v>
      </c>
      <c r="K59">
        <v>0.83944009692068988</v>
      </c>
      <c r="L59" s="19">
        <v>448.27251221105888</v>
      </c>
      <c r="M59" s="19">
        <v>82.485713734015363</v>
      </c>
      <c r="N59" s="19">
        <v>7.3080341975848267E-4</v>
      </c>
      <c r="O59" s="19">
        <v>-2.2812396595341103E-4</v>
      </c>
      <c r="P59" s="19">
        <v>0.46314996963207666</v>
      </c>
      <c r="Q59" s="19">
        <v>216.21725297778949</v>
      </c>
      <c r="R59" s="19">
        <v>43.88340590670537</v>
      </c>
      <c r="S59" s="19">
        <v>3.7367994806847488E-4</v>
      </c>
      <c r="T59" s="19">
        <v>-1.4314562571004789E-4</v>
      </c>
      <c r="U59" s="19">
        <v>0.2523053873938344</v>
      </c>
      <c r="V59" s="19">
        <v>139.98332442508209</v>
      </c>
      <c r="W59" s="19">
        <v>29.368457741415909</v>
      </c>
      <c r="X59" s="19">
        <v>2.475356000752413E-4</v>
      </c>
      <c r="Y59" s="19">
        <v>-1.0317671087735622E-4</v>
      </c>
      <c r="Z59">
        <v>0.17618574784537927</v>
      </c>
      <c r="AP59" s="127"/>
      <c r="AQ59" s="127"/>
      <c r="AR59" s="127"/>
      <c r="AS59" s="127"/>
      <c r="AT59" s="127"/>
      <c r="AU59" s="127"/>
      <c r="AV59" s="127"/>
      <c r="AW59" s="127"/>
      <c r="AY59" s="127"/>
      <c r="AZ59" s="127"/>
      <c r="CC59" s="126">
        <f t="shared" si="5"/>
        <v>56</v>
      </c>
      <c r="CJ59" s="121"/>
      <c r="CK59" s="121"/>
      <c r="CL59" s="121"/>
      <c r="CM59" s="121"/>
    </row>
    <row r="60" spans="1:91" x14ac:dyDescent="0.25">
      <c r="A60">
        <v>57</v>
      </c>
      <c r="B60" s="121">
        <v>28.5</v>
      </c>
      <c r="C60" s="20">
        <v>2.5629702090279789E-8</v>
      </c>
      <c r="D60" s="20">
        <v>3.0725450547288151E-3</v>
      </c>
      <c r="E60" s="20">
        <v>1.2031735266379027E-7</v>
      </c>
      <c r="F60" s="20">
        <v>2.0019661275849572E-4</v>
      </c>
      <c r="G60" s="19">
        <v>512.74040239931173</v>
      </c>
      <c r="H60" s="19">
        <v>83.274140370839191</v>
      </c>
      <c r="I60" s="19">
        <v>7.371454805002928E-4</v>
      </c>
      <c r="J60" s="19">
        <v>-1.5249238623063182E-4</v>
      </c>
      <c r="K60">
        <v>0.85213173814409904</v>
      </c>
      <c r="L60" s="19">
        <v>456.14298345559354</v>
      </c>
      <c r="M60" s="19">
        <v>83.958672907837084</v>
      </c>
      <c r="N60" s="19">
        <v>7.4385348082559857E-4</v>
      </c>
      <c r="O60" s="19">
        <v>-2.3009500023216567E-4</v>
      </c>
      <c r="P60" s="19">
        <v>0.47031630667855928</v>
      </c>
      <c r="Q60" s="19">
        <v>220.55520505978961</v>
      </c>
      <c r="R60" s="19">
        <v>44.667038155039414</v>
      </c>
      <c r="S60" s="19">
        <v>3.8035280428398352E-4</v>
      </c>
      <c r="T60" s="19">
        <v>-1.4513469946871027E-4</v>
      </c>
      <c r="U60" s="19">
        <v>0.2562809203234705</v>
      </c>
      <c r="V60" s="19">
        <v>142.60668138524224</v>
      </c>
      <c r="W60" s="19">
        <v>29.89289448679834</v>
      </c>
      <c r="X60" s="19">
        <v>2.519558786480135E-4</v>
      </c>
      <c r="Y60" s="19">
        <v>-1.0475785301289257E-4</v>
      </c>
      <c r="Z60">
        <v>0.17897344483115221</v>
      </c>
      <c r="AP60" s="127"/>
      <c r="AQ60" s="127"/>
      <c r="AR60" s="127"/>
      <c r="AS60" s="127"/>
      <c r="AT60" s="127"/>
      <c r="AU60" s="127"/>
      <c r="AV60" s="127"/>
      <c r="AW60" s="127"/>
      <c r="AY60" s="127"/>
      <c r="AZ60" s="127"/>
      <c r="CC60" s="126">
        <f t="shared" si="5"/>
        <v>57</v>
      </c>
      <c r="CJ60" s="121"/>
      <c r="CK60" s="121"/>
      <c r="CL60" s="121"/>
      <c r="CM60" s="121"/>
    </row>
    <row r="61" spans="1:91" x14ac:dyDescent="0.25">
      <c r="A61">
        <v>58</v>
      </c>
      <c r="B61" s="121">
        <v>29</v>
      </c>
      <c r="C61" s="20">
        <v>1.8539366262839398E-8</v>
      </c>
      <c r="D61" s="20">
        <v>2.6540733743980866E-3</v>
      </c>
      <c r="E61" s="20">
        <v>7.0256541483690827E-8</v>
      </c>
      <c r="F61" s="20">
        <v>1.2496605482305398E-4</v>
      </c>
      <c r="G61" s="19">
        <v>514.66476792846936</v>
      </c>
      <c r="H61" s="19">
        <v>84.566559794030724</v>
      </c>
      <c r="I61" s="19">
        <v>7.4839759985636286E-4</v>
      </c>
      <c r="J61" s="19">
        <v>-1.5174012662833017E-4</v>
      </c>
      <c r="K61">
        <v>0.86478201990638925</v>
      </c>
      <c r="L61" s="19">
        <v>463.94606637225581</v>
      </c>
      <c r="M61" s="19">
        <v>85.431632081658776</v>
      </c>
      <c r="N61" s="19">
        <v>7.5690354189271415E-4</v>
      </c>
      <c r="O61" s="19">
        <v>-2.3203192278704914E-4</v>
      </c>
      <c r="P61" s="19">
        <v>0.47746197694040715</v>
      </c>
      <c r="Q61" s="19">
        <v>224.86763367122609</v>
      </c>
      <c r="R61" s="19">
        <v>45.450670403373429</v>
      </c>
      <c r="S61" s="19">
        <v>3.8702566049949195E-4</v>
      </c>
      <c r="T61" s="19">
        <v>-1.4710991636052341E-4</v>
      </c>
      <c r="U61" s="19">
        <v>0.2602470789652187</v>
      </c>
      <c r="V61" s="19">
        <v>145.20228622027145</v>
      </c>
      <c r="W61" s="19">
        <v>30.417331232180775</v>
      </c>
      <c r="X61" s="19">
        <v>2.5637615722078571E-4</v>
      </c>
      <c r="Y61" s="19">
        <v>-1.0632498880405908E-4</v>
      </c>
      <c r="Z61">
        <v>0.18175548469883601</v>
      </c>
      <c r="AP61" s="127"/>
      <c r="AQ61" s="127"/>
      <c r="AR61" s="127"/>
      <c r="AS61" s="127"/>
      <c r="AT61" s="127"/>
      <c r="AU61" s="127"/>
      <c r="AV61" s="127"/>
      <c r="AW61" s="127"/>
      <c r="AY61" s="127"/>
      <c r="AZ61" s="127"/>
      <c r="CC61" s="126">
        <f t="shared" si="5"/>
        <v>58</v>
      </c>
      <c r="CJ61" s="121"/>
      <c r="CK61" s="121"/>
      <c r="CL61" s="121"/>
      <c r="CM61" s="121"/>
    </row>
    <row r="62" spans="1:91" x14ac:dyDescent="0.25">
      <c r="A62">
        <v>59</v>
      </c>
      <c r="B62" s="121">
        <v>29.5</v>
      </c>
      <c r="C62" s="20">
        <v>1.3452579758900682E-8</v>
      </c>
      <c r="D62" s="20">
        <v>2.2956333249080506E-3</v>
      </c>
      <c r="E62" s="20">
        <v>4.1407451206506655E-8</v>
      </c>
      <c r="F62" s="20">
        <v>7.7876447717339342E-5</v>
      </c>
      <c r="G62" s="19">
        <v>516.53254686666196</v>
      </c>
      <c r="H62" s="19">
        <v>85.85380576942589</v>
      </c>
      <c r="I62" s="19">
        <v>7.5959845139365488E-4</v>
      </c>
      <c r="J62" s="19">
        <v>-1.5097931146455229E-4</v>
      </c>
      <c r="K62">
        <v>0.87739167140604546</v>
      </c>
      <c r="L62" s="19">
        <v>471.68002263985886</v>
      </c>
      <c r="M62" s="19">
        <v>86.904591255480483</v>
      </c>
      <c r="N62" s="19">
        <v>7.6995360295982994E-4</v>
      </c>
      <c r="O62" s="19">
        <v>-2.3393561100687433E-4</v>
      </c>
      <c r="P62" s="19">
        <v>0.48458731797904275</v>
      </c>
      <c r="Q62" s="19">
        <v>229.1526957641226</v>
      </c>
      <c r="R62" s="19">
        <v>46.234302651707452</v>
      </c>
      <c r="S62" s="19">
        <v>3.9369851671500037E-4</v>
      </c>
      <c r="T62" s="19">
        <v>-1.4907059534474606E-4</v>
      </c>
      <c r="U62" s="19">
        <v>0.26420398975510051</v>
      </c>
      <c r="V62" s="19">
        <v>147.76996246656736</v>
      </c>
      <c r="W62" s="19">
        <v>30.941767977563192</v>
      </c>
      <c r="X62" s="19">
        <v>2.607964357935578E-4</v>
      </c>
      <c r="Y62" s="19">
        <v>-1.0787780469181979E-4</v>
      </c>
      <c r="Z62">
        <v>0.18453194016348207</v>
      </c>
      <c r="AP62" s="127"/>
      <c r="AQ62" s="127"/>
      <c r="AR62" s="127"/>
      <c r="AS62" s="127"/>
      <c r="AT62" s="127"/>
      <c r="AU62" s="127"/>
      <c r="AV62" s="127"/>
      <c r="AW62" s="127"/>
      <c r="AY62" s="127"/>
      <c r="AZ62" s="127"/>
      <c r="CC62" s="126">
        <f t="shared" si="5"/>
        <v>59</v>
      </c>
      <c r="CJ62" s="121"/>
      <c r="CK62" s="121"/>
      <c r="CL62" s="121"/>
      <c r="CM62" s="121"/>
    </row>
    <row r="63" spans="1:91" x14ac:dyDescent="0.25">
      <c r="A63">
        <v>60</v>
      </c>
      <c r="B63" s="121">
        <v>30</v>
      </c>
      <c r="C63" s="20">
        <v>9.7914577032337287E-9</v>
      </c>
      <c r="D63" s="20">
        <v>1.9881825315446909E-3</v>
      </c>
      <c r="E63" s="20">
        <v>2.4548481825732431E-8</v>
      </c>
      <c r="F63" s="20">
        <v>4.8465813876066257E-5</v>
      </c>
      <c r="G63" s="19">
        <v>518.34604164510051</v>
      </c>
      <c r="H63" s="19">
        <v>87.135907243109642</v>
      </c>
      <c r="I63" s="19">
        <v>7.7074833689265215E-4</v>
      </c>
      <c r="J63" s="19">
        <v>-1.5021082381229387E-4</v>
      </c>
      <c r="K63">
        <v>0.8899613964283295</v>
      </c>
      <c r="L63" s="19">
        <v>479.34344414649445</v>
      </c>
      <c r="M63" s="19">
        <v>88.377550429302175</v>
      </c>
      <c r="N63" s="19">
        <v>7.8300366402694562E-4</v>
      </c>
      <c r="O63" s="19">
        <v>-2.3580691935444375E-4</v>
      </c>
      <c r="P63" s="19">
        <v>0.4916926575327728</v>
      </c>
      <c r="Q63" s="19">
        <v>233.40880149359154</v>
      </c>
      <c r="R63" s="19">
        <v>47.017934900041467</v>
      </c>
      <c r="S63" s="19">
        <v>4.003713729305088E-4</v>
      </c>
      <c r="T63" s="19">
        <v>-1.5101615830794685E-4</v>
      </c>
      <c r="U63" s="19">
        <v>0.26815177581335986</v>
      </c>
      <c r="V63" s="19">
        <v>150.30961130357079</v>
      </c>
      <c r="W63" s="19">
        <v>31.466204722945623</v>
      </c>
      <c r="X63" s="19">
        <v>2.6521671436633001E-4</v>
      </c>
      <c r="Y63" s="19">
        <v>-1.0941605059822911E-4</v>
      </c>
      <c r="Z63">
        <v>0.18730288175691334</v>
      </c>
      <c r="AP63" s="127"/>
      <c r="AQ63" s="127"/>
      <c r="AR63" s="127"/>
      <c r="AS63" s="127"/>
      <c r="AT63" s="127"/>
      <c r="AU63" s="127"/>
      <c r="AV63" s="127"/>
      <c r="AW63" s="127"/>
      <c r="AY63" s="127"/>
      <c r="AZ63" s="127"/>
      <c r="CC63" s="126">
        <f t="shared" si="5"/>
        <v>60</v>
      </c>
      <c r="CJ63" s="121"/>
      <c r="CK63" s="121"/>
      <c r="CL63" s="121"/>
      <c r="CM63" s="121"/>
    </row>
    <row r="64" spans="1:91" x14ac:dyDescent="0.25">
      <c r="A64">
        <v>61</v>
      </c>
      <c r="B64" s="121">
        <v>30.5</v>
      </c>
      <c r="C64" s="20">
        <v>7.1481353304894041E-9</v>
      </c>
      <c r="D64" s="20">
        <v>1.7241045074323166E-3</v>
      </c>
      <c r="E64" s="20">
        <v>1.4611584844927895E-8</v>
      </c>
      <c r="F64" s="20">
        <v>3.0131086289337183E-5</v>
      </c>
      <c r="G64" s="19">
        <v>520.10743563052586</v>
      </c>
      <c r="H64" s="19">
        <v>88.412892953269136</v>
      </c>
      <c r="I64" s="19">
        <v>7.8184755590679955E-4</v>
      </c>
      <c r="J64" s="19">
        <v>-1.4943548570848378E-4</v>
      </c>
      <c r="K64">
        <v>0.90249187456649338</v>
      </c>
      <c r="L64" s="19">
        <v>486.93521367515024</v>
      </c>
      <c r="M64" s="19">
        <v>89.850509603123882</v>
      </c>
      <c r="N64" s="19">
        <v>7.9605372509406152E-4</v>
      </c>
      <c r="O64" s="19">
        <v>-2.3764667921316872E-4</v>
      </c>
      <c r="P64" s="19">
        <v>0.49877831391417615</v>
      </c>
      <c r="Q64" s="19">
        <v>237.63458601518798</v>
      </c>
      <c r="R64" s="19">
        <v>47.801567148375504</v>
      </c>
      <c r="S64" s="19">
        <v>4.0704422914601739E-4</v>
      </c>
      <c r="T64" s="19">
        <v>-1.5294611833632495E-4</v>
      </c>
      <c r="U64" s="19">
        <v>0.27209055709192559</v>
      </c>
      <c r="V64" s="19">
        <v>152.82120142473411</v>
      </c>
      <c r="W64" s="19">
        <v>31.99064146832805</v>
      </c>
      <c r="X64" s="19">
        <v>2.6963699293910216E-4</v>
      </c>
      <c r="Y64" s="19">
        <v>-1.1093953228792517E-4</v>
      </c>
      <c r="Z64">
        <v>0.19006837794591477</v>
      </c>
      <c r="AP64" s="127"/>
      <c r="AQ64" s="127"/>
      <c r="AR64" s="127"/>
      <c r="AS64" s="127"/>
      <c r="AT64" s="127"/>
      <c r="AU64" s="127"/>
      <c r="AV64" s="127"/>
      <c r="AW64" s="127"/>
      <c r="AY64" s="127"/>
      <c r="AZ64" s="127"/>
      <c r="CC64" s="126">
        <f t="shared" si="5"/>
        <v>61</v>
      </c>
      <c r="CJ64" s="121"/>
      <c r="CK64" s="121"/>
      <c r="CL64" s="121"/>
      <c r="CM64" s="121"/>
    </row>
    <row r="65" spans="1:91" x14ac:dyDescent="0.25">
      <c r="A65">
        <v>62</v>
      </c>
      <c r="B65" s="121">
        <v>31</v>
      </c>
      <c r="C65" s="20">
        <v>5.2337765146231104E-9</v>
      </c>
      <c r="D65" s="20">
        <v>1.4969739276518216E-3</v>
      </c>
      <c r="E65" s="20">
        <v>8.7226983051200027E-9</v>
      </c>
      <c r="F65" s="20">
        <v>1.8718805628029744E-5</v>
      </c>
      <c r="G65" s="19">
        <v>521.81880056504235</v>
      </c>
      <c r="H65" s="19">
        <v>89.684791432015572</v>
      </c>
      <c r="I65" s="19">
        <v>7.9289640578235462E-4</v>
      </c>
      <c r="J65" s="19">
        <v>-1.4865406257910571E-4</v>
      </c>
      <c r="K65">
        <v>0.91498376236982037</v>
      </c>
      <c r="L65" s="19">
        <v>494.45447027945659</v>
      </c>
      <c r="M65" s="19">
        <v>91.323468776945589</v>
      </c>
      <c r="N65" s="19">
        <v>8.0910378616117732E-4</v>
      </c>
      <c r="O65" s="19">
        <v>-2.3945569889548146E-4</v>
      </c>
      <c r="P65" s="19">
        <v>0.50584459638631885</v>
      </c>
      <c r="Q65" s="19">
        <v>241.82888455004834</v>
      </c>
      <c r="R65" s="19">
        <v>48.585199396709527</v>
      </c>
      <c r="S65" s="19">
        <v>4.1371708536152587E-4</v>
      </c>
      <c r="T65" s="19">
        <v>-1.5486006936133982E-4</v>
      </c>
      <c r="U65" s="19">
        <v>0.27602045051188023</v>
      </c>
      <c r="V65" s="19">
        <v>155.30476016090961</v>
      </c>
      <c r="W65" s="19">
        <v>32.515078213710474</v>
      </c>
      <c r="X65" s="19">
        <v>2.7405727151187431E-4</v>
      </c>
      <c r="Y65" s="19">
        <v>-1.1244810464514675E-4</v>
      </c>
      <c r="Z65">
        <v>0.19282849524144954</v>
      </c>
      <c r="AP65" s="127"/>
      <c r="AQ65" s="127"/>
      <c r="AR65" s="127"/>
      <c r="AS65" s="127"/>
      <c r="AT65" s="127"/>
      <c r="AU65" s="127"/>
      <c r="AV65" s="127"/>
      <c r="AW65" s="127"/>
      <c r="AY65" s="127"/>
      <c r="AZ65" s="127"/>
      <c r="CC65" s="126">
        <f t="shared" si="5"/>
        <v>62</v>
      </c>
      <c r="CJ65" s="121"/>
      <c r="CK65" s="121"/>
      <c r="CL65" s="121"/>
      <c r="CM65" s="121"/>
    </row>
    <row r="66" spans="1:91" x14ac:dyDescent="0.25">
      <c r="A66">
        <v>63</v>
      </c>
      <c r="B66" s="121">
        <v>31.5</v>
      </c>
      <c r="C66" s="20">
        <v>3.8431621783706916E-9</v>
      </c>
      <c r="D66" s="20">
        <v>1.3013621315702988E-3</v>
      </c>
      <c r="E66" s="20">
        <v>5.2198035296554258E-9</v>
      </c>
      <c r="F66" s="20">
        <v>1.1624141011724667E-5</v>
      </c>
      <c r="G66" s="19">
        <v>523.4821034627181</v>
      </c>
      <c r="H66" s="19">
        <v>90.95163100718716</v>
      </c>
      <c r="I66" s="19">
        <v>8.038951816780308E-4</v>
      </c>
      <c r="J66" s="19">
        <v>-1.4786726731030799E-4</v>
      </c>
      <c r="K66">
        <v>0.92743769442372814</v>
      </c>
      <c r="L66" s="19">
        <v>501.90057875142372</v>
      </c>
      <c r="M66" s="19">
        <v>92.796427950767296</v>
      </c>
      <c r="N66" s="19">
        <v>8.2215384722829311E-4</v>
      </c>
      <c r="O66" s="19">
        <v>-2.4123476378228552E-4</v>
      </c>
      <c r="P66" s="19">
        <v>0.5128918055192605</v>
      </c>
      <c r="Q66" s="19">
        <v>245.99071030789625</v>
      </c>
      <c r="R66" s="19">
        <v>49.368831645043549</v>
      </c>
      <c r="S66" s="19">
        <v>4.2038994157703435E-4</v>
      </c>
      <c r="T66" s="19">
        <v>-1.5675767700527518E-4</v>
      </c>
      <c r="U66" s="19">
        <v>0.27994157009183757</v>
      </c>
      <c r="V66" s="19">
        <v>157.7603656933278</v>
      </c>
      <c r="W66" s="19">
        <v>33.039514959092898</v>
      </c>
      <c r="X66" s="19">
        <v>2.7847755008464646E-4</v>
      </c>
      <c r="Y66" s="19">
        <v>-1.1394166574918218E-4</v>
      </c>
      <c r="Z66">
        <v>0.19558329829972665</v>
      </c>
      <c r="AP66" s="127"/>
      <c r="AQ66" s="127"/>
      <c r="AR66" s="127"/>
      <c r="AS66" s="127"/>
      <c r="AT66" s="127"/>
      <c r="AU66" s="127"/>
      <c r="AV66" s="127"/>
      <c r="AW66" s="127"/>
      <c r="AY66" s="127"/>
      <c r="AZ66" s="127"/>
      <c r="CC66" s="126">
        <f t="shared" si="5"/>
        <v>63</v>
      </c>
      <c r="CJ66" s="121"/>
      <c r="CK66" s="121"/>
      <c r="CL66" s="121"/>
      <c r="CM66" s="121"/>
    </row>
    <row r="67" spans="1:91" x14ac:dyDescent="0.25">
      <c r="A67">
        <v>64</v>
      </c>
      <c r="B67" s="121">
        <v>32</v>
      </c>
      <c r="C67" s="20">
        <v>2.8300119404171767E-9</v>
      </c>
      <c r="D67" s="20">
        <v>1.1326756943699835E-3</v>
      </c>
      <c r="E67" s="20">
        <v>3.1303500351245439E-9</v>
      </c>
      <c r="F67" s="20">
        <v>7.2177384504084519E-6</v>
      </c>
      <c r="G67" s="19">
        <v>525.09921300821111</v>
      </c>
      <c r="H67" s="19">
        <v>92.213439804134495</v>
      </c>
      <c r="I67" s="19">
        <v>8.1484417658443447E-4</v>
      </c>
      <c r="J67" s="19">
        <v>-1.470757639968857E-4</v>
      </c>
      <c r="K67">
        <v>0.93985428436674134</v>
      </c>
      <c r="L67" s="19">
        <v>509.33869933105672</v>
      </c>
      <c r="M67" s="19">
        <v>94.269387124588988</v>
      </c>
      <c r="N67" s="19">
        <v>8.3520390829540869E-4</v>
      </c>
      <c r="O67" s="19">
        <v>-2.4289200752862752E-4</v>
      </c>
      <c r="P67" s="19">
        <v>0.51992023352817518</v>
      </c>
      <c r="Q67" s="19">
        <v>250.11923491397167</v>
      </c>
      <c r="R67" s="19">
        <v>50.152463893377579</v>
      </c>
      <c r="S67" s="19">
        <v>4.2706279779254288E-4</v>
      </c>
      <c r="T67" s="19">
        <v>-1.586386704771427E-4</v>
      </c>
      <c r="U67" s="19">
        <v>0.2838540270680262</v>
      </c>
      <c r="V67" s="19">
        <v>160.18814021608571</v>
      </c>
      <c r="W67" s="19">
        <v>33.563951704475336</v>
      </c>
      <c r="X67" s="19">
        <v>2.8289782865741872E-4</v>
      </c>
      <c r="Y67" s="19">
        <v>-1.1542015164735399E-4</v>
      </c>
      <c r="Z67">
        <v>0.1983328500158717</v>
      </c>
      <c r="AP67" s="127"/>
      <c r="AQ67" s="127"/>
      <c r="AR67" s="127"/>
      <c r="AS67" s="127"/>
      <c r="AT67" s="127"/>
      <c r="AU67" s="127"/>
      <c r="AV67" s="127"/>
      <c r="AW67" s="127"/>
      <c r="AY67" s="127"/>
      <c r="AZ67" s="127"/>
      <c r="CC67" s="126">
        <f t="shared" si="5"/>
        <v>64</v>
      </c>
      <c r="CJ67" s="121"/>
      <c r="CK67" s="121"/>
      <c r="CL67" s="121"/>
      <c r="CM67" s="121"/>
    </row>
    <row r="68" spans="1:91" x14ac:dyDescent="0.25">
      <c r="A68">
        <v>65</v>
      </c>
      <c r="B68" s="121">
        <v>32.5</v>
      </c>
      <c r="C68" s="20">
        <v>2.0897265455890161E-9</v>
      </c>
      <c r="D68" s="20">
        <v>9.8702222826611537E-4</v>
      </c>
      <c r="E68" s="20">
        <v>1.8811113971799365E-9</v>
      </c>
      <c r="F68" s="20">
        <v>4.4827203879372553E-6</v>
      </c>
      <c r="G68" s="19">
        <v>526.67190549845361</v>
      </c>
      <c r="H68" s="19">
        <v>93.470245747485961</v>
      </c>
      <c r="I68" s="19">
        <v>8.2574368134330002E-4</v>
      </c>
      <c r="J68" s="19">
        <v>-1.4628017139645266E-4</v>
      </c>
      <c r="K68">
        <v>0.95223412584872713</v>
      </c>
      <c r="L68" s="19">
        <v>516.82180145328005</v>
      </c>
      <c r="M68" s="19">
        <v>95.742346298410695</v>
      </c>
      <c r="N68" s="19">
        <v>8.4825396936252448E-4</v>
      </c>
      <c r="O68" s="19">
        <v>-2.4437193602344268E-4</v>
      </c>
      <c r="P68" s="19">
        <v>0.52693016459430986</v>
      </c>
      <c r="Q68" s="19">
        <v>254.21377103362644</v>
      </c>
      <c r="R68" s="19">
        <v>50.936096141711602</v>
      </c>
      <c r="S68" s="19">
        <v>4.3373565400805131E-4</v>
      </c>
      <c r="T68" s="19">
        <v>-1.6050283538957775E-4</v>
      </c>
      <c r="U68" s="19">
        <v>0.28775793000679323</v>
      </c>
      <c r="V68" s="19">
        <v>162.58824392738501</v>
      </c>
      <c r="W68" s="19">
        <v>34.08838844985776</v>
      </c>
      <c r="X68" s="19">
        <v>2.8731810723019082E-4</v>
      </c>
      <c r="Y68" s="19">
        <v>-1.1688353173841513E-4</v>
      </c>
      <c r="Z68">
        <v>0.20107721161085915</v>
      </c>
      <c r="AP68" s="127"/>
      <c r="AQ68" s="127"/>
      <c r="AR68" s="127"/>
      <c r="AS68" s="127"/>
      <c r="AT68" s="127"/>
      <c r="AU68" s="127"/>
      <c r="AV68" s="127"/>
      <c r="AW68" s="127"/>
      <c r="AY68" s="127"/>
      <c r="AZ68" s="127"/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25">
      <c r="A69">
        <v>66</v>
      </c>
      <c r="B69" s="121">
        <v>33</v>
      </c>
      <c r="C69" s="20">
        <v>1.547278914601359E-9</v>
      </c>
      <c r="D69" s="20">
        <v>8.6109864216420313E-4</v>
      </c>
      <c r="E69" s="20">
        <v>1.1326563810323409E-9</v>
      </c>
      <c r="F69" s="20">
        <v>2.785681443780324E-6</v>
      </c>
      <c r="G69" s="19">
        <v>528.20187036463528</v>
      </c>
      <c r="H69" s="19">
        <v>94.722076562896618</v>
      </c>
      <c r="I69" s="19">
        <v>8.3659398466653012E-4</v>
      </c>
      <c r="J69" s="19">
        <v>-1.4548106611487853E-4</v>
      </c>
      <c r="K69">
        <v>0.96457779343445238</v>
      </c>
      <c r="L69" s="19">
        <v>524.24585315059142</v>
      </c>
      <c r="M69" s="19">
        <v>97.215305472232387</v>
      </c>
      <c r="N69" s="19">
        <v>8.6130403042964016E-4</v>
      </c>
      <c r="O69" s="19">
        <v>-2.4582908096339742E-4</v>
      </c>
      <c r="P69" s="19">
        <v>0.53392187516988687</v>
      </c>
      <c r="Q69" s="19">
        <v>258.2737569290415</v>
      </c>
      <c r="R69" s="19">
        <v>51.719728390045617</v>
      </c>
      <c r="S69" s="19">
        <v>4.4040851022355973E-4</v>
      </c>
      <c r="T69" s="19">
        <v>-1.6235000738465597E-4</v>
      </c>
      <c r="U69" s="19">
        <v>0.29165338491017079</v>
      </c>
      <c r="V69" s="19">
        <v>164.96086974521953</v>
      </c>
      <c r="W69" s="19">
        <v>34.612825195240177</v>
      </c>
      <c r="X69" s="19">
        <v>2.9173838580296292E-4</v>
      </c>
      <c r="Y69" s="19">
        <v>-1.1833180469097594E-4</v>
      </c>
      <c r="Z69">
        <v>0.20381644271230509</v>
      </c>
      <c r="AP69" s="127"/>
      <c r="AQ69" s="127"/>
      <c r="AR69" s="127"/>
      <c r="AS69" s="127"/>
      <c r="AT69" s="127"/>
      <c r="AU69" s="127"/>
      <c r="AV69" s="127"/>
      <c r="AW69" s="127"/>
      <c r="AY69" s="127"/>
      <c r="AZ69" s="127"/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157">
        <v>0</v>
      </c>
      <c r="CK69" s="158">
        <v>0</v>
      </c>
      <c r="CL69" s="158">
        <v>0</v>
      </c>
      <c r="CM69" s="159">
        <v>0</v>
      </c>
    </row>
    <row r="70" spans="1:91" x14ac:dyDescent="0.25">
      <c r="A70">
        <v>67</v>
      </c>
      <c r="B70" s="121">
        <v>33.5</v>
      </c>
      <c r="C70" s="20">
        <v>1.1486896593573764E-9</v>
      </c>
      <c r="D70" s="20">
        <v>7.5209795481859644E-4</v>
      </c>
      <c r="E70" s="20">
        <v>6.833431019463353E-10</v>
      </c>
      <c r="F70" s="20">
        <v>1.7327175026458831E-6</v>
      </c>
      <c r="G70" s="19">
        <v>529.6907153083273</v>
      </c>
      <c r="H70" s="19">
        <v>95.968959778777304</v>
      </c>
      <c r="I70" s="19">
        <v>8.473953731550221E-4</v>
      </c>
      <c r="J70" s="19">
        <v>-1.4467898554612683E-4</v>
      </c>
      <c r="K70">
        <v>0.97688584345618068</v>
      </c>
      <c r="L70" s="19">
        <v>531.60975766415231</v>
      </c>
      <c r="M70" s="19">
        <v>98.688264646054108</v>
      </c>
      <c r="N70" s="19">
        <v>8.7435409149675617E-4</v>
      </c>
      <c r="O70" s="19">
        <v>-2.4726397039369477E-4</v>
      </c>
      <c r="P70" s="19">
        <v>0.54089563426798026</v>
      </c>
      <c r="Q70" s="19">
        <v>262.29874271736509</v>
      </c>
      <c r="R70" s="19">
        <v>52.503360638379647</v>
      </c>
      <c r="S70" s="19">
        <v>4.4708136643906827E-4</v>
      </c>
      <c r="T70" s="19">
        <v>-1.6418006647133608E-4</v>
      </c>
      <c r="U70" s="19">
        <v>0.29554049531508042</v>
      </c>
      <c r="V70" s="19">
        <v>167.30623865724294</v>
      </c>
      <c r="W70" s="19">
        <v>35.137261940622608</v>
      </c>
      <c r="X70" s="19">
        <v>2.9615866437573512E-4</v>
      </c>
      <c r="Y70" s="19">
        <v>-1.1976499483161173E-4</v>
      </c>
      <c r="Z70">
        <v>0.20655060142965492</v>
      </c>
      <c r="AP70" s="127"/>
      <c r="AQ70" s="127"/>
      <c r="AR70" s="127"/>
      <c r="AS70" s="127"/>
      <c r="AT70" s="127"/>
      <c r="AU70" s="127"/>
      <c r="AV70" s="127"/>
      <c r="AW70" s="127"/>
      <c r="AY70" s="127"/>
      <c r="AZ70" s="127"/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5">
        <v>0</v>
      </c>
    </row>
    <row r="71" spans="1:91" x14ac:dyDescent="0.25">
      <c r="A71">
        <v>68</v>
      </c>
      <c r="B71" s="121">
        <v>34</v>
      </c>
      <c r="C71" s="20">
        <v>8.5500652567720466E-10</v>
      </c>
      <c r="D71" s="20">
        <v>6.5763146026944289E-4</v>
      </c>
      <c r="E71" s="20">
        <v>4.1308432840657209E-10</v>
      </c>
      <c r="F71" s="20">
        <v>1.079189639070676E-6</v>
      </c>
      <c r="G71" s="19">
        <v>531.13997108252534</v>
      </c>
      <c r="H71" s="19">
        <v>97.210922728007972</v>
      </c>
      <c r="I71" s="19">
        <v>8.5814813131732028E-4</v>
      </c>
      <c r="J71" s="19">
        <v>-1.4387443058742555E-4</v>
      </c>
      <c r="K71">
        <v>0.98915881481873968</v>
      </c>
      <c r="L71" s="19">
        <v>538.91261978229329</v>
      </c>
      <c r="M71" s="19">
        <v>100.1612238198758</v>
      </c>
      <c r="N71" s="19">
        <v>8.8740415256387186E-4</v>
      </c>
      <c r="O71" s="19">
        <v>-2.4867711932499996E-4</v>
      </c>
      <c r="P71" s="19">
        <v>0.54785170373830594</v>
      </c>
      <c r="Q71" s="19">
        <v>266.28837812946267</v>
      </c>
      <c r="R71" s="19">
        <v>53.286992886713676</v>
      </c>
      <c r="S71" s="19">
        <v>4.537542226545768E-4</v>
      </c>
      <c r="T71" s="19">
        <v>-1.6599293198990266E-4</v>
      </c>
      <c r="U71" s="19">
        <v>0.29941936238669181</v>
      </c>
      <c r="V71" s="19">
        <v>169.62459562656542</v>
      </c>
      <c r="W71" s="19">
        <v>35.661698686005046</v>
      </c>
      <c r="X71" s="19">
        <v>3.0057894294850744E-4</v>
      </c>
      <c r="Y71" s="19">
        <v>-1.2118314894589188E-4</v>
      </c>
      <c r="Z71">
        <v>0.20927974442424768</v>
      </c>
      <c r="AP71" s="127"/>
      <c r="AQ71" s="127"/>
      <c r="AR71" s="127"/>
      <c r="AS71" s="127"/>
      <c r="AT71" s="127"/>
      <c r="AU71" s="127"/>
      <c r="AV71" s="127"/>
      <c r="AW71" s="127"/>
      <c r="AY71" s="127"/>
      <c r="AZ71" s="127"/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5">
        <v>0</v>
      </c>
    </row>
    <row r="72" spans="1:91" x14ac:dyDescent="0.25">
      <c r="A72">
        <v>69</v>
      </c>
      <c r="B72" s="121">
        <v>34.5</v>
      </c>
      <c r="C72" s="20">
        <v>6.3803874530386862E-10</v>
      </c>
      <c r="D72" s="20">
        <v>5.7566361692322021E-4</v>
      </c>
      <c r="E72" s="20">
        <v>2.5020917791899651E-10</v>
      </c>
      <c r="F72" s="20">
        <v>6.7331813233129904E-7</v>
      </c>
      <c r="G72" s="19">
        <v>532.55109594563726</v>
      </c>
      <c r="H72" s="19">
        <v>98.447992549631664</v>
      </c>
      <c r="I72" s="19">
        <v>8.6885254158805645E-4</v>
      </c>
      <c r="J72" s="19">
        <v>-1.4306786814874821E-4</v>
      </c>
      <c r="K72">
        <v>1.0013972297602194</v>
      </c>
      <c r="L72" s="19">
        <v>546.15372430935361</v>
      </c>
      <c r="M72" s="19">
        <v>101.63418299369751</v>
      </c>
      <c r="N72" s="19">
        <v>9.0045421363098765E-4</v>
      </c>
      <c r="O72" s="19">
        <v>-2.5006902976679841E-4</v>
      </c>
      <c r="P72" s="19">
        <v>0.55479033852978821</v>
      </c>
      <c r="Q72" s="19">
        <v>270.24240159415638</v>
      </c>
      <c r="R72" s="19">
        <v>54.070625135047699</v>
      </c>
      <c r="S72" s="19">
        <v>4.6042707887008528E-4</v>
      </c>
      <c r="T72" s="19">
        <v>-1.6778855812966338E-4</v>
      </c>
      <c r="U72" s="19">
        <v>0.30329008500640192</v>
      </c>
      <c r="V72" s="19">
        <v>172.11247400325067</v>
      </c>
      <c r="W72" s="19">
        <v>36.18613543138747</v>
      </c>
      <c r="X72" s="19">
        <v>3.0499922152127954E-4</v>
      </c>
      <c r="Y72" s="19">
        <v>-1.2259386055928621E-4</v>
      </c>
      <c r="Z72">
        <v>0.21200392697468898</v>
      </c>
      <c r="AP72" s="127"/>
      <c r="AQ72" s="127"/>
      <c r="AR72" s="127"/>
      <c r="AS72" s="127"/>
      <c r="AT72" s="127"/>
      <c r="AU72" s="127"/>
      <c r="AV72" s="127"/>
      <c r="AW72" s="127"/>
      <c r="AY72" s="127"/>
      <c r="AZ72" s="127"/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160">
        <v>0</v>
      </c>
      <c r="CK72" s="161">
        <v>0</v>
      </c>
      <c r="CL72" s="161">
        <v>0</v>
      </c>
      <c r="CM72" s="162">
        <v>0</v>
      </c>
    </row>
    <row r="73" spans="1:91" x14ac:dyDescent="0.25">
      <c r="A73">
        <v>70</v>
      </c>
      <c r="B73" s="121">
        <v>35</v>
      </c>
      <c r="C73" s="20">
        <v>4.7732533288633541E-10</v>
      </c>
      <c r="D73" s="20">
        <v>5.044574983070106E-4</v>
      </c>
      <c r="E73" s="20">
        <v>1.5185832948507949E-10</v>
      </c>
      <c r="F73" s="20">
        <v>4.2100512360518431E-7</v>
      </c>
      <c r="G73" s="19">
        <v>533.92547981396388</v>
      </c>
      <c r="H73" s="19">
        <v>99.680196190532484</v>
      </c>
      <c r="I73" s="19">
        <v>8.7950888434621104E-4</v>
      </c>
      <c r="J73" s="19">
        <v>-1.4225973347381198E-4</v>
      </c>
      <c r="K73">
        <v>1.0136015945712209</v>
      </c>
      <c r="L73" s="19">
        <v>553.33251682376772</v>
      </c>
      <c r="M73" s="19">
        <v>103.10714216751921</v>
      </c>
      <c r="N73" s="19">
        <v>9.1350427469810334E-4</v>
      </c>
      <c r="O73" s="19">
        <v>-2.5144019081626672E-4</v>
      </c>
      <c r="P73" s="19">
        <v>0.561711786940713</v>
      </c>
      <c r="Q73" s="19">
        <v>274.16063049496648</v>
      </c>
      <c r="R73" s="19">
        <v>54.854257383381722</v>
      </c>
      <c r="S73" s="19">
        <v>4.6709993508559371E-4</v>
      </c>
      <c r="T73" s="19">
        <v>-1.6956692993552459E-4</v>
      </c>
      <c r="U73" s="19">
        <v>0.30715275985485724</v>
      </c>
      <c r="V73" s="19">
        <v>175.04408371359727</v>
      </c>
      <c r="W73" s="19">
        <v>36.71057217676988</v>
      </c>
      <c r="X73" s="19">
        <v>3.0941950009405158E-4</v>
      </c>
      <c r="Y73" s="19">
        <v>-1.2400951241884145E-4</v>
      </c>
      <c r="Z73">
        <v>0.21472320303792547</v>
      </c>
      <c r="AP73" s="127"/>
      <c r="AQ73" s="127"/>
      <c r="AR73" s="127"/>
      <c r="AS73" s="127"/>
      <c r="AT73" s="127"/>
      <c r="AU73" s="127"/>
      <c r="AV73" s="127"/>
      <c r="AW73" s="127"/>
      <c r="AY73" s="127"/>
      <c r="AZ73" s="127"/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163">
        <v>0</v>
      </c>
      <c r="CK73" s="20">
        <v>0</v>
      </c>
      <c r="CL73" s="20">
        <v>0</v>
      </c>
      <c r="CM73" s="164">
        <v>0</v>
      </c>
    </row>
    <row r="74" spans="1:91" x14ac:dyDescent="0.25">
      <c r="A74">
        <v>71</v>
      </c>
      <c r="B74" s="121">
        <v>35.5</v>
      </c>
      <c r="C74" s="20">
        <v>3.5797378196975236E-10</v>
      </c>
      <c r="D74" s="20">
        <v>4.4252902448750154E-4</v>
      </c>
      <c r="E74" s="20">
        <v>9.2352994323082484E-11</v>
      </c>
      <c r="F74" s="20">
        <v>2.6394001634828986E-7</v>
      </c>
      <c r="G74" s="19">
        <v>535.26444813597766</v>
      </c>
      <c r="H74" s="19">
        <v>100.90756040709572</v>
      </c>
      <c r="I74" s="19">
        <v>8.9011743793318272E-4</v>
      </c>
      <c r="J74" s="19">
        <v>-1.4145043228821973E-4</v>
      </c>
      <c r="K74">
        <v>1.0257724002753426</v>
      </c>
      <c r="L74" s="19">
        <v>560.44858646544549</v>
      </c>
      <c r="M74" s="19">
        <v>104.58010134134091</v>
      </c>
      <c r="N74" s="19">
        <v>9.2655433576521902E-4</v>
      </c>
      <c r="O74" s="19">
        <v>-2.5279107879267842E-4</v>
      </c>
      <c r="P74" s="19">
        <v>0.56861629085719778</v>
      </c>
      <c r="Q74" s="19">
        <v>278.04295246546985</v>
      </c>
      <c r="R74" s="19">
        <v>55.637889631715737</v>
      </c>
      <c r="S74" s="19">
        <v>4.7377279130110213E-4</v>
      </c>
      <c r="T74" s="19">
        <v>-1.7132805974715053E-4</v>
      </c>
      <c r="U74" s="19">
        <v>0.31100748149039803</v>
      </c>
      <c r="V74" s="19">
        <v>177.98440182026428</v>
      </c>
      <c r="W74" s="19">
        <v>37.235008922152325</v>
      </c>
      <c r="X74" s="19">
        <v>3.1383977866682389E-4</v>
      </c>
      <c r="Y74" s="19">
        <v>-1.2542498423442113E-4</v>
      </c>
      <c r="Z74">
        <v>0.21743762530637253</v>
      </c>
      <c r="AP74" s="127"/>
      <c r="AQ74" s="127"/>
      <c r="AR74" s="127"/>
      <c r="AS74" s="127"/>
      <c r="AT74" s="127"/>
      <c r="AU74" s="127"/>
      <c r="AV74" s="127"/>
      <c r="AW74" s="127"/>
      <c r="AY74" s="127"/>
      <c r="AZ74" s="127"/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5">
        <v>0</v>
      </c>
    </row>
    <row r="75" spans="1:91" x14ac:dyDescent="0.25">
      <c r="A75">
        <v>72</v>
      </c>
      <c r="B75" s="121">
        <v>36</v>
      </c>
      <c r="C75" s="20">
        <v>2.6911464140587664E-10</v>
      </c>
      <c r="D75" s="20">
        <v>3.8860850464794954E-4</v>
      </c>
      <c r="E75" s="20">
        <v>5.6278929493255826E-11</v>
      </c>
      <c r="F75" s="20">
        <v>1.6599499053993934E-7</v>
      </c>
      <c r="G75" s="19">
        <v>536.56926550968717</v>
      </c>
      <c r="H75" s="19">
        <v>102.1301117668514</v>
      </c>
      <c r="I75" s="19">
        <v>9.0067847867067073E-4</v>
      </c>
      <c r="J75" s="19">
        <v>-1.4064034278894367E-4</v>
      </c>
      <c r="K75">
        <v>1.037910123273408</v>
      </c>
      <c r="L75" s="19">
        <v>567.50165052445107</v>
      </c>
      <c r="M75" s="19">
        <v>106.05306051516261</v>
      </c>
      <c r="N75" s="19">
        <v>9.3960439683233481E-4</v>
      </c>
      <c r="O75" s="19">
        <v>-2.5412215740887724E-4</v>
      </c>
      <c r="P75" s="19">
        <v>0.57550408598067138</v>
      </c>
      <c r="Q75" s="19">
        <v>282.12758665035295</v>
      </c>
      <c r="R75" s="19">
        <v>56.421521880049774</v>
      </c>
      <c r="S75" s="19">
        <v>4.8044564751661067E-4</v>
      </c>
      <c r="T75" s="19">
        <v>-1.7301637707287733E-4</v>
      </c>
      <c r="U75" s="19">
        <v>0.31485434242326743</v>
      </c>
      <c r="V75" s="19">
        <v>180.9311701754913</v>
      </c>
      <c r="W75" s="19">
        <v>37.759445667534742</v>
      </c>
      <c r="X75" s="19">
        <v>3.1826005723959594E-4</v>
      </c>
      <c r="Y75" s="19">
        <v>-1.2683945939020452E-4</v>
      </c>
      <c r="Z75">
        <v>0.22014724526141316</v>
      </c>
      <c r="AP75" s="127"/>
      <c r="AQ75" s="127"/>
      <c r="AR75" s="127"/>
      <c r="AS75" s="127"/>
      <c r="AT75" s="127"/>
      <c r="AU75" s="127"/>
      <c r="AV75" s="127"/>
      <c r="AW75" s="127"/>
      <c r="AY75" s="127"/>
      <c r="AZ75" s="127"/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160">
        <v>0</v>
      </c>
      <c r="CK75" s="161">
        <v>0</v>
      </c>
      <c r="CL75">
        <v>0</v>
      </c>
      <c r="CM75" s="85">
        <v>0</v>
      </c>
    </row>
    <row r="76" spans="1:91" x14ac:dyDescent="0.25">
      <c r="A76">
        <v>73</v>
      </c>
      <c r="B76" s="121">
        <v>36.5</v>
      </c>
      <c r="C76" s="20">
        <v>2.0279321554633336E-10</v>
      </c>
      <c r="D76" s="20">
        <v>3.4160827643457876E-4</v>
      </c>
      <c r="E76" s="20">
        <v>3.4365910839886583E-11</v>
      </c>
      <c r="F76" s="20">
        <v>1.0478336363113587E-7</v>
      </c>
      <c r="G76" s="19">
        <v>537.84113906254652</v>
      </c>
      <c r="H76" s="19">
        <v>103.34787665010064</v>
      </c>
      <c r="I76" s="19">
        <v>9.1119228087836691E-4</v>
      </c>
      <c r="J76" s="19">
        <v>-1.3982981748807136E-4</v>
      </c>
      <c r="K76">
        <v>1.0500152259537234</v>
      </c>
      <c r="L76" s="19">
        <v>574.49154063070341</v>
      </c>
      <c r="M76" s="19">
        <v>107.52601968898432</v>
      </c>
      <c r="N76" s="19">
        <v>9.5265445789945061E-4</v>
      </c>
      <c r="O76" s="19">
        <v>-2.5543387797263953E-4</v>
      </c>
      <c r="P76" s="19">
        <v>0.58237540204499449</v>
      </c>
      <c r="Q76" s="19">
        <v>286.50752147004488</v>
      </c>
      <c r="R76" s="19">
        <v>57.205154128383796</v>
      </c>
      <c r="S76" s="19">
        <v>4.8711850373211915E-4</v>
      </c>
      <c r="T76" s="19">
        <v>-1.7461701499882907E-4</v>
      </c>
      <c r="U76" s="19">
        <v>0.31869343318590287</v>
      </c>
      <c r="V76" s="19">
        <v>183.88372925682111</v>
      </c>
      <c r="W76" s="19">
        <v>38.283882412917173</v>
      </c>
      <c r="X76" s="19">
        <v>3.2268033581236814E-4</v>
      </c>
      <c r="Y76" s="19">
        <v>-1.2823430013824549E-4</v>
      </c>
      <c r="Z76">
        <v>0.22285211322356147</v>
      </c>
      <c r="AP76" s="127"/>
      <c r="AQ76" s="127"/>
      <c r="AR76" s="127"/>
      <c r="AS76" s="127"/>
      <c r="AT76" s="127"/>
      <c r="AU76" s="127"/>
      <c r="AV76" s="127"/>
      <c r="AW76" s="127"/>
      <c r="AY76" s="127"/>
      <c r="AZ76" s="127"/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163">
        <v>0</v>
      </c>
      <c r="CK76" s="20">
        <v>0</v>
      </c>
      <c r="CL76">
        <v>0</v>
      </c>
      <c r="CM76" s="85">
        <v>0</v>
      </c>
    </row>
    <row r="77" spans="1:91" x14ac:dyDescent="0.25">
      <c r="A77">
        <v>74</v>
      </c>
      <c r="B77" s="121">
        <v>37</v>
      </c>
      <c r="C77" s="20">
        <v>1.5317244879478787E-10</v>
      </c>
      <c r="D77" s="20">
        <v>3.0059543695739921E-4</v>
      </c>
      <c r="E77" s="20">
        <v>2.1028142841791286E-11</v>
      </c>
      <c r="F77" s="20">
        <v>6.6427271169317155E-8</v>
      </c>
      <c r="G77" s="19">
        <v>539.08122161171366</v>
      </c>
      <c r="H77" s="19">
        <v>104.56088125152627</v>
      </c>
      <c r="I77" s="19">
        <v>9.2165911689148306E-4</v>
      </c>
      <c r="J77" s="19">
        <v>-1.3901918492257201E-4</v>
      </c>
      <c r="K77">
        <v>1.0620881572705163</v>
      </c>
      <c r="L77" s="19">
        <v>581.41819036848096</v>
      </c>
      <c r="M77" s="19">
        <v>108.99897886280601</v>
      </c>
      <c r="N77" s="19">
        <v>9.6570451896656629E-4</v>
      </c>
      <c r="O77" s="19">
        <v>-2.5672667961184101E-4</v>
      </c>
      <c r="P77" s="19">
        <v>0.58923046302381299</v>
      </c>
      <c r="Q77" s="19">
        <v>290.88945065068083</v>
      </c>
      <c r="R77" s="19">
        <v>57.988786376717812</v>
      </c>
      <c r="S77" s="19">
        <v>4.9379135994762752E-4</v>
      </c>
      <c r="T77" s="19">
        <v>-1.7620927227876348E-4</v>
      </c>
      <c r="U77" s="19">
        <v>0.32252484239958906</v>
      </c>
      <c r="V77" s="19">
        <v>186.84041981002508</v>
      </c>
      <c r="W77" s="19">
        <v>38.808319158299597</v>
      </c>
      <c r="X77" s="19">
        <v>3.2710061438514029E-4</v>
      </c>
      <c r="Y77" s="19">
        <v>-1.2960544165900858E-4</v>
      </c>
      <c r="Z77">
        <v>0.22555227839954897</v>
      </c>
      <c r="AP77" s="127"/>
      <c r="AQ77" s="127"/>
      <c r="AR77" s="127"/>
      <c r="AS77" s="127"/>
      <c r="AT77" s="127"/>
      <c r="AU77" s="127"/>
      <c r="AV77" s="127"/>
      <c r="AW77" s="127"/>
      <c r="AY77" s="127"/>
      <c r="AZ77" s="127"/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5">
        <v>0</v>
      </c>
    </row>
    <row r="78" spans="1:91" x14ac:dyDescent="0.25">
      <c r="A78">
        <v>75</v>
      </c>
      <c r="B78" s="121">
        <v>37.5</v>
      </c>
      <c r="C78" s="20">
        <v>1.1595799389022605E-10</v>
      </c>
      <c r="D78" s="20">
        <v>2.6476883226831614E-4</v>
      </c>
      <c r="E78" s="20">
        <v>1.2893416393903716E-11</v>
      </c>
      <c r="F78" s="20">
        <v>4.2317225015618755E-8</v>
      </c>
      <c r="G78" s="19">
        <v>540.29061462096786</v>
      </c>
      <c r="H78" s="19">
        <v>105.76915158178598</v>
      </c>
      <c r="I78" s="19">
        <v>9.3207925707807274E-4</v>
      </c>
      <c r="J78" s="19">
        <v>-1.3820875124080222E-4</v>
      </c>
      <c r="K78">
        <v>1.0741293532925247</v>
      </c>
      <c r="L78" s="19">
        <v>588.28162416044927</v>
      </c>
      <c r="M78" s="19">
        <v>110.47193803662773</v>
      </c>
      <c r="N78" s="19">
        <v>9.7875458003368219E-4</v>
      </c>
      <c r="O78" s="19">
        <v>-2.5800098951827134E-4</v>
      </c>
      <c r="P78" s="19">
        <v>0.59606948732869103</v>
      </c>
      <c r="Q78" s="19">
        <v>295.27089496664581</v>
      </c>
      <c r="R78" s="19">
        <v>58.772418625051856</v>
      </c>
      <c r="S78" s="19">
        <v>5.0046421616313616E-4</v>
      </c>
      <c r="T78" s="19">
        <v>-1.7779278900805103E-4</v>
      </c>
      <c r="U78" s="19">
        <v>0.32634865683773262</v>
      </c>
      <c r="V78" s="19">
        <v>189.79769730858561</v>
      </c>
      <c r="W78" s="19">
        <v>39.332755903682035</v>
      </c>
      <c r="X78" s="19">
        <v>3.3152089295791255E-4</v>
      </c>
      <c r="Y78" s="19">
        <v>-1.3097506320701734E-4</v>
      </c>
      <c r="Z78">
        <v>0.22824778892657405</v>
      </c>
      <c r="AP78" s="127"/>
      <c r="AQ78" s="127"/>
      <c r="AR78" s="127"/>
      <c r="AS78" s="127"/>
      <c r="AT78" s="127"/>
      <c r="AU78" s="127"/>
      <c r="AV78" s="127"/>
      <c r="AW78" s="127"/>
      <c r="AY78" s="127"/>
      <c r="AZ78" s="127"/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5">
        <v>0</v>
      </c>
    </row>
    <row r="79" spans="1:91" x14ac:dyDescent="0.25">
      <c r="A79">
        <v>76</v>
      </c>
      <c r="B79" s="121">
        <v>38</v>
      </c>
      <c r="C79" s="20">
        <v>8.7982378082512228E-11</v>
      </c>
      <c r="D79" s="20">
        <v>2.3343961362322561E-4</v>
      </c>
      <c r="E79" s="20">
        <v>7.9219360440261257E-12</v>
      </c>
      <c r="F79" s="20">
        <v>2.7106375020981147E-8</v>
      </c>
      <c r="G79" s="19">
        <v>541.47037096923157</v>
      </c>
      <c r="H79" s="19">
        <v>106.97271346909075</v>
      </c>
      <c r="I79" s="19">
        <v>9.4245296985620639E-4</v>
      </c>
      <c r="J79" s="19">
        <v>-1.3739880167552769E-4</v>
      </c>
      <c r="K79">
        <v>1.0861392377235755</v>
      </c>
      <c r="L79" s="19">
        <v>595.08194728417971</v>
      </c>
      <c r="M79" s="19">
        <v>111.94489721044943</v>
      </c>
      <c r="N79" s="19">
        <v>9.9180464110079788E-4</v>
      </c>
      <c r="O79" s="19">
        <v>-2.5925722320573448E-4</v>
      </c>
      <c r="P79" s="19">
        <v>0.60289268799853657</v>
      </c>
      <c r="Q79" s="19">
        <v>299.65067634118378</v>
      </c>
      <c r="R79" s="19">
        <v>59.556050873385871</v>
      </c>
      <c r="S79" s="19">
        <v>5.0713707237864459E-4</v>
      </c>
      <c r="T79" s="19">
        <v>-1.7934781281606156E-4</v>
      </c>
      <c r="U79" s="19">
        <v>0.3301649614859955</v>
      </c>
      <c r="V79" s="19">
        <v>192.75397596755218</v>
      </c>
      <c r="W79" s="19">
        <v>39.857192649064466</v>
      </c>
      <c r="X79" s="19">
        <v>3.3594117153068476E-4</v>
      </c>
      <c r="Y79" s="19">
        <v>-1.3234253522211123E-4</v>
      </c>
      <c r="Z79">
        <v>0.23093869191393099</v>
      </c>
      <c r="AP79" s="127"/>
      <c r="AQ79" s="127"/>
      <c r="AR79" s="127"/>
      <c r="AS79" s="127"/>
      <c r="AT79" s="127"/>
      <c r="AU79" s="127"/>
      <c r="AV79" s="127"/>
      <c r="AW79" s="127"/>
      <c r="AY79" s="127"/>
      <c r="AZ79" s="127"/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165">
        <v>0</v>
      </c>
      <c r="CK79" s="76">
        <v>0</v>
      </c>
      <c r="CL79">
        <v>0</v>
      </c>
      <c r="CM79" s="85">
        <v>0</v>
      </c>
    </row>
    <row r="80" spans="1:91" x14ac:dyDescent="0.25">
      <c r="A80">
        <v>77</v>
      </c>
      <c r="B80" s="121">
        <v>38.5</v>
      </c>
      <c r="C80" s="20">
        <v>6.6903418035850607E-11</v>
      </c>
      <c r="D80" s="20">
        <v>2.0601478543808618E-4</v>
      </c>
      <c r="E80" s="20">
        <v>4.8774446162316546E-12</v>
      </c>
      <c r="F80" s="20">
        <v>1.7469367587027999E-8</v>
      </c>
      <c r="G80" s="19">
        <v>542.62149754441452</v>
      </c>
      <c r="H80" s="19">
        <v>108.17159256076584</v>
      </c>
      <c r="I80" s="19">
        <v>9.5278052171094221E-4</v>
      </c>
      <c r="J80" s="19">
        <v>-1.3658960191238298E-4</v>
      </c>
      <c r="K80">
        <v>1.0981182223968624</v>
      </c>
      <c r="L80" s="19">
        <v>601.81933690005383</v>
      </c>
      <c r="M80" s="19">
        <v>113.41785638427113</v>
      </c>
      <c r="N80" s="19">
        <v>1.0048547021679136E-3</v>
      </c>
      <c r="O80" s="19">
        <v>-2.6049578477874949E-4</v>
      </c>
      <c r="P80" s="19">
        <v>0.60970027288079487</v>
      </c>
      <c r="Q80" s="19">
        <v>304.02698751037667</v>
      </c>
      <c r="R80" s="19">
        <v>60.339683121719894</v>
      </c>
      <c r="S80" s="19">
        <v>5.1380992859415301E-4</v>
      </c>
      <c r="T80" s="19">
        <v>-1.808679852902916E-4</v>
      </c>
      <c r="U80" s="19">
        <v>0.3339738395995015</v>
      </c>
      <c r="V80" s="19">
        <v>195.70780295222872</v>
      </c>
      <c r="W80" s="19">
        <v>40.381629394446875</v>
      </c>
      <c r="X80" s="19">
        <v>3.403614501034568E-4</v>
      </c>
      <c r="Y80" s="19">
        <v>-1.33707283187827E-4</v>
      </c>
      <c r="Z80">
        <v>0.23362503348221611</v>
      </c>
      <c r="AP80" s="127"/>
      <c r="AQ80" s="127"/>
      <c r="AR80" s="127"/>
      <c r="AS80" s="127"/>
      <c r="AT80" s="127"/>
      <c r="AU80" s="127"/>
      <c r="AV80" s="127"/>
      <c r="AW80" s="127"/>
      <c r="AY80" s="127"/>
      <c r="AZ80" s="127"/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5">
        <v>0</v>
      </c>
    </row>
    <row r="81" spans="1:91" x14ac:dyDescent="0.25">
      <c r="A81">
        <v>78</v>
      </c>
      <c r="B81" s="121">
        <v>39</v>
      </c>
      <c r="C81" s="20">
        <v>5.0984906491278556E-11</v>
      </c>
      <c r="D81" s="20">
        <v>1.8198326609371616E-4</v>
      </c>
      <c r="E81" s="20">
        <v>3.0092053307371805E-12</v>
      </c>
      <c r="F81" s="20">
        <v>1.1334342671307784E-8</v>
      </c>
      <c r="G81" s="19">
        <v>543.74495767517362</v>
      </c>
      <c r="H81" s="19">
        <v>109.36581432479746</v>
      </c>
      <c r="I81" s="19">
        <v>9.6306217721114137E-4</v>
      </c>
      <c r="J81" s="19">
        <v>-1.3578139936192436E-4</v>
      </c>
      <c r="K81">
        <v>1.1100667077444994</v>
      </c>
      <c r="L81" s="19">
        <v>608.49403398337586</v>
      </c>
      <c r="M81" s="19">
        <v>114.89081555809285</v>
      </c>
      <c r="N81" s="19">
        <v>1.0179047632350297E-3</v>
      </c>
      <c r="O81" s="19">
        <v>-2.6171706720873967E-4</v>
      </c>
      <c r="P81" s="19">
        <v>0.61649244480484899</v>
      </c>
      <c r="Q81" s="19">
        <v>308.39637408470128</v>
      </c>
      <c r="R81" s="19">
        <v>61.123315370053923</v>
      </c>
      <c r="S81" s="19">
        <v>5.2048278480966155E-4</v>
      </c>
      <c r="T81" s="19">
        <v>-1.8238026366029059E-4</v>
      </c>
      <c r="U81" s="19">
        <v>0.33777537275730962</v>
      </c>
      <c r="V81" s="19">
        <v>198.65784759359872</v>
      </c>
      <c r="W81" s="19">
        <v>40.906066139829306</v>
      </c>
      <c r="X81" s="19">
        <v>3.4478172867622895E-4</v>
      </c>
      <c r="Y81" s="19">
        <v>-1.3506878310168727E-4</v>
      </c>
      <c r="Z81">
        <v>0.23630685880029187</v>
      </c>
      <c r="AP81" s="127"/>
      <c r="AQ81" s="127"/>
      <c r="AR81" s="127"/>
      <c r="AS81" s="127"/>
      <c r="AT81" s="127"/>
      <c r="AU81" s="127"/>
      <c r="AV81" s="127"/>
      <c r="AW81" s="127"/>
      <c r="AY81" s="127"/>
      <c r="AZ81" s="127"/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160">
        <v>0</v>
      </c>
      <c r="CK81" s="156">
        <v>0</v>
      </c>
      <c r="CL81">
        <v>0</v>
      </c>
      <c r="CM81" s="85">
        <v>0</v>
      </c>
    </row>
    <row r="82" spans="1:91" x14ac:dyDescent="0.25">
      <c r="A82">
        <v>79</v>
      </c>
      <c r="B82" s="121">
        <v>39.5</v>
      </c>
      <c r="C82" s="20">
        <v>3.893670637883868E-11</v>
      </c>
      <c r="D82" s="20">
        <v>1.6090406230425701E-4</v>
      </c>
      <c r="E82" s="20">
        <v>1.8604152762457764E-12</v>
      </c>
      <c r="F82" s="20">
        <v>7.4075775906381694E-9</v>
      </c>
      <c r="G82" s="19">
        <v>544.84167341216414</v>
      </c>
      <c r="H82" s="19">
        <v>110.5554040513623</v>
      </c>
      <c r="I82" s="19">
        <v>9.7329819902610391E-4</v>
      </c>
      <c r="J82" s="19">
        <v>-1.3497442434273193E-4</v>
      </c>
      <c r="K82">
        <v>1.1219850832438345</v>
      </c>
      <c r="L82" s="19">
        <v>615.10633606572037</v>
      </c>
      <c r="M82" s="19">
        <v>116.36377473191453</v>
      </c>
      <c r="N82" s="19">
        <v>1.0309548243021451E-3</v>
      </c>
      <c r="O82" s="19">
        <v>-2.62921452615094E-4</v>
      </c>
      <c r="P82" s="19">
        <v>0.6232694017480509</v>
      </c>
      <c r="Q82" s="19">
        <v>312.75710615884742</v>
      </c>
      <c r="R82" s="19">
        <v>61.906947618387946</v>
      </c>
      <c r="S82" s="19">
        <v>5.2715564102517008E-4</v>
      </c>
      <c r="T82" s="19">
        <v>-1.838843592797862E-4</v>
      </c>
      <c r="U82" s="19">
        <v>0.34156964091434011</v>
      </c>
      <c r="V82" s="19">
        <v>201.60289155128999</v>
      </c>
      <c r="W82" s="19">
        <v>41.430502885211737</v>
      </c>
      <c r="X82" s="19">
        <v>3.4920200724900116E-4</v>
      </c>
      <c r="Y82" s="19">
        <v>-1.3642655734655561E-4</v>
      </c>
      <c r="Z82">
        <v>0.23898421212016907</v>
      </c>
      <c r="AP82" s="127"/>
      <c r="AQ82" s="127"/>
      <c r="AR82" s="127"/>
      <c r="AS82" s="127"/>
      <c r="AT82" s="127"/>
      <c r="AU82" s="127"/>
      <c r="AV82" s="127"/>
      <c r="AW82" s="127"/>
      <c r="AY82" s="127"/>
      <c r="AZ82" s="127"/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166">
        <v>0</v>
      </c>
      <c r="CK82" s="156">
        <v>0</v>
      </c>
      <c r="CL82" s="96">
        <v>0</v>
      </c>
      <c r="CM82" s="97">
        <v>0</v>
      </c>
    </row>
    <row r="83" spans="1:91" x14ac:dyDescent="0.25">
      <c r="A83">
        <v>80</v>
      </c>
      <c r="B83" s="121">
        <v>40</v>
      </c>
      <c r="C83" s="20">
        <v>2.9797858011377831E-11</v>
      </c>
      <c r="D83" s="20">
        <v>1.4239622363018464E-4</v>
      </c>
      <c r="E83" s="20">
        <v>1.15256685991703E-12</v>
      </c>
      <c r="F83" s="20">
        <v>4.8791032881543386E-9</v>
      </c>
      <c r="G83" s="19">
        <v>545.91252766942807</v>
      </c>
      <c r="H83" s="19">
        <v>111.74038685434282</v>
      </c>
      <c r="I83" s="19">
        <v>9.8348884794203454E-4</v>
      </c>
      <c r="J83" s="19">
        <v>-1.3416889118238117E-4</v>
      </c>
      <c r="K83">
        <v>1.1338737278418864</v>
      </c>
      <c r="L83" s="19">
        <v>621.65659070123684</v>
      </c>
      <c r="M83" s="19">
        <v>117.83673390573624</v>
      </c>
      <c r="N83" s="19">
        <v>1.044004885369261E-3</v>
      </c>
      <c r="O83" s="19">
        <v>-2.6410931254890158E-4</v>
      </c>
      <c r="P83" s="19">
        <v>0.63003133699476255</v>
      </c>
      <c r="Q83" s="19">
        <v>317.10760240772669</v>
      </c>
      <c r="R83" s="19">
        <v>62.690579866721968</v>
      </c>
      <c r="S83" s="19">
        <v>5.3382849724067851E-4</v>
      </c>
      <c r="T83" s="19">
        <v>-1.8538001628686028E-4</v>
      </c>
      <c r="U83" s="19">
        <v>0.34535672245091309</v>
      </c>
      <c r="V83" s="19">
        <v>204.54181983236586</v>
      </c>
      <c r="W83" s="19">
        <v>41.954939630594161</v>
      </c>
      <c r="X83" s="19">
        <v>3.5362228582177331E-4</v>
      </c>
      <c r="Y83" s="19">
        <v>-1.3778017092403751E-4</v>
      </c>
      <c r="Z83">
        <v>0.24165713680996487</v>
      </c>
      <c r="AP83" s="127"/>
      <c r="AQ83" s="127"/>
      <c r="AR83" s="127"/>
      <c r="AS83" s="127"/>
      <c r="AT83" s="127"/>
      <c r="AU83" s="127"/>
      <c r="AV83" s="127"/>
      <c r="AW83" s="127"/>
      <c r="AY83" s="127"/>
      <c r="AZ83" s="127"/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25">
      <c r="A84">
        <v>81</v>
      </c>
      <c r="B84" s="121">
        <v>40.5</v>
      </c>
      <c r="C84" s="20">
        <v>2.2850911754793562E-11</v>
      </c>
      <c r="D84" s="20">
        <v>1.2613029832539028E-4</v>
      </c>
      <c r="E84" s="20">
        <v>7.1551631968387576E-13</v>
      </c>
      <c r="F84" s="20">
        <v>3.2402408268469126E-9</v>
      </c>
      <c r="G84" s="19">
        <v>546.95836623572393</v>
      </c>
      <c r="H84" s="19">
        <v>112.92078767282716</v>
      </c>
      <c r="I84" s="19">
        <v>9.9363438287835117E-4</v>
      </c>
      <c r="J84" s="19">
        <v>-1.3336499924253522E-4</v>
      </c>
      <c r="K84">
        <v>1.1457330103591912</v>
      </c>
      <c r="L84" s="19">
        <v>627.95242930615746</v>
      </c>
      <c r="M84" s="19">
        <v>119.30969307955795</v>
      </c>
      <c r="N84" s="19">
        <v>1.0570549464363767E-3</v>
      </c>
      <c r="O84" s="19">
        <v>-2.6500161530916528E-4</v>
      </c>
      <c r="P84" s="19">
        <v>0.6367784392887752</v>
      </c>
      <c r="Q84" s="19">
        <v>321.44641824028935</v>
      </c>
      <c r="R84" s="19">
        <v>63.474212115055991</v>
      </c>
      <c r="S84" s="19">
        <v>5.4050135345618704E-4</v>
      </c>
      <c r="T84" s="19">
        <v>-1.8686700878799888E-4</v>
      </c>
      <c r="U84" s="19">
        <v>0.34913669422005439</v>
      </c>
      <c r="V84" s="19">
        <v>207.47361258398837</v>
      </c>
      <c r="W84" s="19">
        <v>42.479376375976585</v>
      </c>
      <c r="X84" s="19">
        <v>3.5804256439454546E-4</v>
      </c>
      <c r="Y84" s="19">
        <v>-1.3912922801507697E-4</v>
      </c>
      <c r="Z84">
        <v>0.24432567538506519</v>
      </c>
      <c r="AP84" s="127"/>
      <c r="AQ84" s="127"/>
      <c r="AR84" s="127"/>
      <c r="AS84" s="127"/>
      <c r="AT84" s="127"/>
      <c r="AU84" s="127"/>
      <c r="AV84" s="127"/>
      <c r="AW84" s="127"/>
      <c r="AY84" s="127"/>
      <c r="AZ84" s="127"/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25">
      <c r="A85">
        <v>82</v>
      </c>
      <c r="B85" s="121">
        <v>41</v>
      </c>
      <c r="C85" s="20">
        <v>1.7558987918586076E-11</v>
      </c>
      <c r="D85" s="20">
        <v>1.1182105704895388E-4</v>
      </c>
      <c r="E85" s="20">
        <v>4.451113692996448E-13</v>
      </c>
      <c r="F85" s="20">
        <v>2.1703765141320448E-9</v>
      </c>
      <c r="G85" s="19">
        <v>547.97999966482541</v>
      </c>
      <c r="H85" s="19">
        <v>114.09663127259351</v>
      </c>
      <c r="I85" s="19">
        <v>1.0037350609038117E-3</v>
      </c>
      <c r="J85" s="19">
        <v>-1.3256293387388401E-4</v>
      </c>
      <c r="K85">
        <v>1.1575632898742465</v>
      </c>
      <c r="L85" s="19">
        <v>633.98554779001211</v>
      </c>
      <c r="M85" s="19">
        <v>120.78265225337965</v>
      </c>
      <c r="N85" s="19">
        <v>1.0701050075034926E-3</v>
      </c>
      <c r="O85" s="19">
        <v>-2.6558048185987304E-4</v>
      </c>
      <c r="P85" s="19">
        <v>0.64351089297944308</v>
      </c>
      <c r="Q85" s="19">
        <v>325.77223496647355</v>
      </c>
      <c r="R85" s="19">
        <v>64.257844363390021</v>
      </c>
      <c r="S85" s="19">
        <v>5.4717420967169558E-4</v>
      </c>
      <c r="T85" s="19">
        <v>-1.8834513829168491E-4</v>
      </c>
      <c r="U85" s="19">
        <v>0.35290963159270816</v>
      </c>
      <c r="V85" s="19">
        <v>210.39733758663149</v>
      </c>
      <c r="W85" s="19">
        <v>43.003813121359023</v>
      </c>
      <c r="X85" s="19">
        <v>3.6246284296731772E-4</v>
      </c>
      <c r="Y85" s="19">
        <v>-1.4047336883658373E-4</v>
      </c>
      <c r="Z85">
        <v>0.24698986953762497</v>
      </c>
      <c r="AP85" s="127"/>
      <c r="AQ85" s="127"/>
      <c r="AR85" s="127"/>
      <c r="AS85" s="127"/>
      <c r="AT85" s="127"/>
      <c r="AU85" s="127"/>
      <c r="AV85" s="127"/>
      <c r="AW85" s="127"/>
      <c r="AY85" s="127"/>
      <c r="AZ85" s="127"/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25">
      <c r="A86">
        <v>83</v>
      </c>
      <c r="B86" s="121">
        <v>41.5</v>
      </c>
      <c r="C86" s="20">
        <v>1.3519420775686367E-11</v>
      </c>
      <c r="D86" s="20">
        <v>9.9221288672271258E-5</v>
      </c>
      <c r="E86" s="20">
        <v>2.7746720557102217E-13</v>
      </c>
      <c r="F86" s="20">
        <v>1.4665970471854962E-9</v>
      </c>
      <c r="G86" s="19">
        <v>548.97820505311643</v>
      </c>
      <c r="H86" s="19">
        <v>115.26794224757984</v>
      </c>
      <c r="I86" s="19">
        <v>1.0137911372524919E-3</v>
      </c>
      <c r="J86" s="19">
        <v>-1.3176286730618393E-4</v>
      </c>
      <c r="K86">
        <v>1.1693649160896611</v>
      </c>
      <c r="L86" s="19">
        <v>639.94677575376784</v>
      </c>
      <c r="M86" s="19">
        <v>122.25561142720134</v>
      </c>
      <c r="N86" s="19">
        <v>1.0831550685706081E-3</v>
      </c>
      <c r="O86" s="19">
        <v>-2.6614296419214347E-4</v>
      </c>
      <c r="P86" s="19">
        <v>0.65022887816185271</v>
      </c>
      <c r="Q86" s="19">
        <v>330.08384988217296</v>
      </c>
      <c r="R86" s="19">
        <v>65.041476611724036</v>
      </c>
      <c r="S86" s="19">
        <v>5.5384706588720389E-4</v>
      </c>
      <c r="T86" s="19">
        <v>-1.8981423136759922E-4</v>
      </c>
      <c r="U86" s="19">
        <v>0.35667560850098151</v>
      </c>
      <c r="V86" s="19">
        <v>213.31214338215099</v>
      </c>
      <c r="W86" s="19">
        <v>43.528249866741433</v>
      </c>
      <c r="X86" s="19">
        <v>3.6688312154008971E-4</v>
      </c>
      <c r="Y86" s="19">
        <v>-1.4181226676618038E-4</v>
      </c>
      <c r="Z86">
        <v>0.24964976016451668</v>
      </c>
      <c r="AP86" s="127"/>
      <c r="AQ86" s="127"/>
      <c r="AR86" s="127"/>
      <c r="AS86" s="127"/>
      <c r="AT86" s="127"/>
      <c r="AU86" s="127"/>
      <c r="AV86" s="127"/>
      <c r="AW86" s="127"/>
      <c r="AY86" s="127"/>
      <c r="AZ86" s="127"/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25">
      <c r="A87">
        <v>84</v>
      </c>
      <c r="B87" s="121">
        <v>42</v>
      </c>
      <c r="C87" s="20">
        <v>1.0429534487160754E-11</v>
      </c>
      <c r="D87" s="20">
        <v>8.811650380312462E-5</v>
      </c>
      <c r="E87" s="20">
        <v>1.7331899415055902E-13</v>
      </c>
      <c r="F87" s="20">
        <v>9.998796236442199E-10</v>
      </c>
      <c r="G87" s="19">
        <v>549.95372771216591</v>
      </c>
      <c r="H87" s="19">
        <v>116.43474502133911</v>
      </c>
      <c r="I87" s="19">
        <v>1.0238028653395913E-3</v>
      </c>
      <c r="J87" s="19">
        <v>-1.3096495947822077E-4</v>
      </c>
      <c r="K87">
        <v>1.1811382296810584</v>
      </c>
      <c r="L87" s="19">
        <v>645.83737235020055</v>
      </c>
      <c r="M87" s="19">
        <v>123.72857060102305</v>
      </c>
      <c r="N87" s="19">
        <v>1.096205129637724E-3</v>
      </c>
      <c r="O87" s="19">
        <v>-2.6668969082133429E-4</v>
      </c>
      <c r="P87" s="19">
        <v>0.65693257081132805</v>
      </c>
      <c r="Q87" s="19">
        <v>334.38016718691608</v>
      </c>
      <c r="R87" s="19">
        <v>65.825108860058066</v>
      </c>
      <c r="S87" s="19">
        <v>5.6051992210271243E-4</v>
      </c>
      <c r="T87" s="19">
        <v>-1.9127413750999657E-4</v>
      </c>
      <c r="U87" s="19">
        <v>0.36043469747954388</v>
      </c>
      <c r="V87" s="19">
        <v>216.21725297778949</v>
      </c>
      <c r="W87" s="19">
        <v>44.052686612123857</v>
      </c>
      <c r="X87" s="19">
        <v>3.7130340011286186E-4</v>
      </c>
      <c r="Y87" s="19">
        <v>-1.4314562571004789E-4</v>
      </c>
      <c r="Z87">
        <v>0.2523053873938344</v>
      </c>
      <c r="AP87" s="127"/>
      <c r="AQ87" s="127"/>
      <c r="AR87" s="127"/>
      <c r="AS87" s="127"/>
      <c r="AT87" s="127"/>
      <c r="AU87" s="127"/>
      <c r="AV87" s="127"/>
      <c r="AW87" s="127"/>
      <c r="AY87" s="127"/>
      <c r="AZ87" s="127"/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25">
      <c r="A88">
        <v>85</v>
      </c>
      <c r="B88" s="121">
        <v>42.5</v>
      </c>
      <c r="C88" s="20">
        <v>8.0613158843452606E-12</v>
      </c>
      <c r="D88" s="20">
        <v>7.8320407822323623E-5</v>
      </c>
      <c r="E88" s="20">
        <v>1.0848495573696117E-13</v>
      </c>
      <c r="F88" s="20">
        <v>6.877545985985402E-10</v>
      </c>
      <c r="G88" s="19">
        <v>550.90728274337596</v>
      </c>
      <c r="H88" s="19">
        <v>117.59706384847961</v>
      </c>
      <c r="I88" s="19">
        <v>1.0337704967770839E-3</v>
      </c>
      <c r="J88" s="19">
        <v>-1.3016935881212397E-4</v>
      </c>
      <c r="K88">
        <v>1.1928835626296923</v>
      </c>
      <c r="L88" s="19">
        <v>651.65857584739729</v>
      </c>
      <c r="M88" s="19">
        <v>125.20152977484476</v>
      </c>
      <c r="N88" s="19">
        <v>1.1092551907048399E-3</v>
      </c>
      <c r="O88" s="19">
        <v>-2.67221259413883E-4</v>
      </c>
      <c r="P88" s="19">
        <v>0.66362214291254662</v>
      </c>
      <c r="Q88" s="19">
        <v>338.66018965764482</v>
      </c>
      <c r="R88" s="19">
        <v>66.608741108392095</v>
      </c>
      <c r="S88" s="19">
        <v>5.6719277831822096E-4</v>
      </c>
      <c r="T88" s="19">
        <v>-1.9272472718604599E-4</v>
      </c>
      <c r="U88" s="19">
        <v>0.36418696970528769</v>
      </c>
      <c r="V88" s="19">
        <v>219.1119580731951</v>
      </c>
      <c r="W88" s="19">
        <v>44.577123357506302</v>
      </c>
      <c r="X88" s="19">
        <v>3.7572367868563423E-4</v>
      </c>
      <c r="Y88" s="19">
        <v>-1.4447317769140626E-4</v>
      </c>
      <c r="Z88">
        <v>0.25495679061005272</v>
      </c>
      <c r="AP88" s="127"/>
      <c r="AQ88" s="127"/>
      <c r="AR88" s="127"/>
      <c r="AS88" s="127"/>
      <c r="AT88" s="127"/>
      <c r="AU88" s="127"/>
      <c r="AV88" s="127"/>
      <c r="AW88" s="127"/>
      <c r="AY88" s="127"/>
      <c r="AZ88" s="127"/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25">
      <c r="A89">
        <v>86</v>
      </c>
      <c r="B89" s="121">
        <v>43</v>
      </c>
      <c r="C89" s="20">
        <v>6.2426275466839757E-12</v>
      </c>
      <c r="D89" s="20">
        <v>6.9671027082570227E-5</v>
      </c>
      <c r="E89" s="20">
        <v>6.8042258985146983E-14</v>
      </c>
      <c r="F89" s="20">
        <v>4.7720196049605226E-10</v>
      </c>
      <c r="G89" s="19">
        <v>551.83955652126076</v>
      </c>
      <c r="H89" s="19">
        <v>118.75492281609128</v>
      </c>
      <c r="I89" s="19">
        <v>1.0436942813892125E-3</v>
      </c>
      <c r="J89" s="19">
        <v>-1.2937620293610756E-4</v>
      </c>
      <c r="K89">
        <v>1.2046012385396909</v>
      </c>
      <c r="L89" s="19">
        <v>657.41160328588819</v>
      </c>
      <c r="M89" s="19">
        <v>126.67448894866648</v>
      </c>
      <c r="N89" s="19">
        <v>1.1223052517719556E-3</v>
      </c>
      <c r="O89" s="19">
        <v>-2.6773823863245663E-4</v>
      </c>
      <c r="P89" s="19">
        <v>0.67029776258353979</v>
      </c>
      <c r="Q89" s="19">
        <v>342.92301100971804</v>
      </c>
      <c r="R89" s="19">
        <v>67.392373356726125</v>
      </c>
      <c r="S89" s="19">
        <v>5.738656345337295E-4</v>
      </c>
      <c r="T89" s="19">
        <v>-1.9416589005189199E-4</v>
      </c>
      <c r="U89" s="19">
        <v>0.36793249503535214</v>
      </c>
      <c r="V89" s="19">
        <v>221.99561376287153</v>
      </c>
      <c r="W89" s="19">
        <v>45.101560102888719</v>
      </c>
      <c r="X89" s="19">
        <v>3.8014395725840627E-4</v>
      </c>
      <c r="Y89" s="19">
        <v>-1.4579468063944284E-4</v>
      </c>
      <c r="Z89">
        <v>0.2576040084779268</v>
      </c>
      <c r="AP89" s="127"/>
      <c r="AQ89" s="127"/>
      <c r="AR89" s="127"/>
      <c r="AS89" s="127"/>
      <c r="AT89" s="127"/>
      <c r="AU89" s="127"/>
      <c r="AV89" s="127"/>
      <c r="AW89" s="127"/>
      <c r="AY89" s="127"/>
      <c r="AZ89" s="127"/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25">
      <c r="A90">
        <v>87</v>
      </c>
      <c r="B90" s="121">
        <v>43.5</v>
      </c>
      <c r="C90" s="20">
        <v>4.8432402855673834E-12</v>
      </c>
      <c r="D90" s="20">
        <v>6.2027390191027161E-5</v>
      </c>
      <c r="E90" s="20">
        <v>4.2763227210965386E-14</v>
      </c>
      <c r="F90" s="20">
        <v>3.339176189526567E-10</v>
      </c>
      <c r="G90" s="19">
        <v>552.75120809141799</v>
      </c>
      <c r="H90" s="19">
        <v>119.90834584515756</v>
      </c>
      <c r="I90" s="19">
        <v>1.0535744672278203E-3</v>
      </c>
      <c r="J90" s="19">
        <v>-1.2858561935937985E-4</v>
      </c>
      <c r="K90">
        <v>1.2162915729407675</v>
      </c>
      <c r="L90" s="19">
        <v>663.09765023973489</v>
      </c>
      <c r="M90" s="19">
        <v>128.14744812248813</v>
      </c>
      <c r="N90" s="19">
        <v>1.1353553128390711E-3</v>
      </c>
      <c r="O90" s="19">
        <v>-2.6824116985118922E-4</v>
      </c>
      <c r="P90" s="19">
        <v>0.67695959419481744</v>
      </c>
      <c r="Q90" s="19">
        <v>347.16780888314298</v>
      </c>
      <c r="R90" s="19">
        <v>68.176005605060112</v>
      </c>
      <c r="S90" s="19">
        <v>5.805384907492376E-4</v>
      </c>
      <c r="T90" s="19">
        <v>-1.9559753332094258E-4</v>
      </c>
      <c r="U90" s="19">
        <v>0.37167134204360408</v>
      </c>
      <c r="V90" s="19">
        <v>224.86763367122609</v>
      </c>
      <c r="W90" s="19">
        <v>45.62599684827115</v>
      </c>
      <c r="X90" s="19">
        <v>3.8456423583117848E-4</v>
      </c>
      <c r="Y90" s="19">
        <v>-1.4710991636052341E-4</v>
      </c>
      <c r="Z90">
        <v>0.2602470789652187</v>
      </c>
      <c r="AP90" s="127"/>
      <c r="AQ90" s="127"/>
      <c r="AR90" s="127"/>
      <c r="AS90" s="127"/>
      <c r="AT90" s="127"/>
      <c r="AU90" s="127"/>
      <c r="AV90" s="127"/>
      <c r="AW90" s="127"/>
      <c r="AY90" s="127"/>
      <c r="AZ90" s="127"/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25">
      <c r="A91">
        <v>88</v>
      </c>
      <c r="B91" s="121">
        <v>44</v>
      </c>
      <c r="C91" s="20">
        <v>3.7644252815713704E-12</v>
      </c>
      <c r="D91" s="20">
        <v>5.5266681594179042E-5</v>
      </c>
      <c r="E91" s="20">
        <v>2.6930299075338237E-14</v>
      </c>
      <c r="F91" s="20">
        <v>2.3555332774190893E-10</v>
      </c>
      <c r="G91" s="19">
        <v>553.64287048880692</v>
      </c>
      <c r="H91" s="19">
        <v>121.05735669195337</v>
      </c>
      <c r="I91" s="19">
        <v>1.0634113005875386E-3</v>
      </c>
      <c r="J91" s="19">
        <v>-1.2779772610267356E-4</v>
      </c>
      <c r="K91">
        <v>1.2279548735772041</v>
      </c>
      <c r="L91" s="19">
        <v>668.71789066830638</v>
      </c>
      <c r="M91" s="19">
        <v>129.62040729630985</v>
      </c>
      <c r="N91" s="19">
        <v>1.148405373906187E-3</v>
      </c>
      <c r="O91" s="19">
        <v>-2.6873056875150494E-4</v>
      </c>
      <c r="P91" s="19">
        <v>0.68360779848385511</v>
      </c>
      <c r="Q91" s="19">
        <v>351.39383839816645</v>
      </c>
      <c r="R91" s="19">
        <v>68.959637853394156</v>
      </c>
      <c r="S91" s="19">
        <v>5.8721134696474624E-4</v>
      </c>
      <c r="T91" s="19">
        <v>-1.9701958027044939E-4</v>
      </c>
      <c r="U91" s="19">
        <v>0.37540357805566094</v>
      </c>
      <c r="V91" s="19">
        <v>227.72748548161218</v>
      </c>
      <c r="W91" s="19">
        <v>46.150433593653581</v>
      </c>
      <c r="X91" s="19">
        <v>3.8898451440395068E-4</v>
      </c>
      <c r="Y91" s="19">
        <v>-1.4841868867532357E-4</v>
      </c>
      <c r="Z91">
        <v>0.26288603936432459</v>
      </c>
      <c r="AP91" s="127"/>
      <c r="AQ91" s="127"/>
      <c r="AR91" s="127"/>
      <c r="AS91" s="127"/>
      <c r="AT91" s="127"/>
      <c r="AU91" s="127"/>
      <c r="AV91" s="127"/>
      <c r="AW91" s="127"/>
      <c r="AY91" s="127"/>
      <c r="AZ91" s="127"/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25">
      <c r="A92">
        <v>89</v>
      </c>
      <c r="B92" s="121">
        <v>44.5</v>
      </c>
      <c r="C92" s="20">
        <v>2.9311814794537881E-12</v>
      </c>
      <c r="D92" s="20">
        <v>4.928179750718495E-5</v>
      </c>
      <c r="E92" s="20">
        <v>1.6993662837116722E-14</v>
      </c>
      <c r="F92" s="20">
        <v>1.6744199530912865E-10</v>
      </c>
      <c r="G92" s="19">
        <v>554.51515198152583</v>
      </c>
      <c r="H92" s="19">
        <v>122.20197894942901</v>
      </c>
      <c r="I92" s="19">
        <v>1.0732050260208101E-3</v>
      </c>
      <c r="J92" s="19">
        <v>-1.2701263228757025E-4</v>
      </c>
      <c r="K92">
        <v>1.2395914406838369</v>
      </c>
      <c r="L92" s="19">
        <v>674.2734768470217</v>
      </c>
      <c r="M92" s="19">
        <v>131.09336647013157</v>
      </c>
      <c r="N92" s="19">
        <v>1.1614554349733029E-3</v>
      </c>
      <c r="O92" s="19">
        <v>-2.6920692680807123E-4</v>
      </c>
      <c r="P92" s="19">
        <v>0.69024253266516677</v>
      </c>
      <c r="Q92" s="19">
        <v>355.60042622982832</v>
      </c>
      <c r="R92" s="19">
        <v>69.7432701017282</v>
      </c>
      <c r="S92" s="19">
        <v>5.9388420318025488E-4</v>
      </c>
      <c r="T92" s="19">
        <v>-1.9843196887382947E-4</v>
      </c>
      <c r="U92" s="19">
        <v>0.37912926918253909</v>
      </c>
      <c r="V92" s="19">
        <v>230.57468682453859</v>
      </c>
      <c r="W92" s="19">
        <v>46.674870339036019</v>
      </c>
      <c r="X92" s="19">
        <v>3.9340479297672294E-4</v>
      </c>
      <c r="Y92" s="19">
        <v>-1.497208217071234E-4</v>
      </c>
      <c r="Z92">
        <v>0.26552092631287305</v>
      </c>
      <c r="AP92" s="127"/>
      <c r="AQ92" s="127"/>
      <c r="AR92" s="127"/>
      <c r="AS92" s="127"/>
      <c r="AT92" s="127"/>
      <c r="AU92" s="127"/>
      <c r="AV92" s="127"/>
      <c r="AW92" s="127"/>
      <c r="AY92" s="127"/>
      <c r="AZ92" s="127"/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25">
      <c r="A93">
        <v>90</v>
      </c>
      <c r="B93" s="121">
        <v>45</v>
      </c>
      <c r="C93" s="20">
        <v>2.2864183272947829E-12</v>
      </c>
      <c r="D93" s="20">
        <v>4.3979244993913455E-5</v>
      </c>
      <c r="E93" s="20">
        <v>1.0744936913146753E-14</v>
      </c>
      <c r="F93" s="20">
        <v>1.1988229402042999E-10</v>
      </c>
      <c r="G93" s="19">
        <v>555.36863724490854</v>
      </c>
      <c r="H93" s="19">
        <v>123.34223604857989</v>
      </c>
      <c r="I93" s="19">
        <v>1.0829558863527633E-3</v>
      </c>
      <c r="J93" s="19">
        <v>-1.2623043868754852E-4</v>
      </c>
      <c r="K93">
        <v>1.2512015672497538</v>
      </c>
      <c r="L93" s="19">
        <v>679.76553936671053</v>
      </c>
      <c r="M93" s="19">
        <v>132.56632564395329</v>
      </c>
      <c r="N93" s="19">
        <v>1.174505496040419E-3</v>
      </c>
      <c r="O93" s="19">
        <v>-2.6967071267356709E-4</v>
      </c>
      <c r="P93" s="19">
        <v>0.69686395053616224</v>
      </c>
      <c r="Q93" s="19">
        <v>359.78696515596204</v>
      </c>
      <c r="R93" s="19">
        <v>70.526902350062215</v>
      </c>
      <c r="S93" s="19">
        <v>6.0055705939576331E-4</v>
      </c>
      <c r="T93" s="19">
        <v>-1.9983465054741433E-4</v>
      </c>
      <c r="U93" s="19">
        <v>0.38284848035300079</v>
      </c>
      <c r="V93" s="19">
        <v>233.40880149359154</v>
      </c>
      <c r="W93" s="19">
        <v>47.199307084418422</v>
      </c>
      <c r="X93" s="19">
        <v>3.9782507154949488E-4</v>
      </c>
      <c r="Y93" s="19">
        <v>-1.5101615830794685E-4</v>
      </c>
      <c r="Z93">
        <v>0.26815177581335986</v>
      </c>
      <c r="AP93" s="127"/>
      <c r="AQ93" s="127"/>
      <c r="AR93" s="127"/>
      <c r="AS93" s="127"/>
      <c r="AT93" s="127"/>
      <c r="AU93" s="127"/>
      <c r="AV93" s="127"/>
      <c r="AW93" s="127"/>
      <c r="AY93" s="127"/>
      <c r="AZ93" s="127"/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25">
      <c r="A94">
        <v>91</v>
      </c>
      <c r="B94" s="121">
        <v>45.5</v>
      </c>
      <c r="C94" s="20">
        <v>1.7865926078701755E-12</v>
      </c>
      <c r="D94" s="20">
        <v>3.9277334050607356E-5</v>
      </c>
      <c r="E94" s="20">
        <v>6.8074980127197871E-15</v>
      </c>
      <c r="F94" s="20">
        <v>8.6404994796662463E-11</v>
      </c>
      <c r="G94" s="19">
        <v>556.20388847040306</v>
      </c>
      <c r="H94" s="19">
        <v>124.47815125980519</v>
      </c>
      <c r="I94" s="19">
        <v>1.0926641226959596E-3</v>
      </c>
      <c r="J94" s="19">
        <v>-1.2545123824345472E-4</v>
      </c>
      <c r="K94">
        <v>1.2627855392703504</v>
      </c>
      <c r="L94" s="19">
        <v>685.19518719246355</v>
      </c>
      <c r="M94" s="19">
        <v>134.03928481777498</v>
      </c>
      <c r="N94" s="19">
        <v>1.1875555571075347E-3</v>
      </c>
      <c r="O94" s="19">
        <v>-2.7012237347017869E-4</v>
      </c>
      <c r="P94" s="19">
        <v>0.70347220257899623</v>
      </c>
      <c r="Q94" s="19">
        <v>363.95290903749873</v>
      </c>
      <c r="R94" s="19">
        <v>71.310534598396245</v>
      </c>
      <c r="S94" s="19">
        <v>6.0722991561127184E-4</v>
      </c>
      <c r="T94" s="19">
        <v>-2.0122758900142058E-4</v>
      </c>
      <c r="U94" s="19">
        <v>0.38656127534466705</v>
      </c>
      <c r="V94" s="19">
        <v>236.22943596062947</v>
      </c>
      <c r="W94" s="19">
        <v>47.723743829800853</v>
      </c>
      <c r="X94" s="19">
        <v>4.0224535012226708E-4</v>
      </c>
      <c r="Y94" s="19">
        <v>-1.5230455861050597E-4</v>
      </c>
      <c r="Z94">
        <v>0.27077862325187951</v>
      </c>
      <c r="AP94" s="127"/>
      <c r="AQ94" s="127"/>
      <c r="AR94" s="127"/>
      <c r="AS94" s="127"/>
      <c r="AT94" s="127"/>
      <c r="AU94" s="127"/>
      <c r="AV94" s="127"/>
      <c r="AW94" s="127"/>
      <c r="AY94" s="127"/>
      <c r="AZ94" s="127"/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25">
      <c r="A95">
        <v>92</v>
      </c>
      <c r="B95" s="121">
        <v>46</v>
      </c>
      <c r="C95" s="20">
        <v>1.398428981486493E-12</v>
      </c>
      <c r="D95" s="20">
        <v>3.5104620159207477E-5</v>
      </c>
      <c r="E95" s="20">
        <v>4.3214898826651405E-15</v>
      </c>
      <c r="F95" s="20">
        <v>6.2659861794784973E-11</v>
      </c>
      <c r="G95" s="19">
        <v>557.02144641337873</v>
      </c>
      <c r="H95" s="19">
        <v>125.60974769424821</v>
      </c>
      <c r="I95" s="19">
        <v>1.1023299744649477E-3</v>
      </c>
      <c r="J95" s="19">
        <v>-1.2467511654589146E-4</v>
      </c>
      <c r="K95">
        <v>1.2743436359883533</v>
      </c>
      <c r="L95" s="19">
        <v>690.56350777389423</v>
      </c>
      <c r="M95" s="19">
        <v>135.51224399159668</v>
      </c>
      <c r="N95" s="19">
        <v>1.2006056181746499E-3</v>
      </c>
      <c r="O95" s="19">
        <v>-2.7056233599503444E-4</v>
      </c>
      <c r="P95" s="19">
        <v>0.71006743605858835</v>
      </c>
      <c r="Q95" s="19">
        <v>368.0977681938337</v>
      </c>
      <c r="R95" s="19">
        <v>72.094166846730275</v>
      </c>
      <c r="S95" s="19">
        <v>6.1390277182678038E-4</v>
      </c>
      <c r="T95" s="19">
        <v>-2.0261075918591681E-4</v>
      </c>
      <c r="U95" s="19">
        <v>0.39026771681396483</v>
      </c>
      <c r="V95" s="19">
        <v>239.03623616451259</v>
      </c>
      <c r="W95" s="19">
        <v>48.248180575183291</v>
      </c>
      <c r="X95" s="19">
        <v>4.0666562869503934E-4</v>
      </c>
      <c r="Y95" s="19">
        <v>-1.5358589869506176E-4</v>
      </c>
      <c r="Z95">
        <v>0.273401503416006</v>
      </c>
      <c r="AP95" s="127"/>
      <c r="AQ95" s="127"/>
      <c r="AR95" s="127"/>
      <c r="AS95" s="127"/>
      <c r="AT95" s="127"/>
      <c r="AU95" s="127"/>
      <c r="AV95" s="127"/>
      <c r="AW95" s="127"/>
      <c r="AY95" s="127"/>
      <c r="AZ95" s="127"/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25">
      <c r="A96">
        <v>93</v>
      </c>
      <c r="B96" s="121">
        <v>46.5</v>
      </c>
      <c r="C96" s="20">
        <v>1.0964499471370088E-12</v>
      </c>
      <c r="D96" s="20">
        <v>3.1398561190929935E-5</v>
      </c>
      <c r="E96" s="20">
        <v>2.748762253085783E-15</v>
      </c>
      <c r="F96" s="20">
        <v>4.5696575735509712E-11</v>
      </c>
      <c r="G96" s="19">
        <v>557.82183138370999</v>
      </c>
      <c r="H96" s="19">
        <v>126.73704830512955</v>
      </c>
      <c r="I96" s="19">
        <v>1.1119536793907266E-3</v>
      </c>
      <c r="J96" s="19">
        <v>-1.2390215228682202E-4</v>
      </c>
      <c r="K96">
        <v>1.2858761301244019</v>
      </c>
      <c r="L96" s="19">
        <v>695.87156719968698</v>
      </c>
      <c r="M96" s="19">
        <v>136.98520316541837</v>
      </c>
      <c r="N96" s="19">
        <v>1.2136556792417656E-3</v>
      </c>
      <c r="O96" s="19">
        <v>-2.709910078461674E-4</v>
      </c>
      <c r="P96" s="19">
        <v>0.71664979511698812</v>
      </c>
      <c r="Q96" s="19">
        <v>372.22110513953686</v>
      </c>
      <c r="R96" s="19">
        <v>72.877799095064276</v>
      </c>
      <c r="S96" s="19">
        <v>6.2057562804228869E-4</v>
      </c>
      <c r="T96" s="19">
        <v>-2.039841463234544E-4</v>
      </c>
      <c r="U96" s="19">
        <v>0.39396786632496822</v>
      </c>
      <c r="V96" s="19">
        <v>241.82888455004834</v>
      </c>
      <c r="W96" s="19">
        <v>48.772617320565715</v>
      </c>
      <c r="X96" s="19">
        <v>4.110859072678115E-4</v>
      </c>
      <c r="Y96" s="19">
        <v>-1.5486006936133982E-4</v>
      </c>
      <c r="Z96">
        <v>0.27602045051188023</v>
      </c>
      <c r="AP96" s="127"/>
      <c r="AQ96" s="127"/>
      <c r="AR96" s="127"/>
      <c r="AS96" s="127"/>
      <c r="AT96" s="127"/>
      <c r="AU96" s="127"/>
      <c r="AV96" s="127"/>
      <c r="AW96" s="127"/>
      <c r="AY96" s="127"/>
      <c r="AZ96" s="127"/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25">
      <c r="A97">
        <v>94</v>
      </c>
      <c r="B97" s="121">
        <v>47</v>
      </c>
      <c r="C97" s="20">
        <v>8.6111163969626034E-13</v>
      </c>
      <c r="D97" s="20">
        <v>2.8104357952088862E-5</v>
      </c>
      <c r="E97" s="20">
        <v>1.7518373552265539E-15</v>
      </c>
      <c r="F97" s="20">
        <v>3.3497103815163742E-11</v>
      </c>
      <c r="G97" s="19">
        <v>558.60554418271045</v>
      </c>
      <c r="H97" s="19">
        <v>127.86007588906131</v>
      </c>
      <c r="I97" s="19">
        <v>1.1215354735350145E-3</v>
      </c>
      <c r="J97" s="19">
        <v>-1.2313241768251929E-4</v>
      </c>
      <c r="K97">
        <v>1.297383288097715</v>
      </c>
      <c r="L97" s="19">
        <v>701.12041039013366</v>
      </c>
      <c r="M97" s="19">
        <v>138.45816233924009</v>
      </c>
      <c r="N97" s="19">
        <v>1.2267057403088817E-3</v>
      </c>
      <c r="O97" s="19">
        <v>-2.7140877847502137E-4</v>
      </c>
      <c r="P97" s="19">
        <v>0.72321942086425495</v>
      </c>
      <c r="Q97" s="19">
        <v>376.32253065181203</v>
      </c>
      <c r="R97" s="19">
        <v>73.66143134339832</v>
      </c>
      <c r="S97" s="19">
        <v>6.2724848425779734E-4</v>
      </c>
      <c r="T97" s="19">
        <v>-2.0534774502081125E-4</v>
      </c>
      <c r="U97" s="19">
        <v>0.39766178437718624</v>
      </c>
      <c r="V97" s="19">
        <v>244.60709733601101</v>
      </c>
      <c r="W97" s="19">
        <v>49.297054065948139</v>
      </c>
      <c r="X97" s="19">
        <v>4.1550618584058365E-4</v>
      </c>
      <c r="Y97" s="19">
        <v>-1.5612697499656439E-4</v>
      </c>
      <c r="Z97">
        <v>0.27863549818054356</v>
      </c>
      <c r="AP97" s="127"/>
      <c r="AQ97" s="127"/>
      <c r="AR97" s="127"/>
      <c r="AS97" s="127"/>
      <c r="AT97" s="127"/>
      <c r="AU97" s="127"/>
      <c r="AV97" s="127"/>
      <c r="AW97" s="127"/>
      <c r="AY97" s="127"/>
      <c r="AZ97" s="127"/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25">
      <c r="A98">
        <v>95</v>
      </c>
      <c r="B98" s="121">
        <v>47.5</v>
      </c>
      <c r="C98" s="20">
        <v>6.7739403441086221E-13</v>
      </c>
      <c r="D98" s="20">
        <v>2.5173952234765642E-5</v>
      </c>
      <c r="E98" s="20">
        <v>1.1186607644499714E-15</v>
      </c>
      <c r="F98" s="20">
        <v>2.4669417798260915E-11</v>
      </c>
      <c r="G98" s="19">
        <v>559.37306698974669</v>
      </c>
      <c r="H98" s="19">
        <v>128.978853087353</v>
      </c>
      <c r="I98" s="19">
        <v>1.1310755913044163E-3</v>
      </c>
      <c r="J98" s="19">
        <v>-1.2236597886982803E-4</v>
      </c>
      <c r="K98">
        <v>1.3088653702373501</v>
      </c>
      <c r="L98" s="19">
        <v>706.31106132209391</v>
      </c>
      <c r="M98" s="19">
        <v>139.93112151306181</v>
      </c>
      <c r="N98" s="19">
        <v>1.2397558013759976E-3</v>
      </c>
      <c r="O98" s="19">
        <v>-2.7181602017100454E-4</v>
      </c>
      <c r="P98" s="19">
        <v>0.72977645146600489</v>
      </c>
      <c r="Q98" s="19">
        <v>380.40170014095531</v>
      </c>
      <c r="R98" s="19">
        <v>74.445063591732364</v>
      </c>
      <c r="S98" s="19">
        <v>6.3392134047330598E-4</v>
      </c>
      <c r="T98" s="19">
        <v>-2.0670155845301663E-4</v>
      </c>
      <c r="U98" s="19">
        <v>0.40134953043235544</v>
      </c>
      <c r="V98" s="19">
        <v>247.37062199303833</v>
      </c>
      <c r="W98" s="19">
        <v>49.821490811330577</v>
      </c>
      <c r="X98" s="19">
        <v>4.1992646441335591E-4</v>
      </c>
      <c r="Y98" s="19">
        <v>-1.5738653253150059E-4</v>
      </c>
      <c r="Z98">
        <v>0.28124667951356902</v>
      </c>
      <c r="AP98" s="127"/>
      <c r="AQ98" s="127"/>
      <c r="AR98" s="127"/>
      <c r="AS98" s="127"/>
      <c r="AT98" s="127"/>
      <c r="AU98" s="127"/>
      <c r="AV98" s="127"/>
      <c r="AW98" s="127"/>
      <c r="AY98" s="127"/>
      <c r="AZ98" s="127"/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25">
      <c r="A99">
        <v>96</v>
      </c>
      <c r="B99" s="121">
        <v>48</v>
      </c>
      <c r="C99" s="20">
        <v>5.3373268178504361E-13</v>
      </c>
      <c r="D99" s="20">
        <v>2.2565160100012401E-5</v>
      </c>
      <c r="E99" s="20">
        <v>7.157247254241044E-16</v>
      </c>
      <c r="F99" s="20">
        <v>1.8245373482414909E-11</v>
      </c>
      <c r="G99" s="19">
        <v>560.12486420161952</v>
      </c>
      <c r="H99" s="19">
        <v>130.09340238730178</v>
      </c>
      <c r="I99" s="19">
        <v>1.1405742654644196E-3</v>
      </c>
      <c r="J99" s="19">
        <v>-1.2160289627755524E-4</v>
      </c>
      <c r="K99">
        <v>1.320322630984553</v>
      </c>
      <c r="L99" s="19">
        <v>711.44452328147213</v>
      </c>
      <c r="M99" s="19">
        <v>141.40408068688347</v>
      </c>
      <c r="N99" s="19">
        <v>1.2528058624431131E-3</v>
      </c>
      <c r="O99" s="19">
        <v>-2.72213088983132E-4</v>
      </c>
      <c r="P99" s="19">
        <v>0.73632102222777629</v>
      </c>
      <c r="Q99" s="19">
        <v>384.45831029859727</v>
      </c>
      <c r="R99" s="19">
        <v>75.228695840066351</v>
      </c>
      <c r="S99" s="19">
        <v>6.4059419668881408E-4</v>
      </c>
      <c r="T99" s="19">
        <v>-2.0804559761345825E-4</v>
      </c>
      <c r="U99" s="19">
        <v>0.40503116294028169</v>
      </c>
      <c r="V99" s="19">
        <v>250.11923491397167</v>
      </c>
      <c r="W99" s="19">
        <v>50.345927556713001</v>
      </c>
      <c r="X99" s="19">
        <v>4.2434674298612806E-4</v>
      </c>
      <c r="Y99" s="19">
        <v>-1.586386704771427E-4</v>
      </c>
      <c r="Z99">
        <v>0.2838540270680262</v>
      </c>
      <c r="AP99" s="127"/>
      <c r="AQ99" s="127"/>
      <c r="AR99" s="127"/>
      <c r="AS99" s="127"/>
      <c r="AT99" s="127"/>
      <c r="AU99" s="127"/>
      <c r="AV99" s="127"/>
      <c r="AW99" s="127"/>
      <c r="AY99" s="127"/>
      <c r="AZ99" s="127"/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25">
      <c r="A100">
        <v>97</v>
      </c>
      <c r="B100" s="121">
        <v>48.5</v>
      </c>
      <c r="C100" s="20">
        <v>4.2120765574335262E-13</v>
      </c>
      <c r="D100" s="20">
        <v>2.0240921393588664E-5</v>
      </c>
      <c r="E100" s="20">
        <v>4.5880853966301048E-16</v>
      </c>
      <c r="F100" s="20">
        <v>1.3546274579441301E-11</v>
      </c>
      <c r="G100" s="19">
        <v>560.86138322759621</v>
      </c>
      <c r="H100" s="19">
        <v>131.20374612347118</v>
      </c>
      <c r="I100" s="19">
        <v>1.1500317271532702E-3</v>
      </c>
      <c r="J100" s="19">
        <v>-1.2084322497467792E-4</v>
      </c>
      <c r="K100">
        <v>1.3317553190866205</v>
      </c>
      <c r="L100" s="19">
        <v>716.5217791388676</v>
      </c>
      <c r="M100" s="19">
        <v>142.8770398607052</v>
      </c>
      <c r="N100" s="19">
        <v>1.265855923510229E-3</v>
      </c>
      <c r="O100" s="19">
        <v>-2.7260032558337272E-4</v>
      </c>
      <c r="P100" s="19">
        <v>0.74285326567635401</v>
      </c>
      <c r="Q100" s="19">
        <v>388.49209600079672</v>
      </c>
      <c r="R100" s="19">
        <v>76.012328088400395</v>
      </c>
      <c r="S100" s="19">
        <v>6.4726705290432283E-4</v>
      </c>
      <c r="T100" s="19">
        <v>-2.0937988062444724E-4</v>
      </c>
      <c r="U100" s="19">
        <v>0.40870673936377944</v>
      </c>
      <c r="V100" s="19">
        <v>252.85273926078165</v>
      </c>
      <c r="W100" s="19">
        <v>50.870364302095417</v>
      </c>
      <c r="X100" s="19">
        <v>4.287670215589001E-4</v>
      </c>
      <c r="Y100" s="19">
        <v>-1.5988332803535557E-4</v>
      </c>
      <c r="Z100">
        <v>0.28645757288082213</v>
      </c>
      <c r="AP100" s="127"/>
      <c r="AQ100" s="127"/>
      <c r="AR100" s="127"/>
      <c r="AS100" s="127"/>
      <c r="AT100" s="127"/>
      <c r="AU100" s="127"/>
      <c r="AV100" s="127"/>
      <c r="AW100" s="127"/>
      <c r="AY100" s="127"/>
      <c r="AZ100" s="127"/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25">
      <c r="A101">
        <v>98</v>
      </c>
      <c r="B101" s="121">
        <v>49</v>
      </c>
      <c r="C101" s="20">
        <v>3.3292660100570509E-13</v>
      </c>
      <c r="D101" s="20">
        <v>1.8168649267891271E-5</v>
      </c>
      <c r="E101" s="20">
        <v>2.9467927636290825E-16</v>
      </c>
      <c r="F101" s="20">
        <v>1.0092726959071102E-11</v>
      </c>
      <c r="G101" s="19">
        <v>561.58305524277307</v>
      </c>
      <c r="H101" s="19">
        <v>132.30990647895734</v>
      </c>
      <c r="I101" s="19">
        <v>1.1594482058957078E-3</v>
      </c>
      <c r="J101" s="19">
        <v>-1.2008701499692353E-4</v>
      </c>
      <c r="K101">
        <v>1.3431636777827229</v>
      </c>
      <c r="L101" s="19">
        <v>721.543791644576</v>
      </c>
      <c r="M101" s="19">
        <v>144.34999903452692</v>
      </c>
      <c r="N101" s="19">
        <v>1.2789059845773449E-3</v>
      </c>
      <c r="O101" s="19">
        <v>-2.7297805607593768E-4</v>
      </c>
      <c r="P101" s="19">
        <v>0.74937331163818155</v>
      </c>
      <c r="Q101" s="19">
        <v>392.50282744512799</v>
      </c>
      <c r="R101" s="19">
        <v>76.79596033673441</v>
      </c>
      <c r="S101" s="19">
        <v>6.5393990911983115E-4</v>
      </c>
      <c r="T101" s="19">
        <v>-2.1070443210313402E-4</v>
      </c>
      <c r="U101" s="19">
        <v>0.41237631620275228</v>
      </c>
      <c r="V101" s="19">
        <v>255.57096297364666</v>
      </c>
      <c r="W101" s="19">
        <v>51.394801047477834</v>
      </c>
      <c r="X101" s="19">
        <v>4.3318730013167214E-4</v>
      </c>
      <c r="Y101" s="19">
        <v>-1.6112045427737912E-4</v>
      </c>
      <c r="Z101">
        <v>0.28905734848244818</v>
      </c>
      <c r="AP101" s="127"/>
      <c r="AQ101" s="127"/>
      <c r="AR101" s="127"/>
      <c r="AS101" s="127"/>
      <c r="AT101" s="127"/>
      <c r="AU101" s="127"/>
      <c r="AV101" s="127"/>
      <c r="AW101" s="127"/>
      <c r="AY101" s="127"/>
      <c r="AZ101" s="127"/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25">
      <c r="A102">
        <v>99</v>
      </c>
      <c r="B102" s="121">
        <v>49.5</v>
      </c>
      <c r="C102" s="20">
        <v>2.6355454031103348E-13</v>
      </c>
      <c r="D102" s="20">
        <v>1.6319665837437104E-5</v>
      </c>
      <c r="E102" s="20">
        <v>1.896247479902647E-16</v>
      </c>
      <c r="F102" s="20">
        <v>7.5436902904875246E-12</v>
      </c>
      <c r="G102" s="19">
        <v>562.29029590227094</v>
      </c>
      <c r="H102" s="19">
        <v>133.41190548664201</v>
      </c>
      <c r="I102" s="19">
        <v>1.1688239296165537E-3</v>
      </c>
      <c r="J102" s="19">
        <v>-1.1933431165317367E-4</v>
      </c>
      <c r="K102">
        <v>1.3545479449820677</v>
      </c>
      <c r="L102" s="19">
        <v>726.5115037395625</v>
      </c>
      <c r="M102" s="19">
        <v>145.82295820834861</v>
      </c>
      <c r="N102" s="19">
        <v>1.2919560456444606E-3</v>
      </c>
      <c r="O102" s="19">
        <v>-2.7334659275639881E-4</v>
      </c>
      <c r="P102" s="19">
        <v>0.75588128731499071</v>
      </c>
      <c r="Q102" s="19">
        <v>396.49100758107619</v>
      </c>
      <c r="R102" s="19">
        <v>77.57959258506844</v>
      </c>
      <c r="S102" s="19">
        <v>6.6061276533533968E-4</v>
      </c>
      <c r="T102" s="19">
        <v>-2.1200732729772525E-4</v>
      </c>
      <c r="U102" s="19">
        <v>0.41603994901745328</v>
      </c>
      <c r="V102" s="19">
        <v>258.2737569290415</v>
      </c>
      <c r="W102" s="19">
        <v>51.919237792860272</v>
      </c>
      <c r="X102" s="19">
        <v>4.3760757870444446E-4</v>
      </c>
      <c r="Y102" s="19">
        <v>-1.6235000738465597E-4</v>
      </c>
      <c r="Z102">
        <v>0.29165338491017079</v>
      </c>
      <c r="AP102" s="127"/>
      <c r="AQ102" s="127"/>
      <c r="AR102" s="127"/>
      <c r="AS102" s="127"/>
      <c r="AT102" s="127"/>
      <c r="AU102" s="127"/>
      <c r="AV102" s="127"/>
      <c r="AW102" s="127"/>
      <c r="AY102" s="127"/>
      <c r="AZ102" s="127"/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25">
      <c r="A103">
        <v>100</v>
      </c>
      <c r="B103" s="121">
        <v>50</v>
      </c>
      <c r="C103" s="20">
        <v>2.0895486271267467E-13</v>
      </c>
      <c r="D103" s="20">
        <v>1.4668712094823936E-5</v>
      </c>
      <c r="E103" s="20">
        <v>1.2225380267803984E-16</v>
      </c>
      <c r="F103" s="20">
        <v>5.6549268638067578E-12</v>
      </c>
      <c r="G103" s="19">
        <v>562.98350601859067</v>
      </c>
      <c r="H103" s="19">
        <v>134.50976503043447</v>
      </c>
      <c r="I103" s="19">
        <v>1.1781591246541768E-3</v>
      </c>
      <c r="J103" s="19">
        <v>-1.1858515581302748E-4</v>
      </c>
      <c r="K103">
        <v>1.3659083534347993</v>
      </c>
      <c r="L103" s="19">
        <v>731.42583887943567</v>
      </c>
      <c r="M103" s="19">
        <v>147.2959173821703</v>
      </c>
      <c r="N103" s="19">
        <v>1.3050061067115763E-3</v>
      </c>
      <c r="O103" s="19">
        <v>-2.7370623482421121E-4</v>
      </c>
      <c r="P103" s="19">
        <v>0.76237731735677039</v>
      </c>
      <c r="Q103" s="19">
        <v>400.4574229455053</v>
      </c>
      <c r="R103" s="19">
        <v>78.363224833402469</v>
      </c>
      <c r="S103" s="19">
        <v>6.6728562155084822E-4</v>
      </c>
      <c r="T103" s="19">
        <v>-2.1327116770568336E-4</v>
      </c>
      <c r="U103" s="19">
        <v>0.41969769245096344</v>
      </c>
      <c r="V103" s="19">
        <v>260.96099323484378</v>
      </c>
      <c r="W103" s="19">
        <v>52.443674538242703</v>
      </c>
      <c r="X103" s="19">
        <v>4.4202785727721666E-4</v>
      </c>
      <c r="Y103" s="19">
        <v>-1.6357195394692617E-4</v>
      </c>
      <c r="Z103">
        <v>0.29424571272069627</v>
      </c>
      <c r="AP103" s="127"/>
      <c r="AQ103" s="127"/>
      <c r="AR103" s="127"/>
      <c r="AS103" s="127"/>
      <c r="AT103" s="127"/>
      <c r="AU103" s="127"/>
      <c r="AV103" s="127"/>
      <c r="AW103" s="127"/>
      <c r="AY103" s="127"/>
      <c r="AZ103" s="127"/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25">
      <c r="B104" s="121"/>
      <c r="C104" s="121"/>
      <c r="D104" s="121"/>
      <c r="E104" s="121"/>
      <c r="F104" s="121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25">
      <c r="B105" s="121"/>
      <c r="C105" s="121"/>
      <c r="D105" s="121"/>
      <c r="E105" s="121"/>
      <c r="F105" s="121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25">
      <c r="B106" s="121"/>
      <c r="C106" s="121"/>
      <c r="D106" s="121"/>
      <c r="E106" s="121"/>
      <c r="F106" s="121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25">
      <c r="B107" s="121"/>
      <c r="C107" s="121"/>
      <c r="D107" s="121"/>
      <c r="E107" s="121"/>
      <c r="F107" s="121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25">
      <c r="B108" s="121"/>
      <c r="C108" s="121"/>
      <c r="D108" s="121"/>
      <c r="E108" s="121"/>
      <c r="F108" s="121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25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25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25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25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25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25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25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25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25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25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25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25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25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25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25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25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25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25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25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25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25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25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25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25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25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25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25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25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25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25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25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25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25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25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25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25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25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25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25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25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25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25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25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25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25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25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25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25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25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25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25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25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25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25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25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25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25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25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25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25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25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25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25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25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25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25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25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25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25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25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25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25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25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25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25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25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25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25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25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25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25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25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25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25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25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25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25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25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25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25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25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25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25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25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25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25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25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25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25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25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25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25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25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25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25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25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25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25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25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25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25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25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25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25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25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25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25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25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25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25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25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25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25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25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25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25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25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25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25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25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25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25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25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25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25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25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25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25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25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25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25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25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25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25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25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25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25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25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25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25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25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25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25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25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25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25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25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25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25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25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25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25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25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25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25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25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25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25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25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25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25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25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25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25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25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25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25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25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25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25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25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25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25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25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25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25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25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25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25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25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25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25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25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25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25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25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25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25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25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25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25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25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25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25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25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25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25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25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25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25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25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25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25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25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25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25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25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25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25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25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25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25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25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25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25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25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25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25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25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25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25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25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25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25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25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25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25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25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25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25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25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25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25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25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25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25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25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25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25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25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25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25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25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25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25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25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25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25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25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25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25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25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25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25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25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25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25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25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25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25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25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25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25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25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25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25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25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25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25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25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25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25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25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25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25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25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25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25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25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25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25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25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25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25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25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25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25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25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25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25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25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25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25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25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25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25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25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25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25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25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25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25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25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25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25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25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25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25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25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25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25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25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25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25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25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25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25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25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25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25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25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25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25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25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25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25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25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25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25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25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25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25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25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25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25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25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25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25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25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25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25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25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25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25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25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25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25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25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25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25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25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25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25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25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25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25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25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25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25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25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25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25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25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25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25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25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25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25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25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25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25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25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25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25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25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25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25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25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25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25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25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25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25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25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25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25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25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25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25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25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25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25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25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25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25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25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25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25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25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25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25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25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25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25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25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25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25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25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25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25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25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25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25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25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25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25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25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25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25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25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25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25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25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25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25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25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25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25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25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25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25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25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25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25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25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25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25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25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25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25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25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25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25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25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25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25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25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25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25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25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25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25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25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25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25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25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25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25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25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25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25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25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25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25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25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25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25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25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25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25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25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25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25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25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25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25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25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25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25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25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25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25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25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25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25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25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25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25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25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25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25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25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25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25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25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25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25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25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25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25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25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25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25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25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25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25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25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25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25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25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25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25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25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25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25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25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25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25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25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25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25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25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25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25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25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25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25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25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25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25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25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25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25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25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25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25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25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25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25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25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25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25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25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25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25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25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25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25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25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25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25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25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25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25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25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25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25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25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25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25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25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25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25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25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25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25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25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25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25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25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25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25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25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25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25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25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25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25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25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25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25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25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25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25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25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25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25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25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25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25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25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25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25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25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25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25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25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25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25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25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25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25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25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25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25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25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25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25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25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25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25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25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25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25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25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25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25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25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25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25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25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25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25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25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25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25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25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25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25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25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25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25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25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25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25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25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25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25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25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25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25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25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25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25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25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25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25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25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25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25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25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25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25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25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25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25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25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25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25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25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25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25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25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25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25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25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25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25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25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25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25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25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25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25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25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25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25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25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25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25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25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25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25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25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25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25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25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25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25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25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25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25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25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25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25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25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25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25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25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25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25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25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25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25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25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25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25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25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25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25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25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25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25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25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25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25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25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25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25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25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25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25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25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25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25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25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25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25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25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25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25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25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25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25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25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25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25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25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25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25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25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25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25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25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25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25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25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25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25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25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25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25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25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25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25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25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25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25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25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25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25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25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25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25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25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25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25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25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25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25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25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25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25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25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25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25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25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25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25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25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25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25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25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25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25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25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25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25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25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25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25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25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25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25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25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25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25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25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25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25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25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25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25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25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25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25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25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25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25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25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25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25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25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25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25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25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25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25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25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25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25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25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25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25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25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25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25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25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25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25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25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25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25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25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25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25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25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25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25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25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25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25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25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25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25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25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25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25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25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25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25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25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25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25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25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25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25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25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25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25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25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25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25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25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25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25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25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25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25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25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25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25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25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25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25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25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25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25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25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25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25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25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25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25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25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25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25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25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25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25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25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25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25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25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25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25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25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25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25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25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25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25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25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25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25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25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25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25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25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18">
    <mergeCell ref="BM2:BQ2"/>
    <mergeCell ref="BR2:BV2"/>
    <mergeCell ref="AR2:AS2"/>
    <mergeCell ref="AT2:AU2"/>
    <mergeCell ref="AV2:AW2"/>
    <mergeCell ref="BB2:BF2"/>
    <mergeCell ref="BG2:BK2"/>
    <mergeCell ref="BB4:BK4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AC45"/>
  <sheetViews>
    <sheetView zoomScale="70" zoomScaleNormal="70" workbookViewId="0">
      <selection activeCell="D19" sqref="D19"/>
    </sheetView>
  </sheetViews>
  <sheetFormatPr baseColWidth="10" defaultColWidth="11.5703125" defaultRowHeight="15" x14ac:dyDescent="0.25"/>
  <cols>
    <col min="1" max="1" width="26.5703125" customWidth="1"/>
    <col min="2" max="4" width="13.5703125" customWidth="1"/>
  </cols>
  <sheetData>
    <row r="1" spans="1:29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" customHeight="1" x14ac:dyDescent="0.25">
      <c r="A2" s="129" t="s">
        <v>162</v>
      </c>
      <c r="B2" s="272">
        <v>90</v>
      </c>
      <c r="C2" s="11"/>
      <c r="D2" s="218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ht="15" customHeight="1" x14ac:dyDescent="0.25">
      <c r="A3" s="129" t="s">
        <v>176</v>
      </c>
      <c r="B3" s="273">
        <v>0.35</v>
      </c>
      <c r="C3" s="11"/>
      <c r="D3" s="219" t="s">
        <v>201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369" t="s">
        <v>153</v>
      </c>
      <c r="Q3" s="369"/>
      <c r="R3" s="369"/>
      <c r="S3" s="369" t="s">
        <v>154</v>
      </c>
      <c r="T3" s="369"/>
      <c r="U3" s="369"/>
      <c r="V3" s="11"/>
      <c r="W3" s="11"/>
      <c r="X3" s="11"/>
      <c r="Y3" s="11"/>
      <c r="Z3" s="11"/>
      <c r="AA3" s="11"/>
      <c r="AB3" s="11"/>
      <c r="AC3" s="11"/>
    </row>
    <row r="4" spans="1:29" ht="1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155</v>
      </c>
      <c r="Q4" s="11"/>
      <c r="R4" s="11"/>
      <c r="S4" s="11" t="s">
        <v>155</v>
      </c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" customHeight="1" x14ac:dyDescent="0.25">
      <c r="A5" s="133"/>
      <c r="B5" s="133"/>
      <c r="C5" s="133"/>
      <c r="D5" s="133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 t="s">
        <v>156</v>
      </c>
      <c r="Q5" s="11"/>
      <c r="R5" s="11"/>
      <c r="S5" s="11" t="s">
        <v>157</v>
      </c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ht="15" customHeight="1" x14ac:dyDescent="0.25">
      <c r="A6" s="133"/>
      <c r="B6" s="133"/>
      <c r="C6" s="133"/>
      <c r="D6" s="133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 t="s">
        <v>158</v>
      </c>
      <c r="Q6" s="11"/>
      <c r="R6" s="11"/>
      <c r="S6" s="11" t="s">
        <v>159</v>
      </c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" customHeight="1" x14ac:dyDescent="0.25">
      <c r="A7" s="133"/>
      <c r="B7" s="133"/>
      <c r="C7" s="133"/>
      <c r="D7" s="133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 t="s">
        <v>43</v>
      </c>
      <c r="Q7" s="11"/>
      <c r="R7" s="11"/>
      <c r="S7" s="11" t="s">
        <v>160</v>
      </c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" customHeight="1" x14ac:dyDescent="0.25">
      <c r="A8" s="133"/>
      <c r="B8" s="133"/>
      <c r="C8" s="133"/>
      <c r="D8" s="133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 t="s">
        <v>161</v>
      </c>
      <c r="Q8" s="11"/>
      <c r="R8" s="11"/>
      <c r="S8" s="11" t="s">
        <v>43</v>
      </c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" customHeight="1" x14ac:dyDescent="0.25">
      <c r="A9" s="133"/>
      <c r="B9" s="133"/>
      <c r="C9" s="133"/>
      <c r="D9" s="13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 t="s">
        <v>63</v>
      </c>
      <c r="Q9" s="11"/>
      <c r="R9" s="11"/>
      <c r="S9" s="11" t="s">
        <v>161</v>
      </c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ht="15" customHeight="1" x14ac:dyDescent="0.25">
      <c r="A10" s="133"/>
      <c r="B10" s="133"/>
      <c r="C10" s="133"/>
      <c r="D10" s="133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63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ht="15" customHeight="1" x14ac:dyDescent="0.25">
      <c r="A11" s="133"/>
      <c r="B11" s="133"/>
      <c r="C11" s="133"/>
      <c r="D11" s="133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ht="15" customHeight="1" x14ac:dyDescent="0.25">
      <c r="A12" s="133"/>
      <c r="B12" s="133"/>
      <c r="C12" s="133"/>
      <c r="D12" s="133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ht="15" customHeight="1" x14ac:dyDescent="0.25">
      <c r="A13" s="133"/>
      <c r="B13" s="133"/>
      <c r="C13" s="133"/>
      <c r="D13" s="133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ht="15" customHeight="1" x14ac:dyDescent="0.25">
      <c r="A14" s="133"/>
      <c r="B14" s="133"/>
      <c r="C14" s="133"/>
      <c r="D14" s="133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ht="15" customHeight="1" x14ac:dyDescent="0.25">
      <c r="A15" s="133"/>
      <c r="B15" s="133"/>
      <c r="C15" s="133"/>
      <c r="D15" s="133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ht="15" customHeight="1" x14ac:dyDescent="0.25">
      <c r="A16" s="133"/>
      <c r="B16" s="133"/>
      <c r="C16" s="133"/>
      <c r="D16" s="133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ht="15" customHeight="1" x14ac:dyDescent="0.25">
      <c r="A17" s="274" t="s">
        <v>21</v>
      </c>
      <c r="B17" s="175">
        <v>0</v>
      </c>
      <c r="C17" s="274" t="s">
        <v>23</v>
      </c>
      <c r="D17" s="175">
        <v>36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ht="15" customHeight="1" x14ac:dyDescent="0.25">
      <c r="A18" s="274" t="s">
        <v>22</v>
      </c>
      <c r="B18" s="175">
        <v>18</v>
      </c>
      <c r="C18" s="274" t="s">
        <v>24</v>
      </c>
      <c r="D18" s="175">
        <v>122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ht="15" customHeight="1" x14ac:dyDescent="0.25">
      <c r="A21" s="133"/>
      <c r="B21" s="133"/>
      <c r="C21" s="133"/>
      <c r="D21" s="133"/>
      <c r="E21" s="133"/>
      <c r="F21" s="133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ht="15" customHeight="1" x14ac:dyDescent="0.25">
      <c r="A22" s="275"/>
      <c r="B22" s="275"/>
      <c r="C22" s="234"/>
      <c r="D22" s="234"/>
      <c r="E22" s="234"/>
      <c r="F22" s="23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25">
      <c r="A23" s="275"/>
      <c r="B23" s="275"/>
      <c r="C23" s="234"/>
      <c r="D23" s="234"/>
      <c r="E23" s="234"/>
      <c r="F23" s="234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75" x14ac:dyDescent="0.25">
      <c r="A24" s="133"/>
      <c r="B24" s="133"/>
      <c r="C24" s="133"/>
      <c r="D24" s="133"/>
      <c r="E24" s="133"/>
      <c r="F24" s="13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ht="15.75" x14ac:dyDescent="0.25">
      <c r="A25" s="240"/>
      <c r="B25" s="240"/>
      <c r="C25" s="134"/>
      <c r="D25" s="276"/>
      <c r="E25" s="134"/>
      <c r="F25" s="175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ht="15.75" x14ac:dyDescent="0.25">
      <c r="A26" s="240"/>
      <c r="B26" s="240"/>
      <c r="C26" s="134"/>
      <c r="D26" s="222"/>
      <c r="E26" s="134"/>
      <c r="F26" s="17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</row>
    <row r="38" spans="1:29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:29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:29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:29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</row>
    <row r="45" spans="1:29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zoomScaleNormal="100" workbookViewId="0">
      <selection activeCell="L15" sqref="L15"/>
    </sheetView>
  </sheetViews>
  <sheetFormatPr baseColWidth="10" defaultColWidth="11.42578125" defaultRowHeight="15" x14ac:dyDescent="0.25"/>
  <cols>
    <col min="1" max="1" width="7.85546875" style="188" customWidth="1"/>
    <col min="2" max="2" width="5.7109375" style="188" customWidth="1"/>
    <col min="3" max="3" width="11.140625" style="188" customWidth="1"/>
    <col min="4" max="4" width="14" style="188" customWidth="1"/>
    <col min="5" max="5" width="11.140625" style="188" customWidth="1"/>
    <col min="6" max="6" width="18" style="188" customWidth="1"/>
    <col min="7" max="7" width="12.85546875" style="188" customWidth="1"/>
    <col min="8" max="8" width="16.5703125" style="188" customWidth="1"/>
    <col min="9" max="10" width="11.42578125" style="188"/>
    <col min="11" max="11" width="9.42578125" style="188" customWidth="1"/>
    <col min="12" max="12" width="9.28515625" style="188" customWidth="1"/>
    <col min="13" max="81" width="9.140625" style="188" customWidth="1"/>
    <col min="82" max="16384" width="11.42578125" style="188"/>
  </cols>
  <sheetData>
    <row r="1" spans="1:81" x14ac:dyDescent="0.25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</row>
    <row r="2" spans="1:81" x14ac:dyDescent="0.25">
      <c r="A2" s="187"/>
      <c r="B2" s="187"/>
      <c r="C2" s="187"/>
      <c r="D2" s="187"/>
      <c r="E2" s="187"/>
      <c r="F2" s="187"/>
      <c r="G2" s="187"/>
      <c r="H2" s="187"/>
      <c r="I2" s="187"/>
      <c r="J2" s="189"/>
      <c r="K2" s="189"/>
      <c r="L2" s="189"/>
      <c r="M2" s="190"/>
      <c r="N2" s="189"/>
      <c r="O2" s="189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</row>
    <row r="3" spans="1:81" ht="15.75" x14ac:dyDescent="0.25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1"/>
      <c r="M3" s="192"/>
      <c r="N3" s="193"/>
      <c r="O3" s="194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6"/>
      <c r="AL3" s="194"/>
      <c r="AM3" s="194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5"/>
      <c r="BO3" s="195"/>
      <c r="BP3" s="195"/>
      <c r="BQ3" s="195"/>
      <c r="BR3" s="195"/>
      <c r="BS3" s="195"/>
      <c r="BT3" s="195"/>
      <c r="BU3" s="195"/>
      <c r="BV3" s="195"/>
      <c r="BW3" s="195"/>
      <c r="BX3" s="195"/>
      <c r="BY3" s="195"/>
      <c r="BZ3" s="197"/>
      <c r="CA3" s="187"/>
      <c r="CB3" s="187"/>
      <c r="CC3" s="187"/>
    </row>
    <row r="4" spans="1:81" x14ac:dyDescent="0.25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98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Q4" s="187"/>
      <c r="BR4" s="187"/>
      <c r="BS4" s="187"/>
      <c r="BT4" s="187"/>
      <c r="BU4" s="187"/>
      <c r="BV4" s="187"/>
      <c r="BW4" s="187"/>
      <c r="BX4" s="187"/>
      <c r="BY4" s="187"/>
      <c r="BZ4" s="187"/>
      <c r="CA4" s="187"/>
      <c r="CB4" s="187"/>
      <c r="CC4" s="187"/>
    </row>
    <row r="5" spans="1:81" ht="15.75" customHeight="1" x14ac:dyDescent="0.25">
      <c r="A5" s="187"/>
      <c r="B5"/>
      <c r="C5"/>
      <c r="D5"/>
      <c r="E5"/>
      <c r="F5"/>
      <c r="G5"/>
      <c r="H5"/>
      <c r="I5"/>
      <c r="J5"/>
      <c r="K5"/>
      <c r="L5"/>
      <c r="M5" s="174"/>
      <c r="N5" s="175"/>
      <c r="O5" s="174"/>
      <c r="P5" s="11"/>
      <c r="Q5" s="11"/>
      <c r="R5" s="176"/>
      <c r="S5" s="176"/>
      <c r="T5" s="199"/>
    </row>
    <row r="6" spans="1:81" ht="15" customHeight="1" x14ac:dyDescent="0.25">
      <c r="A6" s="187"/>
      <c r="B6"/>
      <c r="C6"/>
      <c r="D6"/>
      <c r="E6"/>
      <c r="F6"/>
      <c r="G6"/>
      <c r="H6"/>
      <c r="I6" s="376" t="s">
        <v>251</v>
      </c>
      <c r="J6" s="376"/>
      <c r="K6" s="376"/>
      <c r="L6" s="376"/>
      <c r="M6" s="175"/>
      <c r="N6" s="175"/>
      <c r="O6" s="174"/>
      <c r="P6" s="131"/>
      <c r="Q6" s="177"/>
      <c r="R6" s="121"/>
      <c r="S6" s="121"/>
      <c r="T6" s="200"/>
      <c r="U6" s="200"/>
      <c r="V6" s="200"/>
      <c r="Z6" s="201"/>
    </row>
    <row r="7" spans="1:81" ht="19.5" customHeight="1" x14ac:dyDescent="0.25">
      <c r="A7" s="187"/>
      <c r="B7"/>
      <c r="C7" s="370" t="s">
        <v>91</v>
      </c>
      <c r="D7" s="370"/>
      <c r="E7" s="370"/>
      <c r="F7" s="178">
        <f>'Análisis Espectral'!F7</f>
        <v>3</v>
      </c>
      <c r="G7"/>
      <c r="H7"/>
      <c r="I7" s="348" t="s">
        <v>250</v>
      </c>
      <c r="J7" s="348"/>
      <c r="K7" s="347" t="s">
        <v>43</v>
      </c>
      <c r="L7" s="347"/>
      <c r="M7" s="179"/>
      <c r="N7" s="179"/>
      <c r="O7" s="174"/>
      <c r="P7" s="131"/>
      <c r="Q7" s="177"/>
      <c r="R7" s="121"/>
      <c r="S7" s="121"/>
      <c r="T7" s="202"/>
      <c r="U7" s="200"/>
      <c r="V7" s="200"/>
      <c r="Z7" s="201"/>
    </row>
    <row r="8" spans="1:81" ht="27.75" customHeight="1" x14ac:dyDescent="0.25">
      <c r="A8" s="187"/>
      <c r="B8"/>
      <c r="C8"/>
      <c r="D8"/>
      <c r="E8"/>
      <c r="F8" s="170"/>
      <c r="G8"/>
      <c r="H8"/>
      <c r="I8"/>
      <c r="J8"/>
      <c r="K8" s="180"/>
      <c r="L8" s="180"/>
      <c r="M8" s="131"/>
      <c r="N8" s="131"/>
      <c r="O8" s="174"/>
      <c r="P8" s="11"/>
      <c r="Q8" s="11"/>
      <c r="R8" s="121"/>
      <c r="S8" s="121"/>
      <c r="T8" s="200"/>
      <c r="U8" s="200"/>
      <c r="V8" s="200"/>
      <c r="Z8" s="201"/>
    </row>
    <row r="9" spans="1:81" ht="15" customHeight="1" x14ac:dyDescent="0.25">
      <c r="A9" s="187"/>
      <c r="B9"/>
      <c r="C9"/>
      <c r="D9"/>
      <c r="E9"/>
      <c r="F9"/>
      <c r="G9"/>
      <c r="H9"/>
      <c r="I9"/>
      <c r="J9"/>
      <c r="K9"/>
      <c r="L9"/>
      <c r="M9" s="175"/>
      <c r="N9" s="175"/>
      <c r="O9" s="174"/>
      <c r="P9" s="131"/>
      <c r="Q9" s="11"/>
      <c r="R9" s="121"/>
      <c r="S9" s="121"/>
      <c r="T9" s="200"/>
      <c r="U9" s="200"/>
      <c r="V9" s="200"/>
      <c r="Z9" s="201"/>
    </row>
    <row r="10" spans="1:81" ht="15" customHeight="1" x14ac:dyDescent="0.25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 s="175"/>
      <c r="N10" s="175"/>
      <c r="O10" s="11"/>
      <c r="P10" s="181"/>
      <c r="Q10" s="11"/>
      <c r="R10" s="121"/>
      <c r="S10" s="121"/>
      <c r="T10" s="200"/>
      <c r="U10" s="200"/>
      <c r="V10" s="200"/>
    </row>
    <row r="11" spans="1:81" ht="15" customHeight="1" x14ac:dyDescent="0.25">
      <c r="A11" s="187"/>
      <c r="B11"/>
      <c r="C11" s="371" t="s">
        <v>1</v>
      </c>
      <c r="D11" s="372"/>
      <c r="E11" s="372"/>
      <c r="F11" s="373"/>
      <c r="G11" s="374" t="s">
        <v>249</v>
      </c>
      <c r="H11"/>
      <c r="I11"/>
      <c r="J11"/>
      <c r="K11"/>
      <c r="L11"/>
      <c r="M11" s="175"/>
      <c r="N11" s="175"/>
      <c r="O11" s="11"/>
      <c r="P11" s="11"/>
      <c r="Q11" s="11"/>
      <c r="R11" s="121"/>
      <c r="S11" s="121"/>
      <c r="T11" s="200"/>
      <c r="U11" s="200"/>
      <c r="V11" s="200"/>
    </row>
    <row r="12" spans="1:81" ht="15" customHeight="1" x14ac:dyDescent="0.25">
      <c r="A12" s="187"/>
      <c r="B12"/>
      <c r="C12" s="182" t="s">
        <v>149</v>
      </c>
      <c r="D12" s="182" t="s">
        <v>150</v>
      </c>
      <c r="E12" s="182" t="s">
        <v>77</v>
      </c>
      <c r="F12" s="182" t="s">
        <v>178</v>
      </c>
      <c r="G12" s="375"/>
      <c r="H12"/>
      <c r="I12"/>
      <c r="J12"/>
      <c r="K12"/>
      <c r="L12"/>
      <c r="M12" s="175"/>
      <c r="N12" s="175"/>
      <c r="O12" s="174"/>
      <c r="P12" s="11"/>
      <c r="Q12" s="11"/>
      <c r="R12" s="121"/>
      <c r="S12" s="121"/>
      <c r="T12" s="200"/>
      <c r="U12" s="200"/>
      <c r="V12" s="200"/>
    </row>
    <row r="13" spans="1:81" ht="15" customHeight="1" x14ac:dyDescent="0.25">
      <c r="A13" s="187"/>
      <c r="B13"/>
      <c r="C13" s="183">
        <v>1</v>
      </c>
      <c r="D13" s="178" t="str">
        <f>IF('Análisis Espectral'!D13&lt;&gt;"",'Análisis Espectral'!D13,"")</f>
        <v>carpeta</v>
      </c>
      <c r="E13" s="178">
        <f>IF('Análisis Espectral'!E13&lt;&gt;"",'Análisis Espectral'!E13,"")</f>
        <v>10</v>
      </c>
      <c r="F13" s="178">
        <f>IF('Análisis Espectral'!F13&lt;&gt;"",'Análisis Espectral'!F13,"")</f>
        <v>4032</v>
      </c>
      <c r="G13" s="173">
        <v>20</v>
      </c>
      <c r="H13"/>
      <c r="I13"/>
      <c r="J13"/>
      <c r="K13"/>
      <c r="L13"/>
      <c r="M13" s="175"/>
      <c r="N13" s="175"/>
      <c r="O13" s="174"/>
      <c r="P13" s="131"/>
      <c r="Q13" s="11"/>
      <c r="R13" s="121"/>
      <c r="S13" s="121"/>
      <c r="T13" s="200"/>
      <c r="U13" s="200"/>
      <c r="V13" s="200"/>
    </row>
    <row r="14" spans="1:81" ht="15.75" x14ac:dyDescent="0.25">
      <c r="A14" s="187"/>
      <c r="B14"/>
      <c r="C14" s="183">
        <v>2</v>
      </c>
      <c r="D14" s="178" t="str">
        <f>IF('Análisis Espectral'!D14&lt;&gt;"",'Análisis Espectral'!D14,"")</f>
        <v>base</v>
      </c>
      <c r="E14" s="178">
        <f>IF('Análisis Espectral'!E14&lt;&gt;"",'Análisis Espectral'!E14,"")</f>
        <v>40</v>
      </c>
      <c r="F14" s="178">
        <f>IF('Análisis Espectral'!F14&lt;&gt;"",'Análisis Espectral'!F14,"")</f>
        <v>691.2</v>
      </c>
      <c r="G14" s="173">
        <v>20</v>
      </c>
      <c r="H14"/>
      <c r="I14"/>
      <c r="J14"/>
      <c r="K14"/>
      <c r="L14" s="133"/>
      <c r="M14" s="175"/>
      <c r="N14" s="175"/>
      <c r="O14" s="11"/>
      <c r="P14" s="131"/>
      <c r="Q14" s="11"/>
      <c r="R14" s="121"/>
      <c r="S14" s="121"/>
      <c r="T14" s="200"/>
    </row>
    <row r="15" spans="1:81" ht="15" customHeight="1" x14ac:dyDescent="0.25">
      <c r="A15" s="187"/>
      <c r="B15"/>
      <c r="C15" s="183">
        <v>3</v>
      </c>
      <c r="D15" s="178" t="str">
        <f>IF('Análisis Espectral'!D15&lt;&gt;"",'Análisis Espectral'!D15,"")</f>
        <v>Subbase</v>
      </c>
      <c r="E15" s="178">
        <f>IF('Análisis Espectral'!E15&lt;&gt;"",'Análisis Espectral'!E15,"")</f>
        <v>5</v>
      </c>
      <c r="F15" s="178">
        <f>IF('Análisis Espectral'!F15&lt;&gt;"",'Análisis Espectral'!F15,"")</f>
        <v>115.2</v>
      </c>
      <c r="G15" s="173">
        <v>20</v>
      </c>
      <c r="H15"/>
      <c r="I15" s="370" t="s">
        <v>151</v>
      </c>
      <c r="J15" s="370"/>
      <c r="K15" s="370"/>
      <c r="L15" s="203">
        <v>4.2401884423173604</v>
      </c>
      <c r="M15" s="11"/>
      <c r="N15" s="11"/>
      <c r="O15" s="11"/>
      <c r="P15" s="11"/>
      <c r="Q15" s="184"/>
      <c r="R15" s="121"/>
      <c r="S15" s="121"/>
      <c r="T15" s="200"/>
    </row>
    <row r="16" spans="1:81" ht="15" customHeight="1" x14ac:dyDescent="0.25">
      <c r="A16" s="187"/>
      <c r="B16"/>
      <c r="C16" s="183">
        <v>4</v>
      </c>
      <c r="D16" s="178" t="str">
        <f>IF('Análisis Espectral'!D16&lt;&gt;"",'Análisis Espectral'!D16,"")</f>
        <v/>
      </c>
      <c r="E16" s="178" t="str">
        <f>IF('Análisis Espectral'!E16&lt;&gt;"",'Análisis Espectral'!E16,"")</f>
        <v/>
      </c>
      <c r="F16" s="178" t="str">
        <f>IF('Análisis Espectral'!F16&lt;&gt;"",'Análisis Espectral'!F16,"")</f>
        <v/>
      </c>
      <c r="G16" s="173"/>
      <c r="H16"/>
      <c r="I16" s="370" t="s">
        <v>152</v>
      </c>
      <c r="J16" s="370"/>
      <c r="K16" s="370"/>
      <c r="L16" s="203">
        <v>2.7980388138657011</v>
      </c>
      <c r="M16"/>
      <c r="N16"/>
      <c r="O16"/>
      <c r="P16"/>
      <c r="Q16" s="121"/>
      <c r="R16" s="121"/>
      <c r="S16" s="121"/>
      <c r="T16" s="200"/>
    </row>
    <row r="17" spans="1:20" x14ac:dyDescent="0.25">
      <c r="A17" s="187"/>
      <c r="B17"/>
      <c r="C17" s="183">
        <v>5</v>
      </c>
      <c r="D17" s="178" t="str">
        <f>IF('Análisis Espectral'!D17&lt;&gt;"",'Análisis Espectral'!D17,"")</f>
        <v/>
      </c>
      <c r="E17" s="178" t="str">
        <f>IF('Análisis Espectral'!E17&lt;&gt;"",'Análisis Espectral'!E17,"")</f>
        <v/>
      </c>
      <c r="F17" s="178" t="str">
        <f>IF('Análisis Espectral'!F17&lt;&gt;"",'Análisis Espectral'!F17,"")</f>
        <v/>
      </c>
      <c r="G17" s="173"/>
      <c r="H17"/>
      <c r="I17"/>
      <c r="J17" s="185"/>
      <c r="K17"/>
      <c r="L17"/>
      <c r="M17"/>
      <c r="N17"/>
      <c r="O17"/>
      <c r="P17"/>
      <c r="Q17" s="121"/>
      <c r="R17" s="121"/>
      <c r="S17" s="121"/>
      <c r="T17" s="200"/>
    </row>
    <row r="18" spans="1:20" x14ac:dyDescent="0.25">
      <c r="A18" s="187"/>
      <c r="B18"/>
      <c r="C18" s="183">
        <v>6</v>
      </c>
      <c r="D18" s="178" t="str">
        <f>IF('Análisis Espectral'!D18&lt;&gt;"",'Análisis Espectral'!D18,"")</f>
        <v/>
      </c>
      <c r="E18" s="178" t="str">
        <f>IF('Análisis Espectral'!E18&lt;&gt;"",'Análisis Espectral'!E18,"")</f>
        <v/>
      </c>
      <c r="F18" s="178" t="str">
        <f>IF('Análisis Espectral'!F18&lt;&gt;"",'Análisis Espectral'!F18,"")</f>
        <v/>
      </c>
      <c r="G18" s="173"/>
      <c r="H18"/>
      <c r="I18"/>
      <c r="J18" s="185"/>
      <c r="K18"/>
      <c r="L18"/>
      <c r="M18"/>
      <c r="N18"/>
      <c r="O18"/>
      <c r="P18"/>
      <c r="Q18" s="121"/>
      <c r="R18" s="121"/>
      <c r="S18" s="121"/>
      <c r="T18" s="200"/>
    </row>
    <row r="19" spans="1:20" x14ac:dyDescent="0.25">
      <c r="A19" s="187"/>
      <c r="B19"/>
      <c r="C19"/>
      <c r="D19"/>
      <c r="E19"/>
      <c r="F19"/>
      <c r="G19"/>
      <c r="H19"/>
      <c r="I19"/>
      <c r="J19" s="185"/>
      <c r="K19"/>
      <c r="L19"/>
      <c r="M19"/>
      <c r="N19"/>
      <c r="O19"/>
      <c r="P19"/>
      <c r="Q19" s="121"/>
      <c r="R19" s="121"/>
      <c r="S19" s="121"/>
      <c r="T19" s="200"/>
    </row>
    <row r="20" spans="1:20" x14ac:dyDescent="0.25">
      <c r="A20" s="187"/>
      <c r="B20"/>
      <c r="C20"/>
      <c r="D20"/>
      <c r="E20"/>
      <c r="F20"/>
      <c r="G20"/>
      <c r="H20"/>
      <c r="I20"/>
      <c r="J20" s="185"/>
      <c r="K20"/>
      <c r="L20"/>
      <c r="M20"/>
      <c r="N20"/>
      <c r="O20"/>
      <c r="P20"/>
      <c r="Q20" s="121"/>
      <c r="R20" s="121"/>
      <c r="S20" s="121"/>
      <c r="T20" s="200"/>
    </row>
    <row r="21" spans="1:20" x14ac:dyDescent="0.25">
      <c r="A21" s="187"/>
      <c r="B21"/>
      <c r="C21"/>
      <c r="D21"/>
      <c r="E21"/>
      <c r="F21"/>
      <c r="G21"/>
      <c r="H21"/>
      <c r="I21"/>
      <c r="J21" s="185"/>
      <c r="K21"/>
      <c r="L21"/>
      <c r="M21"/>
      <c r="N21"/>
      <c r="O21"/>
      <c r="P21"/>
      <c r="Q21" s="121"/>
      <c r="R21" s="121"/>
      <c r="S21" s="121"/>
      <c r="T21" s="200"/>
    </row>
    <row r="22" spans="1:20" x14ac:dyDescent="0.25">
      <c r="A22" s="187"/>
      <c r="B22"/>
      <c r="C22"/>
      <c r="D22"/>
      <c r="E22"/>
      <c r="F22"/>
      <c r="G22"/>
      <c r="H22"/>
      <c r="I22"/>
      <c r="J22" s="185"/>
      <c r="K22"/>
      <c r="L22"/>
      <c r="M22"/>
      <c r="N22"/>
      <c r="O22"/>
      <c r="P22"/>
      <c r="Q22" s="121"/>
      <c r="R22" s="121"/>
      <c r="S22" s="121"/>
      <c r="T22" s="200"/>
    </row>
    <row r="23" spans="1:20" x14ac:dyDescent="0.25">
      <c r="A23" s="187"/>
      <c r="B23"/>
      <c r="C23"/>
      <c r="D23"/>
      <c r="E23"/>
      <c r="F23"/>
      <c r="G23"/>
      <c r="H23"/>
      <c r="I23"/>
      <c r="J23" s="185"/>
      <c r="K23"/>
      <c r="L23"/>
      <c r="M23"/>
      <c r="N23"/>
      <c r="O23"/>
      <c r="P23"/>
      <c r="Q23" s="121"/>
      <c r="R23" s="121"/>
      <c r="S23" s="121"/>
      <c r="T23" s="200"/>
    </row>
    <row r="24" spans="1:20" x14ac:dyDescent="0.25">
      <c r="A24" s="187"/>
      <c r="B24"/>
      <c r="C24"/>
      <c r="D24"/>
      <c r="E24"/>
      <c r="F24"/>
      <c r="G24"/>
      <c r="H24"/>
      <c r="I24"/>
      <c r="J24" s="185"/>
      <c r="K24"/>
      <c r="L24"/>
      <c r="M24"/>
      <c r="N24"/>
      <c r="O24"/>
      <c r="P24"/>
      <c r="Q24" s="121"/>
      <c r="R24" s="121"/>
      <c r="S24" s="121"/>
      <c r="T24" s="200"/>
    </row>
    <row r="25" spans="1:20" x14ac:dyDescent="0.25">
      <c r="A25" s="187"/>
      <c r="J25" s="204"/>
      <c r="Q25" s="200"/>
      <c r="R25" s="200"/>
      <c r="S25" s="200"/>
      <c r="T25" s="200"/>
    </row>
    <row r="26" spans="1:20" x14ac:dyDescent="0.25">
      <c r="A26" s="187"/>
      <c r="J26" s="204"/>
      <c r="Q26" s="200"/>
      <c r="R26" s="200"/>
      <c r="S26" s="200"/>
      <c r="T26" s="200"/>
    </row>
    <row r="27" spans="1:20" x14ac:dyDescent="0.25">
      <c r="A27" s="187"/>
      <c r="J27" s="204"/>
      <c r="Q27" s="200"/>
      <c r="R27" s="200"/>
      <c r="S27" s="200"/>
      <c r="T27" s="200"/>
    </row>
    <row r="28" spans="1:20" x14ac:dyDescent="0.25">
      <c r="A28" s="187"/>
      <c r="J28" s="204"/>
      <c r="Q28" s="200"/>
      <c r="R28" s="200"/>
      <c r="S28" s="200"/>
      <c r="T28" s="200"/>
    </row>
    <row r="29" spans="1:20" x14ac:dyDescent="0.25">
      <c r="A29" s="187"/>
      <c r="J29" s="204"/>
      <c r="Q29" s="200"/>
      <c r="R29" s="200"/>
      <c r="S29" s="200"/>
      <c r="T29" s="200"/>
    </row>
    <row r="30" spans="1:20" x14ac:dyDescent="0.25">
      <c r="A30" s="187"/>
      <c r="J30" s="204"/>
      <c r="Q30" s="200"/>
      <c r="R30" s="200"/>
      <c r="S30" s="200"/>
      <c r="T30" s="200"/>
    </row>
    <row r="31" spans="1:20" x14ac:dyDescent="0.25">
      <c r="A31" s="187"/>
      <c r="J31" s="204"/>
      <c r="Q31" s="200"/>
      <c r="R31" s="200"/>
      <c r="S31" s="200"/>
      <c r="T31" s="200"/>
    </row>
    <row r="32" spans="1:20" x14ac:dyDescent="0.25">
      <c r="A32" s="187"/>
      <c r="J32" s="204"/>
      <c r="Q32" s="200"/>
      <c r="R32" s="200"/>
      <c r="S32" s="200"/>
      <c r="T32" s="200"/>
    </row>
    <row r="33" spans="1:20" x14ac:dyDescent="0.25">
      <c r="A33" s="187"/>
      <c r="J33" s="204"/>
      <c r="Q33" s="200"/>
      <c r="R33" s="200"/>
      <c r="S33" s="200"/>
      <c r="T33" s="200"/>
    </row>
    <row r="34" spans="1:20" x14ac:dyDescent="0.25">
      <c r="A34" s="187"/>
      <c r="J34" s="204"/>
      <c r="Q34" s="200"/>
      <c r="R34" s="200"/>
      <c r="S34" s="200"/>
      <c r="T34" s="200"/>
    </row>
    <row r="35" spans="1:20" x14ac:dyDescent="0.25">
      <c r="A35" s="187"/>
      <c r="J35" s="204"/>
      <c r="Q35" s="200"/>
      <c r="R35" s="200"/>
      <c r="S35" s="200"/>
      <c r="T35" s="200"/>
    </row>
    <row r="36" spans="1:20" x14ac:dyDescent="0.25">
      <c r="A36" s="187"/>
      <c r="J36" s="204"/>
      <c r="Q36" s="200"/>
      <c r="R36" s="200"/>
      <c r="S36" s="200"/>
      <c r="T36" s="200"/>
    </row>
    <row r="37" spans="1:20" x14ac:dyDescent="0.25">
      <c r="A37" s="187"/>
      <c r="J37" s="204"/>
      <c r="Q37" s="200"/>
      <c r="R37" s="200"/>
      <c r="S37" s="200"/>
      <c r="T37" s="200"/>
    </row>
    <row r="38" spans="1:20" x14ac:dyDescent="0.25">
      <c r="A38" s="187"/>
      <c r="J38" s="204"/>
      <c r="Q38" s="200"/>
      <c r="R38" s="200"/>
      <c r="S38" s="200"/>
      <c r="T38" s="200"/>
    </row>
    <row r="39" spans="1:20" x14ac:dyDescent="0.25">
      <c r="A39" s="187"/>
      <c r="J39" s="204"/>
      <c r="Q39" s="200"/>
      <c r="R39" s="200"/>
      <c r="S39" s="200"/>
      <c r="T39" s="200"/>
    </row>
    <row r="40" spans="1:20" x14ac:dyDescent="0.25">
      <c r="J40" s="204"/>
      <c r="Q40" s="200"/>
      <c r="R40" s="200"/>
      <c r="S40" s="200"/>
      <c r="T40" s="200"/>
    </row>
    <row r="41" spans="1:20" x14ac:dyDescent="0.25">
      <c r="J41" s="204"/>
      <c r="Q41" s="200"/>
      <c r="R41" s="200"/>
      <c r="S41" s="200"/>
      <c r="T41" s="200"/>
    </row>
    <row r="42" spans="1:20" x14ac:dyDescent="0.25">
      <c r="J42" s="204"/>
      <c r="Q42" s="200"/>
      <c r="R42" s="200"/>
      <c r="S42" s="200"/>
      <c r="T42" s="200"/>
    </row>
    <row r="43" spans="1:20" x14ac:dyDescent="0.25">
      <c r="J43" s="204"/>
      <c r="Q43" s="200"/>
      <c r="R43" s="200"/>
      <c r="S43" s="200"/>
      <c r="T43" s="200"/>
    </row>
    <row r="44" spans="1:20" x14ac:dyDescent="0.25">
      <c r="J44" s="204"/>
      <c r="Q44" s="200"/>
      <c r="R44" s="200"/>
      <c r="S44" s="200"/>
      <c r="T44" s="200"/>
    </row>
    <row r="45" spans="1:20" x14ac:dyDescent="0.25">
      <c r="J45" s="204"/>
      <c r="Q45" s="200"/>
      <c r="R45" s="200"/>
      <c r="S45" s="200"/>
      <c r="T45" s="200"/>
    </row>
    <row r="46" spans="1:20" x14ac:dyDescent="0.25">
      <c r="J46" s="204"/>
      <c r="Q46" s="200"/>
      <c r="R46" s="200"/>
      <c r="S46" s="200"/>
      <c r="T46" s="200"/>
    </row>
    <row r="47" spans="1:20" x14ac:dyDescent="0.25">
      <c r="J47" s="204"/>
      <c r="Q47" s="200"/>
      <c r="R47" s="200"/>
      <c r="S47" s="200"/>
      <c r="T47" s="200"/>
    </row>
    <row r="48" spans="1:20" x14ac:dyDescent="0.25">
      <c r="J48" s="204"/>
      <c r="Q48" s="200"/>
      <c r="R48" s="200"/>
      <c r="S48" s="200"/>
      <c r="T48" s="200"/>
    </row>
    <row r="49" spans="10:20" x14ac:dyDescent="0.25">
      <c r="J49" s="204"/>
      <c r="Q49" s="200"/>
      <c r="R49" s="200"/>
      <c r="S49" s="200"/>
      <c r="T49" s="200"/>
    </row>
    <row r="50" spans="10:20" x14ac:dyDescent="0.25">
      <c r="J50" s="204"/>
      <c r="Q50" s="200"/>
      <c r="R50" s="200"/>
      <c r="S50" s="200"/>
      <c r="T50" s="200"/>
    </row>
    <row r="51" spans="10:20" x14ac:dyDescent="0.25">
      <c r="J51" s="204"/>
      <c r="Q51" s="200"/>
      <c r="R51" s="200"/>
      <c r="S51" s="200"/>
      <c r="T51" s="200"/>
    </row>
    <row r="52" spans="10:20" x14ac:dyDescent="0.25">
      <c r="J52" s="204"/>
      <c r="Q52" s="200"/>
      <c r="R52" s="200"/>
      <c r="S52" s="200"/>
      <c r="T52" s="200"/>
    </row>
    <row r="53" spans="10:20" x14ac:dyDescent="0.25">
      <c r="J53" s="204"/>
      <c r="Q53" s="200"/>
      <c r="R53" s="200"/>
      <c r="S53" s="200"/>
      <c r="T53" s="200"/>
    </row>
    <row r="54" spans="10:20" x14ac:dyDescent="0.25">
      <c r="J54" s="204"/>
      <c r="Q54" s="200"/>
      <c r="R54" s="200"/>
      <c r="S54" s="200"/>
      <c r="T54" s="200"/>
    </row>
    <row r="55" spans="10:20" x14ac:dyDescent="0.25">
      <c r="J55" s="204"/>
      <c r="Q55" s="200"/>
      <c r="R55" s="200"/>
      <c r="S55" s="200"/>
      <c r="T55" s="200"/>
    </row>
    <row r="56" spans="10:20" x14ac:dyDescent="0.25">
      <c r="J56" s="204"/>
      <c r="Q56" s="200"/>
      <c r="R56" s="200"/>
      <c r="S56" s="200"/>
      <c r="T56" s="200"/>
    </row>
    <row r="57" spans="10:20" x14ac:dyDescent="0.25">
      <c r="J57" s="204"/>
      <c r="Q57" s="200"/>
      <c r="R57" s="200"/>
      <c r="S57" s="200"/>
      <c r="T57" s="200"/>
    </row>
    <row r="58" spans="10:20" x14ac:dyDescent="0.25">
      <c r="J58" s="204"/>
      <c r="Q58" s="200"/>
      <c r="R58" s="200"/>
      <c r="S58" s="200"/>
      <c r="T58" s="200"/>
    </row>
    <row r="59" spans="10:20" x14ac:dyDescent="0.25">
      <c r="J59" s="204"/>
      <c r="Q59" s="200"/>
      <c r="R59" s="200"/>
      <c r="S59" s="200"/>
      <c r="T59" s="200"/>
    </row>
    <row r="60" spans="10:20" x14ac:dyDescent="0.25">
      <c r="J60" s="204"/>
      <c r="Q60" s="200"/>
      <c r="R60" s="200"/>
      <c r="S60" s="200"/>
      <c r="T60" s="200"/>
    </row>
    <row r="61" spans="10:20" x14ac:dyDescent="0.25">
      <c r="J61" s="204"/>
      <c r="Q61" s="200"/>
      <c r="R61" s="200"/>
      <c r="S61" s="200"/>
      <c r="T61" s="200"/>
    </row>
    <row r="62" spans="10:20" x14ac:dyDescent="0.25">
      <c r="J62" s="204"/>
      <c r="Q62" s="200"/>
      <c r="R62" s="200"/>
      <c r="S62" s="200"/>
      <c r="T62" s="200"/>
    </row>
    <row r="63" spans="10:20" x14ac:dyDescent="0.25">
      <c r="J63" s="204"/>
      <c r="Q63" s="200"/>
      <c r="R63" s="200"/>
      <c r="S63" s="200"/>
      <c r="T63" s="200"/>
    </row>
    <row r="64" spans="10:20" x14ac:dyDescent="0.25">
      <c r="J64" s="204"/>
      <c r="Q64" s="200"/>
      <c r="R64" s="200"/>
      <c r="S64" s="200"/>
      <c r="T64" s="200"/>
    </row>
    <row r="65" spans="10:20" x14ac:dyDescent="0.25">
      <c r="J65" s="204"/>
      <c r="Q65" s="200"/>
      <c r="R65" s="200"/>
      <c r="S65" s="200"/>
      <c r="T65" s="200"/>
    </row>
    <row r="66" spans="10:20" x14ac:dyDescent="0.25">
      <c r="J66" s="204"/>
      <c r="Q66" s="200"/>
      <c r="R66" s="200"/>
      <c r="S66" s="200"/>
      <c r="T66" s="200"/>
    </row>
    <row r="67" spans="10:20" x14ac:dyDescent="0.25">
      <c r="J67" s="204"/>
      <c r="Q67" s="200"/>
      <c r="R67" s="200"/>
      <c r="S67" s="200"/>
      <c r="T67" s="200"/>
    </row>
    <row r="68" spans="10:20" x14ac:dyDescent="0.25">
      <c r="J68" s="204"/>
      <c r="Q68" s="200"/>
      <c r="R68" s="200"/>
      <c r="S68" s="200"/>
      <c r="T68" s="200"/>
    </row>
    <row r="69" spans="10:20" x14ac:dyDescent="0.25">
      <c r="J69" s="204"/>
      <c r="Q69" s="200"/>
      <c r="R69" s="200"/>
      <c r="S69" s="200"/>
      <c r="T69" s="200"/>
    </row>
    <row r="71" spans="10:20" x14ac:dyDescent="0.25">
      <c r="Q71" s="200"/>
      <c r="R71" s="200"/>
      <c r="S71" s="200"/>
      <c r="T71" s="200"/>
    </row>
    <row r="74" spans="10:20" x14ac:dyDescent="0.25">
      <c r="Q74" s="205"/>
      <c r="R74" s="205"/>
      <c r="S74" s="205"/>
      <c r="T74" s="205"/>
    </row>
    <row r="75" spans="10:20" x14ac:dyDescent="0.25">
      <c r="Q75" s="201"/>
      <c r="R75" s="201"/>
      <c r="S75" s="201"/>
      <c r="T75" s="201"/>
    </row>
    <row r="77" spans="10:20" x14ac:dyDescent="0.25">
      <c r="Q77" s="205"/>
      <c r="R77" s="205"/>
    </row>
    <row r="78" spans="10:20" x14ac:dyDescent="0.25">
      <c r="Q78" s="201"/>
      <c r="R78" s="201"/>
    </row>
    <row r="81" spans="17:18" x14ac:dyDescent="0.25">
      <c r="Q81" s="206"/>
      <c r="R81" s="207"/>
    </row>
    <row r="83" spans="17:18" x14ac:dyDescent="0.25">
      <c r="Q83" s="205"/>
      <c r="R83" s="200"/>
    </row>
    <row r="84" spans="17:18" x14ac:dyDescent="0.25">
      <c r="Q84" s="205"/>
      <c r="R84" s="200"/>
    </row>
  </sheetData>
  <sheetProtection password="8FE7" sheet="1" objects="1" scenarios="1"/>
  <mergeCells count="8">
    <mergeCell ref="I6:L6"/>
    <mergeCell ref="I7:J7"/>
    <mergeCell ref="K7:L7"/>
    <mergeCell ref="I15:K15"/>
    <mergeCell ref="I16:K16"/>
    <mergeCell ref="C7:E7"/>
    <mergeCell ref="C11:F11"/>
    <mergeCell ref="G11:G12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1:CE197"/>
  <sheetViews>
    <sheetView zoomScale="85" zoomScaleNormal="85" workbookViewId="0">
      <selection activeCell="A7" sqref="A7"/>
    </sheetView>
  </sheetViews>
  <sheetFormatPr baseColWidth="10" defaultColWidth="11.5703125" defaultRowHeight="15" x14ac:dyDescent="0.25"/>
  <sheetData>
    <row r="1" spans="1:27" x14ac:dyDescent="0.25">
      <c r="B1">
        <v>5</v>
      </c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</row>
    <row r="2" spans="1:27" x14ac:dyDescent="0.25">
      <c r="A2">
        <v>5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8"/>
      <c r="Y2" s="277"/>
      <c r="Z2" s="277"/>
      <c r="AA2" s="277"/>
    </row>
    <row r="3" spans="1:27" x14ac:dyDescent="0.25"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8"/>
      <c r="Y3" s="277"/>
      <c r="Z3" s="277"/>
      <c r="AA3" s="277"/>
    </row>
    <row r="4" spans="1:27" x14ac:dyDescent="0.25"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</row>
    <row r="5" spans="1:27" x14ac:dyDescent="0.25">
      <c r="M5" s="277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:27" ht="15.75" x14ac:dyDescent="0.25">
      <c r="M6" s="277"/>
      <c r="N6" s="11"/>
      <c r="O6" s="11"/>
      <c r="P6" s="11"/>
      <c r="Q6" s="11"/>
      <c r="R6" s="11"/>
      <c r="S6" s="11"/>
      <c r="T6" s="11"/>
      <c r="U6" s="344" t="s">
        <v>42</v>
      </c>
      <c r="V6" s="345"/>
      <c r="W6" s="345"/>
      <c r="X6" s="346"/>
      <c r="Y6" s="11"/>
      <c r="Z6" s="11"/>
      <c r="AA6" s="11"/>
    </row>
    <row r="7" spans="1:27" ht="15.75" x14ac:dyDescent="0.25">
      <c r="M7" s="277"/>
      <c r="N7" s="11"/>
      <c r="O7" s="342" t="s">
        <v>91</v>
      </c>
      <c r="P7" s="342"/>
      <c r="Q7" s="342"/>
      <c r="R7" s="173">
        <v>3</v>
      </c>
      <c r="S7" s="11"/>
      <c r="T7" s="11"/>
      <c r="U7" s="377" t="s">
        <v>44</v>
      </c>
      <c r="V7" s="377"/>
      <c r="W7" s="378" t="s">
        <v>43</v>
      </c>
      <c r="X7" s="378"/>
      <c r="Y7" s="11"/>
      <c r="Z7" s="11"/>
      <c r="AA7" s="11"/>
    </row>
    <row r="8" spans="1:27" x14ac:dyDescent="0.25">
      <c r="M8" s="277"/>
      <c r="N8" s="11"/>
      <c r="O8" s="11"/>
      <c r="P8" s="11"/>
      <c r="Q8" s="11"/>
      <c r="R8" s="175"/>
      <c r="S8" s="11"/>
      <c r="T8" s="11"/>
      <c r="U8" s="377" t="s">
        <v>45</v>
      </c>
      <c r="V8" s="377"/>
      <c r="W8" s="378" t="s">
        <v>43</v>
      </c>
      <c r="X8" s="378"/>
      <c r="Y8" s="11"/>
      <c r="Z8" s="11"/>
      <c r="AA8" s="11"/>
    </row>
    <row r="9" spans="1:27" x14ac:dyDescent="0.25">
      <c r="M9" s="27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x14ac:dyDescent="0.25">
      <c r="M10" s="277"/>
      <c r="N10" s="11"/>
      <c r="O10" s="279"/>
      <c r="P10" s="279"/>
      <c r="Q10" s="279"/>
      <c r="R10" s="175"/>
      <c r="S10" s="11"/>
      <c r="T10" s="11"/>
      <c r="U10" s="11"/>
      <c r="V10" s="11"/>
      <c r="W10" s="11"/>
      <c r="X10" s="11"/>
      <c r="Y10" s="11"/>
      <c r="Z10" s="11"/>
      <c r="AA10" s="11"/>
    </row>
    <row r="11" spans="1:27" ht="18.75" x14ac:dyDescent="0.25">
      <c r="M11" s="277"/>
      <c r="N11" s="11"/>
      <c r="O11" s="382" t="s">
        <v>1</v>
      </c>
      <c r="P11" s="383"/>
      <c r="Q11" s="383"/>
      <c r="R11" s="384"/>
      <c r="S11" s="11"/>
      <c r="T11" s="11"/>
      <c r="U11" s="11"/>
      <c r="V11" s="11"/>
      <c r="W11" s="11"/>
      <c r="X11" s="11"/>
      <c r="Y11" s="11"/>
      <c r="Z11" s="11"/>
      <c r="AA11" s="11"/>
    </row>
    <row r="12" spans="1:27" ht="30" x14ac:dyDescent="0.25">
      <c r="M12" s="277"/>
      <c r="N12" s="11"/>
      <c r="O12" s="172" t="s">
        <v>149</v>
      </c>
      <c r="P12" s="172" t="s">
        <v>150</v>
      </c>
      <c r="Q12" s="172" t="s">
        <v>77</v>
      </c>
      <c r="R12" s="172" t="s">
        <v>178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:27" x14ac:dyDescent="0.25">
      <c r="M13" s="277"/>
      <c r="N13" s="11"/>
      <c r="O13" s="114">
        <v>1</v>
      </c>
      <c r="P13" s="173" t="s">
        <v>238</v>
      </c>
      <c r="Q13" s="173">
        <v>10</v>
      </c>
      <c r="R13" s="173">
        <v>4032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:27" ht="15.75" x14ac:dyDescent="0.25">
      <c r="M14" s="277"/>
      <c r="N14" s="11"/>
      <c r="O14" s="114">
        <v>2</v>
      </c>
      <c r="P14" s="173" t="s">
        <v>197</v>
      </c>
      <c r="Q14" s="173">
        <v>40</v>
      </c>
      <c r="R14" s="173">
        <v>691.2</v>
      </c>
      <c r="S14" s="11"/>
      <c r="T14" s="11"/>
      <c r="U14" s="11"/>
      <c r="V14" s="11"/>
      <c r="W14" s="11"/>
      <c r="X14" s="133"/>
      <c r="Y14" s="133"/>
      <c r="Z14" s="133"/>
      <c r="AA14" s="133"/>
    </row>
    <row r="15" spans="1:27" ht="15.75" x14ac:dyDescent="0.25">
      <c r="M15" s="277"/>
      <c r="N15" s="11"/>
      <c r="O15" s="114">
        <v>3</v>
      </c>
      <c r="P15" s="173" t="s">
        <v>202</v>
      </c>
      <c r="Q15" s="173"/>
      <c r="R15" s="173">
        <v>115.2</v>
      </c>
      <c r="S15" s="11"/>
      <c r="T15" s="11"/>
      <c r="U15" s="342" t="s">
        <v>151</v>
      </c>
      <c r="V15" s="342"/>
      <c r="W15" s="342"/>
      <c r="X15" s="280" t="s">
        <v>256</v>
      </c>
      <c r="Y15" s="133"/>
      <c r="Z15" s="133"/>
      <c r="AA15" s="133"/>
    </row>
    <row r="16" spans="1:27" ht="15.75" x14ac:dyDescent="0.25">
      <c r="M16" s="277"/>
      <c r="N16" s="11"/>
      <c r="O16" s="114">
        <v>4</v>
      </c>
      <c r="P16" s="173"/>
      <c r="Q16" s="173"/>
      <c r="R16" s="173"/>
      <c r="S16" s="11"/>
      <c r="T16" s="11"/>
      <c r="U16" s="342" t="s">
        <v>152</v>
      </c>
      <c r="V16" s="342"/>
      <c r="W16" s="342"/>
      <c r="X16" s="280" t="s">
        <v>256</v>
      </c>
      <c r="Y16" s="133"/>
      <c r="Z16" s="133"/>
      <c r="AA16" s="133"/>
    </row>
    <row r="17" spans="2:27" x14ac:dyDescent="0.25">
      <c r="M17" s="277"/>
      <c r="N17" s="11"/>
      <c r="O17" s="114">
        <v>5</v>
      </c>
      <c r="P17" s="173"/>
      <c r="Q17" s="173"/>
      <c r="R17" s="173"/>
      <c r="S17" s="11"/>
      <c r="T17" s="11"/>
      <c r="U17" s="11"/>
      <c r="V17" s="11"/>
      <c r="W17" s="11"/>
      <c r="X17" s="11"/>
      <c r="Y17" s="11"/>
      <c r="Z17" s="11"/>
      <c r="AA17" s="11"/>
    </row>
    <row r="18" spans="2:27" x14ac:dyDescent="0.25">
      <c r="M18" s="277"/>
      <c r="N18" s="11"/>
      <c r="O18" s="114">
        <v>6</v>
      </c>
      <c r="P18" s="173"/>
      <c r="Q18" s="173"/>
      <c r="R18" s="173"/>
      <c r="S18" s="11"/>
      <c r="T18" s="11"/>
      <c r="U18" s="11"/>
      <c r="V18" s="11"/>
      <c r="W18" s="11"/>
      <c r="X18" s="11"/>
      <c r="Y18" s="11"/>
      <c r="Z18" s="11"/>
      <c r="AA18" s="11"/>
    </row>
    <row r="19" spans="2:27" x14ac:dyDescent="0.25">
      <c r="M19" s="277"/>
      <c r="N19" s="11"/>
      <c r="O19" s="114">
        <v>7</v>
      </c>
      <c r="P19" s="173"/>
      <c r="Q19" s="173"/>
      <c r="R19" s="173"/>
      <c r="S19" s="11"/>
      <c r="T19" s="11"/>
      <c r="U19" s="11"/>
      <c r="V19" s="11"/>
      <c r="W19" s="11"/>
      <c r="X19" s="11"/>
      <c r="Y19" s="11"/>
      <c r="Z19" s="11"/>
      <c r="AA19" s="11"/>
    </row>
    <row r="20" spans="2:27" x14ac:dyDescent="0.25">
      <c r="B20" t="s">
        <v>261</v>
      </c>
      <c r="M20" s="277"/>
      <c r="N20" s="11"/>
      <c r="O20" s="114">
        <v>8</v>
      </c>
      <c r="P20" s="173"/>
      <c r="Q20" s="173"/>
      <c r="R20" s="173"/>
      <c r="S20" s="11"/>
      <c r="T20" s="11"/>
      <c r="U20" s="11"/>
      <c r="V20" s="11"/>
      <c r="W20" s="11"/>
      <c r="X20" s="11"/>
      <c r="Y20" s="11"/>
      <c r="Z20" s="11"/>
      <c r="AA20" s="11"/>
    </row>
    <row r="21" spans="2:27" x14ac:dyDescent="0.25">
      <c r="B21" s="284" t="s">
        <v>254</v>
      </c>
      <c r="M21" s="277"/>
      <c r="N21" s="11"/>
      <c r="O21" s="114">
        <v>9</v>
      </c>
      <c r="P21" s="173"/>
      <c r="Q21" s="173"/>
      <c r="R21" s="173"/>
      <c r="S21" s="11"/>
      <c r="T21" s="247"/>
      <c r="U21" s="11"/>
      <c r="V21" s="11"/>
      <c r="W21" s="11"/>
      <c r="X21" s="11"/>
      <c r="Y21" s="11"/>
      <c r="Z21" s="11"/>
      <c r="AA21" s="11"/>
    </row>
    <row r="22" spans="2:27" x14ac:dyDescent="0.25">
      <c r="B22" s="284" t="s">
        <v>255</v>
      </c>
      <c r="M22" s="277"/>
      <c r="N22" s="11"/>
      <c r="O22" s="114">
        <v>10</v>
      </c>
      <c r="P22" s="173"/>
      <c r="Q22" s="173"/>
      <c r="R22" s="173"/>
      <c r="S22" s="11"/>
      <c r="T22" s="11"/>
      <c r="U22" s="11"/>
      <c r="V22" s="11"/>
      <c r="W22" s="11"/>
      <c r="X22" s="11"/>
      <c r="Y22" s="11"/>
      <c r="Z22" s="11"/>
      <c r="AA22" s="11"/>
    </row>
    <row r="23" spans="2:27" x14ac:dyDescent="0.25">
      <c r="B23" s="284">
        <v>6.1799999999999998E-8</v>
      </c>
      <c r="M23" s="277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2:27" ht="18.75" x14ac:dyDescent="0.25">
      <c r="B24" s="284">
        <v>3.95</v>
      </c>
      <c r="M24" s="277"/>
      <c r="N24" s="210"/>
      <c r="O24" s="210"/>
      <c r="P24" s="210"/>
      <c r="Q24" s="283"/>
      <c r="R24" s="283"/>
      <c r="S24" s="210"/>
      <c r="T24" s="210"/>
      <c r="U24" s="210"/>
      <c r="V24" s="210"/>
      <c r="W24" s="210"/>
      <c r="X24" s="210"/>
      <c r="Y24" s="210"/>
      <c r="Z24" s="210"/>
      <c r="AA24" s="210"/>
    </row>
    <row r="25" spans="2:27" ht="18.75" x14ac:dyDescent="0.25">
      <c r="B25" s="284">
        <v>1.1358E-3</v>
      </c>
      <c r="M25" s="277"/>
      <c r="N25" s="210"/>
      <c r="O25" s="210"/>
      <c r="P25" s="210"/>
      <c r="Q25" s="210"/>
      <c r="R25" s="210"/>
      <c r="S25" s="283"/>
      <c r="T25" s="210"/>
      <c r="U25" s="210"/>
      <c r="V25" s="210"/>
      <c r="W25" s="210"/>
      <c r="X25" s="210"/>
      <c r="Y25" s="210"/>
      <c r="Z25" s="210"/>
      <c r="AA25" s="210"/>
    </row>
    <row r="26" spans="2:27" ht="17.25" x14ac:dyDescent="0.25">
      <c r="B26" s="210">
        <v>3.2909999999999999</v>
      </c>
      <c r="M26" s="277"/>
      <c r="N26" s="210"/>
      <c r="O26" s="210"/>
      <c r="P26" s="210"/>
      <c r="Q26" s="210"/>
      <c r="R26" s="213"/>
      <c r="S26" s="210"/>
      <c r="T26" s="210"/>
      <c r="U26" s="210"/>
      <c r="V26" s="210"/>
      <c r="W26" s="210"/>
      <c r="X26" s="210"/>
      <c r="Y26" s="210"/>
      <c r="Z26" s="210"/>
      <c r="AA26" s="210"/>
    </row>
    <row r="27" spans="2:27" ht="17.25" x14ac:dyDescent="0.25">
      <c r="B27" s="284">
        <v>0.85399999999999998</v>
      </c>
      <c r="M27" s="277"/>
      <c r="N27" s="210"/>
      <c r="O27" s="210"/>
      <c r="P27" s="210"/>
      <c r="Q27" s="210"/>
      <c r="R27" s="213"/>
      <c r="S27" s="210"/>
      <c r="T27" s="210"/>
      <c r="U27" s="210"/>
      <c r="V27" s="210"/>
      <c r="W27" s="210"/>
      <c r="X27" s="210"/>
      <c r="Y27" s="210"/>
      <c r="Z27" s="210"/>
      <c r="AA27" s="210"/>
    </row>
    <row r="28" spans="2:27" ht="17.25" x14ac:dyDescent="0.25">
      <c r="M28" s="277"/>
      <c r="N28" s="210"/>
      <c r="O28" s="210"/>
      <c r="P28" s="210"/>
      <c r="Q28" s="210"/>
      <c r="R28" s="213"/>
      <c r="S28" s="210"/>
      <c r="T28" s="210"/>
      <c r="U28" s="210"/>
      <c r="V28" s="210"/>
      <c r="W28" s="210"/>
      <c r="X28" s="210"/>
      <c r="Y28" s="210"/>
      <c r="Z28" s="210"/>
      <c r="AA28" s="210"/>
    </row>
    <row r="38" spans="29:44" x14ac:dyDescent="0.25"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0"/>
      <c r="AP38" s="210"/>
      <c r="AQ38" s="210"/>
      <c r="AR38" s="210"/>
    </row>
    <row r="39" spans="29:44" x14ac:dyDescent="0.25">
      <c r="AC39" s="210"/>
      <c r="AD39" s="210"/>
      <c r="AE39" s="210"/>
      <c r="AF39" s="210"/>
      <c r="AG39" s="210"/>
      <c r="AH39" s="210"/>
      <c r="AI39" s="210"/>
      <c r="AJ39" s="210"/>
      <c r="AK39" s="210"/>
      <c r="AL39" s="210"/>
      <c r="AM39" s="210"/>
      <c r="AN39" s="210"/>
      <c r="AO39" s="210"/>
      <c r="AP39" s="210"/>
      <c r="AQ39" s="210"/>
      <c r="AR39" s="210"/>
    </row>
    <row r="40" spans="29:44" x14ac:dyDescent="0.25">
      <c r="AC40" s="210"/>
      <c r="AD40" s="210"/>
      <c r="AE40" s="210"/>
      <c r="AF40" s="210"/>
      <c r="AG40" s="210"/>
      <c r="AH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</row>
    <row r="41" spans="29:44" x14ac:dyDescent="0.25">
      <c r="AC41" s="210"/>
      <c r="AD41" s="210"/>
      <c r="AE41" s="210"/>
      <c r="AF41" s="210"/>
      <c r="AG41" s="210"/>
      <c r="AH41" s="210"/>
      <c r="AI41" s="210"/>
      <c r="AJ41" s="210"/>
      <c r="AK41" s="210"/>
      <c r="AL41" s="210"/>
      <c r="AM41" s="381"/>
      <c r="AN41" s="381"/>
      <c r="AO41" s="381"/>
      <c r="AP41" s="381"/>
      <c r="AQ41" s="381"/>
      <c r="AR41" s="381"/>
    </row>
    <row r="42" spans="29:44" x14ac:dyDescent="0.25"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</row>
    <row r="43" spans="29:44" x14ac:dyDescent="0.25">
      <c r="AC43" s="210"/>
      <c r="AD43" s="210"/>
      <c r="AE43" s="210"/>
      <c r="AF43" s="210"/>
      <c r="AG43" s="210"/>
      <c r="AH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</row>
    <row r="44" spans="29:44" x14ac:dyDescent="0.25">
      <c r="AC44" s="210"/>
      <c r="AD44" s="210"/>
      <c r="AE44" s="210"/>
      <c r="AF44" s="210"/>
      <c r="AG44" s="210"/>
      <c r="AH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</row>
    <row r="45" spans="29:44" x14ac:dyDescent="0.25"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</row>
    <row r="46" spans="29:44" x14ac:dyDescent="0.25"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</row>
    <row r="47" spans="29:44" x14ac:dyDescent="0.25">
      <c r="AC47" s="210"/>
      <c r="AD47" s="210"/>
      <c r="AE47" s="210"/>
      <c r="AF47" s="210"/>
      <c r="AG47" s="210"/>
      <c r="AH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</row>
    <row r="48" spans="29:44" x14ac:dyDescent="0.25"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</row>
    <row r="49" spans="29:44" x14ac:dyDescent="0.25">
      <c r="AC49" s="210"/>
      <c r="AD49" s="210"/>
      <c r="AE49" s="210"/>
      <c r="AF49" s="210"/>
      <c r="AG49" s="210"/>
      <c r="AH49" s="210"/>
      <c r="AI49" s="210"/>
      <c r="AJ49" s="210"/>
      <c r="AK49" s="210"/>
      <c r="AL49" s="210"/>
      <c r="AM49" s="210"/>
      <c r="AN49" s="210"/>
      <c r="AO49" s="210"/>
      <c r="AP49" s="210"/>
      <c r="AQ49" s="210"/>
      <c r="AR49" s="210"/>
    </row>
    <row r="50" spans="29:44" x14ac:dyDescent="0.25"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  <c r="AP50" s="210"/>
      <c r="AQ50" s="210"/>
      <c r="AR50" s="210"/>
    </row>
    <row r="51" spans="29:44" x14ac:dyDescent="0.25">
      <c r="AC51" s="210"/>
      <c r="AD51" s="210"/>
      <c r="AE51" s="210"/>
      <c r="AF51" s="210"/>
      <c r="AG51" s="210"/>
      <c r="AH51" s="210"/>
      <c r="AI51" s="210"/>
      <c r="AJ51" s="210"/>
      <c r="AK51" s="210"/>
      <c r="AL51" s="210"/>
      <c r="AM51" s="210"/>
      <c r="AN51" s="210"/>
      <c r="AO51" s="210"/>
      <c r="AP51" s="210"/>
      <c r="AQ51" s="210"/>
      <c r="AR51" s="210"/>
    </row>
    <row r="52" spans="29:44" x14ac:dyDescent="0.25">
      <c r="AC52" s="210"/>
      <c r="AD52" s="210"/>
      <c r="AE52" s="210"/>
      <c r="AF52" s="210"/>
      <c r="AG52" s="210"/>
      <c r="AH52" s="210"/>
      <c r="AI52" s="210"/>
      <c r="AJ52" s="210"/>
      <c r="AK52" s="210"/>
      <c r="AL52" s="210"/>
      <c r="AM52" s="210"/>
      <c r="AN52" s="210"/>
      <c r="AO52" s="210"/>
      <c r="AP52" s="210"/>
      <c r="AQ52" s="210"/>
      <c r="AR52" s="210"/>
    </row>
    <row r="53" spans="29:44" x14ac:dyDescent="0.25"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0"/>
      <c r="AP53" s="210"/>
      <c r="AQ53" s="210"/>
      <c r="AR53" s="210"/>
    </row>
    <row r="54" spans="29:44" ht="17.25" x14ac:dyDescent="0.3">
      <c r="AC54" s="281"/>
      <c r="AD54" s="282"/>
      <c r="AE54" s="281"/>
      <c r="AF54" s="210"/>
      <c r="AG54" s="210"/>
      <c r="AH54" s="210"/>
      <c r="AI54" s="210"/>
      <c r="AJ54" s="210"/>
      <c r="AK54" s="210"/>
      <c r="AL54" s="210"/>
      <c r="AM54" s="210"/>
      <c r="AN54" s="210"/>
      <c r="AO54" s="210"/>
      <c r="AP54" s="210"/>
      <c r="AQ54" s="210"/>
      <c r="AR54" s="210"/>
    </row>
    <row r="55" spans="29:44" ht="17.25" x14ac:dyDescent="0.3">
      <c r="AC55" s="281"/>
      <c r="AD55" s="282"/>
      <c r="AE55" s="281"/>
      <c r="AF55" s="210"/>
      <c r="AG55" s="210"/>
      <c r="AH55" s="210"/>
      <c r="AI55" s="210"/>
      <c r="AJ55" s="210"/>
      <c r="AK55" s="210"/>
      <c r="AL55" s="210"/>
      <c r="AM55" s="210"/>
      <c r="AN55" s="210"/>
      <c r="AO55" s="210"/>
      <c r="AP55" s="210"/>
      <c r="AQ55" s="210"/>
      <c r="AR55" s="210"/>
    </row>
    <row r="56" spans="29:44" ht="17.25" x14ac:dyDescent="0.3">
      <c r="AC56" s="281"/>
      <c r="AD56" s="282"/>
      <c r="AE56" s="281"/>
      <c r="AF56" s="210"/>
      <c r="AG56" s="210"/>
      <c r="AH56" s="210"/>
      <c r="AI56" s="210"/>
      <c r="AJ56" s="210"/>
      <c r="AK56" s="210"/>
      <c r="AL56" s="210"/>
      <c r="AM56" s="210"/>
      <c r="AN56" s="210"/>
      <c r="AO56" s="210"/>
      <c r="AP56" s="210"/>
      <c r="AQ56" s="210"/>
      <c r="AR56" s="210"/>
    </row>
    <row r="57" spans="29:44" x14ac:dyDescent="0.25">
      <c r="AC57" s="210"/>
      <c r="AD57" s="210"/>
      <c r="AE57" s="210"/>
      <c r="AF57" s="210"/>
      <c r="AG57" s="210"/>
      <c r="AH57" s="210"/>
      <c r="AI57" s="210"/>
      <c r="AJ57" s="210"/>
      <c r="AK57" s="210"/>
      <c r="AL57" s="210"/>
      <c r="AM57" s="210"/>
      <c r="AN57" s="210"/>
      <c r="AO57" s="210"/>
      <c r="AP57" s="210"/>
      <c r="AQ57" s="210"/>
      <c r="AR57" s="210"/>
    </row>
    <row r="58" spans="29:44" x14ac:dyDescent="0.25">
      <c r="AC58" s="210"/>
      <c r="AD58" s="210"/>
      <c r="AE58" s="210"/>
      <c r="AF58" s="210"/>
      <c r="AG58" s="210"/>
      <c r="AH58" s="210"/>
      <c r="AI58" s="210"/>
      <c r="AJ58" s="210"/>
      <c r="AK58" s="210"/>
      <c r="AL58" s="210"/>
      <c r="AM58" s="210"/>
      <c r="AN58" s="210"/>
      <c r="AO58" s="210"/>
      <c r="AP58" s="210"/>
      <c r="AQ58" s="210"/>
      <c r="AR58" s="210"/>
    </row>
    <row r="59" spans="29:44" x14ac:dyDescent="0.25">
      <c r="AC59" s="210"/>
      <c r="AD59" s="210"/>
      <c r="AE59" s="210"/>
      <c r="AF59" s="210"/>
      <c r="AG59" s="210"/>
      <c r="AH59" s="210"/>
      <c r="AI59" s="210"/>
      <c r="AJ59" s="210"/>
      <c r="AK59" s="210"/>
      <c r="AL59" s="210"/>
      <c r="AM59" s="210"/>
      <c r="AN59" s="210"/>
      <c r="AO59" s="210"/>
      <c r="AP59" s="210"/>
      <c r="AQ59" s="210"/>
      <c r="AR59" s="210"/>
    </row>
    <row r="60" spans="29:44" x14ac:dyDescent="0.25">
      <c r="AC60" s="210"/>
      <c r="AD60" s="210"/>
      <c r="AE60" s="210"/>
      <c r="AF60" s="210"/>
      <c r="AG60" s="210"/>
      <c r="AH60" s="210"/>
      <c r="AI60" s="210"/>
      <c r="AJ60" s="210"/>
      <c r="AK60" s="210"/>
      <c r="AL60" s="210"/>
      <c r="AM60" s="210"/>
      <c r="AN60" s="210"/>
      <c r="AO60" s="210"/>
      <c r="AP60" s="210"/>
      <c r="AQ60" s="210"/>
      <c r="AR60" s="210"/>
    </row>
    <row r="61" spans="29:44" x14ac:dyDescent="0.25"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84"/>
      <c r="AN61" s="210"/>
      <c r="AO61" s="210"/>
      <c r="AP61" s="210"/>
      <c r="AQ61" s="210"/>
      <c r="AR61" s="210"/>
    </row>
    <row r="62" spans="29:44" x14ac:dyDescent="0.25">
      <c r="AC62" s="210"/>
      <c r="AD62" s="210"/>
      <c r="AE62" s="210"/>
      <c r="AF62" s="210"/>
      <c r="AG62" s="210"/>
      <c r="AH62" s="210"/>
      <c r="AI62" s="210"/>
      <c r="AJ62" s="210"/>
      <c r="AK62" s="210"/>
      <c r="AL62" s="210"/>
      <c r="AM62" s="284"/>
      <c r="AN62" s="210"/>
      <c r="AO62" s="210"/>
      <c r="AP62" s="210"/>
      <c r="AQ62" s="210"/>
      <c r="AR62" s="210"/>
    </row>
    <row r="63" spans="29:44" x14ac:dyDescent="0.25">
      <c r="AC63" s="210"/>
      <c r="AD63" s="210"/>
      <c r="AE63" s="210"/>
      <c r="AF63" s="210"/>
      <c r="AG63" s="210"/>
      <c r="AH63" s="210"/>
      <c r="AI63" s="210"/>
      <c r="AJ63" s="210"/>
      <c r="AK63" s="210"/>
      <c r="AL63" s="210"/>
      <c r="AN63" s="210"/>
      <c r="AO63" s="210"/>
      <c r="AP63" s="210"/>
      <c r="AQ63" s="210"/>
      <c r="AR63" s="210"/>
    </row>
    <row r="64" spans="29:44" x14ac:dyDescent="0.25">
      <c r="AC64" s="210"/>
      <c r="AD64" s="210"/>
      <c r="AE64" s="210"/>
      <c r="AF64" s="210"/>
      <c r="AG64" s="210"/>
      <c r="AH64" s="210"/>
      <c r="AI64" s="210"/>
      <c r="AJ64" s="210"/>
      <c r="AK64" s="210"/>
      <c r="AL64" s="210"/>
      <c r="AN64" s="210"/>
      <c r="AO64" s="210"/>
      <c r="AP64" s="210"/>
      <c r="AQ64" s="210"/>
      <c r="AR64" s="210"/>
    </row>
    <row r="65" spans="14:44" x14ac:dyDescent="0.25">
      <c r="AC65" s="210"/>
      <c r="AD65" s="210"/>
      <c r="AE65" s="210"/>
      <c r="AF65" s="210"/>
      <c r="AG65" s="210"/>
      <c r="AH65" s="210"/>
      <c r="AI65" s="210"/>
      <c r="AJ65" s="210"/>
      <c r="AK65" s="210"/>
      <c r="AL65" s="210"/>
      <c r="AN65" s="210"/>
      <c r="AO65" s="210"/>
      <c r="AP65" s="210"/>
      <c r="AQ65" s="210"/>
      <c r="AR65" s="210"/>
    </row>
    <row r="66" spans="14:44" x14ac:dyDescent="0.25"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0"/>
      <c r="AB66" s="210"/>
      <c r="AC66" s="210"/>
      <c r="AD66" s="210"/>
      <c r="AE66" s="210"/>
      <c r="AF66" s="210"/>
      <c r="AG66" s="210"/>
      <c r="AH66" s="210"/>
      <c r="AI66" s="210"/>
      <c r="AJ66" s="210"/>
      <c r="AK66" s="210"/>
      <c r="AL66" s="210"/>
      <c r="AN66" s="210"/>
      <c r="AO66" s="210"/>
      <c r="AP66" s="210"/>
      <c r="AQ66" s="210"/>
      <c r="AR66" s="210"/>
    </row>
    <row r="67" spans="14:44" x14ac:dyDescent="0.25"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0"/>
      <c r="AB67" s="210"/>
      <c r="AC67" s="210"/>
      <c r="AD67" s="210"/>
      <c r="AE67" s="210"/>
      <c r="AF67" s="210"/>
      <c r="AG67" s="210"/>
      <c r="AH67" s="210"/>
      <c r="AI67" s="210"/>
      <c r="AJ67" s="210"/>
      <c r="AK67" s="210"/>
      <c r="AL67" s="210"/>
      <c r="AN67" s="210"/>
      <c r="AO67" s="210"/>
      <c r="AP67" s="210"/>
      <c r="AQ67" s="210"/>
      <c r="AR67" s="210"/>
    </row>
    <row r="68" spans="14:44" x14ac:dyDescent="0.25"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  <c r="AA68" s="210"/>
      <c r="AB68" s="210"/>
      <c r="AC68" s="210"/>
      <c r="AD68" s="210"/>
      <c r="AE68" s="210"/>
      <c r="AF68" s="210"/>
      <c r="AG68" s="210"/>
      <c r="AH68" s="210"/>
      <c r="AI68" s="210"/>
      <c r="AJ68" s="210"/>
      <c r="AK68" s="210"/>
      <c r="AL68" s="210"/>
      <c r="AN68" s="210"/>
      <c r="AO68" s="210"/>
      <c r="AP68" s="210"/>
      <c r="AQ68" s="210"/>
      <c r="AR68" s="210"/>
    </row>
    <row r="69" spans="14:44" x14ac:dyDescent="0.25"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N69" s="210"/>
      <c r="AO69" s="210"/>
      <c r="AP69" s="210"/>
      <c r="AQ69" s="210"/>
      <c r="AR69" s="210"/>
    </row>
    <row r="70" spans="14:44" x14ac:dyDescent="0.25"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0"/>
      <c r="AB70" s="210"/>
      <c r="AC70" s="210"/>
      <c r="AD70" s="210"/>
      <c r="AE70" s="210"/>
      <c r="AF70" s="210"/>
      <c r="AG70" s="210"/>
      <c r="AH70" s="210"/>
      <c r="AI70" s="210"/>
      <c r="AJ70" s="210"/>
      <c r="AK70" s="210"/>
      <c r="AL70" s="210"/>
      <c r="AM70" s="210"/>
      <c r="AN70" s="210"/>
      <c r="AO70" s="210"/>
      <c r="AP70" s="210"/>
      <c r="AQ70" s="210"/>
      <c r="AR70" s="210"/>
    </row>
    <row r="71" spans="14:44" x14ac:dyDescent="0.25"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0"/>
      <c r="AB71" s="210"/>
      <c r="AC71" s="210"/>
      <c r="AD71" s="210"/>
      <c r="AE71" s="210"/>
      <c r="AF71" s="210"/>
      <c r="AG71" s="210"/>
      <c r="AH71" s="210"/>
      <c r="AI71" s="210"/>
      <c r="AJ71" s="210"/>
      <c r="AK71" s="210"/>
      <c r="AL71" s="210"/>
      <c r="AM71" s="210"/>
      <c r="AN71" s="210"/>
      <c r="AO71" s="210"/>
      <c r="AP71" s="210"/>
      <c r="AQ71" s="210"/>
      <c r="AR71" s="210"/>
    </row>
    <row r="111" spans="1:83" x14ac:dyDescent="0.25">
      <c r="A111" s="285"/>
      <c r="B111" s="285"/>
      <c r="C111" s="285"/>
      <c r="D111" s="285"/>
      <c r="E111" s="285"/>
      <c r="F111" s="285"/>
      <c r="G111" s="285"/>
      <c r="H111" s="285"/>
      <c r="I111" s="285"/>
      <c r="J111" s="285"/>
      <c r="K111" s="285"/>
      <c r="L111" s="285"/>
      <c r="M111" s="285"/>
      <c r="N111" s="285"/>
      <c r="O111" s="285"/>
      <c r="P111" s="285"/>
      <c r="Q111" s="285"/>
      <c r="R111" s="285"/>
      <c r="S111" s="285"/>
      <c r="T111" s="285"/>
      <c r="U111" s="285"/>
      <c r="V111" s="285"/>
      <c r="W111" s="285"/>
      <c r="X111" s="285"/>
      <c r="Y111" s="285"/>
      <c r="Z111" s="285"/>
      <c r="AA111" s="285"/>
      <c r="AB111" s="285"/>
      <c r="AC111" s="285"/>
      <c r="AD111" s="285"/>
      <c r="AE111" s="285"/>
      <c r="AF111" s="285"/>
      <c r="AG111" s="285"/>
      <c r="AH111" s="285"/>
      <c r="AI111" s="285"/>
      <c r="AJ111" s="285"/>
      <c r="AK111" s="285"/>
      <c r="AL111" s="285"/>
      <c r="AM111" s="285"/>
      <c r="AN111" s="285"/>
      <c r="AO111" s="285"/>
      <c r="AP111" s="285"/>
      <c r="AQ111" s="285"/>
      <c r="AR111" s="285"/>
      <c r="AS111" s="285"/>
      <c r="AT111" s="285"/>
      <c r="AU111" s="285"/>
      <c r="AV111" s="285"/>
      <c r="AW111" s="285"/>
      <c r="AX111" s="285"/>
      <c r="AY111" s="285"/>
      <c r="AZ111" s="285"/>
      <c r="BA111" s="285"/>
      <c r="BB111" s="285"/>
      <c r="BC111" s="285"/>
      <c r="BD111" s="285"/>
      <c r="BE111" s="285"/>
      <c r="BF111" s="285"/>
      <c r="BG111" s="285"/>
      <c r="BH111" s="285"/>
      <c r="BI111" s="285"/>
      <c r="BJ111" s="285"/>
      <c r="BK111" s="285"/>
      <c r="BL111" s="285"/>
      <c r="BM111" s="285"/>
      <c r="BN111" s="285"/>
      <c r="BO111" s="285"/>
      <c r="BP111" s="285"/>
      <c r="BQ111" s="285"/>
      <c r="BR111" s="285"/>
      <c r="BS111" s="285"/>
      <c r="BT111" s="285"/>
      <c r="BU111" s="285"/>
      <c r="BV111" s="285"/>
      <c r="BW111" s="285"/>
      <c r="BX111" s="285"/>
      <c r="BY111" s="285"/>
      <c r="BZ111" s="285"/>
      <c r="CA111" s="285"/>
      <c r="CB111" s="285"/>
      <c r="CC111" s="285"/>
      <c r="CD111" s="286"/>
      <c r="CE111" s="286"/>
    </row>
    <row r="112" spans="1:83" x14ac:dyDescent="0.25">
      <c r="A112" s="285"/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5"/>
      <c r="M112" s="287"/>
      <c r="N112" s="285"/>
      <c r="O112" s="285"/>
      <c r="P112" s="285"/>
      <c r="Q112" s="285"/>
      <c r="R112" s="285"/>
      <c r="S112" s="285"/>
      <c r="T112" s="285"/>
      <c r="U112" s="285"/>
      <c r="V112" s="285"/>
      <c r="W112" s="285"/>
      <c r="X112" s="285"/>
      <c r="Y112" s="285"/>
      <c r="Z112" s="285"/>
      <c r="AA112" s="285"/>
      <c r="AB112" s="285"/>
      <c r="AC112" s="285"/>
      <c r="AD112" s="285"/>
      <c r="AE112" s="285"/>
      <c r="AF112" s="285"/>
      <c r="AG112" s="285"/>
      <c r="AH112" s="285"/>
      <c r="AI112" s="285"/>
      <c r="AJ112" s="285"/>
      <c r="AK112" s="285"/>
      <c r="AL112" s="285"/>
      <c r="AM112" s="285"/>
      <c r="AN112" s="285"/>
      <c r="AO112" s="285"/>
      <c r="AP112" s="285"/>
      <c r="AQ112" s="285"/>
      <c r="AR112" s="285"/>
      <c r="AS112" s="285"/>
      <c r="AT112" s="285"/>
      <c r="AU112" s="285"/>
      <c r="AV112" s="285"/>
      <c r="AW112" s="285"/>
      <c r="AX112" s="285"/>
      <c r="AY112" s="285"/>
      <c r="AZ112" s="285"/>
      <c r="BA112" s="285"/>
      <c r="BB112" s="285"/>
      <c r="BC112" s="285"/>
      <c r="BD112" s="285"/>
      <c r="BE112" s="285"/>
      <c r="BF112" s="285"/>
      <c r="BG112" s="285"/>
      <c r="BH112" s="285"/>
      <c r="BI112" s="285"/>
      <c r="BJ112" s="285"/>
      <c r="BK112" s="285"/>
      <c r="BL112" s="285"/>
      <c r="BM112" s="285"/>
      <c r="BN112" s="285"/>
      <c r="BO112" s="285"/>
      <c r="BP112" s="285"/>
      <c r="BQ112" s="285"/>
      <c r="BR112" s="285"/>
      <c r="BS112" s="285"/>
      <c r="BT112" s="285"/>
      <c r="BU112" s="285"/>
      <c r="BV112" s="285"/>
      <c r="BW112" s="285"/>
      <c r="BX112" s="285"/>
      <c r="BY112" s="285"/>
      <c r="BZ112" s="285"/>
      <c r="CA112" s="285"/>
      <c r="CB112" s="285"/>
      <c r="CC112" s="285"/>
      <c r="CD112" s="286"/>
      <c r="CE112" s="286"/>
    </row>
    <row r="113" spans="1:83" ht="15.75" x14ac:dyDescent="0.25">
      <c r="A113" s="285"/>
      <c r="B113" s="285"/>
      <c r="C113" s="285"/>
      <c r="D113" s="285"/>
      <c r="E113" s="285"/>
      <c r="F113" s="285"/>
      <c r="G113" s="285"/>
      <c r="H113" s="285"/>
      <c r="I113" s="285"/>
      <c r="J113" s="285"/>
      <c r="K113" s="285"/>
      <c r="L113" s="288"/>
      <c r="M113" s="289"/>
      <c r="N113" s="290"/>
      <c r="O113" s="290"/>
      <c r="P113" s="290"/>
      <c r="Q113" s="290"/>
      <c r="R113" s="290"/>
      <c r="S113" s="290"/>
      <c r="T113" s="290"/>
      <c r="U113" s="290"/>
      <c r="V113" s="290"/>
      <c r="W113" s="290"/>
      <c r="X113" s="290"/>
      <c r="Y113" s="290"/>
      <c r="Z113" s="290"/>
      <c r="AA113" s="290"/>
      <c r="AB113" s="290"/>
      <c r="AC113" s="290"/>
      <c r="AD113" s="290"/>
      <c r="AE113" s="290"/>
      <c r="AF113" s="290"/>
      <c r="AG113" s="290"/>
      <c r="AH113" s="290"/>
      <c r="AI113" s="290"/>
      <c r="AJ113" s="290"/>
      <c r="AK113" s="291"/>
      <c r="AL113" s="290"/>
      <c r="AM113" s="290"/>
      <c r="AN113" s="290"/>
      <c r="AO113" s="290"/>
      <c r="AP113" s="290"/>
      <c r="AQ113" s="290"/>
      <c r="AR113" s="290"/>
      <c r="AS113" s="290"/>
      <c r="AT113" s="290"/>
      <c r="AU113" s="290"/>
      <c r="AV113" s="290"/>
      <c r="AW113" s="290"/>
      <c r="AX113" s="290"/>
      <c r="AY113" s="290"/>
      <c r="AZ113" s="290"/>
      <c r="BA113" s="290"/>
      <c r="BB113" s="290"/>
      <c r="BC113" s="290"/>
      <c r="BD113" s="290"/>
      <c r="BE113" s="290"/>
      <c r="BF113" s="290"/>
      <c r="BG113" s="290"/>
      <c r="BH113" s="290"/>
      <c r="BI113" s="290"/>
      <c r="BJ113" s="290"/>
      <c r="BK113" s="290"/>
      <c r="BL113" s="290"/>
      <c r="BM113" s="290"/>
      <c r="BN113" s="290"/>
      <c r="BO113" s="290"/>
      <c r="BP113" s="290"/>
      <c r="BQ113" s="290"/>
      <c r="BR113" s="290"/>
      <c r="BS113" s="290"/>
      <c r="BT113" s="290"/>
      <c r="BU113" s="290"/>
      <c r="BV113" s="290"/>
      <c r="BW113" s="290"/>
      <c r="BX113" s="290"/>
      <c r="BY113" s="290"/>
      <c r="BZ113" s="290"/>
      <c r="CA113" s="285"/>
      <c r="CB113" s="285"/>
      <c r="CC113" s="285"/>
      <c r="CD113" s="286"/>
      <c r="CE113" s="286"/>
    </row>
    <row r="114" spans="1:83" x14ac:dyDescent="0.25">
      <c r="A114" s="285"/>
      <c r="B114" s="285"/>
      <c r="C114" s="285"/>
      <c r="D114" s="285"/>
      <c r="E114" s="285"/>
      <c r="F114" s="285"/>
      <c r="G114" s="285"/>
      <c r="H114" s="285"/>
      <c r="I114" s="285"/>
      <c r="J114" s="285"/>
      <c r="K114" s="285"/>
      <c r="L114" s="285"/>
      <c r="M114" s="285"/>
      <c r="N114" s="285"/>
      <c r="O114" s="285"/>
      <c r="P114" s="285"/>
      <c r="Q114" s="285"/>
      <c r="R114" s="285"/>
      <c r="S114" s="285"/>
      <c r="T114" s="285"/>
      <c r="U114" s="285"/>
      <c r="V114" s="285"/>
      <c r="W114" s="285"/>
      <c r="X114" s="285"/>
      <c r="Y114" s="285"/>
      <c r="Z114" s="285"/>
      <c r="AA114" s="285"/>
      <c r="AB114" s="285"/>
      <c r="AC114" s="285"/>
      <c r="AD114" s="285"/>
      <c r="AE114" s="285"/>
      <c r="AF114" s="285"/>
      <c r="AG114" s="285"/>
      <c r="AH114" s="285"/>
      <c r="AI114" s="285"/>
      <c r="AJ114" s="285"/>
      <c r="AK114" s="285"/>
      <c r="AL114" s="285"/>
      <c r="AM114" s="285"/>
      <c r="AN114" s="285"/>
      <c r="AO114" s="285"/>
      <c r="AP114" s="285"/>
      <c r="AQ114" s="285"/>
      <c r="AR114" s="285"/>
      <c r="AS114" s="285"/>
      <c r="AT114" s="285"/>
      <c r="AU114" s="285"/>
      <c r="AV114" s="285"/>
      <c r="AW114" s="285"/>
      <c r="AX114" s="285"/>
      <c r="AY114" s="285"/>
      <c r="AZ114" s="285"/>
      <c r="BA114" s="285"/>
      <c r="BB114" s="285"/>
      <c r="BC114" s="285"/>
      <c r="BD114" s="285"/>
      <c r="BE114" s="285"/>
      <c r="BF114" s="285"/>
      <c r="BG114" s="285"/>
      <c r="BH114" s="285"/>
      <c r="BI114" s="285"/>
      <c r="BJ114" s="285"/>
      <c r="BK114" s="285"/>
      <c r="BL114" s="285"/>
      <c r="BM114" s="285"/>
      <c r="BN114" s="285"/>
      <c r="BO114" s="285"/>
      <c r="BP114" s="285"/>
      <c r="BQ114" s="285"/>
      <c r="BR114" s="285"/>
      <c r="BS114" s="285"/>
      <c r="BT114" s="285"/>
      <c r="BU114" s="285"/>
      <c r="BV114" s="285"/>
      <c r="BW114" s="285"/>
      <c r="BX114" s="285"/>
      <c r="BY114" s="285"/>
      <c r="BZ114" s="285"/>
      <c r="CA114" s="285"/>
      <c r="CB114" s="285"/>
      <c r="CC114" s="285"/>
      <c r="CD114" s="286"/>
      <c r="CE114" s="286"/>
    </row>
    <row r="115" spans="1:83" ht="15.75" x14ac:dyDescent="0.25">
      <c r="A115" s="285"/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3"/>
      <c r="N115" s="115"/>
      <c r="O115" s="293"/>
      <c r="P115" s="292"/>
      <c r="Q115" s="292"/>
      <c r="R115" s="294"/>
      <c r="S115" s="294"/>
      <c r="T115" s="295"/>
      <c r="U115" s="286"/>
      <c r="V115" s="286"/>
      <c r="W115" s="286"/>
      <c r="X115" s="286"/>
      <c r="Y115" s="286"/>
      <c r="Z115" s="286"/>
      <c r="AA115" s="286"/>
      <c r="AB115" s="286"/>
      <c r="AC115" s="286"/>
      <c r="AD115" s="286"/>
      <c r="AE115" s="286"/>
      <c r="AF115" s="286"/>
      <c r="AG115" s="286"/>
      <c r="AH115" s="286"/>
      <c r="AI115" s="286"/>
      <c r="AJ115" s="286"/>
      <c r="AK115" s="286"/>
      <c r="AL115" s="286"/>
      <c r="AM115" s="286"/>
      <c r="AN115" s="286"/>
      <c r="AO115" s="286"/>
      <c r="AP115" s="286"/>
      <c r="AQ115" s="286"/>
      <c r="AR115" s="286"/>
      <c r="AS115" s="286"/>
      <c r="AT115" s="286"/>
      <c r="AU115" s="286"/>
      <c r="AV115" s="286"/>
      <c r="AW115" s="286"/>
      <c r="AX115" s="286"/>
      <c r="AY115" s="286"/>
      <c r="AZ115" s="286"/>
      <c r="BA115" s="286"/>
      <c r="BB115" s="286"/>
      <c r="BC115" s="286"/>
      <c r="BD115" s="286"/>
      <c r="BE115" s="286"/>
      <c r="BF115" s="286"/>
      <c r="BG115" s="286"/>
      <c r="BH115" s="286"/>
      <c r="BI115" s="286"/>
      <c r="BJ115" s="286"/>
      <c r="BK115" s="286"/>
      <c r="BL115" s="286"/>
      <c r="BM115" s="286"/>
      <c r="BN115" s="286"/>
      <c r="BO115" s="286"/>
      <c r="BP115" s="286"/>
      <c r="BQ115" s="286"/>
      <c r="BR115" s="286"/>
      <c r="BS115" s="286"/>
      <c r="BT115" s="286"/>
      <c r="BU115" s="286"/>
      <c r="BV115" s="286"/>
      <c r="BW115" s="286"/>
      <c r="BX115" s="286"/>
      <c r="BY115" s="286"/>
      <c r="BZ115" s="286"/>
      <c r="CA115" s="286"/>
      <c r="CB115" s="286"/>
      <c r="CC115" s="286"/>
      <c r="CD115" s="286"/>
      <c r="CE115" s="286"/>
    </row>
    <row r="116" spans="1:83" ht="15.75" x14ac:dyDescent="0.25">
      <c r="A116" s="285"/>
      <c r="B116" s="292"/>
      <c r="C116" s="292"/>
      <c r="D116" s="292"/>
      <c r="E116" s="292"/>
      <c r="F116" s="292"/>
      <c r="G116" s="292"/>
      <c r="H116" s="292"/>
      <c r="I116" s="376" t="s">
        <v>251</v>
      </c>
      <c r="J116" s="376"/>
      <c r="K116" s="376"/>
      <c r="L116" s="376"/>
      <c r="M116" s="115"/>
      <c r="N116" s="115"/>
      <c r="O116" s="293"/>
      <c r="P116" s="296"/>
      <c r="Q116" s="297"/>
      <c r="R116" s="298"/>
      <c r="S116" s="298"/>
      <c r="T116" s="299"/>
      <c r="U116" s="299"/>
      <c r="V116" s="299"/>
      <c r="W116" s="286"/>
      <c r="X116" s="286"/>
      <c r="Y116" s="286"/>
      <c r="Z116" s="300"/>
      <c r="AA116" s="286"/>
      <c r="AB116" s="286"/>
      <c r="AC116" s="286"/>
      <c r="AD116" s="286"/>
      <c r="AE116" s="286"/>
      <c r="AF116" s="286"/>
      <c r="AG116" s="286"/>
      <c r="AH116" s="286"/>
      <c r="AI116" s="286"/>
      <c r="AJ116" s="286"/>
      <c r="AK116" s="286"/>
      <c r="AL116" s="286"/>
      <c r="AM116" s="286"/>
      <c r="AN116" s="286"/>
      <c r="AO116" s="286"/>
      <c r="AP116" s="286"/>
      <c r="AQ116" s="286"/>
      <c r="AR116" s="286"/>
      <c r="AS116" s="286"/>
      <c r="AT116" s="286"/>
      <c r="AU116" s="286"/>
      <c r="AV116" s="286"/>
      <c r="AW116" s="286"/>
      <c r="AX116" s="286"/>
      <c r="AY116" s="286"/>
      <c r="AZ116" s="286"/>
      <c r="BA116" s="286"/>
      <c r="BB116" s="286"/>
      <c r="BC116" s="286"/>
      <c r="BD116" s="286"/>
      <c r="BE116" s="286"/>
      <c r="BF116" s="286"/>
      <c r="BG116" s="286"/>
      <c r="BH116" s="286"/>
      <c r="BI116" s="286"/>
      <c r="BJ116" s="286"/>
      <c r="BK116" s="286"/>
      <c r="BL116" s="286"/>
      <c r="BM116" s="286"/>
      <c r="BN116" s="286"/>
      <c r="BO116" s="286"/>
      <c r="BP116" s="286"/>
      <c r="BQ116" s="286"/>
      <c r="BR116" s="286"/>
      <c r="BS116" s="286"/>
      <c r="BT116" s="286"/>
      <c r="BU116" s="286"/>
      <c r="BV116" s="286"/>
      <c r="BW116" s="286"/>
      <c r="BX116" s="286"/>
      <c r="BY116" s="286"/>
      <c r="BZ116" s="286"/>
      <c r="CA116" s="286"/>
      <c r="CB116" s="286"/>
      <c r="CC116" s="286"/>
      <c r="CD116" s="286"/>
      <c r="CE116" s="286"/>
    </row>
    <row r="117" spans="1:83" ht="18.75" x14ac:dyDescent="0.25">
      <c r="A117" s="285"/>
      <c r="B117" s="292"/>
      <c r="C117" s="370" t="s">
        <v>91</v>
      </c>
      <c r="D117" s="370"/>
      <c r="E117" s="370"/>
      <c r="F117" s="178">
        <f>'Análisis Espectral'!F117</f>
        <v>0</v>
      </c>
      <c r="G117" s="292"/>
      <c r="H117" s="292"/>
      <c r="I117" s="377" t="s">
        <v>250</v>
      </c>
      <c r="J117" s="377"/>
      <c r="K117" s="378" t="s">
        <v>43</v>
      </c>
      <c r="L117" s="378"/>
      <c r="M117" s="301"/>
      <c r="N117" s="301"/>
      <c r="O117" s="293"/>
      <c r="P117" s="296"/>
      <c r="Q117" s="297"/>
      <c r="R117" s="298"/>
      <c r="S117" s="298"/>
      <c r="T117" s="302"/>
      <c r="U117" s="299"/>
      <c r="V117" s="299"/>
      <c r="W117" s="286"/>
      <c r="X117" s="286"/>
      <c r="Y117" s="286"/>
      <c r="Z117" s="300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86"/>
      <c r="BC117" s="286"/>
      <c r="BD117" s="286"/>
      <c r="BE117" s="286"/>
      <c r="BF117" s="286"/>
      <c r="BG117" s="286"/>
      <c r="BH117" s="286"/>
      <c r="BI117" s="286"/>
      <c r="BJ117" s="286"/>
      <c r="BK117" s="286"/>
      <c r="BL117" s="286"/>
      <c r="BM117" s="286"/>
      <c r="BN117" s="286"/>
      <c r="BO117" s="286"/>
      <c r="BP117" s="286"/>
      <c r="BQ117" s="286"/>
      <c r="BR117" s="286"/>
      <c r="BS117" s="286"/>
      <c r="BT117" s="286"/>
      <c r="BU117" s="286"/>
      <c r="BV117" s="286"/>
      <c r="BW117" s="286"/>
      <c r="BX117" s="286"/>
      <c r="BY117" s="286"/>
      <c r="BZ117" s="286"/>
      <c r="CA117" s="286"/>
      <c r="CB117" s="286"/>
      <c r="CC117" s="286"/>
      <c r="CD117" s="286"/>
      <c r="CE117" s="286"/>
    </row>
    <row r="118" spans="1:83" ht="15.75" x14ac:dyDescent="0.25">
      <c r="A118" s="285"/>
      <c r="B118" s="292"/>
      <c r="C118" s="292"/>
      <c r="D118" s="292"/>
      <c r="E118" s="292"/>
      <c r="F118" s="115"/>
      <c r="G118" s="292"/>
      <c r="H118" s="292"/>
      <c r="I118" s="292"/>
      <c r="J118" s="292"/>
      <c r="K118" s="303"/>
      <c r="L118" s="303"/>
      <c r="M118" s="296"/>
      <c r="N118" s="296"/>
      <c r="O118" s="293"/>
      <c r="P118" s="292"/>
      <c r="Q118" s="292"/>
      <c r="R118" s="298"/>
      <c r="S118" s="298"/>
      <c r="T118" s="299"/>
      <c r="U118" s="299"/>
      <c r="V118" s="299"/>
      <c r="W118" s="286"/>
      <c r="X118" s="286"/>
      <c r="Y118" s="286"/>
      <c r="Z118" s="300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86"/>
      <c r="BC118" s="286"/>
      <c r="BD118" s="286"/>
      <c r="BE118" s="286"/>
      <c r="BF118" s="286"/>
      <c r="BG118" s="286"/>
      <c r="BH118" s="286"/>
      <c r="BI118" s="286"/>
      <c r="BJ118" s="286"/>
      <c r="BK118" s="286"/>
      <c r="BL118" s="286"/>
      <c r="BM118" s="286"/>
      <c r="BN118" s="286"/>
      <c r="BO118" s="286"/>
      <c r="BP118" s="286"/>
      <c r="BQ118" s="286"/>
      <c r="BR118" s="286"/>
      <c r="BS118" s="286"/>
      <c r="BT118" s="286"/>
      <c r="BU118" s="286"/>
      <c r="BV118" s="286"/>
      <c r="BW118" s="286"/>
      <c r="BX118" s="286"/>
      <c r="BY118" s="286"/>
      <c r="BZ118" s="286"/>
      <c r="CA118" s="286"/>
      <c r="CB118" s="286"/>
      <c r="CC118" s="286"/>
      <c r="CD118" s="286"/>
      <c r="CE118" s="286"/>
    </row>
    <row r="119" spans="1:83" ht="15.75" x14ac:dyDescent="0.25">
      <c r="A119" s="285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115"/>
      <c r="N119" s="115"/>
      <c r="O119" s="293"/>
      <c r="P119" s="296"/>
      <c r="Q119" s="292"/>
      <c r="R119" s="298"/>
      <c r="S119" s="298"/>
      <c r="T119" s="299"/>
      <c r="U119" s="299"/>
      <c r="V119" s="299"/>
      <c r="W119" s="286"/>
      <c r="X119" s="286"/>
      <c r="Y119" s="286"/>
      <c r="Z119" s="300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86"/>
      <c r="BC119" s="286"/>
      <c r="BD119" s="286"/>
      <c r="BE119" s="286"/>
      <c r="BF119" s="286"/>
      <c r="BG119" s="286"/>
      <c r="BH119" s="286"/>
      <c r="BI119" s="286"/>
      <c r="BJ119" s="286"/>
      <c r="BK119" s="286"/>
      <c r="BL119" s="286"/>
      <c r="BM119" s="286"/>
      <c r="BN119" s="286"/>
      <c r="BO119" s="286"/>
      <c r="BP119" s="286"/>
      <c r="BQ119" s="286"/>
      <c r="BR119" s="286"/>
      <c r="BS119" s="286"/>
      <c r="BT119" s="286"/>
      <c r="BU119" s="286"/>
      <c r="BV119" s="286"/>
      <c r="BW119" s="286"/>
      <c r="BX119" s="286"/>
      <c r="BY119" s="286"/>
      <c r="BZ119" s="286"/>
      <c r="CA119" s="286"/>
      <c r="CB119" s="286"/>
      <c r="CC119" s="286"/>
      <c r="CD119" s="286"/>
      <c r="CE119" s="286"/>
    </row>
    <row r="120" spans="1:83" x14ac:dyDescent="0.25">
      <c r="A120" s="285"/>
      <c r="B120" s="292"/>
      <c r="C120" s="304"/>
      <c r="D120" s="304"/>
      <c r="E120" s="304"/>
      <c r="F120" s="115"/>
      <c r="G120" s="292"/>
      <c r="H120" s="292"/>
      <c r="I120" s="292"/>
      <c r="J120" s="292"/>
      <c r="K120" s="292"/>
      <c r="L120" s="292"/>
      <c r="M120" s="115"/>
      <c r="N120" s="115"/>
      <c r="O120" s="292"/>
      <c r="P120" s="294"/>
      <c r="Q120" s="292"/>
      <c r="R120" s="298"/>
      <c r="S120" s="298"/>
      <c r="T120" s="299"/>
      <c r="U120" s="299"/>
      <c r="V120" s="299"/>
      <c r="W120" s="286"/>
      <c r="X120" s="286"/>
      <c r="Y120" s="286"/>
      <c r="Z120" s="286"/>
      <c r="AA120" s="286"/>
      <c r="AB120" s="286"/>
      <c r="AC120" s="286"/>
      <c r="AD120" s="286"/>
      <c r="AE120" s="286"/>
      <c r="AF120" s="286"/>
      <c r="AG120" s="286"/>
      <c r="AH120" s="286"/>
      <c r="AI120" s="286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6"/>
      <c r="AW120" s="286"/>
      <c r="AX120" s="286"/>
      <c r="AY120" s="286"/>
      <c r="AZ120" s="286"/>
      <c r="BA120" s="286"/>
      <c r="BB120" s="286"/>
      <c r="BC120" s="286"/>
      <c r="BD120" s="286"/>
      <c r="BE120" s="286"/>
      <c r="BF120" s="286"/>
      <c r="BG120" s="286"/>
      <c r="BH120" s="286"/>
      <c r="BI120" s="286"/>
      <c r="BJ120" s="286"/>
      <c r="BK120" s="286"/>
      <c r="BL120" s="286"/>
      <c r="BM120" s="286"/>
      <c r="BN120" s="286"/>
      <c r="BO120" s="286"/>
      <c r="BP120" s="286"/>
      <c r="BQ120" s="286"/>
      <c r="BR120" s="286"/>
      <c r="BS120" s="286"/>
      <c r="BT120" s="286"/>
      <c r="BU120" s="286"/>
      <c r="BV120" s="286"/>
      <c r="BW120" s="286"/>
      <c r="BX120" s="286"/>
      <c r="BY120" s="286"/>
      <c r="BZ120" s="286"/>
      <c r="CA120" s="286"/>
      <c r="CB120" s="286"/>
      <c r="CC120" s="286"/>
      <c r="CD120" s="286"/>
      <c r="CE120" s="286"/>
    </row>
    <row r="121" spans="1:83" ht="18.75" x14ac:dyDescent="0.25">
      <c r="A121" s="285"/>
      <c r="B121" s="292"/>
      <c r="C121" s="379" t="s">
        <v>1</v>
      </c>
      <c r="D121" s="379"/>
      <c r="E121" s="379"/>
      <c r="F121" s="379"/>
      <c r="G121" s="380" t="s">
        <v>249</v>
      </c>
      <c r="H121" s="292"/>
      <c r="I121" s="292"/>
      <c r="J121" s="292"/>
      <c r="K121" s="292"/>
      <c r="L121" s="292"/>
      <c r="M121" s="115"/>
      <c r="N121" s="115"/>
      <c r="O121" s="292"/>
      <c r="P121" s="292"/>
      <c r="Q121" s="292"/>
      <c r="R121" s="298"/>
      <c r="S121" s="298"/>
      <c r="T121" s="299"/>
      <c r="U121" s="299"/>
      <c r="V121" s="299"/>
      <c r="W121" s="286"/>
      <c r="X121" s="286"/>
      <c r="Y121" s="286"/>
      <c r="Z121" s="286"/>
      <c r="AA121" s="286"/>
      <c r="AB121" s="286"/>
      <c r="AC121" s="286"/>
      <c r="AD121" s="286"/>
      <c r="AE121" s="286"/>
      <c r="AF121" s="286"/>
      <c r="AG121" s="286"/>
      <c r="AH121" s="286"/>
      <c r="AI121" s="286"/>
      <c r="AJ121" s="286"/>
      <c r="AK121" s="286"/>
      <c r="AL121" s="286"/>
      <c r="AM121" s="286"/>
      <c r="AN121" s="286"/>
      <c r="AO121" s="286"/>
      <c r="AP121" s="286"/>
      <c r="AQ121" s="286"/>
      <c r="AR121" s="286"/>
      <c r="AS121" s="286"/>
      <c r="AT121" s="286"/>
      <c r="AU121" s="286"/>
      <c r="AV121" s="286"/>
      <c r="AW121" s="286"/>
      <c r="AX121" s="286"/>
      <c r="AY121" s="286"/>
      <c r="AZ121" s="286"/>
      <c r="BA121" s="286"/>
      <c r="BB121" s="286"/>
      <c r="BC121" s="286"/>
      <c r="BD121" s="286"/>
      <c r="BE121" s="286"/>
      <c r="BF121" s="286"/>
      <c r="BG121" s="286"/>
      <c r="BH121" s="286"/>
      <c r="BI121" s="286"/>
      <c r="BJ121" s="286"/>
      <c r="BK121" s="286"/>
      <c r="BL121" s="286"/>
      <c r="BM121" s="286"/>
      <c r="BN121" s="286"/>
      <c r="BO121" s="286"/>
      <c r="BP121" s="286"/>
      <c r="BQ121" s="286"/>
      <c r="BR121" s="286"/>
      <c r="BS121" s="286"/>
      <c r="BT121" s="286"/>
      <c r="BU121" s="286"/>
      <c r="BV121" s="286"/>
      <c r="BW121" s="286"/>
      <c r="BX121" s="286"/>
      <c r="BY121" s="286"/>
      <c r="BZ121" s="286"/>
      <c r="CA121" s="286"/>
      <c r="CB121" s="286"/>
      <c r="CC121" s="286"/>
      <c r="CD121" s="286"/>
      <c r="CE121" s="286"/>
    </row>
    <row r="122" spans="1:83" ht="30" x14ac:dyDescent="0.25">
      <c r="A122" s="285"/>
      <c r="B122" s="292"/>
      <c r="C122" s="182" t="s">
        <v>149</v>
      </c>
      <c r="D122" s="182" t="s">
        <v>150</v>
      </c>
      <c r="E122" s="182" t="s">
        <v>77</v>
      </c>
      <c r="F122" s="182" t="s">
        <v>178</v>
      </c>
      <c r="G122" s="380"/>
      <c r="H122" s="292"/>
      <c r="I122" s="292"/>
      <c r="J122" s="292"/>
      <c r="K122" s="292"/>
      <c r="L122" s="292"/>
      <c r="M122" s="115"/>
      <c r="N122" s="115"/>
      <c r="O122" s="293"/>
      <c r="P122" s="292"/>
      <c r="Q122" s="292"/>
      <c r="R122" s="298"/>
      <c r="S122" s="298"/>
      <c r="T122" s="299"/>
      <c r="U122" s="299"/>
      <c r="V122" s="299"/>
      <c r="W122" s="286"/>
      <c r="X122" s="286"/>
      <c r="Y122" s="286"/>
      <c r="Z122" s="286"/>
      <c r="AA122" s="286"/>
      <c r="AB122" s="286"/>
      <c r="AC122" s="286"/>
      <c r="AD122" s="286"/>
      <c r="AE122" s="286"/>
      <c r="AF122" s="286"/>
      <c r="AG122" s="286"/>
      <c r="AH122" s="286"/>
      <c r="AI122" s="286"/>
      <c r="AJ122" s="286"/>
      <c r="AK122" s="286"/>
      <c r="AL122" s="286"/>
      <c r="AM122" s="286"/>
      <c r="AN122" s="286"/>
      <c r="AO122" s="286"/>
      <c r="AP122" s="286"/>
      <c r="AQ122" s="286"/>
      <c r="AR122" s="286"/>
      <c r="AS122" s="286"/>
      <c r="AT122" s="286"/>
      <c r="AU122" s="286"/>
      <c r="AV122" s="286"/>
      <c r="AW122" s="286"/>
      <c r="AX122" s="286"/>
      <c r="AY122" s="286"/>
      <c r="AZ122" s="286"/>
      <c r="BA122" s="286"/>
      <c r="BB122" s="286"/>
      <c r="BC122" s="286"/>
      <c r="BD122" s="286"/>
      <c r="BE122" s="286"/>
      <c r="BF122" s="286"/>
      <c r="BG122" s="286"/>
      <c r="BH122" s="286"/>
      <c r="BI122" s="286"/>
      <c r="BJ122" s="286"/>
      <c r="BK122" s="286"/>
      <c r="BL122" s="286"/>
      <c r="BM122" s="286"/>
      <c r="BN122" s="286"/>
      <c r="BO122" s="286"/>
      <c r="BP122" s="286"/>
      <c r="BQ122" s="286"/>
      <c r="BR122" s="286"/>
      <c r="BS122" s="286"/>
      <c r="BT122" s="286"/>
      <c r="BU122" s="286"/>
      <c r="BV122" s="286"/>
      <c r="BW122" s="286"/>
      <c r="BX122" s="286"/>
      <c r="BY122" s="286"/>
      <c r="BZ122" s="286"/>
      <c r="CA122" s="286"/>
      <c r="CB122" s="286"/>
      <c r="CC122" s="286"/>
      <c r="CD122" s="286"/>
      <c r="CE122" s="286"/>
    </row>
    <row r="123" spans="1:83" ht="15.75" x14ac:dyDescent="0.25">
      <c r="A123" s="285"/>
      <c r="B123" s="292"/>
      <c r="C123" s="183">
        <v>1</v>
      </c>
      <c r="D123" s="178" t="str">
        <f>IF('Análisis Espectral'!D123&lt;&gt;"",'Análisis Espectral'!D123,"")</f>
        <v/>
      </c>
      <c r="E123" s="178" t="str">
        <f>IF('Análisis Espectral'!E123&lt;&gt;"",'Análisis Espectral'!E123,"")</f>
        <v/>
      </c>
      <c r="F123" s="178" t="str">
        <f>IF('Análisis Espectral'!F123&lt;&gt;"",'Análisis Espectral'!F123,"")</f>
        <v/>
      </c>
      <c r="G123" s="173">
        <v>20</v>
      </c>
      <c r="H123" s="292"/>
      <c r="I123" s="292"/>
      <c r="J123" s="292"/>
      <c r="K123" s="292"/>
      <c r="L123" s="292"/>
      <c r="M123" s="115"/>
      <c r="N123" s="115"/>
      <c r="O123" s="293"/>
      <c r="P123" s="296"/>
      <c r="Q123" s="292"/>
      <c r="R123" s="298"/>
      <c r="S123" s="298"/>
      <c r="T123" s="299"/>
      <c r="U123" s="299"/>
      <c r="V123" s="299"/>
      <c r="W123" s="286"/>
      <c r="X123" s="286"/>
      <c r="Y123" s="286"/>
      <c r="Z123" s="286"/>
      <c r="AA123" s="286"/>
      <c r="AB123" s="286"/>
      <c r="AC123" s="286"/>
      <c r="AD123" s="286"/>
      <c r="AE123" s="286"/>
      <c r="AF123" s="286"/>
      <c r="AG123" s="286"/>
      <c r="AH123" s="286"/>
      <c r="AI123" s="286"/>
      <c r="AJ123" s="286"/>
      <c r="AK123" s="286"/>
      <c r="AL123" s="286"/>
      <c r="AM123" s="286"/>
      <c r="AN123" s="286"/>
      <c r="AO123" s="286"/>
      <c r="AP123" s="286"/>
      <c r="AQ123" s="286"/>
      <c r="AR123" s="286"/>
      <c r="AS123" s="286"/>
      <c r="AT123" s="286"/>
      <c r="AU123" s="286"/>
      <c r="AV123" s="286"/>
      <c r="AW123" s="286"/>
      <c r="AX123" s="286"/>
      <c r="AY123" s="286"/>
      <c r="AZ123" s="286"/>
      <c r="BA123" s="286"/>
      <c r="BB123" s="286"/>
      <c r="BC123" s="286"/>
      <c r="BD123" s="286"/>
      <c r="BE123" s="286"/>
      <c r="BF123" s="286"/>
      <c r="BG123" s="286"/>
      <c r="BH123" s="286"/>
      <c r="BI123" s="286"/>
      <c r="BJ123" s="286"/>
      <c r="BK123" s="286"/>
      <c r="BL123" s="286"/>
      <c r="BM123" s="286"/>
      <c r="BN123" s="286"/>
      <c r="BO123" s="286"/>
      <c r="BP123" s="286"/>
      <c r="BQ123" s="286"/>
      <c r="BR123" s="286"/>
      <c r="BS123" s="286"/>
      <c r="BT123" s="286"/>
      <c r="BU123" s="286"/>
      <c r="BV123" s="286"/>
      <c r="BW123" s="286"/>
      <c r="BX123" s="286"/>
      <c r="BY123" s="286"/>
      <c r="BZ123" s="286"/>
      <c r="CA123" s="286"/>
      <c r="CB123" s="286"/>
      <c r="CC123" s="286"/>
      <c r="CD123" s="286"/>
      <c r="CE123" s="286"/>
    </row>
    <row r="124" spans="1:83" ht="15.75" x14ac:dyDescent="0.25">
      <c r="A124" s="285"/>
      <c r="B124" s="292"/>
      <c r="C124" s="183">
        <v>2</v>
      </c>
      <c r="D124" s="178" t="str">
        <f>IF('Análisis Espectral'!D124&lt;&gt;"",'Análisis Espectral'!D124,"")</f>
        <v/>
      </c>
      <c r="E124" s="178" t="str">
        <f>IF('Análisis Espectral'!E124&lt;&gt;"",'Análisis Espectral'!E124,"")</f>
        <v/>
      </c>
      <c r="F124" s="178" t="str">
        <f>IF('Análisis Espectral'!F124&lt;&gt;"",'Análisis Espectral'!F124,"")</f>
        <v/>
      </c>
      <c r="G124" s="173">
        <v>20</v>
      </c>
      <c r="H124" s="292"/>
      <c r="I124" s="292"/>
      <c r="J124" s="292"/>
      <c r="K124" s="292"/>
      <c r="L124" s="305"/>
      <c r="M124" s="115"/>
      <c r="N124" s="115"/>
      <c r="O124" s="292"/>
      <c r="P124" s="296"/>
      <c r="Q124" s="292"/>
      <c r="R124" s="298"/>
      <c r="S124" s="298"/>
      <c r="T124" s="299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86"/>
      <c r="AF124" s="286"/>
      <c r="AG124" s="286"/>
      <c r="AH124" s="286"/>
      <c r="AI124" s="286"/>
      <c r="AJ124" s="286"/>
      <c r="AK124" s="286"/>
      <c r="AL124" s="286"/>
      <c r="AM124" s="286"/>
      <c r="AN124" s="286"/>
      <c r="AO124" s="286"/>
      <c r="AP124" s="286"/>
      <c r="AQ124" s="286"/>
      <c r="AR124" s="286"/>
      <c r="AS124" s="286"/>
      <c r="AT124" s="286"/>
      <c r="AU124" s="286"/>
      <c r="AV124" s="286"/>
      <c r="AW124" s="286"/>
      <c r="AX124" s="286"/>
      <c r="AY124" s="286"/>
      <c r="AZ124" s="286"/>
      <c r="BA124" s="286"/>
      <c r="BB124" s="286"/>
      <c r="BC124" s="286"/>
      <c r="BD124" s="286"/>
      <c r="BE124" s="286"/>
      <c r="BF124" s="286"/>
      <c r="BG124" s="286"/>
      <c r="BH124" s="286"/>
      <c r="BI124" s="286"/>
      <c r="BJ124" s="286"/>
      <c r="BK124" s="286"/>
      <c r="BL124" s="286"/>
      <c r="BM124" s="286"/>
      <c r="BN124" s="286"/>
      <c r="BO124" s="286"/>
      <c r="BP124" s="286"/>
      <c r="BQ124" s="286"/>
      <c r="BR124" s="286"/>
      <c r="BS124" s="286"/>
      <c r="BT124" s="286"/>
      <c r="BU124" s="286"/>
      <c r="BV124" s="286"/>
      <c r="BW124" s="286"/>
      <c r="BX124" s="286"/>
      <c r="BY124" s="286"/>
      <c r="BZ124" s="286"/>
      <c r="CA124" s="286"/>
      <c r="CB124" s="286"/>
      <c r="CC124" s="286"/>
      <c r="CD124" s="286"/>
      <c r="CE124" s="286"/>
    </row>
    <row r="125" spans="1:83" ht="15.75" x14ac:dyDescent="0.25">
      <c r="A125" s="285"/>
      <c r="B125" s="292"/>
      <c r="C125" s="183">
        <v>3</v>
      </c>
      <c r="D125" s="178" t="str">
        <f>IF('Análisis Espectral'!D125&lt;&gt;"",'Análisis Espectral'!D125,"")</f>
        <v/>
      </c>
      <c r="E125" s="178" t="str">
        <f>IF('Análisis Espectral'!E125&lt;&gt;"",'Análisis Espectral'!E125,"")</f>
        <v/>
      </c>
      <c r="F125" s="178" t="str">
        <f>IF('Análisis Espectral'!F125&lt;&gt;"",'Análisis Espectral'!F125,"")</f>
        <v/>
      </c>
      <c r="G125" s="173">
        <v>20</v>
      </c>
      <c r="H125" s="292"/>
      <c r="I125" s="370" t="s">
        <v>151</v>
      </c>
      <c r="J125" s="370"/>
      <c r="K125" s="370"/>
      <c r="L125" s="280">
        <v>4.2401884423173604</v>
      </c>
      <c r="M125" s="292"/>
      <c r="N125" s="292"/>
      <c r="O125" s="292"/>
      <c r="P125" s="292"/>
      <c r="Q125" s="298"/>
      <c r="R125" s="298"/>
      <c r="S125" s="298"/>
      <c r="T125" s="299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86"/>
      <c r="AF125" s="286"/>
      <c r="AG125" s="286"/>
      <c r="AH125" s="286"/>
      <c r="AI125" s="286"/>
      <c r="AJ125" s="286"/>
      <c r="AK125" s="286"/>
      <c r="AL125" s="286"/>
      <c r="AM125" s="286"/>
      <c r="AN125" s="286"/>
      <c r="AO125" s="286"/>
      <c r="AP125" s="286"/>
      <c r="AQ125" s="286"/>
      <c r="AR125" s="286"/>
      <c r="AS125" s="286"/>
      <c r="AT125" s="286"/>
      <c r="AU125" s="286"/>
      <c r="AV125" s="286"/>
      <c r="AW125" s="286"/>
      <c r="AX125" s="286"/>
      <c r="AY125" s="286"/>
      <c r="AZ125" s="286"/>
      <c r="BA125" s="286"/>
      <c r="BB125" s="286"/>
      <c r="BC125" s="286"/>
      <c r="BD125" s="286"/>
      <c r="BE125" s="286"/>
      <c r="BF125" s="286"/>
      <c r="BG125" s="286"/>
      <c r="BH125" s="286"/>
      <c r="BI125" s="286"/>
      <c r="BJ125" s="286"/>
      <c r="BK125" s="286"/>
      <c r="BL125" s="286"/>
      <c r="BM125" s="286"/>
      <c r="BN125" s="286"/>
      <c r="BO125" s="286"/>
      <c r="BP125" s="286"/>
      <c r="BQ125" s="286"/>
      <c r="BR125" s="286"/>
      <c r="BS125" s="286"/>
      <c r="BT125" s="286"/>
      <c r="BU125" s="286"/>
      <c r="BV125" s="286"/>
      <c r="BW125" s="286"/>
      <c r="BX125" s="286"/>
      <c r="BY125" s="286"/>
      <c r="BZ125" s="286"/>
      <c r="CA125" s="286"/>
      <c r="CB125" s="286"/>
      <c r="CC125" s="286"/>
      <c r="CD125" s="286"/>
      <c r="CE125" s="286"/>
    </row>
    <row r="126" spans="1:83" ht="15.75" x14ac:dyDescent="0.25">
      <c r="A126" s="285"/>
      <c r="B126" s="292"/>
      <c r="C126" s="183">
        <v>4</v>
      </c>
      <c r="D126" s="178" t="str">
        <f>IF('Análisis Espectral'!D126&lt;&gt;"",'Análisis Espectral'!D126,"")</f>
        <v/>
      </c>
      <c r="E126" s="178" t="str">
        <f>IF('Análisis Espectral'!E126&lt;&gt;"",'Análisis Espectral'!E126,"")</f>
        <v/>
      </c>
      <c r="F126" s="178" t="str">
        <f>IF('Análisis Espectral'!F126&lt;&gt;"",'Análisis Espectral'!F126,"")</f>
        <v/>
      </c>
      <c r="G126" s="173"/>
      <c r="H126" s="292"/>
      <c r="I126" s="370" t="s">
        <v>152</v>
      </c>
      <c r="J126" s="370"/>
      <c r="K126" s="370"/>
      <c r="L126" s="280">
        <v>2.7980388138657011</v>
      </c>
      <c r="M126" s="292"/>
      <c r="N126" s="292"/>
      <c r="O126" s="292"/>
      <c r="P126" s="292"/>
      <c r="Q126" s="298"/>
      <c r="R126" s="298"/>
      <c r="S126" s="298"/>
      <c r="T126" s="299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  <c r="AF126" s="286"/>
      <c r="AG126" s="286"/>
      <c r="AH126" s="286"/>
      <c r="AI126" s="286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6"/>
      <c r="AW126" s="286"/>
      <c r="AX126" s="286"/>
      <c r="AY126" s="286"/>
      <c r="AZ126" s="286"/>
      <c r="BA126" s="286"/>
      <c r="BB126" s="286"/>
      <c r="BC126" s="286"/>
      <c r="BD126" s="286"/>
      <c r="BE126" s="286"/>
      <c r="BF126" s="286"/>
      <c r="BG126" s="286"/>
      <c r="BH126" s="286"/>
      <c r="BI126" s="286"/>
      <c r="BJ126" s="286"/>
      <c r="BK126" s="286"/>
      <c r="BL126" s="286"/>
      <c r="BM126" s="286"/>
      <c r="BN126" s="286"/>
      <c r="BO126" s="286"/>
      <c r="BP126" s="286"/>
      <c r="BQ126" s="286"/>
      <c r="BR126" s="286"/>
      <c r="BS126" s="286"/>
      <c r="BT126" s="286"/>
      <c r="BU126" s="286"/>
      <c r="BV126" s="286"/>
      <c r="BW126" s="286"/>
      <c r="BX126" s="286"/>
      <c r="BY126" s="286"/>
      <c r="BZ126" s="286"/>
      <c r="CA126" s="286"/>
      <c r="CB126" s="286"/>
      <c r="CC126" s="286"/>
      <c r="CD126" s="286"/>
      <c r="CE126" s="286"/>
    </row>
    <row r="127" spans="1:83" x14ac:dyDescent="0.25">
      <c r="A127" s="285"/>
      <c r="B127" s="292"/>
      <c r="C127" s="183">
        <v>5</v>
      </c>
      <c r="D127" s="178" t="str">
        <f>IF('Análisis Espectral'!D127&lt;&gt;"",'Análisis Espectral'!D127,"")</f>
        <v/>
      </c>
      <c r="E127" s="178" t="str">
        <f>IF('Análisis Espectral'!E127&lt;&gt;"",'Análisis Espectral'!E127,"")</f>
        <v/>
      </c>
      <c r="F127" s="178" t="str">
        <f>IF('Análisis Espectral'!F127&lt;&gt;"",'Análisis Espectral'!F127,"")</f>
        <v/>
      </c>
      <c r="G127" s="173"/>
      <c r="H127" s="292"/>
      <c r="I127" s="292"/>
      <c r="J127" s="292"/>
      <c r="K127" s="292"/>
      <c r="L127" s="292"/>
      <c r="M127" s="292"/>
      <c r="N127" s="292"/>
      <c r="O127" s="292"/>
      <c r="P127" s="292"/>
      <c r="Q127" s="298"/>
      <c r="R127" s="298"/>
      <c r="S127" s="298"/>
      <c r="T127" s="299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  <c r="AF127" s="286"/>
      <c r="AG127" s="286"/>
      <c r="AH127" s="286"/>
      <c r="AI127" s="286"/>
      <c r="AJ127" s="286"/>
      <c r="AK127" s="286"/>
      <c r="AL127" s="286"/>
      <c r="AM127" s="286"/>
      <c r="AN127" s="286"/>
      <c r="AO127" s="286"/>
      <c r="AP127" s="286"/>
      <c r="AQ127" s="286"/>
      <c r="AR127" s="286"/>
      <c r="AS127" s="286"/>
      <c r="AT127" s="286"/>
      <c r="AU127" s="286"/>
      <c r="AV127" s="286"/>
      <c r="AW127" s="286"/>
      <c r="AX127" s="286"/>
      <c r="AY127" s="286"/>
      <c r="AZ127" s="286"/>
      <c r="BA127" s="286"/>
      <c r="BB127" s="286"/>
      <c r="BC127" s="286"/>
      <c r="BD127" s="286"/>
      <c r="BE127" s="286"/>
      <c r="BF127" s="286"/>
      <c r="BG127" s="286"/>
      <c r="BH127" s="286"/>
      <c r="BI127" s="286"/>
      <c r="BJ127" s="286"/>
      <c r="BK127" s="286"/>
      <c r="BL127" s="286"/>
      <c r="BM127" s="286"/>
      <c r="BN127" s="286"/>
      <c r="BO127" s="286"/>
      <c r="BP127" s="286"/>
      <c r="BQ127" s="286"/>
      <c r="BR127" s="286"/>
      <c r="BS127" s="286"/>
      <c r="BT127" s="286"/>
      <c r="BU127" s="286"/>
      <c r="BV127" s="286"/>
      <c r="BW127" s="286"/>
      <c r="BX127" s="286"/>
      <c r="BY127" s="286"/>
      <c r="BZ127" s="286"/>
      <c r="CA127" s="286"/>
      <c r="CB127" s="286"/>
      <c r="CC127" s="286"/>
      <c r="CD127" s="286"/>
      <c r="CE127" s="286"/>
    </row>
    <row r="128" spans="1:83" x14ac:dyDescent="0.25">
      <c r="A128" s="285"/>
      <c r="B128" s="292"/>
      <c r="C128" s="183">
        <v>6</v>
      </c>
      <c r="D128" s="178" t="str">
        <f>IF('Análisis Espectral'!D128&lt;&gt;"",'Análisis Espectral'!D128,"")</f>
        <v/>
      </c>
      <c r="E128" s="178" t="str">
        <f>IF('Análisis Espectral'!E128&lt;&gt;"",'Análisis Espectral'!E128,"")</f>
        <v/>
      </c>
      <c r="F128" s="178" t="str">
        <f>IF('Análisis Espectral'!F128&lt;&gt;"",'Análisis Espectral'!F128,"")</f>
        <v/>
      </c>
      <c r="G128" s="173"/>
      <c r="H128" s="292"/>
      <c r="I128" s="292"/>
      <c r="J128" s="292"/>
      <c r="K128" s="292"/>
      <c r="L128" s="292"/>
      <c r="M128" s="292"/>
      <c r="N128" s="292"/>
      <c r="O128" s="292"/>
      <c r="P128" s="292"/>
      <c r="Q128" s="298"/>
      <c r="R128" s="298"/>
      <c r="S128" s="298"/>
      <c r="T128" s="299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  <c r="AF128" s="286"/>
      <c r="AG128" s="286"/>
      <c r="AH128" s="286"/>
      <c r="AI128" s="286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6"/>
      <c r="AW128" s="286"/>
      <c r="AX128" s="286"/>
      <c r="AY128" s="286"/>
      <c r="AZ128" s="286"/>
      <c r="BA128" s="286"/>
      <c r="BB128" s="286"/>
      <c r="BC128" s="286"/>
      <c r="BD128" s="286"/>
      <c r="BE128" s="286"/>
      <c r="BF128" s="286"/>
      <c r="BG128" s="286"/>
      <c r="BH128" s="286"/>
      <c r="BI128" s="286"/>
      <c r="BJ128" s="286"/>
      <c r="BK128" s="286"/>
      <c r="BL128" s="286"/>
      <c r="BM128" s="286"/>
      <c r="BN128" s="286"/>
      <c r="BO128" s="286"/>
      <c r="BP128" s="286"/>
      <c r="BQ128" s="286"/>
      <c r="BR128" s="286"/>
      <c r="BS128" s="286"/>
      <c r="BT128" s="286"/>
      <c r="BU128" s="286"/>
      <c r="BV128" s="286"/>
      <c r="BW128" s="286"/>
      <c r="BX128" s="286"/>
      <c r="BY128" s="286"/>
      <c r="BZ128" s="286"/>
      <c r="CA128" s="286"/>
      <c r="CB128" s="286"/>
      <c r="CC128" s="286"/>
      <c r="CD128" s="286"/>
      <c r="CE128" s="286"/>
    </row>
    <row r="129" spans="1:83" x14ac:dyDescent="0.25">
      <c r="A129" s="285"/>
      <c r="B129" s="292"/>
      <c r="C129" s="292"/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8"/>
      <c r="R129" s="298"/>
      <c r="S129" s="298"/>
      <c r="T129" s="299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  <c r="AF129" s="286"/>
      <c r="AG129" s="286"/>
      <c r="AH129" s="286"/>
      <c r="AI129" s="286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6"/>
      <c r="AW129" s="286"/>
      <c r="AX129" s="286"/>
      <c r="AY129" s="286"/>
      <c r="AZ129" s="286"/>
      <c r="BA129" s="286"/>
      <c r="BB129" s="286"/>
      <c r="BC129" s="286"/>
      <c r="BD129" s="286"/>
      <c r="BE129" s="286"/>
      <c r="BF129" s="286"/>
      <c r="BG129" s="286"/>
      <c r="BH129" s="286"/>
      <c r="BI129" s="286"/>
      <c r="BJ129" s="286"/>
      <c r="BK129" s="286"/>
      <c r="BL129" s="286"/>
      <c r="BM129" s="286"/>
      <c r="BN129" s="286"/>
      <c r="BO129" s="286"/>
      <c r="BP129" s="286"/>
      <c r="BQ129" s="286"/>
      <c r="BR129" s="286"/>
      <c r="BS129" s="286"/>
      <c r="BT129" s="286"/>
      <c r="BU129" s="286"/>
      <c r="BV129" s="286"/>
      <c r="BW129" s="286"/>
      <c r="BX129" s="286"/>
      <c r="BY129" s="286"/>
      <c r="BZ129" s="286"/>
      <c r="CA129" s="286"/>
      <c r="CB129" s="286"/>
      <c r="CC129" s="286"/>
      <c r="CD129" s="286"/>
      <c r="CE129" s="286"/>
    </row>
    <row r="130" spans="1:83" x14ac:dyDescent="0.25">
      <c r="A130" s="285"/>
      <c r="B130" s="292"/>
      <c r="C130" s="292"/>
      <c r="D130" s="292"/>
      <c r="E130" s="292"/>
      <c r="F130" s="292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8"/>
      <c r="R130" s="298"/>
      <c r="S130" s="298"/>
      <c r="T130" s="299"/>
      <c r="U130" s="286"/>
      <c r="V130" s="286"/>
      <c r="W130" s="286"/>
      <c r="X130" s="286"/>
      <c r="Y130" s="286"/>
      <c r="Z130" s="286"/>
      <c r="AA130" s="286"/>
      <c r="AB130" s="286"/>
      <c r="AC130" s="286"/>
      <c r="AD130" s="286"/>
      <c r="AE130" s="286"/>
      <c r="AF130" s="286"/>
      <c r="AG130" s="286"/>
      <c r="AH130" s="286"/>
      <c r="AI130" s="286"/>
      <c r="AJ130" s="286"/>
      <c r="AK130" s="286"/>
      <c r="AL130" s="286"/>
      <c r="AM130" s="286"/>
      <c r="AN130" s="286"/>
      <c r="AO130" s="286"/>
      <c r="AP130" s="286"/>
      <c r="AQ130" s="286"/>
      <c r="AR130" s="286"/>
      <c r="AS130" s="286"/>
      <c r="AT130" s="286"/>
      <c r="AU130" s="286"/>
      <c r="AV130" s="286"/>
      <c r="AW130" s="286"/>
      <c r="AX130" s="286"/>
      <c r="AY130" s="286"/>
      <c r="AZ130" s="286"/>
      <c r="BA130" s="286"/>
      <c r="BB130" s="286"/>
      <c r="BC130" s="286"/>
      <c r="BD130" s="286"/>
      <c r="BE130" s="286"/>
      <c r="BF130" s="286"/>
      <c r="BG130" s="286"/>
      <c r="BH130" s="286"/>
      <c r="BI130" s="286"/>
      <c r="BJ130" s="286"/>
      <c r="BK130" s="286"/>
      <c r="BL130" s="286"/>
      <c r="BM130" s="286"/>
      <c r="BN130" s="286"/>
      <c r="BO130" s="286"/>
      <c r="BP130" s="286"/>
      <c r="BQ130" s="286"/>
      <c r="BR130" s="286"/>
      <c r="BS130" s="286"/>
      <c r="BT130" s="286"/>
      <c r="BU130" s="286"/>
      <c r="BV130" s="286"/>
      <c r="BW130" s="286"/>
      <c r="BX130" s="286"/>
      <c r="BY130" s="286"/>
      <c r="BZ130" s="286"/>
      <c r="CA130" s="286"/>
      <c r="CB130" s="286"/>
      <c r="CC130" s="286"/>
      <c r="CD130" s="286"/>
      <c r="CE130" s="286"/>
    </row>
    <row r="131" spans="1:83" x14ac:dyDescent="0.25">
      <c r="A131" s="285"/>
      <c r="B131" s="292"/>
      <c r="C131" s="292"/>
      <c r="D131" s="292"/>
      <c r="E131" s="292"/>
      <c r="F131" s="292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8"/>
      <c r="R131" s="298"/>
      <c r="S131" s="298"/>
      <c r="T131" s="299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86"/>
      <c r="AF131" s="286"/>
      <c r="AG131" s="286"/>
      <c r="AH131" s="286"/>
      <c r="AI131" s="286"/>
      <c r="AJ131" s="286"/>
      <c r="AK131" s="286"/>
      <c r="AL131" s="286"/>
      <c r="AM131" s="286"/>
      <c r="AN131" s="286"/>
      <c r="AO131" s="286"/>
      <c r="AP131" s="286"/>
      <c r="AQ131" s="286"/>
      <c r="AR131" s="286"/>
      <c r="AS131" s="286"/>
      <c r="AT131" s="286"/>
      <c r="AU131" s="286"/>
      <c r="AV131" s="286"/>
      <c r="AW131" s="286"/>
      <c r="AX131" s="286"/>
      <c r="AY131" s="286"/>
      <c r="AZ131" s="286"/>
      <c r="BA131" s="286"/>
      <c r="BB131" s="286"/>
      <c r="BC131" s="286"/>
      <c r="BD131" s="286"/>
      <c r="BE131" s="286"/>
      <c r="BF131" s="286"/>
      <c r="BG131" s="286"/>
      <c r="BH131" s="286"/>
      <c r="BI131" s="286"/>
      <c r="BJ131" s="286"/>
      <c r="BK131" s="286"/>
      <c r="BL131" s="286"/>
      <c r="BM131" s="286"/>
      <c r="BN131" s="286"/>
      <c r="BO131" s="286"/>
      <c r="BP131" s="286"/>
      <c r="BQ131" s="286"/>
      <c r="BR131" s="286"/>
      <c r="BS131" s="286"/>
      <c r="BT131" s="286"/>
      <c r="BU131" s="286"/>
      <c r="BV131" s="286"/>
      <c r="BW131" s="286"/>
      <c r="BX131" s="286"/>
      <c r="BY131" s="286"/>
      <c r="BZ131" s="286"/>
      <c r="CA131" s="286"/>
      <c r="CB131" s="286"/>
      <c r="CC131" s="286"/>
      <c r="CD131" s="286"/>
      <c r="CE131" s="286"/>
    </row>
    <row r="132" spans="1:83" x14ac:dyDescent="0.25">
      <c r="A132" s="285"/>
      <c r="B132" s="292"/>
      <c r="C132" s="292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8"/>
      <c r="R132" s="298"/>
      <c r="S132" s="298"/>
      <c r="T132" s="299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86"/>
      <c r="AF132" s="286"/>
      <c r="AG132" s="286"/>
      <c r="AH132" s="286"/>
      <c r="AI132" s="286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6"/>
      <c r="AW132" s="286"/>
      <c r="AX132" s="286"/>
      <c r="AY132" s="286"/>
      <c r="AZ132" s="286"/>
      <c r="BA132" s="286"/>
      <c r="BB132" s="286"/>
      <c r="BC132" s="286"/>
      <c r="BD132" s="286"/>
      <c r="BE132" s="286"/>
      <c r="BF132" s="286"/>
      <c r="BG132" s="286"/>
      <c r="BH132" s="286"/>
      <c r="BI132" s="286"/>
      <c r="BJ132" s="286"/>
      <c r="BK132" s="286"/>
      <c r="BL132" s="286"/>
      <c r="BM132" s="286"/>
      <c r="BN132" s="286"/>
      <c r="BO132" s="286"/>
      <c r="BP132" s="286"/>
      <c r="BQ132" s="286"/>
      <c r="BR132" s="286"/>
      <c r="BS132" s="286"/>
      <c r="BT132" s="286"/>
      <c r="BU132" s="286"/>
      <c r="BV132" s="286"/>
      <c r="BW132" s="286"/>
      <c r="BX132" s="286"/>
      <c r="BY132" s="286"/>
      <c r="BZ132" s="286"/>
      <c r="CA132" s="286"/>
      <c r="CB132" s="286"/>
      <c r="CC132" s="286"/>
      <c r="CD132" s="286"/>
      <c r="CE132" s="286"/>
    </row>
    <row r="133" spans="1:83" x14ac:dyDescent="0.25">
      <c r="A133" s="285"/>
      <c r="B133" s="292"/>
      <c r="C133" s="292"/>
      <c r="D133" s="292"/>
      <c r="E133" s="292"/>
      <c r="F133" s="292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8"/>
      <c r="R133" s="298"/>
      <c r="S133" s="298"/>
      <c r="T133" s="299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86"/>
      <c r="AF133" s="286"/>
      <c r="AG133" s="286"/>
      <c r="AH133" s="286"/>
      <c r="AI133" s="286"/>
      <c r="AJ133" s="286"/>
      <c r="AK133" s="286"/>
      <c r="AL133" s="286"/>
      <c r="AM133" s="286"/>
      <c r="AN133" s="286"/>
      <c r="AO133" s="286"/>
      <c r="AP133" s="286"/>
      <c r="AQ133" s="286"/>
      <c r="AR133" s="286"/>
      <c r="AS133" s="286"/>
      <c r="AT133" s="286"/>
      <c r="AU133" s="286"/>
      <c r="AV133" s="286"/>
      <c r="AW133" s="286"/>
      <c r="AX133" s="286"/>
      <c r="AY133" s="286"/>
      <c r="AZ133" s="286"/>
      <c r="BA133" s="286"/>
      <c r="BB133" s="286"/>
      <c r="BC133" s="286"/>
      <c r="BD133" s="286"/>
      <c r="BE133" s="286"/>
      <c r="BF133" s="286"/>
      <c r="BG133" s="286"/>
      <c r="BH133" s="286"/>
      <c r="BI133" s="286"/>
      <c r="BJ133" s="286"/>
      <c r="BK133" s="286"/>
      <c r="BL133" s="286"/>
      <c r="BM133" s="286"/>
      <c r="BN133" s="286"/>
      <c r="BO133" s="286"/>
      <c r="BP133" s="286"/>
      <c r="BQ133" s="286"/>
      <c r="BR133" s="286"/>
      <c r="BS133" s="286"/>
      <c r="BT133" s="286"/>
      <c r="BU133" s="286"/>
      <c r="BV133" s="286"/>
      <c r="BW133" s="286"/>
      <c r="BX133" s="286"/>
      <c r="BY133" s="286"/>
      <c r="BZ133" s="286"/>
      <c r="CA133" s="286"/>
      <c r="CB133" s="286"/>
      <c r="CC133" s="286"/>
      <c r="CD133" s="286"/>
      <c r="CE133" s="286"/>
    </row>
    <row r="134" spans="1:83" x14ac:dyDescent="0.25">
      <c r="A134" s="285"/>
      <c r="B134" s="292"/>
      <c r="C134" s="292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8"/>
      <c r="R134" s="298"/>
      <c r="S134" s="298"/>
      <c r="T134" s="299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86"/>
      <c r="AF134" s="286"/>
      <c r="AG134" s="286"/>
      <c r="AH134" s="286"/>
      <c r="AI134" s="286"/>
      <c r="AJ134" s="286"/>
      <c r="AK134" s="286"/>
      <c r="AL134" s="286"/>
      <c r="AM134" s="286"/>
      <c r="AN134" s="286"/>
      <c r="AO134" s="286"/>
      <c r="AP134" s="286"/>
      <c r="AQ134" s="286"/>
      <c r="AR134" s="286"/>
      <c r="AS134" s="286"/>
      <c r="AT134" s="286"/>
      <c r="AU134" s="286"/>
      <c r="AV134" s="286"/>
      <c r="AW134" s="286"/>
      <c r="AX134" s="286"/>
      <c r="AY134" s="286"/>
      <c r="AZ134" s="286"/>
      <c r="BA134" s="286"/>
      <c r="BB134" s="286"/>
      <c r="BC134" s="286"/>
      <c r="BD134" s="286"/>
      <c r="BE134" s="286"/>
      <c r="BF134" s="286"/>
      <c r="BG134" s="286"/>
      <c r="BH134" s="286"/>
      <c r="BI134" s="286"/>
      <c r="BJ134" s="286"/>
      <c r="BK134" s="286"/>
      <c r="BL134" s="286"/>
      <c r="BM134" s="286"/>
      <c r="BN134" s="286"/>
      <c r="BO134" s="286"/>
      <c r="BP134" s="286"/>
      <c r="BQ134" s="286"/>
      <c r="BR134" s="286"/>
      <c r="BS134" s="286"/>
      <c r="BT134" s="286"/>
      <c r="BU134" s="286"/>
      <c r="BV134" s="286"/>
      <c r="BW134" s="286"/>
      <c r="BX134" s="286"/>
      <c r="BY134" s="286"/>
      <c r="BZ134" s="286"/>
      <c r="CA134" s="286"/>
      <c r="CB134" s="286"/>
      <c r="CC134" s="286"/>
      <c r="CD134" s="286"/>
      <c r="CE134" s="286"/>
    </row>
    <row r="135" spans="1:83" x14ac:dyDescent="0.25">
      <c r="A135" s="285"/>
      <c r="B135" s="286"/>
      <c r="C135" s="286"/>
      <c r="D135" s="286"/>
      <c r="E135" s="286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99"/>
      <c r="R135" s="299"/>
      <c r="S135" s="299"/>
      <c r="T135" s="299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86"/>
      <c r="AF135" s="286"/>
      <c r="AG135" s="286"/>
      <c r="AH135" s="286"/>
      <c r="AI135" s="286"/>
      <c r="AJ135" s="286"/>
      <c r="AK135" s="286"/>
      <c r="AL135" s="286"/>
      <c r="AM135" s="286"/>
      <c r="AN135" s="286"/>
      <c r="AO135" s="286"/>
      <c r="AP135" s="286"/>
      <c r="AQ135" s="286"/>
      <c r="AR135" s="286"/>
      <c r="AS135" s="286"/>
      <c r="AT135" s="286"/>
      <c r="AU135" s="286"/>
      <c r="AV135" s="286"/>
      <c r="AW135" s="286"/>
      <c r="AX135" s="286"/>
      <c r="AY135" s="286"/>
      <c r="AZ135" s="286"/>
      <c r="BA135" s="286"/>
      <c r="BB135" s="286"/>
      <c r="BC135" s="286"/>
      <c r="BD135" s="286"/>
      <c r="BE135" s="286"/>
      <c r="BF135" s="286"/>
      <c r="BG135" s="286"/>
      <c r="BH135" s="286"/>
      <c r="BI135" s="286"/>
      <c r="BJ135" s="286"/>
      <c r="BK135" s="286"/>
      <c r="BL135" s="286"/>
      <c r="BM135" s="286"/>
      <c r="BN135" s="286"/>
      <c r="BO135" s="286"/>
      <c r="BP135" s="286"/>
      <c r="BQ135" s="286"/>
      <c r="BR135" s="286"/>
      <c r="BS135" s="286"/>
      <c r="BT135" s="286"/>
      <c r="BU135" s="286"/>
      <c r="BV135" s="286"/>
      <c r="BW135" s="286"/>
      <c r="BX135" s="286"/>
      <c r="BY135" s="286"/>
      <c r="BZ135" s="286"/>
      <c r="CA135" s="286"/>
      <c r="CB135" s="286"/>
      <c r="CC135" s="286"/>
      <c r="CD135" s="286"/>
      <c r="CE135" s="286"/>
    </row>
    <row r="136" spans="1:83" x14ac:dyDescent="0.25">
      <c r="A136" s="285"/>
      <c r="B136" s="286"/>
      <c r="C136" s="286"/>
      <c r="D136" s="286"/>
      <c r="E136" s="286"/>
      <c r="F136" s="286"/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99"/>
      <c r="R136" s="299"/>
      <c r="S136" s="299"/>
      <c r="T136" s="299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86"/>
      <c r="AE136" s="286"/>
      <c r="AF136" s="286"/>
      <c r="AG136" s="286"/>
      <c r="AH136" s="286"/>
      <c r="AI136" s="286"/>
      <c r="AJ136" s="286"/>
      <c r="AK136" s="286"/>
      <c r="AL136" s="286"/>
      <c r="AM136" s="286"/>
      <c r="AN136" s="286"/>
      <c r="AO136" s="286"/>
      <c r="AP136" s="286"/>
      <c r="AQ136" s="286"/>
      <c r="AR136" s="286"/>
      <c r="AS136" s="286"/>
      <c r="AT136" s="286"/>
      <c r="AU136" s="286"/>
      <c r="AV136" s="286"/>
      <c r="AW136" s="286"/>
      <c r="AX136" s="286"/>
      <c r="AY136" s="286"/>
      <c r="AZ136" s="286"/>
      <c r="BA136" s="286"/>
      <c r="BB136" s="286"/>
      <c r="BC136" s="286"/>
      <c r="BD136" s="286"/>
      <c r="BE136" s="286"/>
      <c r="BF136" s="286"/>
      <c r="BG136" s="286"/>
      <c r="BH136" s="286"/>
      <c r="BI136" s="286"/>
      <c r="BJ136" s="286"/>
      <c r="BK136" s="286"/>
      <c r="BL136" s="286"/>
      <c r="BM136" s="286"/>
      <c r="BN136" s="286"/>
      <c r="BO136" s="286"/>
      <c r="BP136" s="286"/>
      <c r="BQ136" s="286"/>
      <c r="BR136" s="286"/>
      <c r="BS136" s="286"/>
      <c r="BT136" s="286"/>
      <c r="BU136" s="286"/>
      <c r="BV136" s="286"/>
      <c r="BW136" s="286"/>
      <c r="BX136" s="286"/>
      <c r="BY136" s="286"/>
      <c r="BZ136" s="286"/>
      <c r="CA136" s="286"/>
      <c r="CB136" s="286"/>
      <c r="CC136" s="286"/>
      <c r="CD136" s="286"/>
      <c r="CE136" s="286"/>
    </row>
    <row r="137" spans="1:83" x14ac:dyDescent="0.25">
      <c r="A137" s="285"/>
      <c r="B137" s="286"/>
      <c r="C137" s="286"/>
      <c r="D137" s="286"/>
      <c r="E137" s="286"/>
      <c r="F137" s="286"/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99"/>
      <c r="R137" s="299"/>
      <c r="S137" s="299"/>
      <c r="T137" s="299"/>
      <c r="U137" s="286"/>
      <c r="V137" s="286"/>
      <c r="W137" s="286"/>
      <c r="X137" s="286"/>
      <c r="Y137" s="286"/>
      <c r="Z137" s="286"/>
      <c r="AA137" s="286"/>
      <c r="AB137" s="286"/>
      <c r="AC137" s="286"/>
      <c r="AD137" s="286"/>
      <c r="AE137" s="286"/>
      <c r="AF137" s="286"/>
      <c r="AG137" s="286"/>
      <c r="AH137" s="286"/>
      <c r="AI137" s="286"/>
      <c r="AJ137" s="286"/>
      <c r="AK137" s="286"/>
      <c r="AL137" s="286"/>
      <c r="AM137" s="286"/>
      <c r="AN137" s="286"/>
      <c r="AO137" s="286"/>
      <c r="AP137" s="286"/>
      <c r="AQ137" s="286"/>
      <c r="AR137" s="286"/>
      <c r="AS137" s="286"/>
      <c r="AT137" s="286"/>
      <c r="AU137" s="286"/>
      <c r="AV137" s="286"/>
      <c r="AW137" s="286"/>
      <c r="AX137" s="286"/>
      <c r="AY137" s="286"/>
      <c r="AZ137" s="286"/>
      <c r="BA137" s="286"/>
      <c r="BB137" s="286"/>
      <c r="BC137" s="286"/>
      <c r="BD137" s="286"/>
      <c r="BE137" s="286"/>
      <c r="BF137" s="286"/>
      <c r="BG137" s="286"/>
      <c r="BH137" s="286"/>
      <c r="BI137" s="286"/>
      <c r="BJ137" s="286"/>
      <c r="BK137" s="286"/>
      <c r="BL137" s="286"/>
      <c r="BM137" s="286"/>
      <c r="BN137" s="286"/>
      <c r="BO137" s="286"/>
      <c r="BP137" s="286"/>
      <c r="BQ137" s="286"/>
      <c r="BR137" s="286"/>
      <c r="BS137" s="286"/>
      <c r="BT137" s="286"/>
      <c r="BU137" s="286"/>
      <c r="BV137" s="286"/>
      <c r="BW137" s="286"/>
      <c r="BX137" s="286"/>
      <c r="BY137" s="286"/>
      <c r="BZ137" s="286"/>
      <c r="CA137" s="286"/>
      <c r="CB137" s="286"/>
      <c r="CC137" s="286"/>
      <c r="CD137" s="286"/>
      <c r="CE137" s="286"/>
    </row>
    <row r="138" spans="1:83" x14ac:dyDescent="0.25">
      <c r="A138" s="285"/>
      <c r="B138" s="286"/>
      <c r="C138" s="286"/>
      <c r="D138" s="286"/>
      <c r="E138" s="286"/>
      <c r="F138" s="286"/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99"/>
      <c r="R138" s="299"/>
      <c r="S138" s="299"/>
      <c r="T138" s="299"/>
      <c r="U138" s="286"/>
      <c r="V138" s="286"/>
      <c r="W138" s="286"/>
      <c r="X138" s="286"/>
      <c r="Y138" s="286"/>
      <c r="Z138" s="286"/>
      <c r="AA138" s="286"/>
      <c r="AB138" s="286"/>
      <c r="AC138" s="286"/>
      <c r="AD138" s="286"/>
      <c r="AE138" s="286"/>
      <c r="AF138" s="286"/>
      <c r="AG138" s="286"/>
      <c r="AH138" s="286"/>
      <c r="AI138" s="286"/>
      <c r="AJ138" s="286"/>
      <c r="AK138" s="286"/>
      <c r="AL138" s="286"/>
      <c r="AM138" s="286"/>
      <c r="AN138" s="286"/>
      <c r="AO138" s="286"/>
      <c r="AP138" s="286"/>
      <c r="AQ138" s="286"/>
      <c r="AR138" s="286"/>
      <c r="AS138" s="286"/>
      <c r="AT138" s="286"/>
      <c r="AU138" s="286"/>
      <c r="AV138" s="286"/>
      <c r="AW138" s="286"/>
      <c r="AX138" s="286"/>
      <c r="AY138" s="286"/>
      <c r="AZ138" s="286"/>
      <c r="BA138" s="286"/>
      <c r="BB138" s="286"/>
      <c r="BC138" s="286"/>
      <c r="BD138" s="286"/>
      <c r="BE138" s="286"/>
      <c r="BF138" s="286"/>
      <c r="BG138" s="286"/>
      <c r="BH138" s="286"/>
      <c r="BI138" s="286"/>
      <c r="BJ138" s="286"/>
      <c r="BK138" s="286"/>
      <c r="BL138" s="286"/>
      <c r="BM138" s="286"/>
      <c r="BN138" s="286"/>
      <c r="BO138" s="286"/>
      <c r="BP138" s="286"/>
      <c r="BQ138" s="286"/>
      <c r="BR138" s="286"/>
      <c r="BS138" s="286"/>
      <c r="BT138" s="286"/>
      <c r="BU138" s="286"/>
      <c r="BV138" s="286"/>
      <c r="BW138" s="286"/>
      <c r="BX138" s="286"/>
      <c r="BY138" s="286"/>
      <c r="BZ138" s="286"/>
      <c r="CA138" s="286"/>
      <c r="CB138" s="286"/>
      <c r="CC138" s="286"/>
      <c r="CD138" s="286"/>
      <c r="CE138" s="286"/>
    </row>
    <row r="139" spans="1:83" x14ac:dyDescent="0.25">
      <c r="A139" s="285"/>
      <c r="B139" s="286"/>
      <c r="C139" s="286"/>
      <c r="D139" s="286"/>
      <c r="E139" s="286"/>
      <c r="F139" s="286"/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99"/>
      <c r="R139" s="299"/>
      <c r="S139" s="299"/>
      <c r="T139" s="299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</row>
    <row r="140" spans="1:83" x14ac:dyDescent="0.25">
      <c r="A140" s="285"/>
      <c r="B140" s="286"/>
      <c r="C140" s="286"/>
      <c r="D140" s="286"/>
      <c r="E140" s="286"/>
      <c r="F140" s="286"/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99"/>
      <c r="R140" s="299"/>
      <c r="S140" s="299"/>
      <c r="T140" s="299"/>
      <c r="U140" s="286"/>
      <c r="V140" s="286"/>
      <c r="W140" s="286"/>
      <c r="X140" s="286"/>
      <c r="Y140" s="286"/>
      <c r="Z140" s="286"/>
      <c r="AA140" s="286"/>
      <c r="AB140" s="286"/>
      <c r="AC140" s="286"/>
      <c r="AD140" s="286"/>
      <c r="AE140" s="286"/>
      <c r="AF140" s="286"/>
      <c r="AG140" s="286"/>
      <c r="AH140" s="286"/>
      <c r="AI140" s="286"/>
      <c r="AJ140" s="286"/>
      <c r="AK140" s="286"/>
      <c r="AL140" s="286"/>
      <c r="AM140" s="286"/>
      <c r="AN140" s="286"/>
      <c r="AO140" s="286"/>
      <c r="AP140" s="286"/>
      <c r="AQ140" s="286"/>
      <c r="AR140" s="286"/>
      <c r="AS140" s="286"/>
      <c r="AT140" s="286"/>
      <c r="AU140" s="286"/>
      <c r="AV140" s="286"/>
      <c r="AW140" s="286"/>
      <c r="AX140" s="286"/>
      <c r="AY140" s="286"/>
      <c r="AZ140" s="286"/>
      <c r="BA140" s="286"/>
      <c r="BB140" s="286"/>
      <c r="BC140" s="286"/>
      <c r="BD140" s="286"/>
      <c r="BE140" s="286"/>
      <c r="BF140" s="286"/>
      <c r="BG140" s="286"/>
      <c r="BH140" s="286"/>
      <c r="BI140" s="286"/>
      <c r="BJ140" s="286"/>
      <c r="BK140" s="286"/>
      <c r="BL140" s="286"/>
      <c r="BM140" s="286"/>
      <c r="BN140" s="286"/>
      <c r="BO140" s="286"/>
      <c r="BP140" s="286"/>
      <c r="BQ140" s="286"/>
      <c r="BR140" s="286"/>
      <c r="BS140" s="286"/>
      <c r="BT140" s="286"/>
      <c r="BU140" s="286"/>
      <c r="BV140" s="286"/>
      <c r="BW140" s="286"/>
      <c r="BX140" s="286"/>
      <c r="BY140" s="286"/>
      <c r="BZ140" s="286"/>
      <c r="CA140" s="286"/>
      <c r="CB140" s="286"/>
      <c r="CC140" s="286"/>
      <c r="CD140" s="286"/>
      <c r="CE140" s="286"/>
    </row>
    <row r="141" spans="1:83" x14ac:dyDescent="0.25">
      <c r="A141" s="285"/>
      <c r="B141" s="286"/>
      <c r="C141" s="286"/>
      <c r="D141" s="286"/>
      <c r="E141" s="286"/>
      <c r="F141" s="286"/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99"/>
      <c r="R141" s="299"/>
      <c r="S141" s="299"/>
      <c r="T141" s="299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  <c r="AF141" s="286"/>
      <c r="AG141" s="286"/>
      <c r="AH141" s="286"/>
      <c r="AI141" s="286"/>
      <c r="AJ141" s="286"/>
      <c r="AK141" s="286"/>
      <c r="AL141" s="286"/>
      <c r="AM141" s="286"/>
      <c r="AN141" s="286"/>
      <c r="AO141" s="286"/>
      <c r="AP141" s="286"/>
      <c r="AQ141" s="286"/>
      <c r="AR141" s="286"/>
      <c r="AS141" s="286"/>
      <c r="AT141" s="286"/>
      <c r="AU141" s="286"/>
      <c r="AV141" s="286"/>
      <c r="AW141" s="286"/>
      <c r="AX141" s="286"/>
      <c r="AY141" s="286"/>
      <c r="AZ141" s="286"/>
      <c r="BA141" s="286"/>
      <c r="BB141" s="286"/>
      <c r="BC141" s="286"/>
      <c r="BD141" s="286"/>
      <c r="BE141" s="286"/>
      <c r="BF141" s="286"/>
      <c r="BG141" s="286"/>
      <c r="BH141" s="286"/>
      <c r="BI141" s="286"/>
      <c r="BJ141" s="286"/>
      <c r="BK141" s="286"/>
      <c r="BL141" s="286"/>
      <c r="BM141" s="286"/>
      <c r="BN141" s="286"/>
      <c r="BO141" s="286"/>
      <c r="BP141" s="286"/>
      <c r="BQ141" s="286"/>
      <c r="BR141" s="286"/>
      <c r="BS141" s="286"/>
      <c r="BT141" s="286"/>
      <c r="BU141" s="286"/>
      <c r="BV141" s="286"/>
      <c r="BW141" s="286"/>
      <c r="BX141" s="286"/>
      <c r="BY141" s="286"/>
      <c r="BZ141" s="286"/>
      <c r="CA141" s="286"/>
      <c r="CB141" s="286"/>
      <c r="CC141" s="286"/>
      <c r="CD141" s="286"/>
      <c r="CE141" s="286"/>
    </row>
    <row r="142" spans="1:83" x14ac:dyDescent="0.25">
      <c r="A142" s="285"/>
      <c r="B142" s="286"/>
      <c r="C142" s="286"/>
      <c r="D142" s="286"/>
      <c r="E142" s="286"/>
      <c r="F142" s="286"/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99"/>
      <c r="R142" s="299"/>
      <c r="S142" s="299"/>
      <c r="T142" s="299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  <c r="AF142" s="286"/>
      <c r="AG142" s="286"/>
      <c r="AH142" s="286"/>
      <c r="AI142" s="286"/>
      <c r="AJ142" s="286"/>
      <c r="AK142" s="286"/>
      <c r="AL142" s="286"/>
      <c r="AM142" s="286"/>
      <c r="AN142" s="286"/>
      <c r="AO142" s="286"/>
      <c r="AP142" s="286"/>
      <c r="AQ142" s="286"/>
      <c r="AR142" s="286"/>
      <c r="AS142" s="286"/>
      <c r="AT142" s="286"/>
      <c r="AU142" s="286"/>
      <c r="AV142" s="286"/>
      <c r="AW142" s="286"/>
      <c r="AX142" s="286"/>
      <c r="AY142" s="286"/>
      <c r="AZ142" s="286"/>
      <c r="BA142" s="286"/>
      <c r="BB142" s="286"/>
      <c r="BC142" s="286"/>
      <c r="BD142" s="286"/>
      <c r="BE142" s="286"/>
      <c r="BF142" s="286"/>
      <c r="BG142" s="286"/>
      <c r="BH142" s="286"/>
      <c r="BI142" s="286"/>
      <c r="BJ142" s="286"/>
      <c r="BK142" s="286"/>
      <c r="BL142" s="286"/>
      <c r="BM142" s="286"/>
      <c r="BN142" s="286"/>
      <c r="BO142" s="286"/>
      <c r="BP142" s="286"/>
      <c r="BQ142" s="286"/>
      <c r="BR142" s="286"/>
      <c r="BS142" s="286"/>
      <c r="BT142" s="286"/>
      <c r="BU142" s="286"/>
      <c r="BV142" s="286"/>
      <c r="BW142" s="286"/>
      <c r="BX142" s="286"/>
      <c r="BY142" s="286"/>
      <c r="BZ142" s="286"/>
      <c r="CA142" s="286"/>
      <c r="CB142" s="286"/>
      <c r="CC142" s="286"/>
      <c r="CD142" s="286"/>
      <c r="CE142" s="286"/>
    </row>
    <row r="143" spans="1:83" x14ac:dyDescent="0.25">
      <c r="A143" s="285"/>
      <c r="B143" s="286"/>
      <c r="C143" s="286"/>
      <c r="D143" s="286"/>
      <c r="E143" s="286"/>
      <c r="F143" s="286"/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99"/>
      <c r="R143" s="299"/>
      <c r="S143" s="299"/>
      <c r="T143" s="299"/>
      <c r="U143" s="286"/>
      <c r="V143" s="286"/>
      <c r="W143" s="286"/>
      <c r="X143" s="286"/>
      <c r="Y143" s="286"/>
      <c r="Z143" s="286"/>
      <c r="AA143" s="286"/>
      <c r="AB143" s="286"/>
      <c r="AC143" s="286"/>
      <c r="AD143" s="286"/>
      <c r="AE143" s="286"/>
      <c r="AF143" s="286"/>
      <c r="AG143" s="286"/>
      <c r="AH143" s="286"/>
      <c r="AI143" s="286"/>
      <c r="AJ143" s="286"/>
      <c r="AK143" s="286"/>
      <c r="AL143" s="286"/>
      <c r="AM143" s="286"/>
      <c r="AN143" s="286"/>
      <c r="AO143" s="286"/>
      <c r="AP143" s="286"/>
      <c r="AQ143" s="286"/>
      <c r="AR143" s="286"/>
      <c r="AS143" s="286"/>
      <c r="AT143" s="286"/>
      <c r="AU143" s="286"/>
      <c r="AV143" s="286"/>
      <c r="AW143" s="286"/>
      <c r="AX143" s="286"/>
      <c r="AY143" s="286"/>
      <c r="AZ143" s="286"/>
      <c r="BA143" s="286"/>
      <c r="BB143" s="286"/>
      <c r="BC143" s="286"/>
      <c r="BD143" s="286"/>
      <c r="BE143" s="286"/>
      <c r="BF143" s="286"/>
      <c r="BG143" s="286"/>
      <c r="BH143" s="286"/>
      <c r="BI143" s="286"/>
      <c r="BJ143" s="286"/>
      <c r="BK143" s="286"/>
      <c r="BL143" s="286"/>
      <c r="BM143" s="286"/>
      <c r="BN143" s="286"/>
      <c r="BO143" s="286"/>
      <c r="BP143" s="286"/>
      <c r="BQ143" s="286"/>
      <c r="BR143" s="286"/>
      <c r="BS143" s="286"/>
      <c r="BT143" s="286"/>
      <c r="BU143" s="286"/>
      <c r="BV143" s="286"/>
      <c r="BW143" s="286"/>
      <c r="BX143" s="286"/>
      <c r="BY143" s="286"/>
      <c r="BZ143" s="286"/>
      <c r="CA143" s="286"/>
      <c r="CB143" s="286"/>
      <c r="CC143" s="286"/>
      <c r="CD143" s="286"/>
      <c r="CE143" s="286"/>
    </row>
    <row r="144" spans="1:83" x14ac:dyDescent="0.25">
      <c r="A144" s="285"/>
      <c r="B144" s="286"/>
      <c r="C144" s="286"/>
      <c r="D144" s="286"/>
      <c r="E144" s="286"/>
      <c r="F144" s="286"/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99"/>
      <c r="R144" s="299"/>
      <c r="S144" s="299"/>
      <c r="T144" s="299"/>
      <c r="U144" s="286"/>
      <c r="V144" s="286"/>
      <c r="W144" s="286"/>
      <c r="X144" s="286"/>
      <c r="Y144" s="286"/>
      <c r="Z144" s="286"/>
      <c r="AA144" s="286"/>
      <c r="AB144" s="286"/>
      <c r="AC144" s="286"/>
      <c r="AD144" s="286"/>
      <c r="AE144" s="286"/>
      <c r="AF144" s="286"/>
      <c r="AG144" s="286"/>
      <c r="AH144" s="286"/>
      <c r="AI144" s="286"/>
      <c r="AJ144" s="286"/>
      <c r="AK144" s="286"/>
      <c r="AL144" s="286"/>
      <c r="AM144" s="286"/>
      <c r="AN144" s="286"/>
      <c r="AO144" s="286"/>
      <c r="AP144" s="286"/>
      <c r="AQ144" s="286"/>
      <c r="AR144" s="286"/>
      <c r="AS144" s="286"/>
      <c r="AT144" s="286"/>
      <c r="AU144" s="286"/>
      <c r="AV144" s="286"/>
      <c r="AW144" s="286"/>
      <c r="AX144" s="286"/>
      <c r="AY144" s="286"/>
      <c r="AZ144" s="286"/>
      <c r="BA144" s="286"/>
      <c r="BB144" s="286"/>
      <c r="BC144" s="286"/>
      <c r="BD144" s="286"/>
      <c r="BE144" s="286"/>
      <c r="BF144" s="286"/>
      <c r="BG144" s="286"/>
      <c r="BH144" s="286"/>
      <c r="BI144" s="286"/>
      <c r="BJ144" s="286"/>
      <c r="BK144" s="286"/>
      <c r="BL144" s="286"/>
      <c r="BM144" s="286"/>
      <c r="BN144" s="286"/>
      <c r="BO144" s="286"/>
      <c r="BP144" s="286"/>
      <c r="BQ144" s="286"/>
      <c r="BR144" s="286"/>
      <c r="BS144" s="286"/>
      <c r="BT144" s="286"/>
      <c r="BU144" s="286"/>
      <c r="BV144" s="286"/>
      <c r="BW144" s="286"/>
      <c r="BX144" s="286"/>
      <c r="BY144" s="286"/>
      <c r="BZ144" s="286"/>
      <c r="CA144" s="286"/>
      <c r="CB144" s="286"/>
      <c r="CC144" s="286"/>
      <c r="CD144" s="286"/>
      <c r="CE144" s="286"/>
    </row>
    <row r="145" spans="1:83" x14ac:dyDescent="0.25">
      <c r="A145" s="285"/>
      <c r="B145" s="286"/>
      <c r="C145" s="286"/>
      <c r="D145" s="286"/>
      <c r="E145" s="286"/>
      <c r="F145" s="286"/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99"/>
      <c r="R145" s="299"/>
      <c r="S145" s="299"/>
      <c r="T145" s="299"/>
      <c r="U145" s="286"/>
      <c r="V145" s="286"/>
      <c r="W145" s="286"/>
      <c r="X145" s="286"/>
      <c r="Y145" s="286"/>
      <c r="Z145" s="286"/>
      <c r="AA145" s="286"/>
      <c r="AB145" s="286"/>
      <c r="AC145" s="286"/>
      <c r="AD145" s="286"/>
      <c r="AE145" s="286"/>
      <c r="AF145" s="286"/>
      <c r="AG145" s="286"/>
      <c r="AH145" s="286"/>
      <c r="AI145" s="286"/>
      <c r="AJ145" s="286"/>
      <c r="AK145" s="286"/>
      <c r="AL145" s="286"/>
      <c r="AM145" s="286"/>
      <c r="AN145" s="286"/>
      <c r="AO145" s="286"/>
      <c r="AP145" s="286"/>
      <c r="AQ145" s="286"/>
      <c r="AR145" s="286"/>
      <c r="AS145" s="286"/>
      <c r="AT145" s="286"/>
      <c r="AU145" s="286"/>
      <c r="AV145" s="286"/>
      <c r="AW145" s="286"/>
      <c r="AX145" s="286"/>
      <c r="AY145" s="286"/>
      <c r="AZ145" s="286"/>
      <c r="BA145" s="286"/>
      <c r="BB145" s="286"/>
      <c r="BC145" s="286"/>
      <c r="BD145" s="286"/>
      <c r="BE145" s="286"/>
      <c r="BF145" s="286"/>
      <c r="BG145" s="286"/>
      <c r="BH145" s="286"/>
      <c r="BI145" s="286"/>
      <c r="BJ145" s="286"/>
      <c r="BK145" s="286"/>
      <c r="BL145" s="286"/>
      <c r="BM145" s="286"/>
      <c r="BN145" s="286"/>
      <c r="BO145" s="286"/>
      <c r="BP145" s="286"/>
      <c r="BQ145" s="286"/>
      <c r="BR145" s="286"/>
      <c r="BS145" s="286"/>
      <c r="BT145" s="286"/>
      <c r="BU145" s="286"/>
      <c r="BV145" s="286"/>
      <c r="BW145" s="286"/>
      <c r="BX145" s="286"/>
      <c r="BY145" s="286"/>
      <c r="BZ145" s="286"/>
      <c r="CA145" s="286"/>
      <c r="CB145" s="286"/>
      <c r="CC145" s="286"/>
      <c r="CD145" s="286"/>
      <c r="CE145" s="286"/>
    </row>
    <row r="146" spans="1:83" x14ac:dyDescent="0.25">
      <c r="A146" s="285"/>
      <c r="B146" s="286"/>
      <c r="C146" s="286"/>
      <c r="D146" s="286"/>
      <c r="E146" s="286"/>
      <c r="F146" s="286"/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99"/>
      <c r="R146" s="299"/>
      <c r="S146" s="299"/>
      <c r="T146" s="299"/>
      <c r="U146" s="286"/>
      <c r="V146" s="286"/>
      <c r="W146" s="286"/>
      <c r="X146" s="286"/>
      <c r="Y146" s="286"/>
      <c r="Z146" s="286"/>
      <c r="AA146" s="286"/>
      <c r="AB146" s="286"/>
      <c r="AC146" s="286"/>
      <c r="AD146" s="286"/>
      <c r="AE146" s="286"/>
      <c r="AF146" s="286"/>
      <c r="AG146" s="286"/>
      <c r="AH146" s="286"/>
      <c r="AI146" s="286"/>
      <c r="AJ146" s="286"/>
      <c r="AK146" s="286"/>
      <c r="AL146" s="286"/>
      <c r="AM146" s="286"/>
      <c r="AN146" s="286"/>
      <c r="AO146" s="286"/>
      <c r="AP146" s="286"/>
      <c r="AQ146" s="286"/>
      <c r="AR146" s="286"/>
      <c r="AS146" s="286"/>
      <c r="AT146" s="286"/>
      <c r="AU146" s="286"/>
      <c r="AV146" s="286"/>
      <c r="AW146" s="286"/>
      <c r="AX146" s="286"/>
      <c r="AY146" s="286"/>
      <c r="AZ146" s="286"/>
      <c r="BA146" s="286"/>
      <c r="BB146" s="286"/>
      <c r="BC146" s="286"/>
      <c r="BD146" s="286"/>
      <c r="BE146" s="286"/>
      <c r="BF146" s="286"/>
      <c r="BG146" s="286"/>
      <c r="BH146" s="286"/>
      <c r="BI146" s="286"/>
      <c r="BJ146" s="286"/>
      <c r="BK146" s="286"/>
      <c r="BL146" s="286"/>
      <c r="BM146" s="286"/>
      <c r="BN146" s="286"/>
      <c r="BO146" s="286"/>
      <c r="BP146" s="286"/>
      <c r="BQ146" s="286"/>
      <c r="BR146" s="286"/>
      <c r="BS146" s="286"/>
      <c r="BT146" s="286"/>
      <c r="BU146" s="286"/>
      <c r="BV146" s="286"/>
      <c r="BW146" s="286"/>
      <c r="BX146" s="286"/>
      <c r="BY146" s="286"/>
      <c r="BZ146" s="286"/>
      <c r="CA146" s="286"/>
      <c r="CB146" s="286"/>
      <c r="CC146" s="286"/>
      <c r="CD146" s="286"/>
      <c r="CE146" s="286"/>
    </row>
    <row r="147" spans="1:83" x14ac:dyDescent="0.25">
      <c r="A147" s="285"/>
      <c r="B147" s="286"/>
      <c r="C147" s="286"/>
      <c r="D147" s="286"/>
      <c r="E147" s="286"/>
      <c r="F147" s="286"/>
      <c r="G147" s="286"/>
      <c r="H147" s="286"/>
      <c r="I147" s="286"/>
      <c r="J147" s="286"/>
      <c r="K147" s="286"/>
      <c r="L147" s="286"/>
      <c r="M147" s="286"/>
      <c r="N147" s="286"/>
      <c r="O147" s="286"/>
      <c r="P147" s="286"/>
      <c r="Q147" s="299"/>
      <c r="R147" s="299"/>
      <c r="S147" s="299"/>
      <c r="T147" s="299"/>
      <c r="U147" s="286"/>
      <c r="V147" s="286"/>
      <c r="W147" s="286"/>
      <c r="X147" s="286"/>
      <c r="Y147" s="286"/>
      <c r="Z147" s="286"/>
      <c r="AA147" s="286"/>
      <c r="AB147" s="286"/>
      <c r="AC147" s="286"/>
      <c r="AD147" s="286"/>
      <c r="AE147" s="286"/>
      <c r="AF147" s="286"/>
      <c r="AG147" s="286"/>
      <c r="AH147" s="286"/>
      <c r="AI147" s="286"/>
      <c r="AJ147" s="286"/>
      <c r="AK147" s="286"/>
      <c r="AL147" s="286"/>
      <c r="AM147" s="286"/>
      <c r="AN147" s="286"/>
      <c r="AO147" s="286"/>
      <c r="AP147" s="286"/>
      <c r="AQ147" s="286"/>
      <c r="AR147" s="286"/>
      <c r="AS147" s="286"/>
      <c r="AT147" s="286"/>
      <c r="AU147" s="286"/>
      <c r="AV147" s="286"/>
      <c r="AW147" s="286"/>
      <c r="AX147" s="286"/>
      <c r="AY147" s="286"/>
      <c r="AZ147" s="286"/>
      <c r="BA147" s="286"/>
      <c r="BB147" s="286"/>
      <c r="BC147" s="286"/>
      <c r="BD147" s="286"/>
      <c r="BE147" s="286"/>
      <c r="BF147" s="286"/>
      <c r="BG147" s="286"/>
      <c r="BH147" s="286"/>
      <c r="BI147" s="286"/>
      <c r="BJ147" s="286"/>
      <c r="BK147" s="286"/>
      <c r="BL147" s="286"/>
      <c r="BM147" s="286"/>
      <c r="BN147" s="286"/>
      <c r="BO147" s="286"/>
      <c r="BP147" s="286"/>
      <c r="BQ147" s="286"/>
      <c r="BR147" s="286"/>
      <c r="BS147" s="286"/>
      <c r="BT147" s="286"/>
      <c r="BU147" s="286"/>
      <c r="BV147" s="286"/>
      <c r="BW147" s="286"/>
      <c r="BX147" s="286"/>
      <c r="BY147" s="286"/>
      <c r="BZ147" s="286"/>
      <c r="CA147" s="286"/>
      <c r="CB147" s="286"/>
      <c r="CC147" s="286"/>
      <c r="CD147" s="286"/>
      <c r="CE147" s="286"/>
    </row>
    <row r="148" spans="1:83" x14ac:dyDescent="0.25">
      <c r="A148" s="285"/>
      <c r="B148" s="286"/>
      <c r="C148" s="286"/>
      <c r="D148" s="286"/>
      <c r="E148" s="286"/>
      <c r="F148" s="286"/>
      <c r="G148" s="286"/>
      <c r="H148" s="286"/>
      <c r="I148" s="286"/>
      <c r="J148" s="286"/>
      <c r="K148" s="286"/>
      <c r="L148" s="286"/>
      <c r="M148" s="286"/>
      <c r="N148" s="286"/>
      <c r="O148" s="286"/>
      <c r="P148" s="286"/>
      <c r="Q148" s="299"/>
      <c r="R148" s="299"/>
      <c r="S148" s="299"/>
      <c r="T148" s="299"/>
      <c r="U148" s="286"/>
      <c r="V148" s="286"/>
      <c r="W148" s="286"/>
      <c r="X148" s="286"/>
      <c r="Y148" s="286"/>
      <c r="Z148" s="286"/>
      <c r="AA148" s="286"/>
      <c r="AB148" s="286"/>
      <c r="AC148" s="286"/>
      <c r="AD148" s="286"/>
      <c r="AE148" s="286"/>
      <c r="AF148" s="286"/>
      <c r="AG148" s="286"/>
      <c r="AH148" s="286"/>
      <c r="AI148" s="286"/>
      <c r="AJ148" s="286"/>
      <c r="AK148" s="286"/>
      <c r="AL148" s="286"/>
      <c r="AM148" s="286"/>
      <c r="AN148" s="286"/>
      <c r="AO148" s="286"/>
      <c r="AP148" s="286"/>
      <c r="AQ148" s="286"/>
      <c r="AR148" s="286"/>
      <c r="AS148" s="286"/>
      <c r="AT148" s="286"/>
      <c r="AU148" s="286"/>
      <c r="AV148" s="286"/>
      <c r="AW148" s="286"/>
      <c r="AX148" s="286"/>
      <c r="AY148" s="286"/>
      <c r="AZ148" s="286"/>
      <c r="BA148" s="286"/>
      <c r="BB148" s="286"/>
      <c r="BC148" s="286"/>
      <c r="BD148" s="286"/>
      <c r="BE148" s="286"/>
      <c r="BF148" s="286"/>
      <c r="BG148" s="286"/>
      <c r="BH148" s="286"/>
      <c r="BI148" s="286"/>
      <c r="BJ148" s="286"/>
      <c r="BK148" s="286"/>
      <c r="BL148" s="286"/>
      <c r="BM148" s="286"/>
      <c r="BN148" s="286"/>
      <c r="BO148" s="286"/>
      <c r="BP148" s="286"/>
      <c r="BQ148" s="286"/>
      <c r="BR148" s="286"/>
      <c r="BS148" s="286"/>
      <c r="BT148" s="286"/>
      <c r="BU148" s="286"/>
      <c r="BV148" s="286"/>
      <c r="BW148" s="286"/>
      <c r="BX148" s="286"/>
      <c r="BY148" s="286"/>
      <c r="BZ148" s="286"/>
      <c r="CA148" s="286"/>
      <c r="CB148" s="286"/>
      <c r="CC148" s="286"/>
      <c r="CD148" s="286"/>
      <c r="CE148" s="286"/>
    </row>
    <row r="149" spans="1:83" x14ac:dyDescent="0.25">
      <c r="A149" s="285"/>
      <c r="B149" s="286"/>
      <c r="C149" s="286"/>
      <c r="D149" s="286"/>
      <c r="E149" s="286"/>
      <c r="F149" s="286"/>
      <c r="G149" s="286"/>
      <c r="H149" s="286"/>
      <c r="I149" s="286"/>
      <c r="J149" s="286"/>
      <c r="K149" s="286"/>
      <c r="L149" s="286"/>
      <c r="M149" s="286"/>
      <c r="N149" s="286"/>
      <c r="O149" s="286"/>
      <c r="P149" s="286"/>
      <c r="Q149" s="299"/>
      <c r="R149" s="299"/>
      <c r="S149" s="299"/>
      <c r="T149" s="299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  <c r="AF149" s="286"/>
      <c r="AG149" s="286"/>
      <c r="AH149" s="286"/>
      <c r="AI149" s="286"/>
      <c r="AJ149" s="286"/>
      <c r="AK149" s="286"/>
      <c r="AL149" s="286"/>
      <c r="AM149" s="286"/>
      <c r="AN149" s="286"/>
      <c r="AO149" s="286"/>
      <c r="AP149" s="286"/>
      <c r="AQ149" s="286"/>
      <c r="AR149" s="286"/>
      <c r="AS149" s="286"/>
      <c r="AT149" s="286"/>
      <c r="AU149" s="286"/>
      <c r="AV149" s="286"/>
      <c r="AW149" s="286"/>
      <c r="AX149" s="286"/>
      <c r="AY149" s="286"/>
      <c r="AZ149" s="286"/>
      <c r="BA149" s="286"/>
      <c r="BB149" s="286"/>
      <c r="BC149" s="286"/>
      <c r="BD149" s="286"/>
      <c r="BE149" s="286"/>
      <c r="BF149" s="286"/>
      <c r="BG149" s="286"/>
      <c r="BH149" s="286"/>
      <c r="BI149" s="286"/>
      <c r="BJ149" s="286"/>
      <c r="BK149" s="286"/>
      <c r="BL149" s="286"/>
      <c r="BM149" s="286"/>
      <c r="BN149" s="286"/>
      <c r="BO149" s="286"/>
      <c r="BP149" s="286"/>
      <c r="BQ149" s="286"/>
      <c r="BR149" s="286"/>
      <c r="BS149" s="286"/>
      <c r="BT149" s="286"/>
      <c r="BU149" s="286"/>
      <c r="BV149" s="286"/>
      <c r="BW149" s="286"/>
      <c r="BX149" s="286"/>
      <c r="BY149" s="286"/>
      <c r="BZ149" s="286"/>
      <c r="CA149" s="286"/>
      <c r="CB149" s="286"/>
      <c r="CC149" s="286"/>
      <c r="CD149" s="286"/>
      <c r="CE149" s="286"/>
    </row>
    <row r="150" spans="1:83" x14ac:dyDescent="0.25">
      <c r="A150" s="286"/>
      <c r="B150" s="286"/>
      <c r="C150" s="286"/>
      <c r="D150" s="286"/>
      <c r="E150" s="286"/>
      <c r="F150" s="286"/>
      <c r="G150" s="286"/>
      <c r="H150" s="286"/>
      <c r="I150" s="286"/>
      <c r="J150" s="286"/>
      <c r="K150" s="286"/>
      <c r="L150" s="286"/>
      <c r="M150" s="286"/>
      <c r="N150" s="286"/>
      <c r="O150" s="286"/>
      <c r="P150" s="286"/>
      <c r="Q150" s="299"/>
      <c r="R150" s="299"/>
      <c r="S150" s="299"/>
      <c r="T150" s="299"/>
      <c r="U150" s="286"/>
      <c r="V150" s="286"/>
      <c r="W150" s="286"/>
      <c r="X150" s="286"/>
      <c r="Y150" s="286"/>
      <c r="Z150" s="286"/>
      <c r="AA150" s="286"/>
      <c r="AB150" s="286"/>
      <c r="AC150" s="286"/>
      <c r="AD150" s="286"/>
      <c r="AE150" s="286"/>
      <c r="AF150" s="286"/>
      <c r="AG150" s="286"/>
      <c r="AH150" s="286"/>
      <c r="AI150" s="286"/>
      <c r="AJ150" s="286"/>
      <c r="AK150" s="286"/>
      <c r="AL150" s="286"/>
      <c r="AM150" s="286"/>
      <c r="AN150" s="286"/>
      <c r="AO150" s="286"/>
      <c r="AP150" s="286"/>
      <c r="AQ150" s="286"/>
      <c r="AR150" s="286"/>
      <c r="AS150" s="286"/>
      <c r="AT150" s="286"/>
      <c r="AU150" s="286"/>
      <c r="AV150" s="286"/>
      <c r="AW150" s="286"/>
      <c r="AX150" s="286"/>
      <c r="AY150" s="286"/>
      <c r="AZ150" s="286"/>
      <c r="BA150" s="286"/>
      <c r="BB150" s="286"/>
      <c r="BC150" s="286"/>
      <c r="BD150" s="286"/>
      <c r="BE150" s="286"/>
      <c r="BF150" s="286"/>
      <c r="BG150" s="286"/>
      <c r="BH150" s="286"/>
      <c r="BI150" s="286"/>
      <c r="BJ150" s="286"/>
      <c r="BK150" s="286"/>
      <c r="BL150" s="286"/>
      <c r="BM150" s="286"/>
      <c r="BN150" s="286"/>
      <c r="BO150" s="286"/>
      <c r="BP150" s="286"/>
      <c r="BQ150" s="286"/>
      <c r="BR150" s="286"/>
      <c r="BS150" s="286"/>
      <c r="BT150" s="286"/>
      <c r="BU150" s="286"/>
      <c r="BV150" s="286"/>
      <c r="BW150" s="286"/>
      <c r="BX150" s="286"/>
      <c r="BY150" s="286"/>
      <c r="BZ150" s="286"/>
      <c r="CA150" s="286"/>
      <c r="CB150" s="286"/>
      <c r="CC150" s="286"/>
      <c r="CD150" s="286"/>
      <c r="CE150" s="286"/>
    </row>
    <row r="151" spans="1:83" x14ac:dyDescent="0.25">
      <c r="A151" s="286"/>
      <c r="B151" s="286"/>
      <c r="C151" s="286"/>
      <c r="D151" s="286"/>
      <c r="E151" s="286"/>
      <c r="F151" s="286"/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99"/>
      <c r="R151" s="299"/>
      <c r="S151" s="299"/>
      <c r="T151" s="299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6"/>
      <c r="BI151" s="286"/>
      <c r="BJ151" s="286"/>
      <c r="BK151" s="286"/>
      <c r="BL151" s="286"/>
      <c r="BM151" s="286"/>
      <c r="BN151" s="286"/>
      <c r="BO151" s="286"/>
      <c r="BP151" s="286"/>
      <c r="BQ151" s="286"/>
      <c r="BR151" s="286"/>
      <c r="BS151" s="286"/>
      <c r="BT151" s="286"/>
      <c r="BU151" s="286"/>
      <c r="BV151" s="286"/>
      <c r="BW151" s="286"/>
      <c r="BX151" s="286"/>
      <c r="BY151" s="286"/>
      <c r="BZ151" s="286"/>
      <c r="CA151" s="286"/>
      <c r="CB151" s="286"/>
      <c r="CC151" s="286"/>
      <c r="CD151" s="286"/>
      <c r="CE151" s="286"/>
    </row>
    <row r="152" spans="1:83" x14ac:dyDescent="0.25">
      <c r="A152" s="286"/>
      <c r="B152" s="286"/>
      <c r="C152" s="286"/>
      <c r="D152" s="286"/>
      <c r="E152" s="286"/>
      <c r="F152" s="286"/>
      <c r="G152" s="286"/>
      <c r="H152" s="286"/>
      <c r="I152" s="286"/>
      <c r="J152" s="286"/>
      <c r="K152" s="286"/>
      <c r="L152" s="286"/>
      <c r="M152" s="286"/>
      <c r="N152" s="286"/>
      <c r="O152" s="286"/>
      <c r="P152" s="286"/>
      <c r="Q152" s="299"/>
      <c r="R152" s="299"/>
      <c r="S152" s="299"/>
      <c r="T152" s="299"/>
      <c r="U152" s="286"/>
      <c r="V152" s="286"/>
      <c r="W152" s="286"/>
      <c r="X152" s="286"/>
      <c r="Y152" s="286"/>
      <c r="Z152" s="286"/>
      <c r="AA152" s="286"/>
      <c r="AB152" s="286"/>
      <c r="AC152" s="286"/>
      <c r="AD152" s="286"/>
      <c r="AE152" s="286"/>
      <c r="AF152" s="286"/>
      <c r="AG152" s="286"/>
      <c r="AH152" s="286"/>
      <c r="AI152" s="286"/>
      <c r="AJ152" s="286"/>
      <c r="AK152" s="286"/>
      <c r="AL152" s="286"/>
      <c r="AM152" s="286"/>
      <c r="AN152" s="286"/>
      <c r="AO152" s="286"/>
      <c r="AP152" s="286"/>
      <c r="AQ152" s="286"/>
      <c r="AR152" s="286"/>
      <c r="AS152" s="286"/>
      <c r="AT152" s="286"/>
      <c r="AU152" s="286"/>
      <c r="AV152" s="286"/>
      <c r="AW152" s="286"/>
      <c r="AX152" s="286"/>
      <c r="AY152" s="286"/>
      <c r="AZ152" s="286"/>
      <c r="BA152" s="286"/>
      <c r="BB152" s="286"/>
      <c r="BC152" s="286"/>
      <c r="BD152" s="286"/>
      <c r="BE152" s="286"/>
      <c r="BF152" s="286"/>
      <c r="BG152" s="286"/>
      <c r="BH152" s="286"/>
      <c r="BI152" s="286"/>
      <c r="BJ152" s="286"/>
      <c r="BK152" s="286"/>
      <c r="BL152" s="286"/>
      <c r="BM152" s="286"/>
      <c r="BN152" s="286"/>
      <c r="BO152" s="286"/>
      <c r="BP152" s="286"/>
      <c r="BQ152" s="286"/>
      <c r="BR152" s="286"/>
      <c r="BS152" s="286"/>
      <c r="BT152" s="286"/>
      <c r="BU152" s="286"/>
      <c r="BV152" s="286"/>
      <c r="BW152" s="286"/>
      <c r="BX152" s="286"/>
      <c r="BY152" s="286"/>
      <c r="BZ152" s="286"/>
      <c r="CA152" s="286"/>
      <c r="CB152" s="286"/>
      <c r="CC152" s="286"/>
      <c r="CD152" s="286"/>
      <c r="CE152" s="286"/>
    </row>
    <row r="153" spans="1:83" x14ac:dyDescent="0.25">
      <c r="A153" s="286"/>
      <c r="B153" s="286"/>
      <c r="C153" s="286"/>
      <c r="D153" s="286"/>
      <c r="E153" s="286"/>
      <c r="F153" s="286"/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99"/>
      <c r="R153" s="299"/>
      <c r="S153" s="299"/>
      <c r="T153" s="299"/>
      <c r="U153" s="286"/>
      <c r="V153" s="286"/>
      <c r="W153" s="286"/>
      <c r="X153" s="286"/>
      <c r="Y153" s="286"/>
      <c r="Z153" s="286"/>
      <c r="AA153" s="286"/>
      <c r="AB153" s="286"/>
      <c r="AC153" s="286"/>
      <c r="AD153" s="286"/>
      <c r="AE153" s="286"/>
      <c r="AF153" s="286"/>
      <c r="AG153" s="286"/>
      <c r="AH153" s="286"/>
      <c r="AI153" s="286"/>
      <c r="AJ153" s="286"/>
      <c r="AK153" s="286"/>
      <c r="AL153" s="286"/>
      <c r="AM153" s="286"/>
      <c r="AN153" s="286"/>
      <c r="AO153" s="286"/>
      <c r="AP153" s="286"/>
      <c r="AQ153" s="286"/>
      <c r="AR153" s="286"/>
      <c r="AS153" s="286"/>
      <c r="AT153" s="286"/>
      <c r="AU153" s="286"/>
      <c r="AV153" s="286"/>
      <c r="AW153" s="286"/>
      <c r="AX153" s="286"/>
      <c r="AY153" s="286"/>
      <c r="AZ153" s="286"/>
      <c r="BA153" s="286"/>
      <c r="BB153" s="286"/>
      <c r="BC153" s="286"/>
      <c r="BD153" s="286"/>
      <c r="BE153" s="286"/>
      <c r="BF153" s="286"/>
      <c r="BG153" s="286"/>
      <c r="BH153" s="286"/>
      <c r="BI153" s="286"/>
      <c r="BJ153" s="286"/>
      <c r="BK153" s="286"/>
      <c r="BL153" s="286"/>
      <c r="BM153" s="286"/>
      <c r="BN153" s="286"/>
      <c r="BO153" s="286"/>
      <c r="BP153" s="286"/>
      <c r="BQ153" s="286"/>
      <c r="BR153" s="286"/>
      <c r="BS153" s="286"/>
      <c r="BT153" s="286"/>
      <c r="BU153" s="286"/>
      <c r="BV153" s="286"/>
      <c r="BW153" s="286"/>
      <c r="BX153" s="286"/>
      <c r="BY153" s="286"/>
      <c r="BZ153" s="286"/>
      <c r="CA153" s="286"/>
      <c r="CB153" s="286"/>
      <c r="CC153" s="286"/>
      <c r="CD153" s="286"/>
      <c r="CE153" s="286"/>
    </row>
    <row r="154" spans="1:83" x14ac:dyDescent="0.25">
      <c r="A154" s="286"/>
      <c r="B154" s="286"/>
      <c r="C154" s="286"/>
      <c r="D154" s="286"/>
      <c r="E154" s="286"/>
      <c r="F154" s="286"/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99"/>
      <c r="R154" s="299"/>
      <c r="S154" s="299"/>
      <c r="T154" s="299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  <c r="AF154" s="286"/>
      <c r="AG154" s="286"/>
      <c r="AH154" s="286"/>
      <c r="AI154" s="286"/>
      <c r="AJ154" s="286"/>
      <c r="AK154" s="286"/>
      <c r="AL154" s="286"/>
      <c r="AM154" s="286"/>
      <c r="AN154" s="286"/>
      <c r="AO154" s="286"/>
      <c r="AP154" s="286"/>
      <c r="AQ154" s="286"/>
      <c r="AR154" s="286"/>
      <c r="AS154" s="286"/>
      <c r="AT154" s="286"/>
      <c r="AU154" s="286"/>
      <c r="AV154" s="286"/>
      <c r="AW154" s="286"/>
      <c r="AX154" s="286"/>
      <c r="AY154" s="286"/>
      <c r="AZ154" s="286"/>
      <c r="BA154" s="286"/>
      <c r="BB154" s="286"/>
      <c r="BC154" s="286"/>
      <c r="BD154" s="286"/>
      <c r="BE154" s="286"/>
      <c r="BF154" s="286"/>
      <c r="BG154" s="286"/>
      <c r="BH154" s="286"/>
      <c r="BI154" s="286"/>
      <c r="BJ154" s="286"/>
      <c r="BK154" s="286"/>
      <c r="BL154" s="286"/>
      <c r="BM154" s="286"/>
      <c r="BN154" s="286"/>
      <c r="BO154" s="286"/>
      <c r="BP154" s="286"/>
      <c r="BQ154" s="286"/>
      <c r="BR154" s="286"/>
      <c r="BS154" s="286"/>
      <c r="BT154" s="286"/>
      <c r="BU154" s="286"/>
      <c r="BV154" s="286"/>
      <c r="BW154" s="286"/>
      <c r="BX154" s="286"/>
      <c r="BY154" s="286"/>
      <c r="BZ154" s="286"/>
      <c r="CA154" s="286"/>
      <c r="CB154" s="286"/>
      <c r="CC154" s="286"/>
      <c r="CD154" s="286"/>
      <c r="CE154" s="286"/>
    </row>
    <row r="155" spans="1:83" x14ac:dyDescent="0.25">
      <c r="A155" s="286"/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99"/>
      <c r="R155" s="299"/>
      <c r="S155" s="299"/>
      <c r="T155" s="299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  <c r="AF155" s="286"/>
      <c r="AG155" s="286"/>
      <c r="AH155" s="286"/>
      <c r="AI155" s="286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6"/>
      <c r="AW155" s="286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6"/>
      <c r="BK155" s="286"/>
      <c r="BL155" s="286"/>
      <c r="BM155" s="286"/>
      <c r="BN155" s="286"/>
      <c r="BO155" s="286"/>
      <c r="BP155" s="286"/>
      <c r="BQ155" s="286"/>
      <c r="BR155" s="286"/>
      <c r="BS155" s="286"/>
      <c r="BT155" s="286"/>
      <c r="BU155" s="286"/>
      <c r="BV155" s="286"/>
      <c r="BW155" s="286"/>
      <c r="BX155" s="286"/>
      <c r="BY155" s="286"/>
      <c r="BZ155" s="286"/>
      <c r="CA155" s="286"/>
      <c r="CB155" s="286"/>
      <c r="CC155" s="286"/>
      <c r="CD155" s="286"/>
      <c r="CE155" s="286"/>
    </row>
    <row r="156" spans="1:83" x14ac:dyDescent="0.25">
      <c r="A156" s="286"/>
      <c r="B156" s="286"/>
      <c r="C156" s="286"/>
      <c r="D156" s="286"/>
      <c r="E156" s="286"/>
      <c r="F156" s="286"/>
      <c r="G156" s="286"/>
      <c r="H156" s="286"/>
      <c r="I156" s="286"/>
      <c r="J156" s="286"/>
      <c r="K156" s="286"/>
      <c r="L156" s="286"/>
      <c r="M156" s="286"/>
      <c r="N156" s="286"/>
      <c r="O156" s="286"/>
      <c r="P156" s="286"/>
      <c r="Q156" s="299"/>
      <c r="R156" s="299"/>
      <c r="S156" s="299"/>
      <c r="T156" s="299"/>
      <c r="U156" s="286"/>
      <c r="V156" s="286"/>
      <c r="W156" s="286"/>
      <c r="X156" s="286"/>
      <c r="Y156" s="286"/>
      <c r="Z156" s="286"/>
      <c r="AA156" s="286"/>
      <c r="AB156" s="286"/>
      <c r="AC156" s="286"/>
      <c r="AD156" s="286"/>
      <c r="AE156" s="286"/>
      <c r="AF156" s="286"/>
      <c r="AG156" s="286"/>
      <c r="AH156" s="286"/>
      <c r="AI156" s="286"/>
      <c r="AJ156" s="286"/>
      <c r="AK156" s="286"/>
      <c r="AL156" s="286"/>
      <c r="AM156" s="286"/>
      <c r="AN156" s="286"/>
      <c r="AO156" s="286"/>
      <c r="AP156" s="286"/>
      <c r="AQ156" s="286"/>
      <c r="AR156" s="286"/>
      <c r="AS156" s="286"/>
      <c r="AT156" s="286"/>
      <c r="AU156" s="286"/>
      <c r="AV156" s="286"/>
      <c r="AW156" s="286"/>
      <c r="AX156" s="286"/>
      <c r="AY156" s="286"/>
      <c r="AZ156" s="286"/>
      <c r="BA156" s="286"/>
      <c r="BB156" s="286"/>
      <c r="BC156" s="286"/>
      <c r="BD156" s="286"/>
      <c r="BE156" s="286"/>
      <c r="BF156" s="286"/>
      <c r="BG156" s="286"/>
      <c r="BH156" s="286"/>
      <c r="BI156" s="286"/>
      <c r="BJ156" s="286"/>
      <c r="BK156" s="286"/>
      <c r="BL156" s="286"/>
      <c r="BM156" s="286"/>
      <c r="BN156" s="286"/>
      <c r="BO156" s="286"/>
      <c r="BP156" s="286"/>
      <c r="BQ156" s="286"/>
      <c r="BR156" s="286"/>
      <c r="BS156" s="286"/>
      <c r="BT156" s="286"/>
      <c r="BU156" s="286"/>
      <c r="BV156" s="286"/>
      <c r="BW156" s="286"/>
      <c r="BX156" s="286"/>
      <c r="BY156" s="286"/>
      <c r="BZ156" s="286"/>
      <c r="CA156" s="286"/>
      <c r="CB156" s="286"/>
      <c r="CC156" s="286"/>
      <c r="CD156" s="286"/>
      <c r="CE156" s="286"/>
    </row>
    <row r="157" spans="1:83" x14ac:dyDescent="0.25">
      <c r="A157" s="286"/>
      <c r="B157" s="286"/>
      <c r="C157" s="286"/>
      <c r="D157" s="286"/>
      <c r="E157" s="286"/>
      <c r="F157" s="286"/>
      <c r="G157" s="286"/>
      <c r="H157" s="286"/>
      <c r="I157" s="286"/>
      <c r="J157" s="286"/>
      <c r="K157" s="286"/>
      <c r="L157" s="286"/>
      <c r="M157" s="286"/>
      <c r="N157" s="286"/>
      <c r="O157" s="286"/>
      <c r="P157" s="286"/>
      <c r="Q157" s="299"/>
      <c r="R157" s="299"/>
      <c r="S157" s="299"/>
      <c r="T157" s="299"/>
      <c r="U157" s="286"/>
      <c r="V157" s="286"/>
      <c r="W157" s="286"/>
      <c r="X157" s="286"/>
      <c r="Y157" s="286"/>
      <c r="Z157" s="286"/>
      <c r="AA157" s="286"/>
      <c r="AB157" s="286"/>
      <c r="AC157" s="286"/>
      <c r="AD157" s="286"/>
      <c r="AE157" s="286"/>
      <c r="AF157" s="286"/>
      <c r="AG157" s="286"/>
      <c r="AH157" s="286"/>
      <c r="AI157" s="286"/>
      <c r="AJ157" s="286"/>
      <c r="AK157" s="286"/>
      <c r="AL157" s="286"/>
      <c r="AM157" s="286"/>
      <c r="AN157" s="286"/>
      <c r="AO157" s="286"/>
      <c r="AP157" s="286"/>
      <c r="AQ157" s="286"/>
      <c r="AR157" s="286"/>
      <c r="AS157" s="286"/>
      <c r="AT157" s="286"/>
      <c r="AU157" s="286"/>
      <c r="AV157" s="286"/>
      <c r="AW157" s="286"/>
      <c r="AX157" s="286"/>
      <c r="AY157" s="286"/>
      <c r="AZ157" s="286"/>
      <c r="BA157" s="286"/>
      <c r="BB157" s="286"/>
      <c r="BC157" s="286"/>
      <c r="BD157" s="286"/>
      <c r="BE157" s="286"/>
      <c r="BF157" s="286"/>
      <c r="BG157" s="286"/>
      <c r="BH157" s="286"/>
      <c r="BI157" s="286"/>
      <c r="BJ157" s="286"/>
      <c r="BK157" s="286"/>
      <c r="BL157" s="286"/>
      <c r="BM157" s="286"/>
      <c r="BN157" s="286"/>
      <c r="BO157" s="286"/>
      <c r="BP157" s="286"/>
      <c r="BQ157" s="286"/>
      <c r="BR157" s="286"/>
      <c r="BS157" s="286"/>
      <c r="BT157" s="286"/>
      <c r="BU157" s="286"/>
      <c r="BV157" s="286"/>
      <c r="BW157" s="286"/>
      <c r="BX157" s="286"/>
      <c r="BY157" s="286"/>
      <c r="BZ157" s="286"/>
      <c r="CA157" s="286"/>
      <c r="CB157" s="286"/>
      <c r="CC157" s="286"/>
      <c r="CD157" s="286"/>
      <c r="CE157" s="286"/>
    </row>
    <row r="158" spans="1:83" x14ac:dyDescent="0.25">
      <c r="A158" s="286"/>
      <c r="B158" s="286"/>
      <c r="C158" s="286"/>
      <c r="D158" s="286"/>
      <c r="E158" s="286"/>
      <c r="F158" s="286"/>
      <c r="G158" s="286"/>
      <c r="H158" s="286"/>
      <c r="I158" s="286"/>
      <c r="J158" s="286"/>
      <c r="K158" s="286"/>
      <c r="L158" s="286"/>
      <c r="M158" s="286"/>
      <c r="N158" s="286"/>
      <c r="O158" s="286"/>
      <c r="P158" s="286"/>
      <c r="Q158" s="299"/>
      <c r="R158" s="299"/>
      <c r="S158" s="299"/>
      <c r="T158" s="299"/>
      <c r="U158" s="286"/>
      <c r="V158" s="286"/>
      <c r="W158" s="286"/>
      <c r="X158" s="286"/>
      <c r="Y158" s="286"/>
      <c r="Z158" s="286"/>
      <c r="AA158" s="286"/>
      <c r="AB158" s="286"/>
      <c r="AC158" s="286"/>
      <c r="AD158" s="286"/>
      <c r="AE158" s="286"/>
      <c r="AF158" s="286"/>
      <c r="AG158" s="286"/>
      <c r="AH158" s="286"/>
      <c r="AI158" s="286"/>
      <c r="AJ158" s="286"/>
      <c r="AK158" s="286"/>
      <c r="AL158" s="286"/>
      <c r="AM158" s="286"/>
      <c r="AN158" s="286"/>
      <c r="AO158" s="286"/>
      <c r="AP158" s="286"/>
      <c r="AQ158" s="286"/>
      <c r="AR158" s="286"/>
      <c r="AS158" s="286"/>
      <c r="AT158" s="286"/>
      <c r="AU158" s="286"/>
      <c r="AV158" s="286"/>
      <c r="AW158" s="286"/>
      <c r="AX158" s="286"/>
      <c r="AY158" s="286"/>
      <c r="AZ158" s="286"/>
      <c r="BA158" s="286"/>
      <c r="BB158" s="286"/>
      <c r="BC158" s="286"/>
      <c r="BD158" s="286"/>
      <c r="BE158" s="286"/>
      <c r="BF158" s="286"/>
      <c r="BG158" s="286"/>
      <c r="BH158" s="286"/>
      <c r="BI158" s="286"/>
      <c r="BJ158" s="286"/>
      <c r="BK158" s="286"/>
      <c r="BL158" s="286"/>
      <c r="BM158" s="286"/>
      <c r="BN158" s="286"/>
      <c r="BO158" s="286"/>
      <c r="BP158" s="286"/>
      <c r="BQ158" s="286"/>
      <c r="BR158" s="286"/>
      <c r="BS158" s="286"/>
      <c r="BT158" s="286"/>
      <c r="BU158" s="286"/>
      <c r="BV158" s="286"/>
      <c r="BW158" s="286"/>
      <c r="BX158" s="286"/>
      <c r="BY158" s="286"/>
      <c r="BZ158" s="286"/>
      <c r="CA158" s="286"/>
      <c r="CB158" s="286"/>
      <c r="CC158" s="286"/>
      <c r="CD158" s="286"/>
      <c r="CE158" s="286"/>
    </row>
    <row r="159" spans="1:83" x14ac:dyDescent="0.25">
      <c r="A159" s="286"/>
      <c r="B159" s="286"/>
      <c r="C159" s="286"/>
      <c r="D159" s="286"/>
      <c r="E159" s="286"/>
      <c r="F159" s="286"/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99"/>
      <c r="R159" s="299"/>
      <c r="S159" s="299"/>
      <c r="T159" s="299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  <c r="AF159" s="286"/>
      <c r="AG159" s="286"/>
      <c r="AH159" s="286"/>
      <c r="AI159" s="286"/>
      <c r="AJ159" s="286"/>
      <c r="AK159" s="286"/>
      <c r="AL159" s="286"/>
      <c r="AM159" s="286"/>
      <c r="AN159" s="286"/>
      <c r="AO159" s="286"/>
      <c r="AP159" s="286"/>
      <c r="AQ159" s="286"/>
      <c r="AR159" s="286"/>
      <c r="AS159" s="286"/>
      <c r="AT159" s="286"/>
      <c r="AU159" s="286"/>
      <c r="AV159" s="286"/>
      <c r="AW159" s="286"/>
      <c r="AX159" s="286"/>
      <c r="AY159" s="286"/>
      <c r="AZ159" s="286"/>
      <c r="BA159" s="286"/>
      <c r="BB159" s="286"/>
      <c r="BC159" s="286"/>
      <c r="BD159" s="286"/>
      <c r="BE159" s="286"/>
      <c r="BF159" s="286"/>
      <c r="BG159" s="286"/>
      <c r="BH159" s="286"/>
      <c r="BI159" s="286"/>
      <c r="BJ159" s="286"/>
      <c r="BK159" s="286"/>
      <c r="BL159" s="286"/>
      <c r="BM159" s="286"/>
      <c r="BN159" s="286"/>
      <c r="BO159" s="286"/>
      <c r="BP159" s="286"/>
      <c r="BQ159" s="286"/>
      <c r="BR159" s="286"/>
      <c r="BS159" s="286"/>
      <c r="BT159" s="286"/>
      <c r="BU159" s="286"/>
      <c r="BV159" s="286"/>
      <c r="BW159" s="286"/>
      <c r="BX159" s="286"/>
      <c r="BY159" s="286"/>
      <c r="BZ159" s="286"/>
      <c r="CA159" s="286"/>
      <c r="CB159" s="286"/>
      <c r="CC159" s="286"/>
      <c r="CD159" s="286"/>
      <c r="CE159" s="286"/>
    </row>
    <row r="160" spans="1:83" x14ac:dyDescent="0.25">
      <c r="A160" s="286"/>
      <c r="B160" s="286"/>
      <c r="C160" s="286"/>
      <c r="D160" s="286"/>
      <c r="E160" s="286"/>
      <c r="F160" s="286"/>
      <c r="G160" s="286"/>
      <c r="H160" s="286"/>
      <c r="I160" s="286"/>
      <c r="J160" s="286"/>
      <c r="K160" s="286"/>
      <c r="L160" s="286"/>
      <c r="M160" s="286"/>
      <c r="N160" s="286"/>
      <c r="O160" s="286"/>
      <c r="P160" s="286"/>
      <c r="Q160" s="299"/>
      <c r="R160" s="299"/>
      <c r="S160" s="299"/>
      <c r="T160" s="299"/>
      <c r="U160" s="286"/>
      <c r="V160" s="286"/>
      <c r="W160" s="286"/>
      <c r="X160" s="286"/>
      <c r="Y160" s="286"/>
      <c r="Z160" s="286"/>
      <c r="AA160" s="286"/>
      <c r="AB160" s="286"/>
      <c r="AC160" s="286"/>
      <c r="AD160" s="286"/>
      <c r="AE160" s="286"/>
      <c r="AF160" s="286"/>
      <c r="AG160" s="286"/>
      <c r="AH160" s="286"/>
      <c r="AI160" s="286"/>
      <c r="AJ160" s="286"/>
      <c r="AK160" s="286"/>
      <c r="AL160" s="286"/>
      <c r="AM160" s="286"/>
      <c r="AN160" s="286"/>
      <c r="AO160" s="286"/>
      <c r="AP160" s="286"/>
      <c r="AQ160" s="286"/>
      <c r="AR160" s="286"/>
      <c r="AS160" s="286"/>
      <c r="AT160" s="286"/>
      <c r="AU160" s="286"/>
      <c r="AV160" s="286"/>
      <c r="AW160" s="286"/>
      <c r="AX160" s="286"/>
      <c r="AY160" s="286"/>
      <c r="AZ160" s="286"/>
      <c r="BA160" s="286"/>
      <c r="BB160" s="286"/>
      <c r="BC160" s="286"/>
      <c r="BD160" s="286"/>
      <c r="BE160" s="286"/>
      <c r="BF160" s="286"/>
      <c r="BG160" s="286"/>
      <c r="BH160" s="286"/>
      <c r="BI160" s="286"/>
      <c r="BJ160" s="286"/>
      <c r="BK160" s="286"/>
      <c r="BL160" s="286"/>
      <c r="BM160" s="286"/>
      <c r="BN160" s="286"/>
      <c r="BO160" s="286"/>
      <c r="BP160" s="286"/>
      <c r="BQ160" s="286"/>
      <c r="BR160" s="286"/>
      <c r="BS160" s="286"/>
      <c r="BT160" s="286"/>
      <c r="BU160" s="286"/>
      <c r="BV160" s="286"/>
      <c r="BW160" s="286"/>
      <c r="BX160" s="286"/>
      <c r="BY160" s="286"/>
      <c r="BZ160" s="286"/>
      <c r="CA160" s="286"/>
      <c r="CB160" s="286"/>
      <c r="CC160" s="286"/>
      <c r="CD160" s="286"/>
      <c r="CE160" s="286"/>
    </row>
    <row r="161" spans="1:83" x14ac:dyDescent="0.25">
      <c r="A161" s="286"/>
      <c r="B161" s="286"/>
      <c r="C161" s="286"/>
      <c r="D161" s="286"/>
      <c r="E161" s="286"/>
      <c r="F161" s="286"/>
      <c r="G161" s="286"/>
      <c r="H161" s="286"/>
      <c r="I161" s="286"/>
      <c r="J161" s="286"/>
      <c r="K161" s="286"/>
      <c r="L161" s="286"/>
      <c r="M161" s="286"/>
      <c r="N161" s="286"/>
      <c r="O161" s="286"/>
      <c r="P161" s="286"/>
      <c r="Q161" s="299"/>
      <c r="R161" s="299"/>
      <c r="S161" s="299"/>
      <c r="T161" s="299"/>
      <c r="U161" s="286"/>
      <c r="V161" s="286"/>
      <c r="W161" s="286"/>
      <c r="X161" s="286"/>
      <c r="Y161" s="286"/>
      <c r="Z161" s="286"/>
      <c r="AA161" s="286"/>
      <c r="AB161" s="286"/>
      <c r="AC161" s="286"/>
      <c r="AD161" s="286"/>
      <c r="AE161" s="286"/>
      <c r="AF161" s="286"/>
      <c r="AG161" s="286"/>
      <c r="AH161" s="286"/>
      <c r="AI161" s="286"/>
      <c r="AJ161" s="286"/>
      <c r="AK161" s="286"/>
      <c r="AL161" s="286"/>
      <c r="AM161" s="286"/>
      <c r="AN161" s="286"/>
      <c r="AO161" s="286"/>
      <c r="AP161" s="286"/>
      <c r="AQ161" s="286"/>
      <c r="AR161" s="286"/>
      <c r="AS161" s="286"/>
      <c r="AT161" s="286"/>
      <c r="AU161" s="286"/>
      <c r="AV161" s="286"/>
      <c r="AW161" s="286"/>
      <c r="AX161" s="286"/>
      <c r="AY161" s="286"/>
      <c r="AZ161" s="286"/>
      <c r="BA161" s="286"/>
      <c r="BB161" s="286"/>
      <c r="BC161" s="286"/>
      <c r="BD161" s="286"/>
      <c r="BE161" s="286"/>
      <c r="BF161" s="286"/>
      <c r="BG161" s="286"/>
      <c r="BH161" s="286"/>
      <c r="BI161" s="286"/>
      <c r="BJ161" s="286"/>
      <c r="BK161" s="286"/>
      <c r="BL161" s="286"/>
      <c r="BM161" s="286"/>
      <c r="BN161" s="286"/>
      <c r="BO161" s="286"/>
      <c r="BP161" s="286"/>
      <c r="BQ161" s="286"/>
      <c r="BR161" s="286"/>
      <c r="BS161" s="286"/>
      <c r="BT161" s="286"/>
      <c r="BU161" s="286"/>
      <c r="BV161" s="286"/>
      <c r="BW161" s="286"/>
      <c r="BX161" s="286"/>
      <c r="BY161" s="286"/>
      <c r="BZ161" s="286"/>
      <c r="CA161" s="286"/>
      <c r="CB161" s="286"/>
      <c r="CC161" s="286"/>
      <c r="CD161" s="286"/>
      <c r="CE161" s="286"/>
    </row>
    <row r="162" spans="1:83" x14ac:dyDescent="0.25">
      <c r="A162" s="286"/>
      <c r="B162" s="286"/>
      <c r="C162" s="286"/>
      <c r="D162" s="286"/>
      <c r="E162" s="286"/>
      <c r="F162" s="286"/>
      <c r="G162" s="286"/>
      <c r="H162" s="286"/>
      <c r="I162" s="286"/>
      <c r="J162" s="286"/>
      <c r="K162" s="286"/>
      <c r="L162" s="286"/>
      <c r="M162" s="286"/>
      <c r="N162" s="286"/>
      <c r="O162" s="286"/>
      <c r="P162" s="286"/>
      <c r="Q162" s="299"/>
      <c r="R162" s="299"/>
      <c r="S162" s="299"/>
      <c r="T162" s="299"/>
      <c r="U162" s="286"/>
      <c r="V162" s="286"/>
      <c r="W162" s="286"/>
      <c r="X162" s="286"/>
      <c r="Y162" s="286"/>
      <c r="Z162" s="286"/>
      <c r="AA162" s="286"/>
      <c r="AB162" s="286"/>
      <c r="AC162" s="286"/>
      <c r="AD162" s="286"/>
      <c r="AE162" s="286"/>
      <c r="AF162" s="286"/>
      <c r="AG162" s="286"/>
      <c r="AH162" s="286"/>
      <c r="AI162" s="286"/>
      <c r="AJ162" s="286"/>
      <c r="AK162" s="286"/>
      <c r="AL162" s="286"/>
      <c r="AM162" s="286"/>
      <c r="AN162" s="286"/>
      <c r="AO162" s="286"/>
      <c r="AP162" s="286"/>
      <c r="AQ162" s="286"/>
      <c r="AR162" s="286"/>
      <c r="AS162" s="286"/>
      <c r="AT162" s="286"/>
      <c r="AU162" s="286"/>
      <c r="AV162" s="286"/>
      <c r="AW162" s="286"/>
      <c r="AX162" s="286"/>
      <c r="AY162" s="286"/>
      <c r="AZ162" s="286"/>
      <c r="BA162" s="286"/>
      <c r="BB162" s="286"/>
      <c r="BC162" s="286"/>
      <c r="BD162" s="286"/>
      <c r="BE162" s="286"/>
      <c r="BF162" s="286"/>
      <c r="BG162" s="286"/>
      <c r="BH162" s="286"/>
      <c r="BI162" s="286"/>
      <c r="BJ162" s="286"/>
      <c r="BK162" s="286"/>
      <c r="BL162" s="286"/>
      <c r="BM162" s="286"/>
      <c r="BN162" s="286"/>
      <c r="BO162" s="286"/>
      <c r="BP162" s="286"/>
      <c r="BQ162" s="286"/>
      <c r="BR162" s="286"/>
      <c r="BS162" s="286"/>
      <c r="BT162" s="286"/>
      <c r="BU162" s="286"/>
      <c r="BV162" s="286"/>
      <c r="BW162" s="286"/>
      <c r="BX162" s="286"/>
      <c r="BY162" s="286"/>
      <c r="BZ162" s="286"/>
      <c r="CA162" s="286"/>
      <c r="CB162" s="286"/>
      <c r="CC162" s="286"/>
      <c r="CD162" s="286"/>
      <c r="CE162" s="286"/>
    </row>
    <row r="163" spans="1:83" x14ac:dyDescent="0.25">
      <c r="A163" s="286"/>
      <c r="B163" s="286"/>
      <c r="C163" s="286"/>
      <c r="D163" s="286"/>
      <c r="E163" s="286"/>
      <c r="F163" s="286"/>
      <c r="G163" s="286"/>
      <c r="H163" s="286"/>
      <c r="I163" s="286"/>
      <c r="J163" s="286"/>
      <c r="K163" s="286"/>
      <c r="L163" s="286"/>
      <c r="M163" s="286"/>
      <c r="N163" s="286"/>
      <c r="O163" s="286"/>
      <c r="P163" s="286"/>
      <c r="Q163" s="299"/>
      <c r="R163" s="299"/>
      <c r="S163" s="299"/>
      <c r="T163" s="299"/>
      <c r="U163" s="286"/>
      <c r="V163" s="286"/>
      <c r="W163" s="286"/>
      <c r="X163" s="286"/>
      <c r="Y163" s="286"/>
      <c r="Z163" s="286"/>
      <c r="AA163" s="286"/>
      <c r="AB163" s="286"/>
      <c r="AC163" s="286"/>
      <c r="AD163" s="286"/>
      <c r="AE163" s="286"/>
      <c r="AF163" s="286"/>
      <c r="AG163" s="286"/>
      <c r="AH163" s="286"/>
      <c r="AI163" s="286"/>
      <c r="AJ163" s="286"/>
      <c r="AK163" s="286"/>
      <c r="AL163" s="286"/>
      <c r="AM163" s="286"/>
      <c r="AN163" s="286"/>
      <c r="AO163" s="286"/>
      <c r="AP163" s="286"/>
      <c r="AQ163" s="286"/>
      <c r="AR163" s="286"/>
      <c r="AS163" s="286"/>
      <c r="AT163" s="286"/>
      <c r="AU163" s="286"/>
      <c r="AV163" s="286"/>
      <c r="AW163" s="286"/>
      <c r="AX163" s="286"/>
      <c r="AY163" s="286"/>
      <c r="AZ163" s="286"/>
      <c r="BA163" s="286"/>
      <c r="BB163" s="286"/>
      <c r="BC163" s="286"/>
      <c r="BD163" s="286"/>
      <c r="BE163" s="286"/>
      <c r="BF163" s="286"/>
      <c r="BG163" s="286"/>
      <c r="BH163" s="286"/>
      <c r="BI163" s="286"/>
      <c r="BJ163" s="286"/>
      <c r="BK163" s="286"/>
      <c r="BL163" s="286"/>
      <c r="BM163" s="286"/>
      <c r="BN163" s="286"/>
      <c r="BO163" s="286"/>
      <c r="BP163" s="286"/>
      <c r="BQ163" s="286"/>
      <c r="BR163" s="286"/>
      <c r="BS163" s="286"/>
      <c r="BT163" s="286"/>
      <c r="BU163" s="286"/>
      <c r="BV163" s="286"/>
      <c r="BW163" s="286"/>
      <c r="BX163" s="286"/>
      <c r="BY163" s="286"/>
      <c r="BZ163" s="286"/>
      <c r="CA163" s="286"/>
      <c r="CB163" s="286"/>
      <c r="CC163" s="286"/>
      <c r="CD163" s="286"/>
      <c r="CE163" s="286"/>
    </row>
    <row r="164" spans="1:83" x14ac:dyDescent="0.25">
      <c r="A164" s="286"/>
      <c r="B164" s="286"/>
      <c r="C164" s="286"/>
      <c r="D164" s="286"/>
      <c r="E164" s="286"/>
      <c r="F164" s="286"/>
      <c r="G164" s="286"/>
      <c r="H164" s="286"/>
      <c r="I164" s="286"/>
      <c r="J164" s="286"/>
      <c r="K164" s="286"/>
      <c r="L164" s="286"/>
      <c r="M164" s="286"/>
      <c r="N164" s="286"/>
      <c r="O164" s="286"/>
      <c r="P164" s="286"/>
      <c r="Q164" s="299"/>
      <c r="R164" s="299"/>
      <c r="S164" s="299"/>
      <c r="T164" s="299"/>
      <c r="U164" s="286"/>
      <c r="V164" s="286"/>
      <c r="W164" s="286"/>
      <c r="X164" s="286"/>
      <c r="Y164" s="286"/>
      <c r="Z164" s="286"/>
      <c r="AA164" s="286"/>
      <c r="AB164" s="286"/>
      <c r="AC164" s="286"/>
      <c r="AD164" s="286"/>
      <c r="AE164" s="286"/>
      <c r="AF164" s="286"/>
      <c r="AG164" s="286"/>
      <c r="AH164" s="286"/>
      <c r="AI164" s="286"/>
      <c r="AJ164" s="286"/>
      <c r="AK164" s="286"/>
      <c r="AL164" s="286"/>
      <c r="AM164" s="286"/>
      <c r="AN164" s="286"/>
      <c r="AO164" s="286"/>
      <c r="AP164" s="286"/>
      <c r="AQ164" s="286"/>
      <c r="AR164" s="286"/>
      <c r="AS164" s="286"/>
      <c r="AT164" s="286"/>
      <c r="AU164" s="286"/>
      <c r="AV164" s="286"/>
      <c r="AW164" s="286"/>
      <c r="AX164" s="286"/>
      <c r="AY164" s="286"/>
      <c r="AZ164" s="286"/>
      <c r="BA164" s="286"/>
      <c r="BB164" s="286"/>
      <c r="BC164" s="286"/>
      <c r="BD164" s="286"/>
      <c r="BE164" s="286"/>
      <c r="BF164" s="286"/>
      <c r="BG164" s="286"/>
      <c r="BH164" s="286"/>
      <c r="BI164" s="286"/>
      <c r="BJ164" s="286"/>
      <c r="BK164" s="286"/>
      <c r="BL164" s="286"/>
      <c r="BM164" s="286"/>
      <c r="BN164" s="286"/>
      <c r="BO164" s="286"/>
      <c r="BP164" s="286"/>
      <c r="BQ164" s="286"/>
      <c r="BR164" s="286"/>
      <c r="BS164" s="286"/>
      <c r="BT164" s="286"/>
      <c r="BU164" s="286"/>
      <c r="BV164" s="286"/>
      <c r="BW164" s="286"/>
      <c r="BX164" s="286"/>
      <c r="BY164" s="286"/>
      <c r="BZ164" s="286"/>
      <c r="CA164" s="286"/>
      <c r="CB164" s="286"/>
      <c r="CC164" s="286"/>
      <c r="CD164" s="286"/>
      <c r="CE164" s="286"/>
    </row>
    <row r="165" spans="1:83" x14ac:dyDescent="0.25">
      <c r="A165" s="286"/>
      <c r="B165" s="286"/>
      <c r="C165" s="286"/>
      <c r="D165" s="286"/>
      <c r="E165" s="286"/>
      <c r="F165" s="286"/>
      <c r="G165" s="286"/>
      <c r="H165" s="286"/>
      <c r="I165" s="286"/>
      <c r="J165" s="286"/>
      <c r="K165" s="286"/>
      <c r="L165" s="286"/>
      <c r="M165" s="286"/>
      <c r="N165" s="286"/>
      <c r="O165" s="286"/>
      <c r="P165" s="286"/>
      <c r="Q165" s="299"/>
      <c r="R165" s="299"/>
      <c r="S165" s="299"/>
      <c r="T165" s="299"/>
      <c r="U165" s="286"/>
      <c r="V165" s="286"/>
      <c r="W165" s="286"/>
      <c r="X165" s="286"/>
      <c r="Y165" s="286"/>
      <c r="Z165" s="286"/>
      <c r="AA165" s="286"/>
      <c r="AB165" s="286"/>
      <c r="AC165" s="286"/>
      <c r="AD165" s="286"/>
      <c r="AE165" s="286"/>
      <c r="AF165" s="286"/>
      <c r="AG165" s="286"/>
      <c r="AH165" s="286"/>
      <c r="AI165" s="286"/>
      <c r="AJ165" s="286"/>
      <c r="AK165" s="286"/>
      <c r="AL165" s="286"/>
      <c r="AM165" s="286"/>
      <c r="AN165" s="286"/>
      <c r="AO165" s="286"/>
      <c r="AP165" s="286"/>
      <c r="AQ165" s="286"/>
      <c r="AR165" s="286"/>
      <c r="AS165" s="286"/>
      <c r="AT165" s="286"/>
      <c r="AU165" s="286"/>
      <c r="AV165" s="286"/>
      <c r="AW165" s="286"/>
      <c r="AX165" s="286"/>
      <c r="AY165" s="286"/>
      <c r="AZ165" s="286"/>
      <c r="BA165" s="286"/>
      <c r="BB165" s="286"/>
      <c r="BC165" s="286"/>
      <c r="BD165" s="286"/>
      <c r="BE165" s="286"/>
      <c r="BF165" s="286"/>
      <c r="BG165" s="286"/>
      <c r="BH165" s="286"/>
      <c r="BI165" s="286"/>
      <c r="BJ165" s="286"/>
      <c r="BK165" s="286"/>
      <c r="BL165" s="286"/>
      <c r="BM165" s="286"/>
      <c r="BN165" s="286"/>
      <c r="BO165" s="286"/>
      <c r="BP165" s="286"/>
      <c r="BQ165" s="286"/>
      <c r="BR165" s="286"/>
      <c r="BS165" s="286"/>
      <c r="BT165" s="286"/>
      <c r="BU165" s="286"/>
      <c r="BV165" s="286"/>
      <c r="BW165" s="286"/>
      <c r="BX165" s="286"/>
      <c r="BY165" s="286"/>
      <c r="BZ165" s="286"/>
      <c r="CA165" s="286"/>
      <c r="CB165" s="286"/>
      <c r="CC165" s="286"/>
      <c r="CD165" s="286"/>
      <c r="CE165" s="286"/>
    </row>
    <row r="166" spans="1:83" x14ac:dyDescent="0.25">
      <c r="A166" s="286"/>
      <c r="B166" s="286"/>
      <c r="C166" s="286"/>
      <c r="D166" s="286"/>
      <c r="E166" s="286"/>
      <c r="F166" s="286"/>
      <c r="G166" s="286"/>
      <c r="H166" s="286"/>
      <c r="I166" s="286"/>
      <c r="J166" s="286"/>
      <c r="K166" s="286"/>
      <c r="L166" s="286"/>
      <c r="M166" s="286"/>
      <c r="N166" s="286"/>
      <c r="O166" s="286"/>
      <c r="P166" s="286"/>
      <c r="Q166" s="299"/>
      <c r="R166" s="299"/>
      <c r="S166" s="299"/>
      <c r="T166" s="299"/>
      <c r="U166" s="286"/>
      <c r="V166" s="286"/>
      <c r="W166" s="286"/>
      <c r="X166" s="286"/>
      <c r="Y166" s="286"/>
      <c r="Z166" s="286"/>
      <c r="AA166" s="286"/>
      <c r="AB166" s="286"/>
      <c r="AC166" s="286"/>
      <c r="AD166" s="286"/>
      <c r="AE166" s="286"/>
      <c r="AF166" s="286"/>
      <c r="AG166" s="286"/>
      <c r="AH166" s="286"/>
      <c r="AI166" s="286"/>
      <c r="AJ166" s="286"/>
      <c r="AK166" s="286"/>
      <c r="AL166" s="286"/>
      <c r="AM166" s="286"/>
      <c r="AN166" s="286"/>
      <c r="AO166" s="286"/>
      <c r="AP166" s="286"/>
      <c r="AQ166" s="286"/>
      <c r="AR166" s="286"/>
      <c r="AS166" s="286"/>
      <c r="AT166" s="286"/>
      <c r="AU166" s="286"/>
      <c r="AV166" s="286"/>
      <c r="AW166" s="286"/>
      <c r="AX166" s="286"/>
      <c r="AY166" s="286"/>
      <c r="AZ166" s="286"/>
      <c r="BA166" s="286"/>
      <c r="BB166" s="286"/>
      <c r="BC166" s="286"/>
      <c r="BD166" s="286"/>
      <c r="BE166" s="286"/>
      <c r="BF166" s="286"/>
      <c r="BG166" s="286"/>
      <c r="BH166" s="286"/>
      <c r="BI166" s="286"/>
      <c r="BJ166" s="286"/>
      <c r="BK166" s="286"/>
      <c r="BL166" s="286"/>
      <c r="BM166" s="286"/>
      <c r="BN166" s="286"/>
      <c r="BO166" s="286"/>
      <c r="BP166" s="286"/>
      <c r="BQ166" s="286"/>
      <c r="BR166" s="286"/>
      <c r="BS166" s="286"/>
      <c r="BT166" s="286"/>
      <c r="BU166" s="286"/>
      <c r="BV166" s="286"/>
      <c r="BW166" s="286"/>
      <c r="BX166" s="286"/>
      <c r="BY166" s="286"/>
      <c r="BZ166" s="286"/>
      <c r="CA166" s="286"/>
      <c r="CB166" s="286"/>
      <c r="CC166" s="286"/>
      <c r="CD166" s="286"/>
      <c r="CE166" s="286"/>
    </row>
    <row r="167" spans="1:83" x14ac:dyDescent="0.25">
      <c r="A167" s="286"/>
      <c r="B167" s="286"/>
      <c r="C167" s="286"/>
      <c r="D167" s="286"/>
      <c r="E167" s="286"/>
      <c r="F167" s="286"/>
      <c r="G167" s="286"/>
      <c r="H167" s="286"/>
      <c r="I167" s="286"/>
      <c r="J167" s="286"/>
      <c r="K167" s="286"/>
      <c r="L167" s="286"/>
      <c r="M167" s="286"/>
      <c r="N167" s="286"/>
      <c r="O167" s="286"/>
      <c r="P167" s="286"/>
      <c r="Q167" s="299"/>
      <c r="R167" s="299"/>
      <c r="S167" s="299"/>
      <c r="T167" s="299"/>
      <c r="U167" s="286"/>
      <c r="V167" s="286"/>
      <c r="W167" s="286"/>
      <c r="X167" s="286"/>
      <c r="Y167" s="286"/>
      <c r="Z167" s="286"/>
      <c r="AA167" s="286"/>
      <c r="AB167" s="286"/>
      <c r="AC167" s="286"/>
      <c r="AD167" s="286"/>
      <c r="AE167" s="286"/>
      <c r="AF167" s="286"/>
      <c r="AG167" s="286"/>
      <c r="AH167" s="286"/>
      <c r="AI167" s="286"/>
      <c r="AJ167" s="286"/>
      <c r="AK167" s="286"/>
      <c r="AL167" s="286"/>
      <c r="AM167" s="286"/>
      <c r="AN167" s="286"/>
      <c r="AO167" s="286"/>
      <c r="AP167" s="286"/>
      <c r="AQ167" s="286"/>
      <c r="AR167" s="286"/>
      <c r="AS167" s="286"/>
      <c r="AT167" s="286"/>
      <c r="AU167" s="286"/>
      <c r="AV167" s="286"/>
      <c r="AW167" s="286"/>
      <c r="AX167" s="286"/>
      <c r="AY167" s="286"/>
      <c r="AZ167" s="286"/>
      <c r="BA167" s="286"/>
      <c r="BB167" s="286"/>
      <c r="BC167" s="286"/>
      <c r="BD167" s="286"/>
      <c r="BE167" s="286"/>
      <c r="BF167" s="286"/>
      <c r="BG167" s="286"/>
      <c r="BH167" s="286"/>
      <c r="BI167" s="286"/>
      <c r="BJ167" s="286"/>
      <c r="BK167" s="286"/>
      <c r="BL167" s="286"/>
      <c r="BM167" s="286"/>
      <c r="BN167" s="286"/>
      <c r="BO167" s="286"/>
      <c r="BP167" s="286"/>
      <c r="BQ167" s="286"/>
      <c r="BR167" s="286"/>
      <c r="BS167" s="286"/>
      <c r="BT167" s="286"/>
      <c r="BU167" s="286"/>
      <c r="BV167" s="286"/>
      <c r="BW167" s="286"/>
      <c r="BX167" s="286"/>
      <c r="BY167" s="286"/>
      <c r="BZ167" s="286"/>
      <c r="CA167" s="286"/>
      <c r="CB167" s="286"/>
      <c r="CC167" s="286"/>
      <c r="CD167" s="286"/>
      <c r="CE167" s="286"/>
    </row>
    <row r="168" spans="1:83" x14ac:dyDescent="0.25">
      <c r="A168" s="286"/>
      <c r="B168" s="286"/>
      <c r="C168" s="286"/>
      <c r="D168" s="286"/>
      <c r="E168" s="286"/>
      <c r="F168" s="286"/>
      <c r="G168" s="286"/>
      <c r="H168" s="286"/>
      <c r="I168" s="286"/>
      <c r="J168" s="286"/>
      <c r="K168" s="286"/>
      <c r="L168" s="286"/>
      <c r="M168" s="286"/>
      <c r="N168" s="286"/>
      <c r="O168" s="286"/>
      <c r="P168" s="286"/>
      <c r="Q168" s="299"/>
      <c r="R168" s="299"/>
      <c r="S168" s="299"/>
      <c r="T168" s="299"/>
      <c r="U168" s="286"/>
      <c r="V168" s="286"/>
      <c r="W168" s="286"/>
      <c r="X168" s="286"/>
      <c r="Y168" s="286"/>
      <c r="Z168" s="286"/>
      <c r="AA168" s="286"/>
      <c r="AB168" s="286"/>
      <c r="AC168" s="286"/>
      <c r="AD168" s="286"/>
      <c r="AE168" s="286"/>
      <c r="AF168" s="286"/>
      <c r="AG168" s="286"/>
      <c r="AH168" s="286"/>
      <c r="AI168" s="286"/>
      <c r="AJ168" s="286"/>
      <c r="AK168" s="286"/>
      <c r="AL168" s="286"/>
      <c r="AM168" s="286"/>
      <c r="AN168" s="286"/>
      <c r="AO168" s="286"/>
      <c r="AP168" s="286"/>
      <c r="AQ168" s="286"/>
      <c r="AR168" s="286"/>
      <c r="AS168" s="286"/>
      <c r="AT168" s="286"/>
      <c r="AU168" s="286"/>
      <c r="AV168" s="286"/>
      <c r="AW168" s="286"/>
      <c r="AX168" s="286"/>
      <c r="AY168" s="286"/>
      <c r="AZ168" s="286"/>
      <c r="BA168" s="286"/>
      <c r="BB168" s="286"/>
      <c r="BC168" s="286"/>
      <c r="BD168" s="286"/>
      <c r="BE168" s="286"/>
      <c r="BF168" s="286"/>
      <c r="BG168" s="286"/>
      <c r="BH168" s="286"/>
      <c r="BI168" s="286"/>
      <c r="BJ168" s="286"/>
      <c r="BK168" s="286"/>
      <c r="BL168" s="286"/>
      <c r="BM168" s="286"/>
      <c r="BN168" s="286"/>
      <c r="BO168" s="286"/>
      <c r="BP168" s="286"/>
      <c r="BQ168" s="286"/>
      <c r="BR168" s="286"/>
      <c r="BS168" s="286"/>
      <c r="BT168" s="286"/>
      <c r="BU168" s="286"/>
      <c r="BV168" s="286"/>
      <c r="BW168" s="286"/>
      <c r="BX168" s="286"/>
      <c r="BY168" s="286"/>
      <c r="BZ168" s="286"/>
      <c r="CA168" s="286"/>
      <c r="CB168" s="286"/>
      <c r="CC168" s="286"/>
      <c r="CD168" s="286"/>
      <c r="CE168" s="286"/>
    </row>
    <row r="169" spans="1:83" x14ac:dyDescent="0.25">
      <c r="A169" s="286"/>
      <c r="B169" s="286"/>
      <c r="C169" s="286"/>
      <c r="D169" s="286"/>
      <c r="E169" s="286"/>
      <c r="F169" s="286"/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99"/>
      <c r="R169" s="299"/>
      <c r="S169" s="299"/>
      <c r="T169" s="299"/>
      <c r="U169" s="286"/>
      <c r="V169" s="286"/>
      <c r="W169" s="286"/>
      <c r="X169" s="286"/>
      <c r="Y169" s="286"/>
      <c r="Z169" s="286"/>
      <c r="AA169" s="286"/>
      <c r="AB169" s="286"/>
      <c r="AC169" s="286"/>
      <c r="AD169" s="286"/>
      <c r="AE169" s="286"/>
      <c r="AF169" s="286"/>
      <c r="AG169" s="286"/>
      <c r="AH169" s="286"/>
      <c r="AI169" s="286"/>
      <c r="AJ169" s="286"/>
      <c r="AK169" s="286"/>
      <c r="AL169" s="286"/>
      <c r="AM169" s="286"/>
      <c r="AN169" s="286"/>
      <c r="AO169" s="286"/>
      <c r="AP169" s="286"/>
      <c r="AQ169" s="286"/>
      <c r="AR169" s="286"/>
      <c r="AS169" s="286"/>
      <c r="AT169" s="286"/>
      <c r="AU169" s="286"/>
      <c r="AV169" s="286"/>
      <c r="AW169" s="286"/>
      <c r="AX169" s="286"/>
      <c r="AY169" s="286"/>
      <c r="AZ169" s="286"/>
      <c r="BA169" s="286"/>
      <c r="BB169" s="286"/>
      <c r="BC169" s="286"/>
      <c r="BD169" s="286"/>
      <c r="BE169" s="286"/>
      <c r="BF169" s="286"/>
      <c r="BG169" s="286"/>
      <c r="BH169" s="286"/>
      <c r="BI169" s="286"/>
      <c r="BJ169" s="286"/>
      <c r="BK169" s="286"/>
      <c r="BL169" s="286"/>
      <c r="BM169" s="286"/>
      <c r="BN169" s="286"/>
      <c r="BO169" s="286"/>
      <c r="BP169" s="286"/>
      <c r="BQ169" s="286"/>
      <c r="BR169" s="286"/>
      <c r="BS169" s="286"/>
      <c r="BT169" s="286"/>
      <c r="BU169" s="286"/>
      <c r="BV169" s="286"/>
      <c r="BW169" s="286"/>
      <c r="BX169" s="286"/>
      <c r="BY169" s="286"/>
      <c r="BZ169" s="286"/>
      <c r="CA169" s="286"/>
      <c r="CB169" s="286"/>
      <c r="CC169" s="286"/>
      <c r="CD169" s="286"/>
      <c r="CE169" s="286"/>
    </row>
    <row r="170" spans="1:83" x14ac:dyDescent="0.25">
      <c r="A170" s="286"/>
      <c r="B170" s="286"/>
      <c r="C170" s="286"/>
      <c r="D170" s="286"/>
      <c r="E170" s="286"/>
      <c r="F170" s="286"/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99"/>
      <c r="R170" s="299"/>
      <c r="S170" s="299"/>
      <c r="T170" s="299"/>
      <c r="U170" s="286"/>
      <c r="V170" s="286"/>
      <c r="W170" s="286"/>
      <c r="X170" s="286"/>
      <c r="Y170" s="286"/>
      <c r="Z170" s="286"/>
      <c r="AA170" s="286"/>
      <c r="AB170" s="286"/>
      <c r="AC170" s="286"/>
      <c r="AD170" s="286"/>
      <c r="AE170" s="286"/>
      <c r="AF170" s="286"/>
      <c r="AG170" s="286"/>
      <c r="AH170" s="286"/>
      <c r="AI170" s="286"/>
      <c r="AJ170" s="286"/>
      <c r="AK170" s="286"/>
      <c r="AL170" s="286"/>
      <c r="AM170" s="286"/>
      <c r="AN170" s="286"/>
      <c r="AO170" s="286"/>
      <c r="AP170" s="286"/>
      <c r="AQ170" s="286"/>
      <c r="AR170" s="286"/>
      <c r="AS170" s="286"/>
      <c r="AT170" s="286"/>
      <c r="AU170" s="286"/>
      <c r="AV170" s="286"/>
      <c r="AW170" s="286"/>
      <c r="AX170" s="286"/>
      <c r="AY170" s="286"/>
      <c r="AZ170" s="286"/>
      <c r="BA170" s="286"/>
      <c r="BB170" s="286"/>
      <c r="BC170" s="286"/>
      <c r="BD170" s="286"/>
      <c r="BE170" s="286"/>
      <c r="BF170" s="286"/>
      <c r="BG170" s="286"/>
      <c r="BH170" s="286"/>
      <c r="BI170" s="286"/>
      <c r="BJ170" s="286"/>
      <c r="BK170" s="286"/>
      <c r="BL170" s="286"/>
      <c r="BM170" s="286"/>
      <c r="BN170" s="286"/>
      <c r="BO170" s="286"/>
      <c r="BP170" s="286"/>
      <c r="BQ170" s="286"/>
      <c r="BR170" s="286"/>
      <c r="BS170" s="286"/>
      <c r="BT170" s="286"/>
      <c r="BU170" s="286"/>
      <c r="BV170" s="286"/>
      <c r="BW170" s="286"/>
      <c r="BX170" s="286"/>
      <c r="BY170" s="286"/>
      <c r="BZ170" s="286"/>
      <c r="CA170" s="286"/>
      <c r="CB170" s="286"/>
      <c r="CC170" s="286"/>
      <c r="CD170" s="286"/>
      <c r="CE170" s="286"/>
    </row>
    <row r="171" spans="1:83" x14ac:dyDescent="0.25">
      <c r="A171" s="286"/>
      <c r="B171" s="286"/>
      <c r="C171" s="286"/>
      <c r="D171" s="286"/>
      <c r="E171" s="286"/>
      <c r="F171" s="286"/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99"/>
      <c r="R171" s="299"/>
      <c r="S171" s="299"/>
      <c r="T171" s="299"/>
      <c r="U171" s="286"/>
      <c r="V171" s="286"/>
      <c r="W171" s="286"/>
      <c r="X171" s="286"/>
      <c r="Y171" s="286"/>
      <c r="Z171" s="286"/>
      <c r="AA171" s="286"/>
      <c r="AB171" s="286"/>
      <c r="AC171" s="286"/>
      <c r="AD171" s="286"/>
      <c r="AE171" s="286"/>
      <c r="AF171" s="286"/>
      <c r="AG171" s="286"/>
      <c r="AH171" s="286"/>
      <c r="AI171" s="286"/>
      <c r="AJ171" s="286"/>
      <c r="AK171" s="286"/>
      <c r="AL171" s="286"/>
      <c r="AM171" s="286"/>
      <c r="AN171" s="286"/>
      <c r="AO171" s="286"/>
      <c r="AP171" s="286"/>
      <c r="AQ171" s="286"/>
      <c r="AR171" s="286"/>
      <c r="AS171" s="286"/>
      <c r="AT171" s="286"/>
      <c r="AU171" s="286"/>
      <c r="AV171" s="286"/>
      <c r="AW171" s="286"/>
      <c r="AX171" s="286"/>
      <c r="AY171" s="286"/>
      <c r="AZ171" s="286"/>
      <c r="BA171" s="286"/>
      <c r="BB171" s="286"/>
      <c r="BC171" s="286"/>
      <c r="BD171" s="286"/>
      <c r="BE171" s="286"/>
      <c r="BF171" s="286"/>
      <c r="BG171" s="286"/>
      <c r="BH171" s="286"/>
      <c r="BI171" s="286"/>
      <c r="BJ171" s="286"/>
      <c r="BK171" s="286"/>
      <c r="BL171" s="286"/>
      <c r="BM171" s="286"/>
      <c r="BN171" s="286"/>
      <c r="BO171" s="286"/>
      <c r="BP171" s="286"/>
      <c r="BQ171" s="286"/>
      <c r="BR171" s="286"/>
      <c r="BS171" s="286"/>
      <c r="BT171" s="286"/>
      <c r="BU171" s="286"/>
      <c r="BV171" s="286"/>
      <c r="BW171" s="286"/>
      <c r="BX171" s="286"/>
      <c r="BY171" s="286"/>
      <c r="BZ171" s="286"/>
      <c r="CA171" s="286"/>
      <c r="CB171" s="286"/>
      <c r="CC171" s="286"/>
      <c r="CD171" s="286"/>
      <c r="CE171" s="286"/>
    </row>
    <row r="172" spans="1:83" x14ac:dyDescent="0.25">
      <c r="A172" s="286"/>
      <c r="B172" s="286"/>
      <c r="C172" s="286"/>
      <c r="D172" s="286"/>
      <c r="E172" s="286"/>
      <c r="F172" s="286"/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99"/>
      <c r="R172" s="299"/>
      <c r="S172" s="299"/>
      <c r="T172" s="299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  <c r="AF172" s="286"/>
      <c r="AG172" s="286"/>
      <c r="AH172" s="286"/>
      <c r="AI172" s="286"/>
      <c r="AJ172" s="286"/>
      <c r="AK172" s="286"/>
      <c r="AL172" s="286"/>
      <c r="AM172" s="286"/>
      <c r="AN172" s="286"/>
      <c r="AO172" s="286"/>
      <c r="AP172" s="286"/>
      <c r="AQ172" s="286"/>
      <c r="AR172" s="286"/>
      <c r="AS172" s="286"/>
      <c r="AT172" s="286"/>
      <c r="AU172" s="286"/>
      <c r="AV172" s="286"/>
      <c r="AW172" s="286"/>
      <c r="AX172" s="286"/>
      <c r="AY172" s="286"/>
      <c r="AZ172" s="286"/>
      <c r="BA172" s="286"/>
      <c r="BB172" s="286"/>
      <c r="BC172" s="286"/>
      <c r="BD172" s="286"/>
      <c r="BE172" s="286"/>
      <c r="BF172" s="286"/>
      <c r="BG172" s="286"/>
      <c r="BH172" s="286"/>
      <c r="BI172" s="286"/>
      <c r="BJ172" s="286"/>
      <c r="BK172" s="286"/>
      <c r="BL172" s="286"/>
      <c r="BM172" s="286"/>
      <c r="BN172" s="286"/>
      <c r="BO172" s="286"/>
      <c r="BP172" s="286"/>
      <c r="BQ172" s="286"/>
      <c r="BR172" s="286"/>
      <c r="BS172" s="286"/>
      <c r="BT172" s="286"/>
      <c r="BU172" s="286"/>
      <c r="BV172" s="286"/>
      <c r="BW172" s="286"/>
      <c r="BX172" s="286"/>
      <c r="BY172" s="286"/>
      <c r="BZ172" s="286"/>
      <c r="CA172" s="286"/>
      <c r="CB172" s="286"/>
      <c r="CC172" s="286"/>
      <c r="CD172" s="286"/>
      <c r="CE172" s="286"/>
    </row>
    <row r="173" spans="1:83" x14ac:dyDescent="0.25">
      <c r="A173" s="286"/>
      <c r="B173" s="286"/>
      <c r="C173" s="286"/>
      <c r="D173" s="286"/>
      <c r="E173" s="286"/>
      <c r="F173" s="286"/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99"/>
      <c r="R173" s="299"/>
      <c r="S173" s="299"/>
      <c r="T173" s="299"/>
      <c r="U173" s="286"/>
      <c r="V173" s="286"/>
      <c r="W173" s="286"/>
      <c r="X173" s="286"/>
      <c r="Y173" s="286"/>
      <c r="Z173" s="286"/>
      <c r="AA173" s="286"/>
      <c r="AB173" s="286"/>
      <c r="AC173" s="286"/>
      <c r="AD173" s="286"/>
      <c r="AE173" s="286"/>
      <c r="AF173" s="286"/>
      <c r="AG173" s="286"/>
      <c r="AH173" s="286"/>
      <c r="AI173" s="286"/>
      <c r="AJ173" s="286"/>
      <c r="AK173" s="286"/>
      <c r="AL173" s="286"/>
      <c r="AM173" s="286"/>
      <c r="AN173" s="286"/>
      <c r="AO173" s="286"/>
      <c r="AP173" s="286"/>
      <c r="AQ173" s="286"/>
      <c r="AR173" s="286"/>
      <c r="AS173" s="286"/>
      <c r="AT173" s="286"/>
      <c r="AU173" s="286"/>
      <c r="AV173" s="286"/>
      <c r="AW173" s="286"/>
      <c r="AX173" s="286"/>
      <c r="AY173" s="286"/>
      <c r="AZ173" s="286"/>
      <c r="BA173" s="286"/>
      <c r="BB173" s="286"/>
      <c r="BC173" s="286"/>
      <c r="BD173" s="286"/>
      <c r="BE173" s="286"/>
      <c r="BF173" s="286"/>
      <c r="BG173" s="286"/>
      <c r="BH173" s="286"/>
      <c r="BI173" s="286"/>
      <c r="BJ173" s="286"/>
      <c r="BK173" s="286"/>
      <c r="BL173" s="286"/>
      <c r="BM173" s="286"/>
      <c r="BN173" s="286"/>
      <c r="BO173" s="286"/>
      <c r="BP173" s="286"/>
      <c r="BQ173" s="286"/>
      <c r="BR173" s="286"/>
      <c r="BS173" s="286"/>
      <c r="BT173" s="286"/>
      <c r="BU173" s="286"/>
      <c r="BV173" s="286"/>
      <c r="BW173" s="286"/>
      <c r="BX173" s="286"/>
      <c r="BY173" s="286"/>
      <c r="BZ173" s="286"/>
      <c r="CA173" s="286"/>
      <c r="CB173" s="286"/>
      <c r="CC173" s="286"/>
      <c r="CD173" s="286"/>
      <c r="CE173" s="286"/>
    </row>
    <row r="174" spans="1:83" x14ac:dyDescent="0.25">
      <c r="A174" s="286"/>
      <c r="B174" s="286"/>
      <c r="C174" s="286"/>
      <c r="D174" s="286"/>
      <c r="E174" s="286"/>
      <c r="F174" s="286"/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99"/>
      <c r="R174" s="299"/>
      <c r="S174" s="299"/>
      <c r="T174" s="299"/>
      <c r="U174" s="286"/>
      <c r="V174" s="286"/>
      <c r="W174" s="286"/>
      <c r="X174" s="286"/>
      <c r="Y174" s="286"/>
      <c r="Z174" s="286"/>
      <c r="AA174" s="286"/>
      <c r="AB174" s="286"/>
      <c r="AC174" s="286"/>
      <c r="AD174" s="286"/>
      <c r="AE174" s="286"/>
      <c r="AF174" s="286"/>
      <c r="AG174" s="286"/>
      <c r="AH174" s="286"/>
      <c r="AI174" s="286"/>
      <c r="AJ174" s="286"/>
      <c r="AK174" s="286"/>
      <c r="AL174" s="286"/>
      <c r="AM174" s="286"/>
      <c r="AN174" s="286"/>
      <c r="AO174" s="286"/>
      <c r="AP174" s="286"/>
      <c r="AQ174" s="286"/>
      <c r="AR174" s="286"/>
      <c r="AS174" s="286"/>
      <c r="AT174" s="286"/>
      <c r="AU174" s="286"/>
      <c r="AV174" s="286"/>
      <c r="AW174" s="286"/>
      <c r="AX174" s="286"/>
      <c r="AY174" s="286"/>
      <c r="AZ174" s="286"/>
      <c r="BA174" s="286"/>
      <c r="BB174" s="286"/>
      <c r="BC174" s="286"/>
      <c r="BD174" s="286"/>
      <c r="BE174" s="286"/>
      <c r="BF174" s="286"/>
      <c r="BG174" s="286"/>
      <c r="BH174" s="286"/>
      <c r="BI174" s="286"/>
      <c r="BJ174" s="286"/>
      <c r="BK174" s="286"/>
      <c r="BL174" s="286"/>
      <c r="BM174" s="286"/>
      <c r="BN174" s="286"/>
      <c r="BO174" s="286"/>
      <c r="BP174" s="286"/>
      <c r="BQ174" s="286"/>
      <c r="BR174" s="286"/>
      <c r="BS174" s="286"/>
      <c r="BT174" s="286"/>
      <c r="BU174" s="286"/>
      <c r="BV174" s="286"/>
      <c r="BW174" s="286"/>
      <c r="BX174" s="286"/>
      <c r="BY174" s="286"/>
      <c r="BZ174" s="286"/>
      <c r="CA174" s="286"/>
      <c r="CB174" s="286"/>
      <c r="CC174" s="286"/>
      <c r="CD174" s="286"/>
      <c r="CE174" s="286"/>
    </row>
    <row r="175" spans="1:83" x14ac:dyDescent="0.25">
      <c r="A175" s="286"/>
      <c r="B175" s="286"/>
      <c r="C175" s="286"/>
      <c r="D175" s="286"/>
      <c r="E175" s="286"/>
      <c r="F175" s="286"/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99"/>
      <c r="R175" s="299"/>
      <c r="S175" s="299"/>
      <c r="T175" s="299"/>
      <c r="U175" s="286"/>
      <c r="V175" s="286"/>
      <c r="W175" s="286"/>
      <c r="X175" s="286"/>
      <c r="Y175" s="286"/>
      <c r="Z175" s="286"/>
      <c r="AA175" s="286"/>
      <c r="AB175" s="286"/>
      <c r="AC175" s="286"/>
      <c r="AD175" s="286"/>
      <c r="AE175" s="286"/>
      <c r="AF175" s="286"/>
      <c r="AG175" s="286"/>
      <c r="AH175" s="286"/>
      <c r="AI175" s="286"/>
      <c r="AJ175" s="286"/>
      <c r="AK175" s="286"/>
      <c r="AL175" s="286"/>
      <c r="AM175" s="286"/>
      <c r="AN175" s="286"/>
      <c r="AO175" s="286"/>
      <c r="AP175" s="286"/>
      <c r="AQ175" s="286"/>
      <c r="AR175" s="286"/>
      <c r="AS175" s="286"/>
      <c r="AT175" s="286"/>
      <c r="AU175" s="286"/>
      <c r="AV175" s="286"/>
      <c r="AW175" s="286"/>
      <c r="AX175" s="286"/>
      <c r="AY175" s="286"/>
      <c r="AZ175" s="286"/>
      <c r="BA175" s="286"/>
      <c r="BB175" s="286"/>
      <c r="BC175" s="286"/>
      <c r="BD175" s="286"/>
      <c r="BE175" s="286"/>
      <c r="BF175" s="286"/>
      <c r="BG175" s="286"/>
      <c r="BH175" s="286"/>
      <c r="BI175" s="286"/>
      <c r="BJ175" s="286"/>
      <c r="BK175" s="286"/>
      <c r="BL175" s="286"/>
      <c r="BM175" s="286"/>
      <c r="BN175" s="286"/>
      <c r="BO175" s="286"/>
      <c r="BP175" s="286"/>
      <c r="BQ175" s="286"/>
      <c r="BR175" s="286"/>
      <c r="BS175" s="286"/>
      <c r="BT175" s="286"/>
      <c r="BU175" s="286"/>
      <c r="BV175" s="286"/>
      <c r="BW175" s="286"/>
      <c r="BX175" s="286"/>
      <c r="BY175" s="286"/>
      <c r="BZ175" s="286"/>
      <c r="CA175" s="286"/>
      <c r="CB175" s="286"/>
      <c r="CC175" s="286"/>
      <c r="CD175" s="286"/>
      <c r="CE175" s="286"/>
    </row>
    <row r="176" spans="1:83" x14ac:dyDescent="0.25">
      <c r="A176" s="286"/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99"/>
      <c r="R176" s="299"/>
      <c r="S176" s="299"/>
      <c r="T176" s="299"/>
      <c r="U176" s="286"/>
      <c r="V176" s="286"/>
      <c r="W176" s="286"/>
      <c r="X176" s="286"/>
      <c r="Y176" s="286"/>
      <c r="Z176" s="286"/>
      <c r="AA176" s="286"/>
      <c r="AB176" s="286"/>
      <c r="AC176" s="286"/>
      <c r="AD176" s="286"/>
      <c r="AE176" s="286"/>
      <c r="AF176" s="286"/>
      <c r="AG176" s="286"/>
      <c r="AH176" s="286"/>
      <c r="AI176" s="286"/>
      <c r="AJ176" s="286"/>
      <c r="AK176" s="286"/>
      <c r="AL176" s="286"/>
      <c r="AM176" s="286"/>
      <c r="AN176" s="286"/>
      <c r="AO176" s="286"/>
      <c r="AP176" s="286"/>
      <c r="AQ176" s="286"/>
      <c r="AR176" s="286"/>
      <c r="AS176" s="286"/>
      <c r="AT176" s="286"/>
      <c r="AU176" s="286"/>
      <c r="AV176" s="286"/>
      <c r="AW176" s="286"/>
      <c r="AX176" s="286"/>
      <c r="AY176" s="286"/>
      <c r="AZ176" s="286"/>
      <c r="BA176" s="286"/>
      <c r="BB176" s="286"/>
      <c r="BC176" s="286"/>
      <c r="BD176" s="286"/>
      <c r="BE176" s="286"/>
      <c r="BF176" s="286"/>
      <c r="BG176" s="286"/>
      <c r="BH176" s="286"/>
      <c r="BI176" s="286"/>
      <c r="BJ176" s="286"/>
      <c r="BK176" s="286"/>
      <c r="BL176" s="286"/>
      <c r="BM176" s="286"/>
      <c r="BN176" s="286"/>
      <c r="BO176" s="286"/>
      <c r="BP176" s="286"/>
      <c r="BQ176" s="286"/>
      <c r="BR176" s="286"/>
      <c r="BS176" s="286"/>
      <c r="BT176" s="286"/>
      <c r="BU176" s="286"/>
      <c r="BV176" s="286"/>
      <c r="BW176" s="286"/>
      <c r="BX176" s="286"/>
      <c r="BY176" s="286"/>
      <c r="BZ176" s="286"/>
      <c r="CA176" s="286"/>
      <c r="CB176" s="286"/>
      <c r="CC176" s="286"/>
      <c r="CD176" s="286"/>
      <c r="CE176" s="286"/>
    </row>
    <row r="177" spans="1:83" x14ac:dyDescent="0.25">
      <c r="A177" s="286"/>
      <c r="B177" s="286"/>
      <c r="C177" s="286"/>
      <c r="D177" s="286"/>
      <c r="E177" s="286"/>
      <c r="F177" s="286"/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99"/>
      <c r="R177" s="299"/>
      <c r="S177" s="299"/>
      <c r="T177" s="299"/>
      <c r="U177" s="286"/>
      <c r="V177" s="286"/>
      <c r="W177" s="286"/>
      <c r="X177" s="286"/>
      <c r="Y177" s="286"/>
      <c r="Z177" s="286"/>
      <c r="AA177" s="286"/>
      <c r="AB177" s="286"/>
      <c r="AC177" s="286"/>
      <c r="AD177" s="286"/>
      <c r="AE177" s="286"/>
      <c r="AF177" s="286"/>
      <c r="AG177" s="286"/>
      <c r="AH177" s="286"/>
      <c r="AI177" s="286"/>
      <c r="AJ177" s="286"/>
      <c r="AK177" s="286"/>
      <c r="AL177" s="286"/>
      <c r="AM177" s="286"/>
      <c r="AN177" s="286"/>
      <c r="AO177" s="286"/>
      <c r="AP177" s="286"/>
      <c r="AQ177" s="286"/>
      <c r="AR177" s="286"/>
      <c r="AS177" s="286"/>
      <c r="AT177" s="286"/>
      <c r="AU177" s="286"/>
      <c r="AV177" s="286"/>
      <c r="AW177" s="286"/>
      <c r="AX177" s="286"/>
      <c r="AY177" s="286"/>
      <c r="AZ177" s="286"/>
      <c r="BA177" s="286"/>
      <c r="BB177" s="286"/>
      <c r="BC177" s="286"/>
      <c r="BD177" s="286"/>
      <c r="BE177" s="286"/>
      <c r="BF177" s="286"/>
      <c r="BG177" s="286"/>
      <c r="BH177" s="286"/>
      <c r="BI177" s="286"/>
      <c r="BJ177" s="286"/>
      <c r="BK177" s="286"/>
      <c r="BL177" s="286"/>
      <c r="BM177" s="286"/>
      <c r="BN177" s="286"/>
      <c r="BO177" s="286"/>
      <c r="BP177" s="286"/>
      <c r="BQ177" s="286"/>
      <c r="BR177" s="286"/>
      <c r="BS177" s="286"/>
      <c r="BT177" s="286"/>
      <c r="BU177" s="286"/>
      <c r="BV177" s="286"/>
      <c r="BW177" s="286"/>
      <c r="BX177" s="286"/>
      <c r="BY177" s="286"/>
      <c r="BZ177" s="286"/>
      <c r="CA177" s="286"/>
      <c r="CB177" s="286"/>
      <c r="CC177" s="286"/>
      <c r="CD177" s="286"/>
      <c r="CE177" s="286"/>
    </row>
    <row r="178" spans="1:83" x14ac:dyDescent="0.25">
      <c r="A178" s="286"/>
      <c r="B178" s="286"/>
      <c r="C178" s="286"/>
      <c r="D178" s="286"/>
      <c r="E178" s="286"/>
      <c r="F178" s="286"/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99"/>
      <c r="R178" s="299"/>
      <c r="S178" s="299"/>
      <c r="T178" s="299"/>
      <c r="U178" s="286"/>
      <c r="V178" s="286"/>
      <c r="W178" s="286"/>
      <c r="X178" s="286"/>
      <c r="Y178" s="286"/>
      <c r="Z178" s="286"/>
      <c r="AA178" s="286"/>
      <c r="AB178" s="286"/>
      <c r="AC178" s="286"/>
      <c r="AD178" s="286"/>
      <c r="AE178" s="286"/>
      <c r="AF178" s="286"/>
      <c r="AG178" s="286"/>
      <c r="AH178" s="286"/>
      <c r="AI178" s="286"/>
      <c r="AJ178" s="286"/>
      <c r="AK178" s="286"/>
      <c r="AL178" s="286"/>
      <c r="AM178" s="286"/>
      <c r="AN178" s="286"/>
      <c r="AO178" s="286"/>
      <c r="AP178" s="286"/>
      <c r="AQ178" s="286"/>
      <c r="AR178" s="286"/>
      <c r="AS178" s="286"/>
      <c r="AT178" s="286"/>
      <c r="AU178" s="286"/>
      <c r="AV178" s="286"/>
      <c r="AW178" s="286"/>
      <c r="AX178" s="286"/>
      <c r="AY178" s="286"/>
      <c r="AZ178" s="286"/>
      <c r="BA178" s="286"/>
      <c r="BB178" s="286"/>
      <c r="BC178" s="286"/>
      <c r="BD178" s="286"/>
      <c r="BE178" s="286"/>
      <c r="BF178" s="286"/>
      <c r="BG178" s="286"/>
      <c r="BH178" s="286"/>
      <c r="BI178" s="286"/>
      <c r="BJ178" s="286"/>
      <c r="BK178" s="286"/>
      <c r="BL178" s="286"/>
      <c r="BM178" s="286"/>
      <c r="BN178" s="286"/>
      <c r="BO178" s="286"/>
      <c r="BP178" s="286"/>
      <c r="BQ178" s="286"/>
      <c r="BR178" s="286"/>
      <c r="BS178" s="286"/>
      <c r="BT178" s="286"/>
      <c r="BU178" s="286"/>
      <c r="BV178" s="286"/>
      <c r="BW178" s="286"/>
      <c r="BX178" s="286"/>
      <c r="BY178" s="286"/>
      <c r="BZ178" s="286"/>
      <c r="CA178" s="286"/>
      <c r="CB178" s="286"/>
      <c r="CC178" s="286"/>
      <c r="CD178" s="286"/>
      <c r="CE178" s="286"/>
    </row>
    <row r="179" spans="1:83" x14ac:dyDescent="0.25">
      <c r="A179" s="286"/>
      <c r="B179" s="286"/>
      <c r="C179" s="286"/>
      <c r="D179" s="286"/>
      <c r="E179" s="286"/>
      <c r="F179" s="286"/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99"/>
      <c r="R179" s="299"/>
      <c r="S179" s="299"/>
      <c r="T179" s="299"/>
      <c r="U179" s="286"/>
      <c r="V179" s="286"/>
      <c r="W179" s="286"/>
      <c r="X179" s="286"/>
      <c r="Y179" s="286"/>
      <c r="Z179" s="286"/>
      <c r="AA179" s="286"/>
      <c r="AB179" s="286"/>
      <c r="AC179" s="286"/>
      <c r="AD179" s="286"/>
      <c r="AE179" s="286"/>
      <c r="AF179" s="286"/>
      <c r="AG179" s="286"/>
      <c r="AH179" s="286"/>
      <c r="AI179" s="286"/>
      <c r="AJ179" s="286"/>
      <c r="AK179" s="286"/>
      <c r="AL179" s="286"/>
      <c r="AM179" s="286"/>
      <c r="AN179" s="286"/>
      <c r="AO179" s="286"/>
      <c r="AP179" s="286"/>
      <c r="AQ179" s="286"/>
      <c r="AR179" s="286"/>
      <c r="AS179" s="286"/>
      <c r="AT179" s="286"/>
      <c r="AU179" s="286"/>
      <c r="AV179" s="286"/>
      <c r="AW179" s="286"/>
      <c r="AX179" s="286"/>
      <c r="AY179" s="286"/>
      <c r="AZ179" s="286"/>
      <c r="BA179" s="286"/>
      <c r="BB179" s="286"/>
      <c r="BC179" s="286"/>
      <c r="BD179" s="286"/>
      <c r="BE179" s="286"/>
      <c r="BF179" s="286"/>
      <c r="BG179" s="286"/>
      <c r="BH179" s="286"/>
      <c r="BI179" s="286"/>
      <c r="BJ179" s="286"/>
      <c r="BK179" s="286"/>
      <c r="BL179" s="286"/>
      <c r="BM179" s="286"/>
      <c r="BN179" s="286"/>
      <c r="BO179" s="286"/>
      <c r="BP179" s="286"/>
      <c r="BQ179" s="286"/>
      <c r="BR179" s="286"/>
      <c r="BS179" s="286"/>
      <c r="BT179" s="286"/>
      <c r="BU179" s="286"/>
      <c r="BV179" s="286"/>
      <c r="BW179" s="286"/>
      <c r="BX179" s="286"/>
      <c r="BY179" s="286"/>
      <c r="BZ179" s="286"/>
      <c r="CA179" s="286"/>
      <c r="CB179" s="286"/>
      <c r="CC179" s="286"/>
      <c r="CD179" s="286"/>
      <c r="CE179" s="286"/>
    </row>
    <row r="180" spans="1:83" x14ac:dyDescent="0.25">
      <c r="A180" s="286"/>
      <c r="B180" s="286"/>
      <c r="C180" s="286"/>
      <c r="D180" s="286"/>
      <c r="E180" s="286"/>
      <c r="F180" s="286"/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6"/>
      <c r="AB180" s="286"/>
      <c r="AC180" s="286"/>
      <c r="AD180" s="286"/>
      <c r="AE180" s="286"/>
      <c r="AF180" s="286"/>
      <c r="AG180" s="286"/>
      <c r="AH180" s="286"/>
      <c r="AI180" s="286"/>
      <c r="AJ180" s="286"/>
      <c r="AK180" s="286"/>
      <c r="AL180" s="286"/>
      <c r="AM180" s="286"/>
      <c r="AN180" s="286"/>
      <c r="AO180" s="286"/>
      <c r="AP180" s="286"/>
      <c r="AQ180" s="286"/>
      <c r="AR180" s="286"/>
      <c r="AS180" s="286"/>
      <c r="AT180" s="286"/>
      <c r="AU180" s="286"/>
      <c r="AV180" s="286"/>
      <c r="AW180" s="286"/>
      <c r="AX180" s="286"/>
      <c r="AY180" s="286"/>
      <c r="AZ180" s="286"/>
      <c r="BA180" s="286"/>
      <c r="BB180" s="286"/>
      <c r="BC180" s="286"/>
      <c r="BD180" s="286"/>
      <c r="BE180" s="286"/>
      <c r="BF180" s="286"/>
      <c r="BG180" s="286"/>
      <c r="BH180" s="286"/>
      <c r="BI180" s="286"/>
      <c r="BJ180" s="286"/>
      <c r="BK180" s="286"/>
      <c r="BL180" s="286"/>
      <c r="BM180" s="286"/>
      <c r="BN180" s="286"/>
      <c r="BO180" s="286"/>
      <c r="BP180" s="286"/>
      <c r="BQ180" s="286"/>
      <c r="BR180" s="286"/>
      <c r="BS180" s="286"/>
      <c r="BT180" s="286"/>
      <c r="BU180" s="286"/>
      <c r="BV180" s="286"/>
      <c r="BW180" s="286"/>
      <c r="BX180" s="286"/>
      <c r="BY180" s="286"/>
      <c r="BZ180" s="286"/>
      <c r="CA180" s="286"/>
      <c r="CB180" s="286"/>
      <c r="CC180" s="286"/>
      <c r="CD180" s="286"/>
      <c r="CE180" s="286"/>
    </row>
    <row r="181" spans="1:83" x14ac:dyDescent="0.25">
      <c r="A181" s="286"/>
      <c r="B181" s="286"/>
      <c r="C181" s="286"/>
      <c r="D181" s="286"/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99"/>
      <c r="R181" s="299"/>
      <c r="S181" s="299"/>
      <c r="T181" s="299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  <c r="AF181" s="286"/>
      <c r="AG181" s="286"/>
      <c r="AH181" s="286"/>
      <c r="AI181" s="286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6"/>
      <c r="AW181" s="286"/>
      <c r="AX181" s="286"/>
      <c r="AY181" s="286"/>
      <c r="AZ181" s="286"/>
      <c r="BA181" s="286"/>
      <c r="BB181" s="286"/>
      <c r="BC181" s="286"/>
      <c r="BD181" s="286"/>
      <c r="BE181" s="286"/>
      <c r="BF181" s="286"/>
      <c r="BG181" s="286"/>
      <c r="BH181" s="286"/>
      <c r="BI181" s="286"/>
      <c r="BJ181" s="286"/>
      <c r="BK181" s="286"/>
      <c r="BL181" s="286"/>
      <c r="BM181" s="286"/>
      <c r="BN181" s="286"/>
      <c r="BO181" s="286"/>
      <c r="BP181" s="286"/>
      <c r="BQ181" s="286"/>
      <c r="BR181" s="286"/>
      <c r="BS181" s="286"/>
      <c r="BT181" s="286"/>
      <c r="BU181" s="286"/>
      <c r="BV181" s="286"/>
      <c r="BW181" s="286"/>
      <c r="BX181" s="286"/>
      <c r="BY181" s="286"/>
      <c r="BZ181" s="286"/>
      <c r="CA181" s="286"/>
      <c r="CB181" s="286"/>
      <c r="CC181" s="286"/>
      <c r="CD181" s="286"/>
      <c r="CE181" s="286"/>
    </row>
    <row r="182" spans="1:83" x14ac:dyDescent="0.25">
      <c r="A182" s="286"/>
      <c r="B182" s="286"/>
      <c r="C182" s="286"/>
      <c r="D182" s="286"/>
      <c r="E182" s="286"/>
      <c r="F182" s="286"/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  <c r="AF182" s="286"/>
      <c r="AG182" s="286"/>
      <c r="AH182" s="286"/>
      <c r="AI182" s="286"/>
      <c r="AJ182" s="286"/>
      <c r="AK182" s="286"/>
      <c r="AL182" s="286"/>
      <c r="AM182" s="286"/>
      <c r="AN182" s="286"/>
      <c r="AO182" s="286"/>
      <c r="AP182" s="286"/>
      <c r="AQ182" s="286"/>
      <c r="AR182" s="286"/>
      <c r="AS182" s="286"/>
      <c r="AT182" s="286"/>
      <c r="AU182" s="286"/>
      <c r="AV182" s="286"/>
      <c r="AW182" s="286"/>
      <c r="AX182" s="286"/>
      <c r="AY182" s="286"/>
      <c r="AZ182" s="286"/>
      <c r="BA182" s="286"/>
      <c r="BB182" s="286"/>
      <c r="BC182" s="286"/>
      <c r="BD182" s="286"/>
      <c r="BE182" s="286"/>
      <c r="BF182" s="286"/>
      <c r="BG182" s="286"/>
      <c r="BH182" s="286"/>
      <c r="BI182" s="286"/>
      <c r="BJ182" s="286"/>
      <c r="BK182" s="286"/>
      <c r="BL182" s="286"/>
      <c r="BM182" s="286"/>
      <c r="BN182" s="286"/>
      <c r="BO182" s="286"/>
      <c r="BP182" s="286"/>
      <c r="BQ182" s="286"/>
      <c r="BR182" s="286"/>
      <c r="BS182" s="286"/>
      <c r="BT182" s="286"/>
      <c r="BU182" s="286"/>
      <c r="BV182" s="286"/>
      <c r="BW182" s="286"/>
      <c r="BX182" s="286"/>
      <c r="BY182" s="286"/>
      <c r="BZ182" s="286"/>
      <c r="CA182" s="286"/>
      <c r="CB182" s="286"/>
      <c r="CC182" s="286"/>
      <c r="CD182" s="286"/>
      <c r="CE182" s="286"/>
    </row>
    <row r="183" spans="1:83" x14ac:dyDescent="0.25">
      <c r="A183" s="286"/>
      <c r="B183" s="286"/>
      <c r="C183" s="286"/>
      <c r="D183" s="286"/>
      <c r="E183" s="286"/>
      <c r="F183" s="286"/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6"/>
      <c r="AB183" s="286"/>
      <c r="AC183" s="286"/>
      <c r="AD183" s="286"/>
      <c r="AE183" s="286"/>
      <c r="AF183" s="286"/>
      <c r="AG183" s="286"/>
      <c r="AH183" s="286"/>
      <c r="AI183" s="286"/>
      <c r="AJ183" s="286"/>
      <c r="AK183" s="286"/>
      <c r="AL183" s="286"/>
      <c r="AM183" s="286"/>
      <c r="AN183" s="286"/>
      <c r="AO183" s="286"/>
      <c r="AP183" s="286"/>
      <c r="AQ183" s="286"/>
      <c r="AR183" s="286"/>
      <c r="AS183" s="286"/>
      <c r="AT183" s="286"/>
      <c r="AU183" s="286"/>
      <c r="AV183" s="286"/>
      <c r="AW183" s="286"/>
      <c r="AX183" s="286"/>
      <c r="AY183" s="286"/>
      <c r="AZ183" s="286"/>
      <c r="BA183" s="286"/>
      <c r="BB183" s="286"/>
      <c r="BC183" s="286"/>
      <c r="BD183" s="286"/>
      <c r="BE183" s="286"/>
      <c r="BF183" s="286"/>
      <c r="BG183" s="286"/>
      <c r="BH183" s="286"/>
      <c r="BI183" s="286"/>
      <c r="BJ183" s="286"/>
      <c r="BK183" s="286"/>
      <c r="BL183" s="286"/>
      <c r="BM183" s="286"/>
      <c r="BN183" s="286"/>
      <c r="BO183" s="286"/>
      <c r="BP183" s="286"/>
      <c r="BQ183" s="286"/>
      <c r="BR183" s="286"/>
      <c r="BS183" s="286"/>
      <c r="BT183" s="286"/>
      <c r="BU183" s="286"/>
      <c r="BV183" s="286"/>
      <c r="BW183" s="286"/>
      <c r="BX183" s="286"/>
      <c r="BY183" s="286"/>
      <c r="BZ183" s="286"/>
      <c r="CA183" s="286"/>
      <c r="CB183" s="286"/>
      <c r="CC183" s="286"/>
      <c r="CD183" s="286"/>
      <c r="CE183" s="286"/>
    </row>
    <row r="184" spans="1:83" x14ac:dyDescent="0.25">
      <c r="A184" s="286"/>
      <c r="B184" s="286"/>
      <c r="C184" s="286"/>
      <c r="D184" s="286"/>
      <c r="E184" s="286"/>
      <c r="F184" s="286"/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95"/>
      <c r="R184" s="295"/>
      <c r="S184" s="295"/>
      <c r="T184" s="295"/>
      <c r="U184" s="286"/>
      <c r="V184" s="286"/>
      <c r="W184" s="286"/>
      <c r="X184" s="286"/>
      <c r="Y184" s="286"/>
      <c r="Z184" s="286"/>
      <c r="AA184" s="286"/>
      <c r="AB184" s="286"/>
      <c r="AC184" s="286"/>
      <c r="AD184" s="286"/>
      <c r="AE184" s="286"/>
      <c r="AF184" s="286"/>
      <c r="AG184" s="286"/>
      <c r="AH184" s="286"/>
      <c r="AI184" s="286"/>
      <c r="AJ184" s="286"/>
      <c r="AK184" s="286"/>
      <c r="AL184" s="286"/>
      <c r="AM184" s="286"/>
      <c r="AN184" s="286"/>
      <c r="AO184" s="286"/>
      <c r="AP184" s="286"/>
      <c r="AQ184" s="286"/>
      <c r="AR184" s="286"/>
      <c r="AS184" s="286"/>
      <c r="AT184" s="286"/>
      <c r="AU184" s="286"/>
      <c r="AV184" s="286"/>
      <c r="AW184" s="286"/>
      <c r="AX184" s="286"/>
      <c r="AY184" s="286"/>
      <c r="AZ184" s="286"/>
      <c r="BA184" s="286"/>
      <c r="BB184" s="286"/>
      <c r="BC184" s="286"/>
      <c r="BD184" s="286"/>
      <c r="BE184" s="286"/>
      <c r="BF184" s="286"/>
      <c r="BG184" s="286"/>
      <c r="BH184" s="286"/>
      <c r="BI184" s="286"/>
      <c r="BJ184" s="286"/>
      <c r="BK184" s="286"/>
      <c r="BL184" s="286"/>
      <c r="BM184" s="286"/>
      <c r="BN184" s="286"/>
      <c r="BO184" s="286"/>
      <c r="BP184" s="286"/>
      <c r="BQ184" s="286"/>
      <c r="BR184" s="286"/>
      <c r="BS184" s="286"/>
      <c r="BT184" s="286"/>
      <c r="BU184" s="286"/>
      <c r="BV184" s="286"/>
      <c r="BW184" s="286"/>
      <c r="BX184" s="286"/>
      <c r="BY184" s="286"/>
      <c r="BZ184" s="286"/>
      <c r="CA184" s="286"/>
      <c r="CB184" s="286"/>
      <c r="CC184" s="286"/>
      <c r="CD184" s="286"/>
      <c r="CE184" s="286"/>
    </row>
    <row r="185" spans="1:83" x14ac:dyDescent="0.25">
      <c r="A185" s="286"/>
      <c r="B185" s="286"/>
      <c r="C185" s="286"/>
      <c r="D185" s="286"/>
      <c r="E185" s="286"/>
      <c r="F185" s="286"/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300"/>
      <c r="R185" s="300"/>
      <c r="S185" s="300"/>
      <c r="T185" s="300"/>
      <c r="U185" s="286"/>
      <c r="V185" s="286"/>
      <c r="W185" s="286"/>
      <c r="X185" s="286"/>
      <c r="Y185" s="286"/>
      <c r="Z185" s="286"/>
      <c r="AA185" s="286"/>
      <c r="AB185" s="286"/>
      <c r="AC185" s="286"/>
      <c r="AD185" s="286"/>
      <c r="AE185" s="286"/>
      <c r="AF185" s="286"/>
      <c r="AG185" s="286"/>
      <c r="AH185" s="286"/>
      <c r="AI185" s="286"/>
      <c r="AJ185" s="286"/>
      <c r="AK185" s="286"/>
      <c r="AL185" s="286"/>
      <c r="AM185" s="286"/>
      <c r="AN185" s="286"/>
      <c r="AO185" s="286"/>
      <c r="AP185" s="286"/>
      <c r="AQ185" s="286"/>
      <c r="AR185" s="286"/>
      <c r="AS185" s="286"/>
      <c r="AT185" s="286"/>
      <c r="AU185" s="286"/>
      <c r="AV185" s="286"/>
      <c r="AW185" s="286"/>
      <c r="AX185" s="286"/>
      <c r="AY185" s="286"/>
      <c r="AZ185" s="286"/>
      <c r="BA185" s="286"/>
      <c r="BB185" s="286"/>
      <c r="BC185" s="286"/>
      <c r="BD185" s="286"/>
      <c r="BE185" s="286"/>
      <c r="BF185" s="286"/>
      <c r="BG185" s="286"/>
      <c r="BH185" s="286"/>
      <c r="BI185" s="286"/>
      <c r="BJ185" s="286"/>
      <c r="BK185" s="286"/>
      <c r="BL185" s="286"/>
      <c r="BM185" s="286"/>
      <c r="BN185" s="286"/>
      <c r="BO185" s="286"/>
      <c r="BP185" s="286"/>
      <c r="BQ185" s="286"/>
      <c r="BR185" s="286"/>
      <c r="BS185" s="286"/>
      <c r="BT185" s="286"/>
      <c r="BU185" s="286"/>
      <c r="BV185" s="286"/>
      <c r="BW185" s="286"/>
      <c r="BX185" s="286"/>
      <c r="BY185" s="286"/>
      <c r="BZ185" s="286"/>
      <c r="CA185" s="286"/>
      <c r="CB185" s="286"/>
      <c r="CC185" s="286"/>
      <c r="CD185" s="286"/>
      <c r="CE185" s="286"/>
    </row>
    <row r="186" spans="1:83" x14ac:dyDescent="0.25">
      <c r="A186" s="286"/>
      <c r="B186" s="286"/>
      <c r="C186" s="286"/>
      <c r="D186" s="286"/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6"/>
      <c r="BK186" s="286"/>
      <c r="BL186" s="286"/>
      <c r="BM186" s="286"/>
      <c r="BN186" s="286"/>
      <c r="BO186" s="286"/>
      <c r="BP186" s="286"/>
      <c r="BQ186" s="286"/>
      <c r="BR186" s="286"/>
      <c r="BS186" s="286"/>
      <c r="BT186" s="286"/>
      <c r="BU186" s="286"/>
      <c r="BV186" s="286"/>
      <c r="BW186" s="286"/>
      <c r="BX186" s="286"/>
      <c r="BY186" s="286"/>
      <c r="BZ186" s="286"/>
      <c r="CA186" s="286"/>
      <c r="CB186" s="286"/>
      <c r="CC186" s="286"/>
      <c r="CD186" s="286"/>
      <c r="CE186" s="286"/>
    </row>
    <row r="187" spans="1:83" x14ac:dyDescent="0.25">
      <c r="A187" s="286"/>
      <c r="B187" s="286"/>
      <c r="C187" s="286"/>
      <c r="D187" s="286"/>
      <c r="E187" s="286"/>
      <c r="F187" s="286"/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95"/>
      <c r="R187" s="295"/>
      <c r="S187" s="286"/>
      <c r="T187" s="286"/>
      <c r="U187" s="286"/>
      <c r="V187" s="286"/>
      <c r="W187" s="286"/>
      <c r="X187" s="286"/>
      <c r="Y187" s="286"/>
      <c r="Z187" s="286"/>
      <c r="AA187" s="286"/>
      <c r="AB187" s="286"/>
      <c r="AC187" s="286"/>
      <c r="AD187" s="286"/>
      <c r="AE187" s="286"/>
      <c r="AF187" s="286"/>
      <c r="AG187" s="286"/>
      <c r="AH187" s="286"/>
      <c r="AI187" s="286"/>
      <c r="AJ187" s="286"/>
      <c r="AK187" s="286"/>
      <c r="AL187" s="286"/>
      <c r="AM187" s="286"/>
      <c r="AN187" s="286"/>
      <c r="AO187" s="286"/>
      <c r="AP187" s="286"/>
      <c r="AQ187" s="286"/>
      <c r="AR187" s="286"/>
      <c r="AS187" s="286"/>
      <c r="AT187" s="286"/>
      <c r="AU187" s="286"/>
      <c r="AV187" s="286"/>
      <c r="AW187" s="286"/>
      <c r="AX187" s="286"/>
      <c r="AY187" s="286"/>
      <c r="AZ187" s="286"/>
      <c r="BA187" s="286"/>
      <c r="BB187" s="286"/>
      <c r="BC187" s="286"/>
      <c r="BD187" s="286"/>
      <c r="BE187" s="286"/>
      <c r="BF187" s="286"/>
      <c r="BG187" s="286"/>
      <c r="BH187" s="286"/>
      <c r="BI187" s="286"/>
      <c r="BJ187" s="286"/>
      <c r="BK187" s="286"/>
      <c r="BL187" s="286"/>
      <c r="BM187" s="286"/>
      <c r="BN187" s="286"/>
      <c r="BO187" s="286"/>
      <c r="BP187" s="286"/>
      <c r="BQ187" s="286"/>
      <c r="BR187" s="286"/>
      <c r="BS187" s="286"/>
      <c r="BT187" s="286"/>
      <c r="BU187" s="286"/>
      <c r="BV187" s="286"/>
      <c r="BW187" s="286"/>
      <c r="BX187" s="286"/>
      <c r="BY187" s="286"/>
      <c r="BZ187" s="286"/>
      <c r="CA187" s="286"/>
      <c r="CB187" s="286"/>
      <c r="CC187" s="286"/>
      <c r="CD187" s="286"/>
      <c r="CE187" s="286"/>
    </row>
    <row r="188" spans="1:83" x14ac:dyDescent="0.25">
      <c r="A188" s="286"/>
      <c r="B188" s="286"/>
      <c r="C188" s="286"/>
      <c r="D188" s="286"/>
      <c r="E188" s="286"/>
      <c r="F188" s="286"/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300"/>
      <c r="R188" s="300"/>
      <c r="S188" s="286"/>
      <c r="T188" s="286"/>
      <c r="U188" s="286"/>
      <c r="V188" s="286"/>
      <c r="W188" s="286"/>
      <c r="X188" s="286"/>
      <c r="Y188" s="286"/>
      <c r="Z188" s="286"/>
      <c r="AA188" s="286"/>
      <c r="AB188" s="286"/>
      <c r="AC188" s="286"/>
      <c r="AD188" s="286"/>
      <c r="AE188" s="286"/>
      <c r="AF188" s="286"/>
      <c r="AG188" s="286"/>
      <c r="AH188" s="286"/>
      <c r="AI188" s="286"/>
      <c r="AJ188" s="286"/>
      <c r="AK188" s="286"/>
      <c r="AL188" s="286"/>
      <c r="AM188" s="286"/>
      <c r="AN188" s="286"/>
      <c r="AO188" s="286"/>
      <c r="AP188" s="286"/>
      <c r="AQ188" s="286"/>
      <c r="AR188" s="286"/>
      <c r="AS188" s="286"/>
      <c r="AT188" s="286"/>
      <c r="AU188" s="286"/>
      <c r="AV188" s="286"/>
      <c r="AW188" s="286"/>
      <c r="AX188" s="286"/>
      <c r="AY188" s="286"/>
      <c r="AZ188" s="286"/>
      <c r="BA188" s="286"/>
      <c r="BB188" s="286"/>
      <c r="BC188" s="286"/>
      <c r="BD188" s="286"/>
      <c r="BE188" s="286"/>
      <c r="BF188" s="286"/>
      <c r="BG188" s="286"/>
      <c r="BH188" s="286"/>
      <c r="BI188" s="286"/>
      <c r="BJ188" s="286"/>
      <c r="BK188" s="286"/>
      <c r="BL188" s="286"/>
      <c r="BM188" s="286"/>
      <c r="BN188" s="286"/>
      <c r="BO188" s="286"/>
      <c r="BP188" s="286"/>
      <c r="BQ188" s="286"/>
      <c r="BR188" s="286"/>
      <c r="BS188" s="286"/>
      <c r="BT188" s="286"/>
      <c r="BU188" s="286"/>
      <c r="BV188" s="286"/>
      <c r="BW188" s="286"/>
      <c r="BX188" s="286"/>
      <c r="BY188" s="286"/>
      <c r="BZ188" s="286"/>
      <c r="CA188" s="286"/>
      <c r="CB188" s="286"/>
      <c r="CC188" s="286"/>
      <c r="CD188" s="286"/>
      <c r="CE188" s="286"/>
    </row>
    <row r="189" spans="1:83" x14ac:dyDescent="0.25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  <c r="AO189" s="286"/>
      <c r="AP189" s="286"/>
      <c r="AQ189" s="286"/>
      <c r="AR189" s="286"/>
      <c r="AS189" s="286"/>
      <c r="AT189" s="286"/>
      <c r="AU189" s="286"/>
      <c r="AV189" s="286"/>
      <c r="AW189" s="286"/>
      <c r="AX189" s="286"/>
      <c r="AY189" s="286"/>
      <c r="AZ189" s="286"/>
      <c r="BA189" s="286"/>
      <c r="BB189" s="286"/>
      <c r="BC189" s="286"/>
      <c r="BD189" s="286"/>
      <c r="BE189" s="286"/>
      <c r="BF189" s="286"/>
      <c r="BG189" s="286"/>
      <c r="BH189" s="286"/>
      <c r="BI189" s="286"/>
      <c r="BJ189" s="286"/>
      <c r="BK189" s="286"/>
      <c r="BL189" s="286"/>
      <c r="BM189" s="286"/>
      <c r="BN189" s="286"/>
      <c r="BO189" s="286"/>
      <c r="BP189" s="286"/>
      <c r="BQ189" s="286"/>
      <c r="BR189" s="286"/>
      <c r="BS189" s="286"/>
      <c r="BT189" s="286"/>
      <c r="BU189" s="286"/>
      <c r="BV189" s="286"/>
      <c r="BW189" s="286"/>
      <c r="BX189" s="286"/>
      <c r="BY189" s="286"/>
      <c r="BZ189" s="286"/>
      <c r="CA189" s="286"/>
      <c r="CB189" s="286"/>
      <c r="CC189" s="286"/>
      <c r="CD189" s="286"/>
      <c r="CE189" s="286"/>
    </row>
    <row r="190" spans="1:83" x14ac:dyDescent="0.25">
      <c r="A190" s="286"/>
      <c r="B190" s="286"/>
      <c r="C190" s="286"/>
      <c r="D190" s="286"/>
      <c r="E190" s="286"/>
      <c r="F190" s="286"/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6"/>
      <c r="AB190" s="286"/>
      <c r="AC190" s="286"/>
      <c r="AD190" s="286"/>
      <c r="AE190" s="286"/>
      <c r="AF190" s="286"/>
      <c r="AG190" s="286"/>
      <c r="AH190" s="286"/>
      <c r="AI190" s="286"/>
      <c r="AJ190" s="286"/>
      <c r="AK190" s="286"/>
      <c r="AL190" s="286"/>
      <c r="AM190" s="286"/>
      <c r="AN190" s="286"/>
      <c r="AO190" s="286"/>
      <c r="AP190" s="286"/>
      <c r="AQ190" s="286"/>
      <c r="AR190" s="286"/>
      <c r="AS190" s="286"/>
      <c r="AT190" s="286"/>
      <c r="AU190" s="286"/>
      <c r="AV190" s="286"/>
      <c r="AW190" s="286"/>
      <c r="AX190" s="286"/>
      <c r="AY190" s="286"/>
      <c r="AZ190" s="286"/>
      <c r="BA190" s="286"/>
      <c r="BB190" s="286"/>
      <c r="BC190" s="286"/>
      <c r="BD190" s="286"/>
      <c r="BE190" s="286"/>
      <c r="BF190" s="286"/>
      <c r="BG190" s="286"/>
      <c r="BH190" s="286"/>
      <c r="BI190" s="286"/>
      <c r="BJ190" s="286"/>
      <c r="BK190" s="286"/>
      <c r="BL190" s="286"/>
      <c r="BM190" s="286"/>
      <c r="BN190" s="286"/>
      <c r="BO190" s="286"/>
      <c r="BP190" s="286"/>
      <c r="BQ190" s="286"/>
      <c r="BR190" s="286"/>
      <c r="BS190" s="286"/>
      <c r="BT190" s="286"/>
      <c r="BU190" s="286"/>
      <c r="BV190" s="286"/>
      <c r="BW190" s="286"/>
      <c r="BX190" s="286"/>
      <c r="BY190" s="286"/>
      <c r="BZ190" s="286"/>
      <c r="CA190" s="286"/>
      <c r="CB190" s="286"/>
      <c r="CC190" s="286"/>
      <c r="CD190" s="286"/>
      <c r="CE190" s="286"/>
    </row>
    <row r="191" spans="1:83" x14ac:dyDescent="0.25">
      <c r="A191" s="286"/>
      <c r="B191" s="286"/>
      <c r="C191" s="286"/>
      <c r="D191" s="286"/>
      <c r="E191" s="286"/>
      <c r="F191" s="286"/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306"/>
      <c r="R191" s="307"/>
      <c r="S191" s="286"/>
      <c r="T191" s="286"/>
      <c r="U191" s="286"/>
      <c r="V191" s="286"/>
      <c r="W191" s="286"/>
      <c r="X191" s="286"/>
      <c r="Y191" s="286"/>
      <c r="Z191" s="286"/>
      <c r="AA191" s="286"/>
      <c r="AB191" s="286"/>
      <c r="AC191" s="286"/>
      <c r="AD191" s="286"/>
      <c r="AE191" s="286"/>
      <c r="AF191" s="286"/>
      <c r="AG191" s="286"/>
      <c r="AH191" s="286"/>
      <c r="AI191" s="286"/>
      <c r="AJ191" s="286"/>
      <c r="AK191" s="286"/>
      <c r="AL191" s="286"/>
      <c r="AM191" s="286"/>
      <c r="AN191" s="286"/>
      <c r="AO191" s="286"/>
      <c r="AP191" s="286"/>
      <c r="AQ191" s="286"/>
      <c r="AR191" s="286"/>
      <c r="AS191" s="286"/>
      <c r="AT191" s="286"/>
      <c r="AU191" s="286"/>
      <c r="AV191" s="286"/>
      <c r="AW191" s="286"/>
      <c r="AX191" s="286"/>
      <c r="AY191" s="286"/>
      <c r="AZ191" s="286"/>
      <c r="BA191" s="286"/>
      <c r="BB191" s="286"/>
      <c r="BC191" s="286"/>
      <c r="BD191" s="286"/>
      <c r="BE191" s="286"/>
      <c r="BF191" s="286"/>
      <c r="BG191" s="286"/>
      <c r="BH191" s="286"/>
      <c r="BI191" s="286"/>
      <c r="BJ191" s="286"/>
      <c r="BK191" s="286"/>
      <c r="BL191" s="286"/>
      <c r="BM191" s="286"/>
      <c r="BN191" s="286"/>
      <c r="BO191" s="286"/>
      <c r="BP191" s="286"/>
      <c r="BQ191" s="286"/>
      <c r="BR191" s="286"/>
      <c r="BS191" s="286"/>
      <c r="BT191" s="286"/>
      <c r="BU191" s="286"/>
      <c r="BV191" s="286"/>
      <c r="BW191" s="286"/>
      <c r="BX191" s="286"/>
      <c r="BY191" s="286"/>
      <c r="BZ191" s="286"/>
      <c r="CA191" s="286"/>
      <c r="CB191" s="286"/>
      <c r="CC191" s="286"/>
      <c r="CD191" s="286"/>
      <c r="CE191" s="286"/>
    </row>
    <row r="192" spans="1:83" x14ac:dyDescent="0.25">
      <c r="A192" s="286"/>
      <c r="B192" s="286"/>
      <c r="C192" s="286"/>
      <c r="D192" s="286"/>
      <c r="E192" s="286"/>
      <c r="F192" s="286"/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6"/>
      <c r="AB192" s="286"/>
      <c r="AC192" s="286"/>
      <c r="AD192" s="286"/>
      <c r="AE192" s="286"/>
      <c r="AF192" s="286"/>
      <c r="AG192" s="286"/>
      <c r="AH192" s="286"/>
      <c r="AI192" s="286"/>
      <c r="AJ192" s="286"/>
      <c r="AK192" s="286"/>
      <c r="AL192" s="286"/>
      <c r="AM192" s="286"/>
      <c r="AN192" s="286"/>
      <c r="AO192" s="286"/>
      <c r="AP192" s="286"/>
      <c r="AQ192" s="286"/>
      <c r="AR192" s="286"/>
      <c r="AS192" s="286"/>
      <c r="AT192" s="286"/>
      <c r="AU192" s="286"/>
      <c r="AV192" s="286"/>
      <c r="AW192" s="286"/>
      <c r="AX192" s="286"/>
      <c r="AY192" s="286"/>
      <c r="AZ192" s="286"/>
      <c r="BA192" s="286"/>
      <c r="BB192" s="286"/>
      <c r="BC192" s="286"/>
      <c r="BD192" s="286"/>
      <c r="BE192" s="286"/>
      <c r="BF192" s="286"/>
      <c r="BG192" s="286"/>
      <c r="BH192" s="286"/>
      <c r="BI192" s="286"/>
      <c r="BJ192" s="286"/>
      <c r="BK192" s="286"/>
      <c r="BL192" s="286"/>
      <c r="BM192" s="286"/>
      <c r="BN192" s="286"/>
      <c r="BO192" s="286"/>
      <c r="BP192" s="286"/>
      <c r="BQ192" s="286"/>
      <c r="BR192" s="286"/>
      <c r="BS192" s="286"/>
      <c r="BT192" s="286"/>
      <c r="BU192" s="286"/>
      <c r="BV192" s="286"/>
      <c r="BW192" s="286"/>
      <c r="BX192" s="286"/>
      <c r="BY192" s="286"/>
      <c r="BZ192" s="286"/>
      <c r="CA192" s="286"/>
      <c r="CB192" s="286"/>
      <c r="CC192" s="286"/>
      <c r="CD192" s="286"/>
      <c r="CE192" s="286"/>
    </row>
    <row r="193" spans="1:83" x14ac:dyDescent="0.25">
      <c r="A193" s="286"/>
      <c r="B193" s="286"/>
      <c r="C193" s="286"/>
      <c r="D193" s="286"/>
      <c r="E193" s="286"/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95"/>
      <c r="R193" s="299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  <c r="AF193" s="286"/>
      <c r="AG193" s="286"/>
      <c r="AH193" s="286"/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6"/>
      <c r="AW193" s="286"/>
      <c r="AX193" s="286"/>
      <c r="AY193" s="286"/>
      <c r="AZ193" s="286"/>
      <c r="BA193" s="286"/>
      <c r="BB193" s="286"/>
      <c r="BC193" s="286"/>
      <c r="BD193" s="286"/>
      <c r="BE193" s="286"/>
      <c r="BF193" s="286"/>
      <c r="BG193" s="286"/>
      <c r="BH193" s="286"/>
      <c r="BI193" s="286"/>
      <c r="BJ193" s="286"/>
      <c r="BK193" s="286"/>
      <c r="BL193" s="286"/>
      <c r="BM193" s="286"/>
      <c r="BN193" s="286"/>
      <c r="BO193" s="286"/>
      <c r="BP193" s="286"/>
      <c r="BQ193" s="286"/>
      <c r="BR193" s="286"/>
      <c r="BS193" s="286"/>
      <c r="BT193" s="286"/>
      <c r="BU193" s="286"/>
      <c r="BV193" s="286"/>
      <c r="BW193" s="286"/>
      <c r="BX193" s="286"/>
      <c r="BY193" s="286"/>
      <c r="BZ193" s="286"/>
      <c r="CA193" s="286"/>
      <c r="CB193" s="286"/>
      <c r="CC193" s="286"/>
      <c r="CD193" s="286"/>
      <c r="CE193" s="286"/>
    </row>
    <row r="194" spans="1:83" x14ac:dyDescent="0.25">
      <c r="A194" s="286"/>
      <c r="B194" s="286"/>
      <c r="C194" s="286"/>
      <c r="D194" s="286"/>
      <c r="E194" s="286"/>
      <c r="F194" s="286"/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95"/>
      <c r="R194" s="299"/>
      <c r="S194" s="286"/>
      <c r="T194" s="286"/>
      <c r="U194" s="286"/>
      <c r="V194" s="286"/>
      <c r="W194" s="286"/>
      <c r="X194" s="286"/>
      <c r="Y194" s="286"/>
      <c r="Z194" s="286"/>
      <c r="AA194" s="286"/>
      <c r="AB194" s="286"/>
      <c r="AC194" s="286"/>
      <c r="AD194" s="286"/>
      <c r="AE194" s="286"/>
      <c r="AF194" s="286"/>
      <c r="AG194" s="286"/>
      <c r="AH194" s="286"/>
      <c r="AI194" s="286"/>
      <c r="AJ194" s="286"/>
      <c r="AK194" s="286"/>
      <c r="AL194" s="286"/>
      <c r="AM194" s="286"/>
      <c r="AN194" s="286"/>
      <c r="AO194" s="286"/>
      <c r="AP194" s="286"/>
      <c r="AQ194" s="286"/>
      <c r="AR194" s="286"/>
      <c r="AS194" s="286"/>
      <c r="AT194" s="286"/>
      <c r="AU194" s="286"/>
      <c r="AV194" s="286"/>
      <c r="AW194" s="286"/>
      <c r="AX194" s="286"/>
      <c r="AY194" s="286"/>
      <c r="AZ194" s="286"/>
      <c r="BA194" s="286"/>
      <c r="BB194" s="286"/>
      <c r="BC194" s="286"/>
      <c r="BD194" s="286"/>
      <c r="BE194" s="286"/>
      <c r="BF194" s="286"/>
      <c r="BG194" s="286"/>
      <c r="BH194" s="286"/>
      <c r="BI194" s="286"/>
      <c r="BJ194" s="286"/>
      <c r="BK194" s="286"/>
      <c r="BL194" s="286"/>
      <c r="BM194" s="286"/>
      <c r="BN194" s="286"/>
      <c r="BO194" s="286"/>
      <c r="BP194" s="286"/>
      <c r="BQ194" s="286"/>
      <c r="BR194" s="286"/>
      <c r="BS194" s="286"/>
      <c r="BT194" s="286"/>
      <c r="BU194" s="286"/>
      <c r="BV194" s="286"/>
      <c r="BW194" s="286"/>
      <c r="BX194" s="286"/>
      <c r="BY194" s="286"/>
      <c r="BZ194" s="286"/>
      <c r="CA194" s="286"/>
      <c r="CB194" s="286"/>
      <c r="CC194" s="286"/>
      <c r="CD194" s="286"/>
      <c r="CE194" s="286"/>
    </row>
    <row r="195" spans="1:83" x14ac:dyDescent="0.25">
      <c r="A195" s="286"/>
      <c r="B195" s="286"/>
      <c r="C195" s="286"/>
      <c r="D195" s="286"/>
      <c r="E195" s="286"/>
      <c r="F195" s="286"/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6"/>
      <c r="AB195" s="286"/>
      <c r="AC195" s="286"/>
      <c r="AD195" s="286"/>
      <c r="AE195" s="286"/>
      <c r="AF195" s="286"/>
      <c r="AG195" s="286"/>
      <c r="AH195" s="286"/>
      <c r="AI195" s="286"/>
      <c r="AJ195" s="286"/>
      <c r="AK195" s="286"/>
      <c r="AL195" s="286"/>
      <c r="AM195" s="286"/>
      <c r="AN195" s="286"/>
      <c r="AO195" s="286"/>
      <c r="AP195" s="286"/>
      <c r="AQ195" s="286"/>
      <c r="AR195" s="286"/>
      <c r="AS195" s="286"/>
      <c r="AT195" s="286"/>
      <c r="AU195" s="286"/>
      <c r="AV195" s="286"/>
      <c r="AW195" s="286"/>
      <c r="AX195" s="286"/>
      <c r="AY195" s="286"/>
      <c r="AZ195" s="286"/>
      <c r="BA195" s="286"/>
      <c r="BB195" s="286"/>
      <c r="BC195" s="286"/>
      <c r="BD195" s="286"/>
      <c r="BE195" s="286"/>
      <c r="BF195" s="286"/>
      <c r="BG195" s="286"/>
      <c r="BH195" s="286"/>
      <c r="BI195" s="286"/>
      <c r="BJ195" s="286"/>
      <c r="BK195" s="286"/>
      <c r="BL195" s="286"/>
      <c r="BM195" s="286"/>
      <c r="BN195" s="286"/>
      <c r="BO195" s="286"/>
      <c r="BP195" s="286"/>
      <c r="BQ195" s="286"/>
      <c r="BR195" s="286"/>
      <c r="BS195" s="286"/>
      <c r="BT195" s="286"/>
      <c r="BU195" s="286"/>
      <c r="BV195" s="286"/>
      <c r="BW195" s="286"/>
      <c r="BX195" s="286"/>
      <c r="BY195" s="286"/>
      <c r="BZ195" s="286"/>
      <c r="CA195" s="286"/>
      <c r="CB195" s="286"/>
      <c r="CC195" s="286"/>
      <c r="CD195" s="286"/>
      <c r="CE195" s="286"/>
    </row>
    <row r="196" spans="1:83" x14ac:dyDescent="0.25">
      <c r="A196" s="286"/>
      <c r="B196" s="286"/>
      <c r="C196" s="286"/>
      <c r="D196" s="286"/>
      <c r="E196" s="286"/>
      <c r="F196" s="286"/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6"/>
      <c r="AB196" s="286"/>
      <c r="AC196" s="286"/>
      <c r="AD196" s="286"/>
      <c r="AE196" s="286"/>
      <c r="AF196" s="286"/>
      <c r="AG196" s="286"/>
      <c r="AH196" s="286"/>
      <c r="AI196" s="286"/>
      <c r="AJ196" s="286"/>
      <c r="AK196" s="286"/>
      <c r="AL196" s="286"/>
      <c r="AM196" s="286"/>
      <c r="AN196" s="286"/>
      <c r="AO196" s="286"/>
      <c r="AP196" s="286"/>
      <c r="AQ196" s="286"/>
      <c r="AR196" s="286"/>
      <c r="AS196" s="286"/>
      <c r="AT196" s="286"/>
      <c r="AU196" s="286"/>
      <c r="AV196" s="286"/>
      <c r="AW196" s="286"/>
      <c r="AX196" s="286"/>
      <c r="AY196" s="286"/>
      <c r="AZ196" s="286"/>
      <c r="BA196" s="286"/>
      <c r="BB196" s="286"/>
      <c r="BC196" s="286"/>
      <c r="BD196" s="286"/>
      <c r="BE196" s="286"/>
      <c r="BF196" s="286"/>
      <c r="BG196" s="286"/>
      <c r="BH196" s="286"/>
      <c r="BI196" s="286"/>
      <c r="BJ196" s="286"/>
      <c r="BK196" s="286"/>
      <c r="BL196" s="286"/>
      <c r="BM196" s="286"/>
      <c r="BN196" s="286"/>
      <c r="BO196" s="286"/>
      <c r="BP196" s="286"/>
      <c r="BQ196" s="286"/>
      <c r="BR196" s="286"/>
      <c r="BS196" s="286"/>
      <c r="BT196" s="286"/>
      <c r="BU196" s="286"/>
      <c r="BV196" s="286"/>
      <c r="BW196" s="286"/>
      <c r="BX196" s="286"/>
      <c r="BY196" s="286"/>
      <c r="BZ196" s="286"/>
      <c r="CA196" s="286"/>
      <c r="CB196" s="286"/>
      <c r="CC196" s="286"/>
      <c r="CD196" s="286"/>
      <c r="CE196" s="286"/>
    </row>
    <row r="197" spans="1:83" x14ac:dyDescent="0.25">
      <c r="A197" s="286"/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6"/>
      <c r="AB197" s="286"/>
      <c r="AC197" s="286"/>
      <c r="AD197" s="286"/>
      <c r="AE197" s="286"/>
      <c r="AF197" s="286"/>
      <c r="AG197" s="286"/>
      <c r="AH197" s="286"/>
      <c r="AI197" s="286"/>
      <c r="AJ197" s="286"/>
      <c r="AK197" s="286"/>
      <c r="AL197" s="286"/>
      <c r="AM197" s="286"/>
      <c r="AN197" s="286"/>
      <c r="AO197" s="286"/>
      <c r="AP197" s="286"/>
      <c r="AQ197" s="286"/>
      <c r="AR197" s="286"/>
      <c r="AS197" s="286"/>
      <c r="AT197" s="286"/>
      <c r="AU197" s="286"/>
      <c r="AV197" s="286"/>
      <c r="AW197" s="286"/>
      <c r="AX197" s="286"/>
      <c r="AY197" s="286"/>
      <c r="AZ197" s="286"/>
      <c r="BA197" s="286"/>
      <c r="BB197" s="286"/>
      <c r="BC197" s="286"/>
      <c r="BD197" s="286"/>
      <c r="BE197" s="286"/>
      <c r="BF197" s="286"/>
      <c r="BG197" s="286"/>
      <c r="BH197" s="286"/>
      <c r="BI197" s="286"/>
      <c r="BJ197" s="286"/>
      <c r="BK197" s="286"/>
      <c r="BL197" s="286"/>
      <c r="BM197" s="286"/>
      <c r="BN197" s="286"/>
      <c r="BO197" s="286"/>
      <c r="BP197" s="286"/>
      <c r="BQ197" s="286"/>
      <c r="BR197" s="286"/>
      <c r="BS197" s="286"/>
      <c r="BT197" s="286"/>
      <c r="BU197" s="286"/>
      <c r="BV197" s="286"/>
      <c r="BW197" s="286"/>
      <c r="BX197" s="286"/>
      <c r="BY197" s="286"/>
      <c r="BZ197" s="286"/>
      <c r="CA197" s="286"/>
      <c r="CB197" s="286"/>
      <c r="CC197" s="286"/>
      <c r="CD197" s="286"/>
      <c r="CE197" s="286"/>
    </row>
  </sheetData>
  <mergeCells count="19">
    <mergeCell ref="I116:L116"/>
    <mergeCell ref="AM41:AO41"/>
    <mergeCell ref="AP41:AR41"/>
    <mergeCell ref="U6:X6"/>
    <mergeCell ref="O7:Q7"/>
    <mergeCell ref="U7:V7"/>
    <mergeCell ref="W7:X7"/>
    <mergeCell ref="U8:V8"/>
    <mergeCell ref="W8:X8"/>
    <mergeCell ref="O11:R11"/>
    <mergeCell ref="U15:W15"/>
    <mergeCell ref="U16:W16"/>
    <mergeCell ref="I126:K126"/>
    <mergeCell ref="C117:E117"/>
    <mergeCell ref="I117:J117"/>
    <mergeCell ref="K117:L117"/>
    <mergeCell ref="C121:F121"/>
    <mergeCell ref="G121:G122"/>
    <mergeCell ref="I125:K1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Módulo9.Botón4_Haga_clic_en">
                <anchor moveWithCells="1" sizeWithCells="1">
                  <from>
                    <xdr:col>4</xdr:col>
                    <xdr:colOff>209550</xdr:colOff>
                    <xdr:row>8</xdr:row>
                    <xdr:rowOff>171450</xdr:rowOff>
                  </from>
                  <to>
                    <xdr:col>9</xdr:col>
                    <xdr:colOff>514350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IniciaAnalisisEspectral">
                <anchor moveWithCells="1" sizeWithCells="1">
                  <from>
                    <xdr:col>20</xdr:col>
                    <xdr:colOff>685800</xdr:colOff>
                    <xdr:row>10</xdr:row>
                    <xdr:rowOff>142875</xdr:rowOff>
                  </from>
                  <to>
                    <xdr:col>23</xdr:col>
                    <xdr:colOff>276225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analisisprobabilista">
                <anchor moveWithCells="1" sizeWithCells="1">
                  <from>
                    <xdr:col>8</xdr:col>
                    <xdr:colOff>428625</xdr:colOff>
                    <xdr:row>118</xdr:row>
                    <xdr:rowOff>152400</xdr:rowOff>
                  </from>
                  <to>
                    <xdr:col>11</xdr:col>
                    <xdr:colOff>352425</xdr:colOff>
                    <xdr:row>121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6" name="Button 4">
              <controlPr defaultSize="0" print="0" autoFill="0" autoPict="0" macro="[0]!Botón4_Haga_clic_en">
                <anchor moveWithCells="1" sizeWithCells="1">
                  <from>
                    <xdr:col>11</xdr:col>
                    <xdr:colOff>695325</xdr:colOff>
                    <xdr:row>46</xdr:row>
                    <xdr:rowOff>76200</xdr:rowOff>
                  </from>
                  <to>
                    <xdr:col>19</xdr:col>
                    <xdr:colOff>171450</xdr:colOff>
                    <xdr:row>51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zoomScale="86" zoomScaleNormal="85" workbookViewId="0">
      <selection activeCell="J6" sqref="J6:J7"/>
    </sheetView>
  </sheetViews>
  <sheetFormatPr baseColWidth="10" defaultColWidth="11.5703125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28515625" bestFit="1" customWidth="1"/>
    <col min="16" max="20" width="10.28515625" bestFit="1" customWidth="1"/>
    <col min="21" max="21" width="14.42578125" bestFit="1" customWidth="1"/>
    <col min="22" max="22" width="11.42578125" customWidth="1"/>
    <col min="25" max="25" width="15" bestFit="1" customWidth="1"/>
    <col min="26" max="26" width="14.85546875" bestFit="1" customWidth="1"/>
    <col min="27" max="28" width="15" bestFit="1" customWidth="1"/>
    <col min="29" max="29" width="13.42578125" customWidth="1"/>
    <col min="30" max="30" width="15.140625" customWidth="1"/>
  </cols>
  <sheetData>
    <row r="1" spans="1:33" ht="13.5" customHeight="1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2">
        <v>17</v>
      </c>
      <c r="R1" s="92">
        <v>18</v>
      </c>
      <c r="S1" s="92">
        <v>19</v>
      </c>
      <c r="T1" s="92">
        <v>20</v>
      </c>
      <c r="U1" s="92">
        <v>21</v>
      </c>
      <c r="V1" s="92">
        <v>22</v>
      </c>
      <c r="W1" s="92">
        <v>23</v>
      </c>
      <c r="X1" s="92">
        <v>24</v>
      </c>
      <c r="Y1" s="92">
        <v>25</v>
      </c>
      <c r="Z1" s="92">
        <v>26</v>
      </c>
      <c r="AA1" s="92">
        <v>27</v>
      </c>
      <c r="AB1" s="92">
        <v>28</v>
      </c>
      <c r="AC1" s="92">
        <v>29</v>
      </c>
      <c r="AD1" s="92">
        <v>30</v>
      </c>
    </row>
    <row r="2" spans="1:33" s="91" customFormat="1" ht="42.75" customHeight="1" x14ac:dyDescent="0.2">
      <c r="A2" s="107" t="s">
        <v>2</v>
      </c>
      <c r="B2" s="107" t="s">
        <v>18</v>
      </c>
      <c r="C2" s="107" t="s">
        <v>110</v>
      </c>
      <c r="D2" s="107" t="s">
        <v>109</v>
      </c>
      <c r="E2" s="107" t="s">
        <v>9</v>
      </c>
      <c r="F2" s="107" t="s">
        <v>92</v>
      </c>
      <c r="G2" s="107" t="s">
        <v>19</v>
      </c>
      <c r="H2" s="108" t="s">
        <v>3</v>
      </c>
      <c r="I2" s="109" t="s">
        <v>20</v>
      </c>
      <c r="J2" s="109" t="s">
        <v>117</v>
      </c>
      <c r="K2" s="109" t="s">
        <v>118</v>
      </c>
      <c r="L2" s="109" t="s">
        <v>119</v>
      </c>
      <c r="M2" s="109" t="s">
        <v>80</v>
      </c>
      <c r="N2" s="109" t="s">
        <v>90</v>
      </c>
      <c r="O2" s="109" t="s">
        <v>89</v>
      </c>
      <c r="P2" s="109" t="s">
        <v>4</v>
      </c>
      <c r="Q2" s="109" t="s">
        <v>5</v>
      </c>
      <c r="R2" s="110" t="s">
        <v>6</v>
      </c>
      <c r="S2" s="109" t="s">
        <v>7</v>
      </c>
      <c r="T2" s="109" t="s">
        <v>8</v>
      </c>
      <c r="U2" s="109" t="s">
        <v>88</v>
      </c>
      <c r="V2" s="109" t="s">
        <v>87</v>
      </c>
      <c r="W2" s="109" t="s">
        <v>86</v>
      </c>
      <c r="X2" s="109" t="s">
        <v>85</v>
      </c>
      <c r="Y2" s="109" t="s">
        <v>84</v>
      </c>
      <c r="Z2" s="109" t="s">
        <v>83</v>
      </c>
      <c r="AA2" s="109" t="s">
        <v>82</v>
      </c>
      <c r="AB2" s="109" t="s">
        <v>81</v>
      </c>
      <c r="AC2" s="109" t="s">
        <v>80</v>
      </c>
      <c r="AD2" s="109" t="s">
        <v>79</v>
      </c>
    </row>
    <row r="3" spans="1:33" x14ac:dyDescent="0.25">
      <c r="A3" s="2"/>
      <c r="B3" s="2"/>
      <c r="C3" s="2">
        <v>691200</v>
      </c>
      <c r="D3" s="2">
        <v>4.166666666666667</v>
      </c>
      <c r="E3" s="2">
        <v>0.35</v>
      </c>
      <c r="F3" s="2">
        <v>14.477683282633681</v>
      </c>
      <c r="G3" s="95">
        <v>18.001371637588178</v>
      </c>
      <c r="H3" s="2"/>
      <c r="I3" s="2"/>
      <c r="J3" s="103">
        <v>260.96099323484378</v>
      </c>
      <c r="K3" s="103">
        <v>117.35871388133037</v>
      </c>
      <c r="L3" s="103">
        <v>19.801750436864612</v>
      </c>
      <c r="M3" s="113">
        <v>3.080943731531764E-4</v>
      </c>
      <c r="N3" s="113">
        <v>2.7621171290845537E-5</v>
      </c>
      <c r="O3" s="113">
        <v>-1.6291977293662665E-4</v>
      </c>
      <c r="P3" s="113"/>
      <c r="Q3" s="113"/>
      <c r="R3" s="113"/>
      <c r="S3" s="113"/>
      <c r="T3" s="113"/>
      <c r="U3" s="113"/>
      <c r="V3" s="10">
        <v>0.29424571272069627</v>
      </c>
      <c r="W3" s="10">
        <v>19.467932542967013</v>
      </c>
      <c r="X3" s="10">
        <v>117.69253177522796</v>
      </c>
      <c r="Y3" s="10">
        <v>-4.925182041115822E-2</v>
      </c>
      <c r="Z3" s="2"/>
      <c r="AA3" s="2"/>
      <c r="AB3" s="2"/>
      <c r="AC3" s="152">
        <v>3.080943731531764E-4</v>
      </c>
      <c r="AD3" s="152">
        <v>-1.6357195394692617E-4</v>
      </c>
      <c r="AE3" s="151"/>
      <c r="AF3" s="151"/>
    </row>
    <row r="4" spans="1:33" x14ac:dyDescent="0.25">
      <c r="A4" s="2"/>
      <c r="B4" s="2"/>
      <c r="C4" s="2">
        <v>115200</v>
      </c>
      <c r="D4" s="2"/>
      <c r="E4" s="2"/>
      <c r="F4" s="2"/>
      <c r="G4" s="95">
        <v>84.316389452137187</v>
      </c>
      <c r="H4" s="2"/>
      <c r="I4" s="2"/>
      <c r="J4" s="103">
        <v>52.443674538242703</v>
      </c>
      <c r="K4" s="103">
        <v>6.448060901115781</v>
      </c>
      <c r="L4" s="103">
        <v>-2.0993026728090811</v>
      </c>
      <c r="M4" s="113">
        <v>4.4202785727721666E-4</v>
      </c>
      <c r="N4" s="113">
        <v>-9.6983240032864478E-5</v>
      </c>
      <c r="O4" s="113">
        <v>-1.9714765691479643E-4</v>
      </c>
      <c r="P4" s="113"/>
      <c r="Q4" s="113"/>
      <c r="R4" s="113"/>
      <c r="S4" s="113"/>
      <c r="T4" s="113"/>
      <c r="U4" s="113"/>
      <c r="V4" s="113"/>
      <c r="W4" s="10">
        <v>4.2624593552054897</v>
      </c>
      <c r="X4" s="10">
        <v>8.629887310120965E-2</v>
      </c>
      <c r="Y4" s="10">
        <v>0.86468066974625113</v>
      </c>
      <c r="Z4" s="2"/>
      <c r="AA4" s="2"/>
      <c r="AB4" s="2"/>
      <c r="AC4" s="152">
        <v>4.4202785727721666E-4</v>
      </c>
      <c r="AD4" s="152">
        <v>-1.7883767854323646E-4</v>
      </c>
    </row>
    <row r="5" spans="1:33" x14ac:dyDescent="0.25">
      <c r="G5" s="19"/>
      <c r="W5" s="112"/>
      <c r="X5" s="112"/>
      <c r="AD5" s="152"/>
      <c r="AF5" s="385"/>
      <c r="AG5" s="385"/>
    </row>
    <row r="6" spans="1:33" x14ac:dyDescent="0.25">
      <c r="J6" s="20">
        <v>246.51030745318153</v>
      </c>
      <c r="M6" s="113">
        <v>2.8718770969591038E-4</v>
      </c>
      <c r="AC6" s="152">
        <v>2.8718770969591038E-4</v>
      </c>
      <c r="AD6" s="152">
        <v>-1.5625462173688313E-4</v>
      </c>
      <c r="AF6" s="151"/>
      <c r="AG6" s="151"/>
    </row>
    <row r="7" spans="1:33" x14ac:dyDescent="0.25">
      <c r="J7" s="20">
        <v>48.822953784154095</v>
      </c>
      <c r="M7" s="113">
        <v>4.1059798962019749E-4</v>
      </c>
      <c r="AC7" s="152">
        <v>4.1059798962019749E-4</v>
      </c>
      <c r="AD7" s="152">
        <v>-1.6783722486327974E-4</v>
      </c>
      <c r="AF7" s="151"/>
      <c r="AG7" s="151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0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0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147</v>
      </c>
      <c r="C11" s="4">
        <v>30</v>
      </c>
      <c r="D11" s="4">
        <v>250000</v>
      </c>
      <c r="E11" s="5"/>
      <c r="F11" s="14"/>
      <c r="G11" s="5">
        <v>47.635420694665108</v>
      </c>
      <c r="H11" s="130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59</v>
      </c>
      <c r="C12" s="4">
        <v>40</v>
      </c>
      <c r="D12" s="4">
        <v>100000</v>
      </c>
      <c r="E12" s="5"/>
      <c r="F12" s="14"/>
      <c r="G12" s="5">
        <v>84.293981442142282</v>
      </c>
      <c r="H12" s="130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4" t="s">
        <v>94</v>
      </c>
      <c r="D15" s="104" t="s">
        <v>95</v>
      </c>
      <c r="E15" s="104" t="s">
        <v>99</v>
      </c>
      <c r="F15" s="104" t="s">
        <v>101</v>
      </c>
    </row>
    <row r="16" spans="1:33" x14ac:dyDescent="0.25">
      <c r="C16" s="105" t="s">
        <v>93</v>
      </c>
      <c r="D16" s="105" t="s">
        <v>96</v>
      </c>
      <c r="E16" s="105" t="s">
        <v>100</v>
      </c>
      <c r="F16" s="105" t="s">
        <v>102</v>
      </c>
    </row>
    <row r="17" spans="2:9" x14ac:dyDescent="0.25">
      <c r="C17" s="106" t="s">
        <v>98</v>
      </c>
      <c r="D17" s="106" t="s">
        <v>97</v>
      </c>
      <c r="E17" s="106" t="s">
        <v>103</v>
      </c>
      <c r="F17" s="106" t="s">
        <v>104</v>
      </c>
    </row>
    <row r="18" spans="2:9" x14ac:dyDescent="0.25">
      <c r="B18" s="93" t="s">
        <v>13</v>
      </c>
      <c r="C18" s="95">
        <v>90</v>
      </c>
      <c r="D18" s="95">
        <v>18</v>
      </c>
      <c r="E18" s="95">
        <v>25.456814035431929</v>
      </c>
      <c r="F18" s="95">
        <v>86.216318236424769</v>
      </c>
    </row>
    <row r="19" spans="2:9" x14ac:dyDescent="0.25">
      <c r="B19" s="93" t="s">
        <v>12</v>
      </c>
      <c r="C19" s="95">
        <v>90</v>
      </c>
      <c r="D19" s="95">
        <v>18</v>
      </c>
      <c r="E19" s="95">
        <v>25.456814035431929</v>
      </c>
      <c r="F19" s="95">
        <v>86.216318236424769</v>
      </c>
    </row>
    <row r="20" spans="2:9" x14ac:dyDescent="0.25">
      <c r="B20" s="93" t="s">
        <v>14</v>
      </c>
      <c r="C20" s="95">
        <v>8.3929251873924979</v>
      </c>
      <c r="D20" s="95">
        <v>123.32072007574396</v>
      </c>
      <c r="E20" s="95">
        <v>124.62764292417057</v>
      </c>
      <c r="F20" s="95">
        <v>149.3896031531126</v>
      </c>
    </row>
    <row r="21" spans="2:9" x14ac:dyDescent="0.25">
      <c r="B21" s="93" t="s">
        <v>15</v>
      </c>
      <c r="C21" s="95">
        <v>8.3929251873924979</v>
      </c>
      <c r="D21" s="95">
        <v>123.32072007574396</v>
      </c>
      <c r="E21" s="95">
        <v>124.62764292417057</v>
      </c>
      <c r="F21" s="95">
        <v>149.3896031531126</v>
      </c>
    </row>
    <row r="22" spans="2:9" x14ac:dyDescent="0.25">
      <c r="B22" s="93" t="s">
        <v>16</v>
      </c>
      <c r="C22" s="95">
        <v>4.2190953492484544</v>
      </c>
      <c r="D22" s="95">
        <v>244.66303357883879</v>
      </c>
      <c r="E22" s="95">
        <v>245.32437583908077</v>
      </c>
      <c r="F22" s="95">
        <v>258.78418330772166</v>
      </c>
      <c r="I22" s="76"/>
    </row>
    <row r="23" spans="2:9" x14ac:dyDescent="0.25">
      <c r="B23" s="93" t="s">
        <v>17</v>
      </c>
      <c r="C23" s="95">
        <v>4.2190953492484544</v>
      </c>
      <c r="D23" s="95">
        <v>244.66303357883879</v>
      </c>
      <c r="E23" s="95">
        <v>245.32437583908077</v>
      </c>
      <c r="F23" s="95">
        <v>258.78418330772166</v>
      </c>
      <c r="I23" s="124"/>
    </row>
    <row r="24" spans="2:9" x14ac:dyDescent="0.25">
      <c r="C24" s="19"/>
      <c r="D24" s="19"/>
      <c r="E24" s="19"/>
      <c r="F24" s="19"/>
      <c r="I24" s="124"/>
    </row>
    <row r="25" spans="2:9" x14ac:dyDescent="0.25">
      <c r="B25" s="2"/>
      <c r="C25" s="150" t="s">
        <v>55</v>
      </c>
      <c r="D25" s="150" t="s">
        <v>68</v>
      </c>
      <c r="E25" s="150" t="s">
        <v>69</v>
      </c>
      <c r="F25" s="150" t="s">
        <v>70</v>
      </c>
      <c r="I25" s="76"/>
    </row>
    <row r="26" spans="2:9" x14ac:dyDescent="0.25">
      <c r="B26" s="93" t="s">
        <v>105</v>
      </c>
      <c r="C26" s="103">
        <v>1.2432928424115632</v>
      </c>
      <c r="D26" s="2">
        <v>0.21019799711532858</v>
      </c>
      <c r="E26" s="2">
        <v>9.3335814116334473E-2</v>
      </c>
      <c r="F26" s="2">
        <v>1.4452969594530756E-2</v>
      </c>
    </row>
    <row r="27" spans="2:9" x14ac:dyDescent="0.25">
      <c r="B27" s="93" t="s">
        <v>106</v>
      </c>
      <c r="C27" s="103">
        <v>1.2432928424115632</v>
      </c>
      <c r="D27" s="2">
        <v>0.21019799711532858</v>
      </c>
      <c r="E27" s="2">
        <v>9.3335814116334473E-2</v>
      </c>
      <c r="F27" s="2">
        <v>1.4452969594530756E-2</v>
      </c>
    </row>
    <row r="28" spans="2:9" x14ac:dyDescent="0.25">
      <c r="B28" s="93" t="s">
        <v>107</v>
      </c>
      <c r="C28" s="103">
        <v>8.5179871439562458</v>
      </c>
      <c r="D28" s="2">
        <v>7.530124009306746E-5</v>
      </c>
      <c r="E28" s="2">
        <v>1.2277585949706142E-3</v>
      </c>
      <c r="F28" s="2">
        <v>1.5025926753574827E-3</v>
      </c>
    </row>
    <row r="29" spans="2:9" x14ac:dyDescent="0.25">
      <c r="B29" s="93" t="s">
        <v>108</v>
      </c>
      <c r="C29" s="103">
        <v>8.5179871439562458</v>
      </c>
      <c r="D29" s="2">
        <v>7.530124009306746E-5</v>
      </c>
      <c r="E29" s="2">
        <v>1.2277585949706142E-3</v>
      </c>
      <c r="F29" s="2">
        <v>1.5025926753574827E-3</v>
      </c>
    </row>
    <row r="31" spans="2:9" x14ac:dyDescent="0.25">
      <c r="B31" s="93" t="s">
        <v>13</v>
      </c>
      <c r="C31" s="116">
        <v>123.21632005366375</v>
      </c>
      <c r="D31" s="116">
        <v>22.790090656341313</v>
      </c>
    </row>
    <row r="32" spans="2:9" x14ac:dyDescent="0.25">
      <c r="B32" s="93" t="s">
        <v>12</v>
      </c>
      <c r="C32" s="116">
        <v>123.21632005366375</v>
      </c>
      <c r="D32" s="116">
        <v>22.790090656341313</v>
      </c>
    </row>
    <row r="33" spans="2:9" x14ac:dyDescent="0.25">
      <c r="B33" s="93" t="s">
        <v>14</v>
      </c>
      <c r="C33" s="116">
        <v>3.7597898122435511E-2</v>
      </c>
      <c r="D33" s="116">
        <v>1.5243928293540341</v>
      </c>
    </row>
    <row r="34" spans="2:9" x14ac:dyDescent="0.25">
      <c r="B34" s="93" t="s">
        <v>15</v>
      </c>
      <c r="C34" s="116">
        <v>3.7597898122435511E-2</v>
      </c>
      <c r="D34" s="116">
        <v>1.5243928293540341</v>
      </c>
    </row>
    <row r="35" spans="2:9" x14ac:dyDescent="0.25">
      <c r="B35" s="93" t="s">
        <v>16</v>
      </c>
      <c r="C35" s="116">
        <v>1.2357748045726282E-3</v>
      </c>
      <c r="D35" s="116">
        <v>9.6993406381697206E-2</v>
      </c>
    </row>
    <row r="36" spans="2:9" x14ac:dyDescent="0.25">
      <c r="B36" s="93" t="s">
        <v>17</v>
      </c>
      <c r="C36" s="116">
        <v>1.2357748045726282E-3</v>
      </c>
      <c r="D36" s="116">
        <v>9.6993406381697206E-2</v>
      </c>
    </row>
    <row r="38" spans="2:9" x14ac:dyDescent="0.25">
      <c r="B38" s="102"/>
      <c r="C38" s="386" t="s">
        <v>113</v>
      </c>
      <c r="D38" s="387"/>
      <c r="E38" s="386" t="s">
        <v>114</v>
      </c>
      <c r="F38" s="387"/>
    </row>
    <row r="39" spans="2:9" x14ac:dyDescent="0.25">
      <c r="B39" s="13"/>
      <c r="C39" s="386" t="s">
        <v>112</v>
      </c>
      <c r="D39" s="387"/>
      <c r="E39" s="386" t="s">
        <v>112</v>
      </c>
      <c r="F39" s="387"/>
    </row>
    <row r="40" spans="2:9" x14ac:dyDescent="0.25">
      <c r="B40" s="99" t="s">
        <v>111</v>
      </c>
      <c r="C40" s="100">
        <v>1</v>
      </c>
      <c r="D40" s="101">
        <v>2</v>
      </c>
      <c r="E40" s="100">
        <v>1</v>
      </c>
      <c r="F40" s="101">
        <v>2</v>
      </c>
    </row>
    <row r="41" spans="2:9" x14ac:dyDescent="0.25">
      <c r="B41" s="18">
        <v>1</v>
      </c>
      <c r="C41">
        <v>57.917498195636639</v>
      </c>
      <c r="D41">
        <v>-0.20812661899424895</v>
      </c>
      <c r="E41">
        <v>8.9684741954410292</v>
      </c>
      <c r="F41" s="85">
        <v>-1.239866767197789</v>
      </c>
    </row>
    <row r="42" spans="2:9" x14ac:dyDescent="0.25">
      <c r="B42" s="18">
        <v>2</v>
      </c>
      <c r="C42">
        <v>57.917498195636639</v>
      </c>
      <c r="D42">
        <v>-0.20812661899424895</v>
      </c>
      <c r="E42">
        <v>8.9684741954410292</v>
      </c>
      <c r="F42" s="85">
        <v>-1.239866767197789</v>
      </c>
    </row>
    <row r="43" spans="2:9" x14ac:dyDescent="0.25">
      <c r="B43" s="18">
        <v>3</v>
      </c>
      <c r="C43">
        <v>0.76185874502854267</v>
      </c>
      <c r="D43">
        <v>2.8034682471610983</v>
      </c>
      <c r="E43">
        <v>0.93240102299127592</v>
      </c>
      <c r="F43" s="85">
        <v>6.540250164498998E-2</v>
      </c>
      <c r="G43" s="98"/>
      <c r="H43" s="98"/>
      <c r="I43" s="98"/>
    </row>
    <row r="44" spans="2:9" x14ac:dyDescent="0.25">
      <c r="B44" s="18">
        <v>4</v>
      </c>
      <c r="C44">
        <v>0.76185874502854267</v>
      </c>
      <c r="D44">
        <v>2.8034682471610983</v>
      </c>
      <c r="E44">
        <v>0.93240102299127581</v>
      </c>
      <c r="F44" s="85">
        <v>6.540250164498998E-2</v>
      </c>
    </row>
    <row r="45" spans="2:9" x14ac:dyDescent="0.25">
      <c r="B45" s="18">
        <v>5</v>
      </c>
      <c r="C45">
        <v>0</v>
      </c>
      <c r="D45">
        <v>0.62868882239104062</v>
      </c>
      <c r="E45">
        <v>0</v>
      </c>
      <c r="F45" s="85">
        <v>0.12481292914825824</v>
      </c>
    </row>
    <row r="46" spans="2:9" x14ac:dyDescent="0.25">
      <c r="B46" s="18">
        <v>6</v>
      </c>
      <c r="C46" s="96">
        <v>0</v>
      </c>
      <c r="D46" s="96">
        <v>0.62868882239104062</v>
      </c>
      <c r="E46" s="96">
        <v>0</v>
      </c>
      <c r="F46" s="97">
        <v>0.12481292914825824</v>
      </c>
    </row>
    <row r="48" spans="2:9" x14ac:dyDescent="0.25">
      <c r="B48" s="99" t="s">
        <v>148</v>
      </c>
      <c r="C48" s="128"/>
    </row>
    <row r="49" spans="2:5" x14ac:dyDescent="0.25">
      <c r="B49" s="93">
        <v>1</v>
      </c>
      <c r="C49" s="95">
        <v>18.001371637588178</v>
      </c>
      <c r="E49" s="111"/>
    </row>
    <row r="50" spans="2:5" x14ac:dyDescent="0.25">
      <c r="B50" s="93">
        <v>2</v>
      </c>
      <c r="C50" s="95">
        <v>84.316389452137187</v>
      </c>
    </row>
    <row r="51" spans="2:5" x14ac:dyDescent="0.25">
      <c r="B51" s="93">
        <v>3</v>
      </c>
      <c r="C51" s="95">
        <v>97.734962717092728</v>
      </c>
    </row>
    <row r="52" spans="2:5" x14ac:dyDescent="0.25">
      <c r="B52" s="93">
        <v>4</v>
      </c>
      <c r="C52" s="95">
        <v>97.962008553310937</v>
      </c>
    </row>
    <row r="53" spans="2:5" x14ac:dyDescent="0.25">
      <c r="B53" s="93">
        <v>5</v>
      </c>
      <c r="C53" s="95">
        <v>128.97762253051542</v>
      </c>
    </row>
    <row r="54" spans="2:5" ht="15" customHeight="1" x14ac:dyDescent="0.25">
      <c r="B54" s="93">
        <v>6</v>
      </c>
      <c r="C54" s="95"/>
    </row>
    <row r="75" spans="5:5" x14ac:dyDescent="0.25">
      <c r="E75" s="149"/>
    </row>
    <row r="76" spans="5:5" x14ac:dyDescent="0.25">
      <c r="E76" s="149"/>
    </row>
    <row r="77" spans="5:5" x14ac:dyDescent="0.25">
      <c r="E77" s="149"/>
    </row>
    <row r="78" spans="5:5" x14ac:dyDescent="0.25">
      <c r="E78" s="149"/>
    </row>
    <row r="79" spans="5:5" x14ac:dyDescent="0.25">
      <c r="E79" s="149"/>
    </row>
    <row r="80" spans="5:5" x14ac:dyDescent="0.25">
      <c r="E80" s="149"/>
    </row>
    <row r="81" spans="5:5" x14ac:dyDescent="0.25">
      <c r="E81" s="149"/>
    </row>
    <row r="82" spans="5:5" x14ac:dyDescent="0.25">
      <c r="E82" s="149"/>
    </row>
    <row r="83" spans="5:5" x14ac:dyDescent="0.25">
      <c r="E83" s="149"/>
    </row>
    <row r="84" spans="5:5" x14ac:dyDescent="0.25">
      <c r="E84" s="149"/>
    </row>
    <row r="85" spans="5:5" x14ac:dyDescent="0.25">
      <c r="E85" s="149"/>
    </row>
    <row r="86" spans="5:5" x14ac:dyDescent="0.25">
      <c r="E86" s="149"/>
    </row>
    <row r="87" spans="5:5" x14ac:dyDescent="0.25">
      <c r="E87" s="149"/>
    </row>
    <row r="88" spans="5:5" x14ac:dyDescent="0.25">
      <c r="E88" s="149"/>
    </row>
    <row r="89" spans="5:5" x14ac:dyDescent="0.25">
      <c r="E89" s="149"/>
    </row>
    <row r="90" spans="5:5" x14ac:dyDescent="0.25">
      <c r="E90" s="149"/>
    </row>
    <row r="91" spans="5:5" x14ac:dyDescent="0.25">
      <c r="E91" s="149"/>
    </row>
    <row r="92" spans="5:5" x14ac:dyDescent="0.25">
      <c r="E92" s="149"/>
    </row>
    <row r="93" spans="5:5" x14ac:dyDescent="0.25">
      <c r="E93" s="149"/>
    </row>
    <row r="94" spans="5:5" x14ac:dyDescent="0.25">
      <c r="E94" s="149"/>
    </row>
    <row r="95" spans="5:5" x14ac:dyDescent="0.25">
      <c r="E95" s="149"/>
    </row>
    <row r="96" spans="5:5" x14ac:dyDescent="0.25">
      <c r="E96" s="149"/>
    </row>
    <row r="97" spans="5:5" x14ac:dyDescent="0.25">
      <c r="E97" s="149"/>
    </row>
    <row r="98" spans="5:5" x14ac:dyDescent="0.25">
      <c r="E98" s="149"/>
    </row>
    <row r="99" spans="5:5" x14ac:dyDescent="0.25">
      <c r="E99" s="149"/>
    </row>
    <row r="100" spans="5:5" x14ac:dyDescent="0.25">
      <c r="E100" s="149"/>
    </row>
    <row r="101" spans="5:5" x14ac:dyDescent="0.25">
      <c r="E101" s="149"/>
    </row>
    <row r="102" spans="5:5" x14ac:dyDescent="0.25">
      <c r="E102" s="149"/>
    </row>
    <row r="103" spans="5:5" x14ac:dyDescent="0.25">
      <c r="E103" s="149"/>
    </row>
    <row r="104" spans="5:5" x14ac:dyDescent="0.25">
      <c r="E104" s="149"/>
    </row>
    <row r="105" spans="5:5" x14ac:dyDescent="0.25">
      <c r="E105" s="149"/>
    </row>
    <row r="106" spans="5:5" x14ac:dyDescent="0.25">
      <c r="E106" s="149"/>
    </row>
    <row r="107" spans="5:5" x14ac:dyDescent="0.25">
      <c r="E107" s="149"/>
    </row>
    <row r="108" spans="5:5" x14ac:dyDescent="0.25">
      <c r="E108" s="149"/>
    </row>
    <row r="109" spans="5:5" x14ac:dyDescent="0.25">
      <c r="E109" s="149"/>
    </row>
    <row r="110" spans="5:5" x14ac:dyDescent="0.25">
      <c r="E110" s="149"/>
    </row>
    <row r="111" spans="5:5" x14ac:dyDescent="0.25">
      <c r="E111" s="149"/>
    </row>
    <row r="112" spans="5:5" x14ac:dyDescent="0.25">
      <c r="E112" s="149"/>
    </row>
    <row r="113" spans="5:5" x14ac:dyDescent="0.25">
      <c r="E113" s="149"/>
    </row>
    <row r="114" spans="5:5" x14ac:dyDescent="0.25">
      <c r="E114" s="149"/>
    </row>
    <row r="115" spans="5:5" x14ac:dyDescent="0.25">
      <c r="E115" s="149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C3" sqref="C3"/>
    </sheetView>
  </sheetViews>
  <sheetFormatPr baseColWidth="10" defaultColWidth="11.5703125" defaultRowHeight="15" x14ac:dyDescent="0.25"/>
  <sheetData>
    <row r="1" spans="1:20" ht="16.5" customHeight="1" thickBot="1" x14ac:dyDescent="0.3">
      <c r="A1" s="80"/>
      <c r="B1" s="79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1"/>
      <c r="C2" s="82">
        <v>1</v>
      </c>
      <c r="D2" s="83">
        <v>2</v>
      </c>
      <c r="E2" s="83">
        <v>3</v>
      </c>
      <c r="F2" s="83">
        <v>4</v>
      </c>
      <c r="G2" s="83">
        <v>5</v>
      </c>
      <c r="H2" s="83">
        <v>6</v>
      </c>
      <c r="I2" s="83">
        <v>7</v>
      </c>
      <c r="J2" s="83">
        <v>8</v>
      </c>
      <c r="K2" s="83">
        <v>9</v>
      </c>
      <c r="L2" s="83">
        <v>10</v>
      </c>
      <c r="M2" s="83">
        <v>11</v>
      </c>
      <c r="N2" s="83">
        <v>12</v>
      </c>
      <c r="O2" s="83">
        <v>13</v>
      </c>
      <c r="P2" s="83">
        <v>14</v>
      </c>
      <c r="Q2" s="83">
        <v>15</v>
      </c>
      <c r="R2" s="83">
        <v>16</v>
      </c>
      <c r="S2" s="83">
        <v>17</v>
      </c>
      <c r="T2" s="84">
        <v>18</v>
      </c>
    </row>
    <row r="3" spans="1:20" x14ac:dyDescent="0.25">
      <c r="A3" s="66">
        <v>0</v>
      </c>
      <c r="B3" s="78">
        <v>1</v>
      </c>
      <c r="C3" s="77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1">
        <v>2</v>
      </c>
      <c r="C4" s="75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1">
        <v>3</v>
      </c>
      <c r="C5" s="75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1">
        <v>4</v>
      </c>
      <c r="C6" s="75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1">
        <v>5</v>
      </c>
      <c r="C7" s="75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1">
        <v>6</v>
      </c>
      <c r="C8" s="75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1">
        <v>7</v>
      </c>
      <c r="C9" s="75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1">
        <v>8</v>
      </c>
      <c r="C10" s="75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1">
        <v>9</v>
      </c>
      <c r="C11" s="75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1">
        <v>10</v>
      </c>
      <c r="C12" s="75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1">
        <v>11</v>
      </c>
      <c r="C13" s="75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1">
        <v>12</v>
      </c>
      <c r="C14" s="75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1">
        <v>13</v>
      </c>
      <c r="C15" s="75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1">
        <v>14</v>
      </c>
      <c r="C16" s="75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1">
        <v>15</v>
      </c>
      <c r="C17" s="75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1">
        <v>16</v>
      </c>
      <c r="C18" s="75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1">
        <v>17</v>
      </c>
      <c r="C19" s="75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1">
        <v>18</v>
      </c>
      <c r="C20" s="32">
        <v>5.7139999999999996E-2</v>
      </c>
      <c r="D20" s="1">
        <v>5.6980000000000003E-2</v>
      </c>
      <c r="E20" s="73">
        <v>5.5469999999999998E-2</v>
      </c>
      <c r="F20" s="73">
        <v>5.432E-2</v>
      </c>
      <c r="G20" s="73">
        <v>5.3510000000000002E-2</v>
      </c>
      <c r="H20" s="1">
        <v>5.219E-2</v>
      </c>
      <c r="I20" s="73">
        <v>5.1049999999999998E-2</v>
      </c>
      <c r="J20" s="74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1">
        <v>19</v>
      </c>
      <c r="C21" s="32">
        <v>4.027E-2</v>
      </c>
      <c r="D21" s="73">
        <v>3.9820000000000001E-2</v>
      </c>
      <c r="E21" s="73">
        <v>3.9210000000000002E-2</v>
      </c>
      <c r="F21" s="73">
        <v>3.8429999999999999E-2</v>
      </c>
      <c r="G21" s="73">
        <v>3.8150000000000003E-2</v>
      </c>
      <c r="H21" s="1">
        <v>3.7749999999999999E-2</v>
      </c>
      <c r="I21" s="73">
        <v>3.7010000000000001E-2</v>
      </c>
      <c r="J21" s="73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1">
        <v>20</v>
      </c>
      <c r="C22" s="32">
        <v>2.9850000000000002E-2</v>
      </c>
      <c r="D22" s="73">
        <v>2.9510000000000002E-2</v>
      </c>
      <c r="E22" s="73">
        <v>2.9020000000000001E-2</v>
      </c>
      <c r="F22" s="73">
        <v>2.8549999999999999E-2</v>
      </c>
      <c r="G22" s="73">
        <v>2.8459999999999999E-2</v>
      </c>
      <c r="H22" s="1">
        <v>2.844E-2</v>
      </c>
      <c r="I22" s="54">
        <v>2.785E-2</v>
      </c>
      <c r="J22" s="73">
        <v>2.6190000000000001E-2</v>
      </c>
      <c r="K22" s="75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1">
        <v>21</v>
      </c>
      <c r="C23" s="32">
        <v>2.298E-2</v>
      </c>
      <c r="D23" s="73">
        <v>2.273E-2</v>
      </c>
      <c r="E23" s="73">
        <v>2.2409999999999999E-2</v>
      </c>
      <c r="F23" s="73">
        <v>2.2179999999999998E-2</v>
      </c>
      <c r="G23" s="73">
        <v>2.2159999999999999E-2</v>
      </c>
      <c r="H23" s="1">
        <v>2.214E-2</v>
      </c>
      <c r="I23" s="55">
        <v>2.1680000000000001E-2</v>
      </c>
      <c r="J23" s="73">
        <v>2.061E-2</v>
      </c>
      <c r="K23" s="75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1">
        <v>22</v>
      </c>
      <c r="C24" s="32">
        <v>1.8239999999999999E-2</v>
      </c>
      <c r="D24" s="73">
        <v>1.8110000000000001E-2</v>
      </c>
      <c r="E24" s="73">
        <v>1.7829999999999999E-2</v>
      </c>
      <c r="F24" s="73">
        <v>1.7739999999999999E-2</v>
      </c>
      <c r="G24" s="73">
        <v>1.772E-2</v>
      </c>
      <c r="H24" s="1">
        <v>1.77E-2</v>
      </c>
      <c r="I24" s="55">
        <v>1.7330000000000002E-2</v>
      </c>
      <c r="J24" s="73">
        <v>1.6750000000000001E-2</v>
      </c>
      <c r="K24" s="75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8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3">
        <v>1.65E-3</v>
      </c>
      <c r="T25" s="58">
        <v>9.1E-4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C3" sqref="C3:T25"/>
    </sheetView>
  </sheetViews>
  <sheetFormatPr baseColWidth="10" defaultColWidth="11.5703125" defaultRowHeight="15" x14ac:dyDescent="0.25"/>
  <sheetData>
    <row r="1" spans="1:20" x14ac:dyDescent="0.25">
      <c r="A1" t="s">
        <v>56</v>
      </c>
      <c r="B1" t="s">
        <v>57</v>
      </c>
      <c r="C1" s="66">
        <v>0</v>
      </c>
      <c r="D1" s="66">
        <v>0.2</v>
      </c>
      <c r="E1" s="66">
        <v>0.4</v>
      </c>
      <c r="F1" s="66">
        <v>0.6</v>
      </c>
      <c r="G1" s="66">
        <v>0.8</v>
      </c>
      <c r="H1" s="66">
        <v>1</v>
      </c>
      <c r="I1" s="66">
        <v>1.2</v>
      </c>
      <c r="J1" s="66">
        <v>1.5</v>
      </c>
      <c r="K1" s="66">
        <v>2</v>
      </c>
      <c r="L1" s="66">
        <v>3</v>
      </c>
      <c r="M1" s="66">
        <v>4</v>
      </c>
      <c r="N1" s="66">
        <v>5</v>
      </c>
      <c r="O1" s="66">
        <v>6</v>
      </c>
      <c r="P1" s="66">
        <v>7</v>
      </c>
      <c r="Q1" s="66">
        <v>8</v>
      </c>
      <c r="R1" s="66">
        <v>10</v>
      </c>
      <c r="S1" s="66">
        <v>12</v>
      </c>
      <c r="T1" s="66">
        <v>14</v>
      </c>
    </row>
    <row r="2" spans="1:20" ht="15.75" thickBot="1" x14ac:dyDescent="0.3">
      <c r="A2" s="72"/>
      <c r="B2" s="69"/>
      <c r="C2" s="67">
        <v>1</v>
      </c>
      <c r="D2" s="67">
        <v>2</v>
      </c>
      <c r="E2" s="67">
        <v>3</v>
      </c>
      <c r="F2" s="67">
        <v>4</v>
      </c>
      <c r="G2" s="67">
        <v>5</v>
      </c>
      <c r="H2" s="67">
        <v>6</v>
      </c>
      <c r="I2" s="67">
        <v>7</v>
      </c>
      <c r="J2" s="67">
        <v>8</v>
      </c>
      <c r="K2" s="67">
        <v>9</v>
      </c>
      <c r="L2" s="67">
        <v>10</v>
      </c>
      <c r="M2" s="67">
        <v>11</v>
      </c>
      <c r="N2" s="67">
        <v>12</v>
      </c>
      <c r="O2" s="67">
        <v>13</v>
      </c>
      <c r="P2" s="67">
        <v>14</v>
      </c>
      <c r="Q2" s="67">
        <v>15</v>
      </c>
      <c r="R2" s="67">
        <v>16</v>
      </c>
      <c r="S2" s="67">
        <v>17</v>
      </c>
      <c r="T2" s="68">
        <v>18</v>
      </c>
    </row>
    <row r="3" spans="1:20" ht="15.75" thickBot="1" x14ac:dyDescent="0.3">
      <c r="A3" s="70">
        <v>0</v>
      </c>
      <c r="B3" s="7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2">
        <v>0.1</v>
      </c>
      <c r="B4" s="64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2">
        <v>0.2</v>
      </c>
      <c r="B5" s="64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2">
        <v>0.3</v>
      </c>
      <c r="B6" s="64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2">
        <v>0.4</v>
      </c>
      <c r="B7" s="64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2">
        <v>0.5</v>
      </c>
      <c r="B8" s="64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2">
        <v>0.6</v>
      </c>
      <c r="B9" s="64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2">
        <v>0.7</v>
      </c>
      <c r="B10" s="64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2">
        <v>0.8</v>
      </c>
      <c r="B11" s="64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2">
        <v>0.9</v>
      </c>
      <c r="B12" s="64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2">
        <v>1</v>
      </c>
      <c r="B13" s="64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2">
        <v>1.2</v>
      </c>
      <c r="B14" s="64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2">
        <v>1.5</v>
      </c>
      <c r="B15" s="64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2">
        <v>2</v>
      </c>
      <c r="B16" s="64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2">
        <v>2.5</v>
      </c>
      <c r="B17" s="64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2">
        <v>3</v>
      </c>
      <c r="B18" s="64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2">
        <v>4</v>
      </c>
      <c r="B19" s="64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2">
        <v>5</v>
      </c>
      <c r="B20" s="64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2">
        <v>6</v>
      </c>
      <c r="B21" s="64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2">
        <v>7</v>
      </c>
      <c r="B22" s="64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2">
        <v>8</v>
      </c>
      <c r="B23" s="64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2">
        <v>9</v>
      </c>
      <c r="B24" s="64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3">
        <v>10</v>
      </c>
      <c r="B25" s="65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C3" sqref="C3:T25"/>
    </sheetView>
  </sheetViews>
  <sheetFormatPr baseColWidth="10" defaultColWidth="11.5703125" defaultRowHeight="15" x14ac:dyDescent="0.25"/>
  <sheetData>
    <row r="1" spans="1:20" ht="20.25" thickBot="1" x14ac:dyDescent="0.3">
      <c r="A1" s="23" t="s">
        <v>56</v>
      </c>
      <c r="B1" s="36" t="s">
        <v>57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58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14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4" baseType="lpstr">
      <vt:lpstr>Tránsito</vt:lpstr>
      <vt:lpstr>Hoja2</vt:lpstr>
      <vt:lpstr>Espectros de Carga</vt:lpstr>
      <vt:lpstr>Análisis Individual</vt:lpstr>
      <vt:lpstr>Análisis Espectral</vt:lpstr>
      <vt:lpstr>NuevoFormatoPav</vt:lpstr>
      <vt:lpstr>Larguillo</vt:lpstr>
      <vt:lpstr>avanzado</vt:lpstr>
      <vt:lpstr>Análisis probabilista</vt:lpstr>
      <vt:lpstr>Hoja1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2025-06-27T07:33:19Z</dcterms:modified>
</cp:coreProperties>
</file>
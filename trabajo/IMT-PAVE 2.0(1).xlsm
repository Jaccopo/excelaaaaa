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C927F911-8C3A-460D-8D36-147DBF7D91D7}" xr6:coauthVersionLast="47" xr6:coauthVersionMax="47" xr10:uidLastSave="{00000000-0000-0000-0000-000000000000}"/>
  <bookViews>
    <workbookView xWindow="-108" yWindow="-108" windowWidth="23256" windowHeight="12456" tabRatio="903" firstSheet="1" activeTab="9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Larguillo" sheetId="61" r:id="rId6"/>
    <sheet name="avanzado" sheetId="60" r:id="rId7"/>
    <sheet name="Análisis probabilista" sheetId="66" r:id="rId8"/>
    <sheet name="Hoja1" sheetId="67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<sst xmlns="http://schemas.openxmlformats.org/spreadsheetml/2006/main" count="484" uniqueCount="265">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</sst>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8" fontId="22" fillId="0" borderId="0" xfId="0" applyNumberFormat="1" applyFont="1" applyAlignment="1">
      <alignment horizontal="center"/>
    </xf>
    <xf numFmtId="0" fontId="60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center"/>
      <protection locked="0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7</xdr:row>
          <xdr:rowOff>228600</xdr:rowOff>
        </xdr:from>
        <xdr:to>
          <xdr:col>5</xdr:col>
          <xdr:colOff>670560</xdr:colOff>
          <xdr:row>9</xdr:row>
          <xdr:rowOff>22860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9</xdr:row>
          <xdr:rowOff>0</xdr:rowOff>
        </xdr:from>
        <xdr:to>
          <xdr:col>5</xdr:col>
          <xdr:colOff>670560</xdr:colOff>
          <xdr:row>9</xdr:row>
          <xdr:rowOff>259080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12</xdr:row>
          <xdr:rowOff>22860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13</xdr:row>
          <xdr:rowOff>38100</xdr:rowOff>
        </xdr:from>
        <xdr:to>
          <xdr:col>5</xdr:col>
          <xdr:colOff>716280</xdr:colOff>
          <xdr:row>13</xdr:row>
          <xdr:rowOff>259080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121920</xdr:rowOff>
        </xdr:from>
        <xdr:to>
          <xdr:col>11</xdr:col>
          <xdr:colOff>601980</xdr:colOff>
          <xdr:row>5</xdr:row>
          <xdr:rowOff>106680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45720</xdr:rowOff>
        </xdr:from>
        <xdr:to>
          <xdr:col>11</xdr:col>
          <xdr:colOff>601980</xdr:colOff>
          <xdr:row>7</xdr:row>
          <xdr:rowOff>175260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601980</xdr:colOff>
          <xdr:row>9</xdr:row>
          <xdr:rowOff>83820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601980</xdr:colOff>
          <xdr:row>11</xdr:row>
          <xdr:rowOff>106680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68580</xdr:rowOff>
        </xdr:from>
        <xdr:to>
          <xdr:col>11</xdr:col>
          <xdr:colOff>594360</xdr:colOff>
          <xdr:row>13</xdr:row>
          <xdr:rowOff>99060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579120</xdr:colOff>
          <xdr:row>15</xdr:row>
          <xdr:rowOff>45720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30480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45720</xdr:rowOff>
        </xdr:from>
        <xdr:to>
          <xdr:col>11</xdr:col>
          <xdr:colOff>563880</xdr:colOff>
          <xdr:row>19</xdr:row>
          <xdr:rowOff>83820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4</xdr:row>
          <xdr:rowOff>83820</xdr:rowOff>
        </xdr:from>
        <xdr:to>
          <xdr:col>5</xdr:col>
          <xdr:colOff>960120</xdr:colOff>
          <xdr:row>5</xdr:row>
          <xdr:rowOff>68580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30480</xdr:rowOff>
        </xdr:from>
        <xdr:to>
          <xdr:col>11</xdr:col>
          <xdr:colOff>579120</xdr:colOff>
          <xdr:row>21</xdr:row>
          <xdr:rowOff>99060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12</xdr:row>
          <xdr:rowOff>220980</xdr:rowOff>
        </xdr:from>
        <xdr:to>
          <xdr:col>12</xdr:col>
          <xdr:colOff>137160</xdr:colOff>
          <xdr:row>14</xdr:row>
          <xdr:rowOff>30480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14</xdr:row>
          <xdr:rowOff>22860</xdr:rowOff>
        </xdr:from>
        <xdr:to>
          <xdr:col>12</xdr:col>
          <xdr:colOff>190500</xdr:colOff>
          <xdr:row>15</xdr:row>
          <xdr:rowOff>68580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15</xdr:row>
          <xdr:rowOff>68580</xdr:rowOff>
        </xdr:from>
        <xdr:to>
          <xdr:col>12</xdr:col>
          <xdr:colOff>525780</xdr:colOff>
          <xdr:row>16</xdr:row>
          <xdr:rowOff>106680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16</xdr:row>
          <xdr:rowOff>114300</xdr:rowOff>
        </xdr:from>
        <xdr:to>
          <xdr:col>12</xdr:col>
          <xdr:colOff>220980</xdr:colOff>
          <xdr:row>17</xdr:row>
          <xdr:rowOff>175260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20</xdr:row>
          <xdr:rowOff>0</xdr:rowOff>
        </xdr:from>
        <xdr:to>
          <xdr:col>12</xdr:col>
          <xdr:colOff>114300</xdr:colOff>
          <xdr:row>21</xdr:row>
          <xdr:rowOff>99060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</xdr:rowOff>
        </xdr:from>
        <xdr:to>
          <xdr:col>12</xdr:col>
          <xdr:colOff>381000</xdr:colOff>
          <xdr:row>11</xdr:row>
          <xdr:rowOff>45720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22860</xdr:colOff>
          <xdr:row>8</xdr:row>
          <xdr:rowOff>22860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144780</xdr:rowOff>
        </xdr:from>
        <xdr:to>
          <xdr:col>11</xdr:col>
          <xdr:colOff>274320</xdr:colOff>
          <xdr:row>12</xdr:row>
          <xdr:rowOff>83820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30480</xdr:colOff>
          <xdr:row>7</xdr:row>
          <xdr:rowOff>7620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30480</xdr:colOff>
          <xdr:row>8</xdr:row>
          <xdr:rowOff>22860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8</xdr:row>
          <xdr:rowOff>152400</xdr:rowOff>
        </xdr:from>
        <xdr:to>
          <xdr:col>11</xdr:col>
          <xdr:colOff>350520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8</xdr:row>
          <xdr:rowOff>175260</xdr:rowOff>
        </xdr:from>
        <xdr:to>
          <xdr:col>9</xdr:col>
          <xdr:colOff>518160</xdr:colOff>
          <xdr:row>16</xdr:row>
          <xdr:rowOff>22860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7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144780</xdr:rowOff>
        </xdr:from>
        <xdr:to>
          <xdr:col>23</xdr:col>
          <xdr:colOff>274320</xdr:colOff>
          <xdr:row>12</xdr:row>
          <xdr:rowOff>83820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7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118</xdr:row>
          <xdr:rowOff>152400</xdr:rowOff>
        </xdr:from>
        <xdr:to>
          <xdr:col>11</xdr:col>
          <xdr:colOff>350520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7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defaultColWidth="11.5546875" defaultRowHeight="14.4" x14ac:dyDescent="0.3"/>
  <cols>
    <col min="1" max="2" width="8" customWidth="1"/>
    <col min="4" max="4" width="12.44140625" customWidth="1"/>
    <col min="5" max="5" width="13" customWidth="1"/>
    <col min="6" max="6" width="15.33203125" customWidth="1"/>
    <col min="7" max="7" width="11.6640625" customWidth="1"/>
    <col min="8" max="8" width="13" customWidth="1"/>
    <col min="9" max="9" width="14" customWidth="1"/>
    <col min="10" max="10" width="14.33203125" customWidth="1"/>
    <col min="11" max="12" width="10.6640625" customWidth="1"/>
    <col min="13" max="13" width="2.6640625" customWidth="1"/>
  </cols>
  <sheetData>
    <row r="1" spans="1:21" x14ac:dyDescent="0.3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3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3">
      <c r="A4" s="88"/>
      <c r="B4" s="88"/>
      <c r="D4" s="87"/>
      <c r="E4" s="87"/>
      <c r="F4" s="87"/>
      <c r="G4" s="87"/>
      <c r="H4" s="87"/>
      <c r="I4" s="87"/>
      <c r="J4" s="324" t="s">
        <v>37</v>
      </c>
      <c r="K4" s="324"/>
      <c r="L4" s="324"/>
      <c r="M4" s="168"/>
      <c r="T4" s="148" t="s">
        <v>184</v>
      </c>
      <c r="U4" s="148" t="s">
        <v>263</v>
      </c>
    </row>
    <row r="5" spans="1:21" ht="21" customHeight="1" x14ac:dyDescent="0.3">
      <c r="A5" s="88"/>
      <c r="B5" s="88"/>
      <c r="D5" s="325" t="s">
        <v>192</v>
      </c>
      <c r="E5" s="325"/>
      <c r="F5" s="167"/>
      <c r="G5" s="147"/>
      <c r="H5" s="147"/>
      <c r="I5" s="147"/>
      <c r="J5" s="317" t="s">
        <v>4</v>
      </c>
      <c r="K5" s="318">
        <v>78</v>
      </c>
      <c r="L5" s="318"/>
      <c r="N5" s="146"/>
      <c r="T5" s="148" t="s">
        <v>185</v>
      </c>
      <c r="U5" s="148">
        <v>1</v>
      </c>
    </row>
    <row r="6" spans="1:21" ht="15" customHeight="1" x14ac:dyDescent="0.3">
      <c r="A6" s="88"/>
      <c r="B6" s="88"/>
      <c r="D6" s="325"/>
      <c r="E6" s="325"/>
      <c r="F6" s="167"/>
      <c r="G6" s="90"/>
      <c r="H6" s="90"/>
      <c r="J6" s="317"/>
      <c r="K6" s="318"/>
      <c r="L6" s="318"/>
      <c r="N6" s="146"/>
      <c r="T6" s="148" t="s">
        <v>186</v>
      </c>
      <c r="U6" s="148" t="s">
        <v>253</v>
      </c>
    </row>
    <row r="7" spans="1:21" ht="15.75" customHeight="1" x14ac:dyDescent="0.3">
      <c r="A7" s="88"/>
      <c r="B7" s="88"/>
      <c r="G7" s="90"/>
      <c r="H7" s="90"/>
      <c r="J7" s="317" t="s">
        <v>177</v>
      </c>
      <c r="K7" s="318">
        <v>0</v>
      </c>
      <c r="L7" s="318"/>
      <c r="T7" s="148" t="s">
        <v>187</v>
      </c>
      <c r="U7" s="148">
        <v>10</v>
      </c>
    </row>
    <row r="8" spans="1:21" ht="18.75" customHeight="1" x14ac:dyDescent="0.3">
      <c r="A8" s="88"/>
      <c r="B8" s="88"/>
      <c r="D8" s="324" t="s">
        <v>164</v>
      </c>
      <c r="E8" s="324"/>
      <c r="F8" s="324"/>
      <c r="J8" s="317"/>
      <c r="K8" s="318"/>
      <c r="L8" s="318"/>
      <c r="T8" s="148" t="s">
        <v>188</v>
      </c>
      <c r="U8" s="148" t="s">
        <v>252</v>
      </c>
    </row>
    <row r="9" spans="1:21" ht="17.25" customHeight="1" x14ac:dyDescent="0.3">
      <c r="A9" s="88"/>
      <c r="B9" s="88"/>
      <c r="D9" s="324" t="s">
        <v>40</v>
      </c>
      <c r="E9" s="324"/>
      <c r="F9" s="167"/>
      <c r="J9" s="317" t="s">
        <v>140</v>
      </c>
      <c r="K9" s="318">
        <v>0</v>
      </c>
      <c r="L9" s="318"/>
      <c r="T9" s="148" t="s">
        <v>4</v>
      </c>
      <c r="U9" s="148">
        <v>20</v>
      </c>
    </row>
    <row r="10" spans="1:21" ht="21.75" customHeight="1" x14ac:dyDescent="0.3">
      <c r="A10" s="88"/>
      <c r="B10" s="88"/>
      <c r="D10" s="324" t="s">
        <v>41</v>
      </c>
      <c r="E10" s="324"/>
      <c r="F10" s="167"/>
      <c r="J10" s="317"/>
      <c r="K10" s="318"/>
      <c r="L10" s="318"/>
      <c r="T10" s="148" t="s">
        <v>177</v>
      </c>
      <c r="U10" s="148">
        <v>20</v>
      </c>
    </row>
    <row r="11" spans="1:21" ht="15" customHeight="1" x14ac:dyDescent="0.3">
      <c r="A11" s="88"/>
      <c r="B11" s="88"/>
      <c r="J11" s="317" t="s">
        <v>32</v>
      </c>
      <c r="K11" s="318">
        <v>5</v>
      </c>
      <c r="L11" s="318"/>
      <c r="M11" s="86"/>
      <c r="T11" s="148" t="s">
        <v>140</v>
      </c>
      <c r="U11" s="148">
        <v>1</v>
      </c>
    </row>
    <row r="12" spans="1:21" ht="15" customHeight="1" x14ac:dyDescent="0.3">
      <c r="A12" s="88"/>
      <c r="B12" s="88"/>
      <c r="D12" s="324" t="s">
        <v>38</v>
      </c>
      <c r="E12" s="324"/>
      <c r="F12" s="324"/>
      <c r="J12" s="317"/>
      <c r="K12" s="318"/>
      <c r="L12" s="318"/>
      <c r="M12" s="86"/>
      <c r="T12" s="148" t="s">
        <v>32</v>
      </c>
      <c r="U12" s="148">
        <v>9</v>
      </c>
    </row>
    <row r="13" spans="1:21" ht="17.25" customHeight="1" x14ac:dyDescent="0.3">
      <c r="A13" s="88"/>
      <c r="B13" s="88"/>
      <c r="D13" s="324" t="s">
        <v>138</v>
      </c>
      <c r="E13" s="324"/>
      <c r="F13" s="167"/>
      <c r="J13" s="317" t="s">
        <v>33</v>
      </c>
      <c r="K13" s="318">
        <v>5</v>
      </c>
      <c r="L13" s="318"/>
      <c r="T13" s="148" t="s">
        <v>33</v>
      </c>
      <c r="U13" s="148">
        <v>10</v>
      </c>
    </row>
    <row r="14" spans="1:21" ht="21.75" customHeight="1" x14ac:dyDescent="0.3">
      <c r="A14" s="88"/>
      <c r="B14" s="88"/>
      <c r="D14" s="324" t="s">
        <v>39</v>
      </c>
      <c r="E14" s="324"/>
      <c r="F14" s="167"/>
      <c r="J14" s="317"/>
      <c r="K14" s="318"/>
      <c r="L14" s="318"/>
      <c r="T14" s="148" t="s">
        <v>189</v>
      </c>
      <c r="U14" s="148">
        <v>6</v>
      </c>
    </row>
    <row r="15" spans="1:21" ht="18.75" customHeight="1" x14ac:dyDescent="0.3">
      <c r="A15" s="88"/>
      <c r="B15" s="88"/>
      <c r="D15" s="139"/>
      <c r="J15" s="317" t="s">
        <v>34</v>
      </c>
      <c r="K15" s="318">
        <v>7</v>
      </c>
      <c r="L15" s="318"/>
      <c r="T15" s="148" t="s">
        <v>190</v>
      </c>
      <c r="U15" s="148">
        <v>13</v>
      </c>
    </row>
    <row r="16" spans="1:21" ht="15" customHeight="1" x14ac:dyDescent="0.3">
      <c r="A16" s="88"/>
      <c r="B16" s="88"/>
      <c r="J16" s="317"/>
      <c r="K16" s="318"/>
      <c r="L16" s="318"/>
      <c r="T16" s="148" t="s">
        <v>191</v>
      </c>
      <c r="U16" s="148">
        <v>10</v>
      </c>
    </row>
    <row r="17" spans="1:21" ht="15" customHeight="1" x14ac:dyDescent="0.3">
      <c r="A17" s="88"/>
      <c r="B17" s="88"/>
      <c r="D17" s="142"/>
      <c r="E17" s="320" t="s">
        <v>135</v>
      </c>
      <c r="F17" s="321"/>
      <c r="G17" s="321"/>
      <c r="H17" s="321"/>
      <c r="J17" s="317" t="s">
        <v>35</v>
      </c>
      <c r="K17" s="318">
        <v>4</v>
      </c>
      <c r="L17" s="318"/>
      <c r="T17" s="148" t="s">
        <v>194</v>
      </c>
      <c r="U17" s="148">
        <v>11</v>
      </c>
    </row>
    <row r="18" spans="1:21" ht="15" customHeight="1" x14ac:dyDescent="0.3">
      <c r="A18" s="88"/>
      <c r="B18" s="88"/>
      <c r="C18" s="137"/>
      <c r="D18" s="142"/>
      <c r="E18" s="320" t="s">
        <v>136</v>
      </c>
      <c r="F18" s="321"/>
      <c r="G18" s="321" t="s">
        <v>137</v>
      </c>
      <c r="H18" s="321"/>
      <c r="J18" s="317"/>
      <c r="K18" s="318"/>
      <c r="L18" s="318"/>
    </row>
    <row r="19" spans="1:21" ht="18" customHeight="1" x14ac:dyDescent="0.3">
      <c r="A19" s="88"/>
      <c r="B19" s="88"/>
      <c r="C19" s="137"/>
      <c r="D19" s="143"/>
      <c r="E19" s="320"/>
      <c r="F19" s="321"/>
      <c r="G19" s="321"/>
      <c r="H19" s="321"/>
      <c r="J19" s="317" t="s">
        <v>36</v>
      </c>
      <c r="K19" s="318">
        <v>1</v>
      </c>
      <c r="L19" s="318"/>
    </row>
    <row r="20" spans="1:21" ht="18.75" customHeight="1" x14ac:dyDescent="0.3">
      <c r="A20" s="88"/>
      <c r="B20" s="88"/>
      <c r="C20" s="137"/>
      <c r="D20" s="141" t="s">
        <v>29</v>
      </c>
      <c r="E20" s="322">
        <v>36.898395721925134</v>
      </c>
      <c r="F20" s="322"/>
      <c r="G20" s="323">
        <v>180308.85777970689</v>
      </c>
      <c r="H20" s="323"/>
      <c r="J20" s="317"/>
      <c r="K20" s="318"/>
      <c r="L20" s="318"/>
    </row>
    <row r="21" spans="1:21" ht="15" customHeight="1" x14ac:dyDescent="0.3">
      <c r="A21" s="88"/>
      <c r="B21" s="88"/>
      <c r="C21" s="137"/>
      <c r="D21" s="140" t="s">
        <v>31</v>
      </c>
      <c r="E21" s="322">
        <v>15.50802139037433</v>
      </c>
      <c r="F21" s="322"/>
      <c r="G21" s="323">
        <v>75781.983704514481</v>
      </c>
      <c r="H21" s="323"/>
      <c r="I21" s="138"/>
      <c r="J21" s="317" t="s">
        <v>194</v>
      </c>
    </row>
    <row r="22" spans="1:21" ht="18.75" customHeight="1" x14ac:dyDescent="0.3">
      <c r="A22" s="88"/>
      <c r="B22" s="88"/>
      <c r="C22" s="137"/>
      <c r="D22" s="140" t="s">
        <v>10</v>
      </c>
      <c r="E22" s="322">
        <v>40.641711229946523</v>
      </c>
      <c r="F22" s="322"/>
      <c r="G22" s="323">
        <v>198601.06074286555</v>
      </c>
      <c r="H22" s="323"/>
      <c r="I22" s="133"/>
      <c r="J22" s="317"/>
      <c r="K22" s="133"/>
    </row>
    <row r="23" spans="1:21" ht="15.75" customHeight="1" x14ac:dyDescent="0.3">
      <c r="A23" s="88"/>
      <c r="B23" s="88"/>
      <c r="C23" s="137"/>
      <c r="D23" s="140" t="s">
        <v>11</v>
      </c>
      <c r="E23" s="322">
        <v>6.9518716577540109</v>
      </c>
      <c r="F23" s="322"/>
      <c r="G23" s="323">
        <v>33971.234074437532</v>
      </c>
      <c r="H23" s="323"/>
      <c r="J23" s="169" t="s">
        <v>139</v>
      </c>
      <c r="K23" s="319">
        <v>100</v>
      </c>
      <c r="L23" s="319"/>
    </row>
    <row r="24" spans="1:21" ht="15.6" x14ac:dyDescent="0.3">
      <c r="A24" s="88"/>
      <c r="B24" s="88"/>
      <c r="E24" s="125"/>
      <c r="F24" s="125"/>
      <c r="G24" s="125"/>
      <c r="L24" s="11"/>
    </row>
    <row r="25" spans="1:21" ht="15.6" x14ac:dyDescent="0.3">
      <c r="A25" s="88"/>
      <c r="B25" s="88"/>
      <c r="E25" s="125"/>
      <c r="F25" s="125"/>
      <c r="G25" s="125"/>
      <c r="L25" s="11"/>
    </row>
    <row r="26" spans="1:21" x14ac:dyDescent="0.3">
      <c r="A26" s="88"/>
      <c r="B26" s="88"/>
      <c r="I26" s="11"/>
      <c r="J26" s="11"/>
      <c r="K26" s="11"/>
      <c r="L26" s="11"/>
    </row>
    <row r="27" spans="1:21" x14ac:dyDescent="0.3">
      <c r="A27" s="88"/>
      <c r="B27" s="88"/>
      <c r="F27" s="136"/>
      <c r="G27" s="135"/>
      <c r="I27" s="135"/>
    </row>
    <row r="28" spans="1:21" x14ac:dyDescent="0.3">
      <c r="F28" s="136"/>
      <c r="G28" s="135"/>
      <c r="I28" s="135"/>
    </row>
    <row r="29" spans="1:21" x14ac:dyDescent="0.3">
      <c r="F29" s="136"/>
      <c r="G29" s="135"/>
      <c r="I29" s="135"/>
    </row>
    <row r="30" spans="1:21" x14ac:dyDescent="0.3">
      <c r="F30" s="136"/>
      <c r="G30" s="135"/>
      <c r="I30" s="135"/>
    </row>
    <row r="31" spans="1:21" ht="14.25" customHeight="1" x14ac:dyDescent="0.3"/>
    <row r="32" spans="1:21" ht="14.25" customHeight="1" x14ac:dyDescent="0.3"/>
    <row r="33" ht="14.25" customHeight="1" x14ac:dyDescent="0.3"/>
    <row r="37" ht="15.75" customHeight="1" x14ac:dyDescent="0.3"/>
    <row r="38" ht="15" customHeight="1" x14ac:dyDescent="0.3"/>
    <row r="39" ht="15" customHeight="1" x14ac:dyDescent="0.3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30480</xdr:rowOff>
              </from>
              <to>
                <xdr:col>11</xdr:col>
                <xdr:colOff>579120</xdr:colOff>
                <xdr:row>21</xdr:row>
                <xdr:rowOff>99060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121920</xdr:colOff>
                <xdr:row>4</xdr:row>
                <xdr:rowOff>83820</xdr:rowOff>
              </from>
              <to>
                <xdr:col>5</xdr:col>
                <xdr:colOff>960120</xdr:colOff>
                <xdr:row>5</xdr:row>
                <xdr:rowOff>68580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45720</xdr:rowOff>
              </from>
              <to>
                <xdr:col>11</xdr:col>
                <xdr:colOff>548640</xdr:colOff>
                <xdr:row>19</xdr:row>
                <xdr:rowOff>83820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30480</xdr:rowOff>
              </from>
              <to>
                <xdr:col>11</xdr:col>
                <xdr:colOff>556260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563880</xdr:colOff>
                <xdr:row>15</xdr:row>
                <xdr:rowOff>53340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68580</xdr:rowOff>
              </from>
              <to>
                <xdr:col>11</xdr:col>
                <xdr:colOff>571500</xdr:colOff>
                <xdr:row>13</xdr:row>
                <xdr:rowOff>106680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586740</xdr:colOff>
                <xdr:row>11</xdr:row>
                <xdr:rowOff>106680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586740</xdr:colOff>
                <xdr:row>9</xdr:row>
                <xdr:rowOff>91440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45720</xdr:rowOff>
              </from>
              <to>
                <xdr:col>11</xdr:col>
                <xdr:colOff>601980</xdr:colOff>
                <xdr:row>7</xdr:row>
                <xdr:rowOff>175260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121920</xdr:rowOff>
              </from>
              <to>
                <xdr:col>11</xdr:col>
                <xdr:colOff>586740</xdr:colOff>
                <xdr:row>5</xdr:row>
                <xdr:rowOff>106680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784860</xdr:colOff>
                <xdr:row>13</xdr:row>
                <xdr:rowOff>38100</xdr:rowOff>
              </from>
              <to>
                <xdr:col>5</xdr:col>
                <xdr:colOff>693420</xdr:colOff>
                <xdr:row>13</xdr:row>
                <xdr:rowOff>259080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784860</xdr:colOff>
                <xdr:row>12</xdr:row>
                <xdr:rowOff>22860</xdr:rowOff>
              </from>
              <to>
                <xdr:col>5</xdr:col>
                <xdr:colOff>701040</xdr:colOff>
                <xdr:row>13</xdr:row>
                <xdr:rowOff>45720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731520</xdr:colOff>
                <xdr:row>9</xdr:row>
                <xdr:rowOff>0</xdr:rowOff>
              </from>
              <to>
                <xdr:col>5</xdr:col>
                <xdr:colOff>640080</xdr:colOff>
                <xdr:row>9</xdr:row>
                <xdr:rowOff>259080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731520</xdr:colOff>
                <xdr:row>7</xdr:row>
                <xdr:rowOff>228600</xdr:rowOff>
              </from>
              <to>
                <xdr:col>5</xdr:col>
                <xdr:colOff>640080</xdr:colOff>
                <xdr:row>9</xdr:row>
                <xdr:rowOff>30480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zoomScaleNormal="100" workbookViewId="0">
      <selection activeCell="K53" sqref="K53"/>
    </sheetView>
  </sheetViews>
  <sheetFormatPr defaultColWidth="11.5546875" defaultRowHeight="14.4" x14ac:dyDescent="0.3"/>
  <cols>
    <col min="1" max="1" width="9.6640625" customWidth="1"/>
    <col min="2" max="2" width="10.6640625" customWidth="1"/>
    <col min="3" max="10" width="13.109375" customWidth="1"/>
    <col min="11" max="11" width="9.33203125" customWidth="1"/>
    <col min="12" max="12" width="23.33203125" customWidth="1"/>
    <col min="13" max="13" width="12.109375" customWidth="1"/>
    <col min="21" max="21" width="14" customWidth="1"/>
  </cols>
  <sheetData>
    <row r="1" spans="1:32" x14ac:dyDescent="0.3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3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3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3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3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3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6" x14ac:dyDescent="0.3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" x14ac:dyDescent="0.3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3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3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" x14ac:dyDescent="0.35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" x14ac:dyDescent="0.35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" x14ac:dyDescent="0.35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" x14ac:dyDescent="0.35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5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3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3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3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3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3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3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3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3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3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3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3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3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3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" customHeight="1" x14ac:dyDescent="0.3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" customHeight="1" x14ac:dyDescent="0.3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" customHeight="1" x14ac:dyDescent="0.3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" customHeight="1" x14ac:dyDescent="0.3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" customHeight="1" x14ac:dyDescent="0.3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" customHeight="1" x14ac:dyDescent="0.3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" customHeight="1" x14ac:dyDescent="0.3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" customHeight="1" x14ac:dyDescent="0.3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" customHeight="1" x14ac:dyDescent="0.3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" customHeight="1" x14ac:dyDescent="0.3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" customHeight="1" x14ac:dyDescent="0.3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" customHeight="1" x14ac:dyDescent="0.3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" customHeight="1" x14ac:dyDescent="0.3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" customHeight="1" x14ac:dyDescent="0.3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" customHeight="1" x14ac:dyDescent="0.3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" customHeight="1" x14ac:dyDescent="0.3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" customHeight="1" x14ac:dyDescent="0.3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" customHeight="1" x14ac:dyDescent="0.3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" customHeight="1" x14ac:dyDescent="0.3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" customHeight="1" x14ac:dyDescent="0.3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" customHeight="1" x14ac:dyDescent="0.3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" customHeight="1" x14ac:dyDescent="0.3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" customHeight="1" x14ac:dyDescent="0.3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" customHeight="1" x14ac:dyDescent="0.3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" customHeight="1" x14ac:dyDescent="0.3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3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3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3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3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3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3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3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3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3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3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3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3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3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3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3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3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3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3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3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3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144780</xdr:colOff>
                <xdr:row>20</xdr:row>
                <xdr:rowOff>0</xdr:rowOff>
              </from>
              <to>
                <xdr:col>12</xdr:col>
                <xdr:colOff>68580</xdr:colOff>
                <xdr:row>21</xdr:row>
                <xdr:rowOff>106680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106680</xdr:colOff>
                <xdr:row>12</xdr:row>
                <xdr:rowOff>220980</xdr:rowOff>
              </from>
              <to>
                <xdr:col>12</xdr:col>
                <xdr:colOff>83820</xdr:colOff>
                <xdr:row>14</xdr:row>
                <xdr:rowOff>53340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99060</xdr:colOff>
                <xdr:row>14</xdr:row>
                <xdr:rowOff>22860</xdr:rowOff>
              </from>
              <to>
                <xdr:col>12</xdr:col>
                <xdr:colOff>144780</xdr:colOff>
                <xdr:row>15</xdr:row>
                <xdr:rowOff>76200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121920</xdr:colOff>
                <xdr:row>15</xdr:row>
                <xdr:rowOff>68580</xdr:rowOff>
              </from>
              <to>
                <xdr:col>12</xdr:col>
                <xdr:colOff>472440</xdr:colOff>
                <xdr:row>16</xdr:row>
                <xdr:rowOff>114300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121920</xdr:colOff>
                <xdr:row>16</xdr:row>
                <xdr:rowOff>114300</xdr:rowOff>
              </from>
              <to>
                <xdr:col>12</xdr:col>
                <xdr:colOff>167640</xdr:colOff>
                <xdr:row>18</xdr:row>
                <xdr:rowOff>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7620</xdr:rowOff>
              </from>
              <to>
                <xdr:col>12</xdr:col>
                <xdr:colOff>335280</xdr:colOff>
                <xdr:row>11</xdr:row>
                <xdr:rowOff>53340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defaultColWidth="11.44140625" defaultRowHeight="14.4" x14ac:dyDescent="0.3"/>
  <cols>
    <col min="1" max="1" width="7.88671875" style="11" customWidth="1"/>
    <col min="2" max="2" width="4" style="11" customWidth="1"/>
    <col min="3" max="3" width="11.44140625" style="11"/>
    <col min="4" max="4" width="15.33203125" style="11" customWidth="1"/>
    <col min="5" max="5" width="11.44140625" style="11"/>
    <col min="6" max="6" width="17.88671875" style="11" customWidth="1"/>
    <col min="7" max="7" width="11.44140625" style="11"/>
    <col min="8" max="8" width="4.6640625" style="11" customWidth="1"/>
    <col min="9" max="26" width="4.109375" style="11" customWidth="1"/>
    <col min="27" max="27" width="2.5546875" style="11" customWidth="1"/>
    <col min="28" max="28" width="6.44140625" style="11" customWidth="1"/>
    <col min="29" max="29" width="4.109375" style="11" customWidth="1"/>
    <col min="30" max="30" width="3.44140625" style="11" customWidth="1"/>
    <col min="31" max="45" width="4.109375" style="11" customWidth="1"/>
    <col min="46" max="46" width="11.44140625" style="11"/>
    <col min="47" max="47" width="13.44140625" style="11" customWidth="1"/>
    <col min="48" max="16384" width="11.44140625" style="11"/>
  </cols>
  <sheetData>
    <row r="2" spans="3:48" x14ac:dyDescent="0.3">
      <c r="L2" s="181"/>
    </row>
    <row r="3" spans="3:48" x14ac:dyDescent="0.3">
      <c r="L3" s="181"/>
    </row>
    <row r="5" spans="3:48" x14ac:dyDescent="0.3">
      <c r="AU5" s="11" t="s">
        <v>29</v>
      </c>
      <c r="AV5" s="220" t="s">
        <v>170</v>
      </c>
    </row>
    <row r="6" spans="3:48" ht="18" x14ac:dyDescent="0.3">
      <c r="C6" s="337" t="s">
        <v>72</v>
      </c>
      <c r="D6" s="337"/>
      <c r="E6" s="337"/>
      <c r="F6" s="337"/>
      <c r="H6" s="334" t="s">
        <v>167</v>
      </c>
      <c r="I6" s="334"/>
      <c r="J6" s="334"/>
      <c r="K6" s="334"/>
      <c r="AU6" s="11" t="s">
        <v>116</v>
      </c>
      <c r="AV6" s="220" t="s">
        <v>169</v>
      </c>
    </row>
    <row r="7" spans="3:48" ht="17.399999999999999" x14ac:dyDescent="0.3">
      <c r="C7" s="338" t="s">
        <v>26</v>
      </c>
      <c r="D7" s="338"/>
      <c r="E7" s="338"/>
      <c r="F7" s="175">
        <v>10.09</v>
      </c>
      <c r="H7" s="335" t="s">
        <v>24</v>
      </c>
      <c r="I7" s="335"/>
      <c r="J7" s="335">
        <v>122</v>
      </c>
      <c r="K7" s="335"/>
      <c r="L7" s="133"/>
      <c r="AU7" s="11" t="s">
        <v>10</v>
      </c>
      <c r="AV7" s="221" t="s">
        <v>257</v>
      </c>
    </row>
    <row r="8" spans="3:48" ht="20.25" customHeight="1" x14ac:dyDescent="0.3">
      <c r="C8" s="338" t="s">
        <v>25</v>
      </c>
      <c r="D8" s="338"/>
      <c r="E8" s="338"/>
      <c r="F8" s="175" t="s">
        <v>11</v>
      </c>
      <c r="H8" s="335" t="s">
        <v>23</v>
      </c>
      <c r="I8" s="335"/>
      <c r="J8" s="335">
        <v>36</v>
      </c>
      <c r="K8" s="335"/>
      <c r="L8" s="131"/>
      <c r="AU8" s="11" t="s">
        <v>11</v>
      </c>
      <c r="AV8" s="221" t="s">
        <v>258</v>
      </c>
    </row>
    <row r="9" spans="3:48" ht="15.6" x14ac:dyDescent="0.3">
      <c r="C9" s="338"/>
      <c r="D9" s="338"/>
      <c r="E9" s="338"/>
      <c r="F9" s="175"/>
      <c r="H9" s="334" t="s">
        <v>168</v>
      </c>
      <c r="I9" s="334"/>
      <c r="J9" s="334"/>
      <c r="K9" s="334"/>
      <c r="L9" s="222"/>
      <c r="AV9" s="220" t="s">
        <v>175</v>
      </c>
    </row>
    <row r="10" spans="3:48" ht="15.6" x14ac:dyDescent="0.35">
      <c r="C10" s="338" t="s">
        <v>91</v>
      </c>
      <c r="D10" s="338"/>
      <c r="E10" s="338"/>
      <c r="F10" s="175">
        <v>3</v>
      </c>
      <c r="H10" s="336" t="s">
        <v>21</v>
      </c>
      <c r="I10" s="336"/>
      <c r="J10" s="332">
        <v>0</v>
      </c>
      <c r="K10" s="332"/>
      <c r="AV10" s="223" t="s">
        <v>259</v>
      </c>
    </row>
    <row r="11" spans="3:48" ht="15.6" x14ac:dyDescent="0.35">
      <c r="C11" s="338"/>
      <c r="D11" s="338"/>
      <c r="E11" s="338"/>
      <c r="F11" s="175"/>
      <c r="H11" s="336" t="s">
        <v>22</v>
      </c>
      <c r="I11" s="336"/>
      <c r="J11" s="332">
        <v>0</v>
      </c>
      <c r="K11" s="332"/>
      <c r="AV11" s="223" t="s">
        <v>260</v>
      </c>
    </row>
    <row r="12" spans="3:48" ht="15.75" customHeight="1" x14ac:dyDescent="0.3">
      <c r="C12" s="337" t="s">
        <v>1</v>
      </c>
      <c r="D12" s="337"/>
      <c r="E12" s="337"/>
      <c r="F12" s="337"/>
      <c r="G12" s="224"/>
    </row>
    <row r="13" spans="3:48" x14ac:dyDescent="0.3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" thickBot="1" x14ac:dyDescent="0.35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3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1"/>
      <c r="Z15" s="331"/>
      <c r="AA15" s="331"/>
      <c r="AB15" s="232"/>
    </row>
    <row r="16" spans="3:48" ht="15" customHeight="1" thickBot="1" x14ac:dyDescent="0.35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3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29"/>
      <c r="N17" s="329"/>
      <c r="O17" s="329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5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3">
      <c r="C19" s="225">
        <v>6</v>
      </c>
      <c r="D19" s="175"/>
      <c r="E19" s="175"/>
      <c r="F19" s="175"/>
      <c r="H19" s="247"/>
      <c r="I19" s="248"/>
      <c r="J19" s="234"/>
      <c r="K19" s="234"/>
      <c r="M19" s="329"/>
      <c r="N19" s="329"/>
      <c r="O19" s="329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3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3">
      <c r="C21" s="225">
        <v>8</v>
      </c>
      <c r="D21" s="175"/>
      <c r="E21" s="175"/>
      <c r="F21" s="175"/>
      <c r="I21" s="239"/>
      <c r="J21" s="222"/>
      <c r="K21" s="222"/>
      <c r="L21" s="222"/>
      <c r="M21" s="329"/>
      <c r="N21" s="329"/>
      <c r="O21" s="329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3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3">
      <c r="C23" s="225">
        <v>10</v>
      </c>
      <c r="D23" s="175"/>
      <c r="E23" s="175"/>
      <c r="F23" s="175"/>
      <c r="I23" s="239"/>
      <c r="M23" s="329"/>
      <c r="N23" s="329"/>
      <c r="O23" s="329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3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3">
      <c r="E25" s="179"/>
      <c r="F25" s="179"/>
      <c r="G25" s="179"/>
      <c r="I25" s="239"/>
      <c r="M25" s="330"/>
      <c r="N25" s="330"/>
      <c r="O25" s="330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3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3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6.2" x14ac:dyDescent="0.3">
      <c r="F28" s="94"/>
      <c r="I28" s="239"/>
    </row>
    <row r="29" spans="3:28" ht="16.2" x14ac:dyDescent="0.3">
      <c r="F29" s="94"/>
    </row>
    <row r="30" spans="3:28" ht="15.6" x14ac:dyDescent="0.3">
      <c r="G30" s="134"/>
      <c r="H30" s="134"/>
      <c r="I30" s="134"/>
      <c r="J30" s="13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1211580</xdr:colOff>
                <xdr:row>8</xdr:row>
                <xdr:rowOff>22860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E15" sqref="E15"/>
    </sheetView>
  </sheetViews>
  <sheetFormatPr defaultColWidth="11.44140625" defaultRowHeight="14.4" x14ac:dyDescent="0.3"/>
  <cols>
    <col min="1" max="1" width="7.88671875" style="188" customWidth="1"/>
    <col min="2" max="2" width="5.88671875" style="188" customWidth="1"/>
    <col min="3" max="3" width="11.44140625" style="188"/>
    <col min="4" max="4" width="14.88671875" style="188" customWidth="1"/>
    <col min="5" max="5" width="11.44140625" style="188"/>
    <col min="6" max="6" width="19.6640625" style="188" customWidth="1"/>
    <col min="7" max="7" width="11.44140625" style="188"/>
    <col min="8" max="11" width="14.33203125" style="188" customWidth="1"/>
    <col min="12" max="12" width="14.44140625" style="188" customWidth="1"/>
    <col min="13" max="16384" width="11.44140625" style="188"/>
  </cols>
  <sheetData>
    <row r="1" spans="1:3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39"/>
      <c r="AA4" s="339"/>
      <c r="AB4" s="339"/>
      <c r="AC4" s="339"/>
      <c r="AD4" s="339"/>
      <c r="AE4" s="339"/>
    </row>
    <row r="5" spans="1:31" x14ac:dyDescent="0.3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6" x14ac:dyDescent="0.3">
      <c r="A6" s="187"/>
      <c r="B6"/>
      <c r="C6"/>
      <c r="D6"/>
      <c r="E6"/>
      <c r="F6"/>
      <c r="G6"/>
      <c r="H6"/>
      <c r="I6" s="340" t="s">
        <v>42</v>
      </c>
      <c r="J6" s="341"/>
      <c r="K6" s="341"/>
      <c r="L6" s="342"/>
      <c r="M6"/>
      <c r="N6"/>
      <c r="O6"/>
    </row>
    <row r="7" spans="1:31" ht="18" customHeight="1" x14ac:dyDescent="0.3">
      <c r="A7" s="187"/>
      <c r="B7"/>
      <c r="C7" s="348" t="s">
        <v>91</v>
      </c>
      <c r="D7" s="348"/>
      <c r="E7" s="348"/>
      <c r="F7" s="173">
        <v>3</v>
      </c>
      <c r="G7"/>
      <c r="H7"/>
      <c r="I7" s="344" t="s">
        <v>44</v>
      </c>
      <c r="J7" s="344"/>
      <c r="K7" s="343" t="s">
        <v>43</v>
      </c>
      <c r="L7" s="343"/>
      <c r="M7"/>
      <c r="N7"/>
      <c r="O7"/>
    </row>
    <row r="8" spans="1:31" ht="18" customHeight="1" x14ac:dyDescent="0.3">
      <c r="A8" s="187"/>
      <c r="B8"/>
      <c r="C8"/>
      <c r="D8"/>
      <c r="E8"/>
      <c r="F8" s="170"/>
      <c r="G8"/>
      <c r="H8"/>
      <c r="I8" s="344" t="s">
        <v>45</v>
      </c>
      <c r="J8" s="344"/>
      <c r="K8" s="343" t="s">
        <v>43</v>
      </c>
      <c r="L8" s="343"/>
      <c r="M8"/>
      <c r="N8"/>
      <c r="O8"/>
    </row>
    <row r="9" spans="1:31" x14ac:dyDescent="0.3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" x14ac:dyDescent="0.3">
      <c r="A11" s="187"/>
      <c r="B11"/>
      <c r="C11" s="345" t="s">
        <v>1</v>
      </c>
      <c r="D11" s="346"/>
      <c r="E11" s="346"/>
      <c r="F11" s="347"/>
      <c r="G11"/>
      <c r="H11"/>
      <c r="I11"/>
      <c r="J11"/>
      <c r="K11"/>
      <c r="L11"/>
      <c r="M11"/>
      <c r="N11"/>
      <c r="O11"/>
    </row>
    <row r="12" spans="1:31" x14ac:dyDescent="0.3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3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3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3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8" t="s">
        <v>151</v>
      </c>
      <c r="J15" s="348"/>
      <c r="K15" s="348"/>
      <c r="L15" s="203" t="s">
        <v>256</v>
      </c>
      <c r="M15" s="133"/>
      <c r="N15" s="133"/>
      <c r="O15" s="133"/>
    </row>
    <row r="16" spans="1:31" ht="15.75" customHeight="1" x14ac:dyDescent="0.3">
      <c r="A16" s="187"/>
      <c r="B16"/>
      <c r="C16" s="114">
        <v>4</v>
      </c>
      <c r="D16" s="173"/>
      <c r="E16" s="173"/>
      <c r="F16" s="173"/>
      <c r="G16"/>
      <c r="H16"/>
      <c r="I16" s="348" t="s">
        <v>152</v>
      </c>
      <c r="J16" s="348"/>
      <c r="K16" s="348"/>
      <c r="L16" s="203" t="s">
        <v>256</v>
      </c>
      <c r="M16" s="133"/>
      <c r="N16" s="133"/>
      <c r="O16" s="133"/>
    </row>
    <row r="17" spans="1:26" ht="16.2" x14ac:dyDescent="0.4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6.2" x14ac:dyDescent="0.4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6.2" x14ac:dyDescent="0.4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3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3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3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3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" x14ac:dyDescent="0.3">
      <c r="A24" s="187"/>
      <c r="E24" s="211"/>
      <c r="F24" s="211"/>
      <c r="Z24" s="212"/>
    </row>
    <row r="25" spans="1:26" ht="18" x14ac:dyDescent="0.3">
      <c r="A25" s="187"/>
      <c r="G25" s="211"/>
      <c r="Z25" s="212"/>
    </row>
    <row r="26" spans="1:26" ht="16.2" x14ac:dyDescent="0.3">
      <c r="A26" s="187"/>
      <c r="F26" s="213"/>
      <c r="Z26" s="212" t="s">
        <v>254</v>
      </c>
    </row>
    <row r="27" spans="1:26" ht="16.2" x14ac:dyDescent="0.3">
      <c r="A27" s="187"/>
      <c r="F27" s="213"/>
      <c r="Z27" s="212" t="s">
        <v>255</v>
      </c>
    </row>
    <row r="28" spans="1:26" ht="16.2" x14ac:dyDescent="0.3">
      <c r="A28" s="187"/>
      <c r="F28" s="213"/>
      <c r="Z28" s="212">
        <v>6.1799999999999998E-8</v>
      </c>
    </row>
    <row r="29" spans="1:26" x14ac:dyDescent="0.3">
      <c r="Z29" s="212">
        <v>3.95</v>
      </c>
    </row>
    <row r="30" spans="1:26" x14ac:dyDescent="0.3">
      <c r="Z30" s="212">
        <v>1.1358E-3</v>
      </c>
    </row>
    <row r="31" spans="1:26" x14ac:dyDescent="0.3">
      <c r="Z31" s="214">
        <v>3.2909999999999999</v>
      </c>
    </row>
    <row r="32" spans="1:26" x14ac:dyDescent="0.3">
      <c r="Z32" s="212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11</xdr:col>
                <xdr:colOff>960120</xdr:colOff>
                <xdr:row>7</xdr:row>
                <xdr:rowOff>15240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960120</xdr:colOff>
                <xdr:row>8</xdr:row>
                <xdr:rowOff>22860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6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144780</xdr:rowOff>
              </from>
              <to>
                <xdr:col>11</xdr:col>
                <xdr:colOff>274320</xdr:colOff>
                <xdr:row>12</xdr:row>
                <xdr:rowOff>83820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F8" sqref="F8"/>
    </sheetView>
  </sheetViews>
  <sheetFormatPr defaultColWidth="11.5546875" defaultRowHeight="14.4" x14ac:dyDescent="0.3"/>
  <cols>
    <col min="1" max="1" width="7.88671875" customWidth="1"/>
    <col min="2" max="2" width="4" customWidth="1"/>
    <col min="6" max="6" width="19.6640625" customWidth="1"/>
    <col min="7" max="7" width="12.88671875" customWidth="1"/>
    <col min="9" max="14" width="14.33203125" customWidth="1"/>
  </cols>
  <sheetData>
    <row r="1" spans="1:42" x14ac:dyDescent="0.3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3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3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3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3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" x14ac:dyDescent="0.3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6" x14ac:dyDescent="0.3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3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3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3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3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" x14ac:dyDescent="0.3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28.8" x14ac:dyDescent="0.3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3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3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3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6.2" x14ac:dyDescent="0.4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6.2" x14ac:dyDescent="0.4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6.2" x14ac:dyDescent="0.4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3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3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3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3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3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" x14ac:dyDescent="0.3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3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6.2" x14ac:dyDescent="0.3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6.2" x14ac:dyDescent="0.3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6.2" x14ac:dyDescent="0.3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3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3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3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3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3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3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3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3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3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3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3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3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3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3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3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3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3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3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3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3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3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3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3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3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3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3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3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3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3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3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3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3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3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3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3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3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3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3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3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3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3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zoomScale="85" zoomScaleNormal="85" workbookViewId="0">
      <selection activeCell="B4" sqref="B4"/>
    </sheetView>
  </sheetViews>
  <sheetFormatPr defaultColWidth="11.5546875" defaultRowHeight="14.4" x14ac:dyDescent="0.3"/>
  <cols>
    <col min="1" max="1" width="9.6640625" customWidth="1"/>
    <col min="2" max="2" width="20.109375" customWidth="1"/>
    <col min="3" max="5" width="10.88671875" customWidth="1"/>
    <col min="6" max="6" width="13.44140625" customWidth="1"/>
    <col min="7" max="7" width="14.33203125" customWidth="1"/>
    <col min="8" max="8" width="14.6640625" customWidth="1"/>
    <col min="9" max="9" width="16.33203125" customWidth="1"/>
    <col min="10" max="10" width="11.6640625" bestFit="1" customWidth="1"/>
    <col min="11" max="11" width="12.5546875" customWidth="1"/>
    <col min="12" max="13" width="11.88671875" bestFit="1" customWidth="1"/>
    <col min="14" max="15" width="11.6640625" bestFit="1" customWidth="1"/>
    <col min="17" max="17" width="11.88671875" bestFit="1" customWidth="1"/>
    <col min="18" max="20" width="11.6640625" bestFit="1" customWidth="1"/>
    <col min="22" max="22" width="11.88671875" bestFit="1" customWidth="1"/>
    <col min="23" max="24" width="11.6640625" bestFit="1" customWidth="1"/>
    <col min="25" max="25" width="13" customWidth="1"/>
    <col min="26" max="26" width="14.44140625" customWidth="1"/>
    <col min="28" max="34" width="14.5546875" customWidth="1"/>
    <col min="35" max="35" width="12.33203125" customWidth="1"/>
    <col min="37" max="38" width="11.6640625" bestFit="1" customWidth="1"/>
    <col min="39" max="40" width="16.44140625" bestFit="1" customWidth="1"/>
    <col min="42" max="42" width="12.88671875" customWidth="1"/>
    <col min="43" max="43" width="12.33203125" customWidth="1"/>
    <col min="44" max="44" width="13.44140625" customWidth="1"/>
    <col min="45" max="45" width="11.88671875" customWidth="1"/>
    <col min="46" max="46" width="13.44140625" customWidth="1"/>
    <col min="47" max="47" width="11.33203125" customWidth="1"/>
    <col min="48" max="48" width="13.44140625" customWidth="1"/>
    <col min="49" max="49" width="12" customWidth="1"/>
    <col min="50" max="50" width="4.88671875" customWidth="1"/>
    <col min="51" max="51" width="18.44140625" customWidth="1"/>
    <col min="52" max="52" width="17.33203125" customWidth="1"/>
    <col min="53" max="53" width="4" customWidth="1"/>
    <col min="54" max="63" width="9.5546875" customWidth="1"/>
    <col min="65" max="74" width="10.6640625" customWidth="1"/>
  </cols>
  <sheetData>
    <row r="1" spans="1:97" s="11" customFormat="1" ht="15" customHeight="1" x14ac:dyDescent="0.3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3">
      <c r="B2" s="96"/>
      <c r="C2" s="123"/>
      <c r="D2" s="123"/>
      <c r="E2" s="123"/>
      <c r="F2" s="97"/>
      <c r="G2" s="379" t="s">
        <v>65</v>
      </c>
      <c r="H2" s="379"/>
      <c r="I2" s="379"/>
      <c r="J2" s="379"/>
      <c r="K2" s="376"/>
      <c r="L2" s="377" t="s">
        <v>49</v>
      </c>
      <c r="M2" s="380"/>
      <c r="N2" s="380"/>
      <c r="O2" s="380"/>
      <c r="P2" s="378"/>
      <c r="Q2" s="381" t="s">
        <v>50</v>
      </c>
      <c r="R2" s="382"/>
      <c r="S2" s="382"/>
      <c r="T2" s="382"/>
      <c r="U2" s="383"/>
      <c r="V2" s="377" t="s">
        <v>51</v>
      </c>
      <c r="W2" s="380"/>
      <c r="X2" s="380"/>
      <c r="Y2" s="380"/>
      <c r="Z2" s="378"/>
      <c r="AB2" s="377" t="s">
        <v>0</v>
      </c>
      <c r="AC2" s="378"/>
      <c r="AD2" s="381" t="s">
        <v>31</v>
      </c>
      <c r="AE2" s="383"/>
      <c r="AF2" s="377" t="s">
        <v>10</v>
      </c>
      <c r="AG2" s="378"/>
      <c r="AH2" s="381" t="s">
        <v>11</v>
      </c>
      <c r="AI2" s="383"/>
      <c r="AK2" s="377" t="s">
        <v>60</v>
      </c>
      <c r="AL2" s="380"/>
      <c r="AM2" s="380"/>
      <c r="AN2" s="378"/>
      <c r="AP2" s="377" t="s">
        <v>0</v>
      </c>
      <c r="AQ2" s="378"/>
      <c r="AR2" s="375" t="s">
        <v>31</v>
      </c>
      <c r="AS2" s="376"/>
      <c r="AT2" s="377" t="s">
        <v>10</v>
      </c>
      <c r="AU2" s="378"/>
      <c r="AV2" s="375" t="s">
        <v>11</v>
      </c>
      <c r="AW2" s="376"/>
      <c r="AY2" s="316"/>
      <c r="AZ2" s="97"/>
      <c r="BB2" s="370" t="s">
        <v>61</v>
      </c>
      <c r="BC2" s="371"/>
      <c r="BD2" s="371"/>
      <c r="BE2" s="371"/>
      <c r="BF2" s="372"/>
      <c r="BG2" s="373" t="s">
        <v>62</v>
      </c>
      <c r="BH2" s="374"/>
      <c r="BI2" s="374"/>
      <c r="BJ2" s="374"/>
      <c r="BK2" s="374"/>
      <c r="BM2" s="370" t="s">
        <v>61</v>
      </c>
      <c r="BN2" s="371"/>
      <c r="BO2" s="371"/>
      <c r="BP2" s="371"/>
      <c r="BQ2" s="372"/>
      <c r="BR2" s="373" t="s">
        <v>62</v>
      </c>
      <c r="BS2" s="374"/>
      <c r="BT2" s="374"/>
      <c r="BU2" s="374"/>
      <c r="BV2" s="374"/>
      <c r="CA2" s="132" t="e">
        <v>#DIV/0!</v>
      </c>
      <c r="CB2">
        <v>3</v>
      </c>
    </row>
    <row r="3" spans="1:97" ht="42" customHeight="1" x14ac:dyDescent="0.3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3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3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3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3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3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3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3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3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3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3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3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3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3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3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3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3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3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3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3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3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3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3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3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3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3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3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3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3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3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3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3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3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3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3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3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3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3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3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3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3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3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3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3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3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3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3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3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3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3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3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3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3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3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3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3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3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3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3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3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3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3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3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3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3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3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3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3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3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3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3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3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3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3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3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3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3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3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3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3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3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3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3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3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3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3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3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3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3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3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3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3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3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3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3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3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3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3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3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3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3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3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3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3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3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3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3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3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3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3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3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3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3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3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3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3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3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3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3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3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3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3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3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3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3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3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3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3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3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3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3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3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3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3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3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3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3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3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3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3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3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3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3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3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3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3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3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3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3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3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3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3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3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3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3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3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3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3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3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3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3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3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3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3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3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3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3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3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3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3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3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3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3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3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3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3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3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3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3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3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3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3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3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3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3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3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3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3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3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3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3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3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3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3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3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3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3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3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3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3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3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3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3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3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3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3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3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3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3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3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3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3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3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3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3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3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3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3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3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3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3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3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3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3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3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3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3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3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3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3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3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3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3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3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3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3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3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3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3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3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3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3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3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3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3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3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3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3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3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3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3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3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3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3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3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3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3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3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3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3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3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3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3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3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3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3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3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3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3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3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3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3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3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3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3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3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3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3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3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3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3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3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3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3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3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3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3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3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3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3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3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3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3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3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3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3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3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3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3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3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3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3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3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3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3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3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3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3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3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3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3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3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3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3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3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3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3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3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3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3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3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3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3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3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3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3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3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3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3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3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3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3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3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3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3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3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3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3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3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3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3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3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3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3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3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3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3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3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3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3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3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3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3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3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3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3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3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3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3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3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3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3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3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3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3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3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3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3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3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3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3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3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3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3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3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3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3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3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3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3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3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3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3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3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3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3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3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3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3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3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3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3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3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3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3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3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3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3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3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3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3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3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3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3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3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3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3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3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3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3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3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3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3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3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3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3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3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3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3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3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3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3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3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3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3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3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3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3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3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3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3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3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3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3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3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3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3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3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3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3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3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3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3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3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3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3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3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3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3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3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3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3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3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3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3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3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3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3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3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3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3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3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3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3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3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3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3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3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3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3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3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3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3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3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3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3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3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3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3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3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3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3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3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3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3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3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3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3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3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3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3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3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3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3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3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3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3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3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3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3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3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3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3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3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3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3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3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3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3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3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3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3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3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3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3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3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3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3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3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3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3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3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3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3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3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3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3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3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3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3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3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3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3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3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3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3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3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3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3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3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3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3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3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3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3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3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3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3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3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3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3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3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3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3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3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3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3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3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3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3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3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3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3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3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3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3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3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3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3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3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3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3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3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3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3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3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3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3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3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3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3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3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3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3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3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3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3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3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3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3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3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3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3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3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3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3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3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3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3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3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3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3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3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3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3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3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3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3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3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3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3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3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3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3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3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3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3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3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3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3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3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3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3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3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3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3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3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3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3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3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3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3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3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3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3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3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3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3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3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3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3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3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3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3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3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3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3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3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3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3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3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3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3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3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3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3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3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3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3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3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3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3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3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3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3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3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3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3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3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3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3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3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3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3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3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3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3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3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3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3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3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3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3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3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3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3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3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3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3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3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3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3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3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3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3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3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3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3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3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3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3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3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3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3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3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3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3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3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3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3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3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3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3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3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3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3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3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3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3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3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3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3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3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3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3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3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3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3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3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3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3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3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3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3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3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3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3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3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3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3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3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3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3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3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3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3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3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3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3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3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3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3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3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3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3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3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3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3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3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3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3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3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3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3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3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3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3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3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3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3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3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3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3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3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3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3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3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3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3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3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3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3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3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3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3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3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3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3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3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3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3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3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3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3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3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3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3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3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3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3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3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3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3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3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3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3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3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3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3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3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3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3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3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3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3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3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3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3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3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3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3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3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3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3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3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3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3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3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3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3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3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3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3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3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3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3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3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3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3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3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3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3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3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3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3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3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3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3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3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3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3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3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3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3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3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3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3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3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3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3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3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3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3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3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3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3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3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3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3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3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3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3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3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3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3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3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3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3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3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3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3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3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3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3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3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3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3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3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3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3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3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3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3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3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3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3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3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3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3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3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3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3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3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3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3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3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3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3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3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3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3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3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3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3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3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3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3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3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3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3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3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3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3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3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3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3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3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3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3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3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3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3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3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3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3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3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3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3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3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3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3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3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3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3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3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3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3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3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3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3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3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3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3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3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3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3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3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3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3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3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3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3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3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3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3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3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3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3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3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3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3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3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3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3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3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3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3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3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3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3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3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3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3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3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3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3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3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3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3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3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3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3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3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3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3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3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3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3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3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3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3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3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3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3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3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3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3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3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3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3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3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3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3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3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3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3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3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3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3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3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3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3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3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3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3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2:BQ2"/>
    <mergeCell ref="BR2:BV2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6.5546875" customWidth="1"/>
    <col min="2" max="4" width="13.5546875" customWidth="1"/>
  </cols>
  <sheetData>
    <row r="1" spans="1:29" ht="15" customHeigh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3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3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54" t="s">
        <v>153</v>
      </c>
      <c r="Q3" s="354"/>
      <c r="R3" s="354"/>
      <c r="S3" s="354" t="s">
        <v>154</v>
      </c>
      <c r="T3" s="354"/>
      <c r="U3" s="354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3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3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3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3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3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3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3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3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3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3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3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3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3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3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3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3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3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6" x14ac:dyDescent="0.3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6" x14ac:dyDescent="0.3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6" x14ac:dyDescent="0.3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defaultColWidth="11.44140625" defaultRowHeight="14.4" x14ac:dyDescent="0.3"/>
  <cols>
    <col min="1" max="1" width="7.88671875" style="188" customWidth="1"/>
    <col min="2" max="2" width="5.6640625" style="188" customWidth="1"/>
    <col min="3" max="3" width="11.109375" style="188" customWidth="1"/>
    <col min="4" max="4" width="14" style="188" customWidth="1"/>
    <col min="5" max="5" width="11.109375" style="188" customWidth="1"/>
    <col min="6" max="6" width="18" style="188" customWidth="1"/>
    <col min="7" max="7" width="12.88671875" style="188" customWidth="1"/>
    <col min="8" max="8" width="16.5546875" style="188" customWidth="1"/>
    <col min="9" max="10" width="11.44140625" style="188"/>
    <col min="11" max="11" width="9.44140625" style="188" customWidth="1"/>
    <col min="12" max="12" width="9.33203125" style="188" customWidth="1"/>
    <col min="13" max="81" width="9.109375" style="188" customWidth="1"/>
    <col min="82" max="16384" width="11.44140625" style="188"/>
  </cols>
  <sheetData>
    <row r="1" spans="1:8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6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3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3">
      <c r="A6" s="187"/>
      <c r="B6"/>
      <c r="C6"/>
      <c r="D6"/>
      <c r="E6"/>
      <c r="F6"/>
      <c r="G6"/>
      <c r="H6"/>
      <c r="I6" s="361" t="s">
        <v>251</v>
      </c>
      <c r="J6" s="361"/>
      <c r="K6" s="361"/>
      <c r="L6" s="361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3">
      <c r="A7" s="187"/>
      <c r="B7"/>
      <c r="C7" s="355" t="s">
        <v>91</v>
      </c>
      <c r="D7" s="355"/>
      <c r="E7" s="355"/>
      <c r="F7" s="178">
        <f>'Análisis Espectral'!F7</f>
        <v>3</v>
      </c>
      <c r="G7"/>
      <c r="H7"/>
      <c r="I7" s="344" t="s">
        <v>250</v>
      </c>
      <c r="J7" s="344"/>
      <c r="K7" s="343" t="s">
        <v>43</v>
      </c>
      <c r="L7" s="343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3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3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3">
      <c r="A11" s="187"/>
      <c r="B11"/>
      <c r="C11" s="356" t="s">
        <v>1</v>
      </c>
      <c r="D11" s="357"/>
      <c r="E11" s="357"/>
      <c r="F11" s="358"/>
      <c r="G11" s="359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3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60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3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6" x14ac:dyDescent="0.3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3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55" t="s">
        <v>151</v>
      </c>
      <c r="J15" s="355"/>
      <c r="K15" s="355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3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55" t="s">
        <v>152</v>
      </c>
      <c r="J16" s="355"/>
      <c r="K16" s="355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3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3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3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3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3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3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3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3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3">
      <c r="A25" s="187"/>
      <c r="J25" s="204"/>
      <c r="Q25" s="200"/>
      <c r="R25" s="200"/>
      <c r="S25" s="200"/>
      <c r="T25" s="200"/>
    </row>
    <row r="26" spans="1:20" x14ac:dyDescent="0.3">
      <c r="A26" s="187"/>
      <c r="J26" s="204"/>
      <c r="Q26" s="200"/>
      <c r="R26" s="200"/>
      <c r="S26" s="200"/>
      <c r="T26" s="200"/>
    </row>
    <row r="27" spans="1:20" x14ac:dyDescent="0.3">
      <c r="A27" s="187"/>
      <c r="J27" s="204"/>
      <c r="Q27" s="200"/>
      <c r="R27" s="200"/>
      <c r="S27" s="200"/>
      <c r="T27" s="200"/>
    </row>
    <row r="28" spans="1:20" x14ac:dyDescent="0.3">
      <c r="A28" s="187"/>
      <c r="J28" s="204"/>
      <c r="Q28" s="200"/>
      <c r="R28" s="200"/>
      <c r="S28" s="200"/>
      <c r="T28" s="200"/>
    </row>
    <row r="29" spans="1:20" x14ac:dyDescent="0.3">
      <c r="A29" s="187"/>
      <c r="J29" s="204"/>
      <c r="Q29" s="200"/>
      <c r="R29" s="200"/>
      <c r="S29" s="200"/>
      <c r="T29" s="200"/>
    </row>
    <row r="30" spans="1:20" x14ac:dyDescent="0.3">
      <c r="A30" s="187"/>
      <c r="J30" s="204"/>
      <c r="Q30" s="200"/>
      <c r="R30" s="200"/>
      <c r="S30" s="200"/>
      <c r="T30" s="200"/>
    </row>
    <row r="31" spans="1:20" x14ac:dyDescent="0.3">
      <c r="A31" s="187"/>
      <c r="J31" s="204"/>
      <c r="Q31" s="200"/>
      <c r="R31" s="200"/>
      <c r="S31" s="200"/>
      <c r="T31" s="200"/>
    </row>
    <row r="32" spans="1:20" x14ac:dyDescent="0.3">
      <c r="A32" s="187"/>
      <c r="J32" s="204"/>
      <c r="Q32" s="200"/>
      <c r="R32" s="200"/>
      <c r="S32" s="200"/>
      <c r="T32" s="200"/>
    </row>
    <row r="33" spans="1:20" x14ac:dyDescent="0.3">
      <c r="A33" s="187"/>
      <c r="J33" s="204"/>
      <c r="Q33" s="200"/>
      <c r="R33" s="200"/>
      <c r="S33" s="200"/>
      <c r="T33" s="200"/>
    </row>
    <row r="34" spans="1:20" x14ac:dyDescent="0.3">
      <c r="A34" s="187"/>
      <c r="J34" s="204"/>
      <c r="Q34" s="200"/>
      <c r="R34" s="200"/>
      <c r="S34" s="200"/>
      <c r="T34" s="200"/>
    </row>
    <row r="35" spans="1:20" x14ac:dyDescent="0.3">
      <c r="A35" s="187"/>
      <c r="J35" s="204"/>
      <c r="Q35" s="200"/>
      <c r="R35" s="200"/>
      <c r="S35" s="200"/>
      <c r="T35" s="200"/>
    </row>
    <row r="36" spans="1:20" x14ac:dyDescent="0.3">
      <c r="A36" s="187"/>
      <c r="J36" s="204"/>
      <c r="Q36" s="200"/>
      <c r="R36" s="200"/>
      <c r="S36" s="200"/>
      <c r="T36" s="200"/>
    </row>
    <row r="37" spans="1:20" x14ac:dyDescent="0.3">
      <c r="A37" s="187"/>
      <c r="J37" s="204"/>
      <c r="Q37" s="200"/>
      <c r="R37" s="200"/>
      <c r="S37" s="200"/>
      <c r="T37" s="200"/>
    </row>
    <row r="38" spans="1:20" x14ac:dyDescent="0.3">
      <c r="A38" s="187"/>
      <c r="J38" s="204"/>
      <c r="Q38" s="200"/>
      <c r="R38" s="200"/>
      <c r="S38" s="200"/>
      <c r="T38" s="200"/>
    </row>
    <row r="39" spans="1:20" x14ac:dyDescent="0.3">
      <c r="A39" s="187"/>
      <c r="J39" s="204"/>
      <c r="Q39" s="200"/>
      <c r="R39" s="200"/>
      <c r="S39" s="200"/>
      <c r="T39" s="200"/>
    </row>
    <row r="40" spans="1:20" x14ac:dyDescent="0.3">
      <c r="J40" s="204"/>
      <c r="Q40" s="200"/>
      <c r="R40" s="200"/>
      <c r="S40" s="200"/>
      <c r="T40" s="200"/>
    </row>
    <row r="41" spans="1:20" x14ac:dyDescent="0.3">
      <c r="J41" s="204"/>
      <c r="Q41" s="200"/>
      <c r="R41" s="200"/>
      <c r="S41" s="200"/>
      <c r="T41" s="200"/>
    </row>
    <row r="42" spans="1:20" x14ac:dyDescent="0.3">
      <c r="J42" s="204"/>
      <c r="Q42" s="200"/>
      <c r="R42" s="200"/>
      <c r="S42" s="200"/>
      <c r="T42" s="200"/>
    </row>
    <row r="43" spans="1:20" x14ac:dyDescent="0.3">
      <c r="J43" s="204"/>
      <c r="Q43" s="200"/>
      <c r="R43" s="200"/>
      <c r="S43" s="200"/>
      <c r="T43" s="200"/>
    </row>
    <row r="44" spans="1:20" x14ac:dyDescent="0.3">
      <c r="J44" s="204"/>
      <c r="Q44" s="200"/>
      <c r="R44" s="200"/>
      <c r="S44" s="200"/>
      <c r="T44" s="200"/>
    </row>
    <row r="45" spans="1:20" x14ac:dyDescent="0.3">
      <c r="J45" s="204"/>
      <c r="Q45" s="200"/>
      <c r="R45" s="200"/>
      <c r="S45" s="200"/>
      <c r="T45" s="200"/>
    </row>
    <row r="46" spans="1:20" x14ac:dyDescent="0.3">
      <c r="J46" s="204"/>
      <c r="Q46" s="200"/>
      <c r="R46" s="200"/>
      <c r="S46" s="200"/>
      <c r="T46" s="200"/>
    </row>
    <row r="47" spans="1:20" x14ac:dyDescent="0.3">
      <c r="J47" s="204"/>
      <c r="Q47" s="200"/>
      <c r="R47" s="200"/>
      <c r="S47" s="200"/>
      <c r="T47" s="200"/>
    </row>
    <row r="48" spans="1:20" x14ac:dyDescent="0.3">
      <c r="J48" s="204"/>
      <c r="Q48" s="200"/>
      <c r="R48" s="200"/>
      <c r="S48" s="200"/>
      <c r="T48" s="200"/>
    </row>
    <row r="49" spans="10:20" x14ac:dyDescent="0.3">
      <c r="J49" s="204"/>
      <c r="Q49" s="200"/>
      <c r="R49" s="200"/>
      <c r="S49" s="200"/>
      <c r="T49" s="200"/>
    </row>
    <row r="50" spans="10:20" x14ac:dyDescent="0.3">
      <c r="J50" s="204"/>
      <c r="Q50" s="200"/>
      <c r="R50" s="200"/>
      <c r="S50" s="200"/>
      <c r="T50" s="200"/>
    </row>
    <row r="51" spans="10:20" x14ac:dyDescent="0.3">
      <c r="J51" s="204"/>
      <c r="Q51" s="200"/>
      <c r="R51" s="200"/>
      <c r="S51" s="200"/>
      <c r="T51" s="200"/>
    </row>
    <row r="52" spans="10:20" x14ac:dyDescent="0.3">
      <c r="J52" s="204"/>
      <c r="Q52" s="200"/>
      <c r="R52" s="200"/>
      <c r="S52" s="200"/>
      <c r="T52" s="200"/>
    </row>
    <row r="53" spans="10:20" x14ac:dyDescent="0.3">
      <c r="J53" s="204"/>
      <c r="Q53" s="200"/>
      <c r="R53" s="200"/>
      <c r="S53" s="200"/>
      <c r="T53" s="200"/>
    </row>
    <row r="54" spans="10:20" x14ac:dyDescent="0.3">
      <c r="J54" s="204"/>
      <c r="Q54" s="200"/>
      <c r="R54" s="200"/>
      <c r="S54" s="200"/>
      <c r="T54" s="200"/>
    </row>
    <row r="55" spans="10:20" x14ac:dyDescent="0.3">
      <c r="J55" s="204"/>
      <c r="Q55" s="200"/>
      <c r="R55" s="200"/>
      <c r="S55" s="200"/>
      <c r="T55" s="200"/>
    </row>
    <row r="56" spans="10:20" x14ac:dyDescent="0.3">
      <c r="J56" s="204"/>
      <c r="Q56" s="200"/>
      <c r="R56" s="200"/>
      <c r="S56" s="200"/>
      <c r="T56" s="200"/>
    </row>
    <row r="57" spans="10:20" x14ac:dyDescent="0.3">
      <c r="J57" s="204"/>
      <c r="Q57" s="200"/>
      <c r="R57" s="200"/>
      <c r="S57" s="200"/>
      <c r="T57" s="200"/>
    </row>
    <row r="58" spans="10:20" x14ac:dyDescent="0.3">
      <c r="J58" s="204"/>
      <c r="Q58" s="200"/>
      <c r="R58" s="200"/>
      <c r="S58" s="200"/>
      <c r="T58" s="200"/>
    </row>
    <row r="59" spans="10:20" x14ac:dyDescent="0.3">
      <c r="J59" s="204"/>
      <c r="Q59" s="200"/>
      <c r="R59" s="200"/>
      <c r="S59" s="200"/>
      <c r="T59" s="200"/>
    </row>
    <row r="60" spans="10:20" x14ac:dyDescent="0.3">
      <c r="J60" s="204"/>
      <c r="Q60" s="200"/>
      <c r="R60" s="200"/>
      <c r="S60" s="200"/>
      <c r="T60" s="200"/>
    </row>
    <row r="61" spans="10:20" x14ac:dyDescent="0.3">
      <c r="J61" s="204"/>
      <c r="Q61" s="200"/>
      <c r="R61" s="200"/>
      <c r="S61" s="200"/>
      <c r="T61" s="200"/>
    </row>
    <row r="62" spans="10:20" x14ac:dyDescent="0.3">
      <c r="J62" s="204"/>
      <c r="Q62" s="200"/>
      <c r="R62" s="200"/>
      <c r="S62" s="200"/>
      <c r="T62" s="200"/>
    </row>
    <row r="63" spans="10:20" x14ac:dyDescent="0.3">
      <c r="J63" s="204"/>
      <c r="Q63" s="200"/>
      <c r="R63" s="200"/>
      <c r="S63" s="200"/>
      <c r="T63" s="200"/>
    </row>
    <row r="64" spans="10:20" x14ac:dyDescent="0.3">
      <c r="J64" s="204"/>
      <c r="Q64" s="200"/>
      <c r="R64" s="200"/>
      <c r="S64" s="200"/>
      <c r="T64" s="200"/>
    </row>
    <row r="65" spans="10:20" x14ac:dyDescent="0.3">
      <c r="J65" s="204"/>
      <c r="Q65" s="200"/>
      <c r="R65" s="200"/>
      <c r="S65" s="200"/>
      <c r="T65" s="200"/>
    </row>
    <row r="66" spans="10:20" x14ac:dyDescent="0.3">
      <c r="J66" s="204"/>
      <c r="Q66" s="200"/>
      <c r="R66" s="200"/>
      <c r="S66" s="200"/>
      <c r="T66" s="200"/>
    </row>
    <row r="67" spans="10:20" x14ac:dyDescent="0.3">
      <c r="J67" s="204"/>
      <c r="Q67" s="200"/>
      <c r="R67" s="200"/>
      <c r="S67" s="200"/>
      <c r="T67" s="200"/>
    </row>
    <row r="68" spans="10:20" x14ac:dyDescent="0.3">
      <c r="J68" s="204"/>
      <c r="Q68" s="200"/>
      <c r="R68" s="200"/>
      <c r="S68" s="200"/>
      <c r="T68" s="200"/>
    </row>
    <row r="69" spans="10:20" x14ac:dyDescent="0.3">
      <c r="J69" s="204"/>
      <c r="Q69" s="200"/>
      <c r="R69" s="200"/>
      <c r="S69" s="200"/>
      <c r="T69" s="200"/>
    </row>
    <row r="71" spans="10:20" x14ac:dyDescent="0.3">
      <c r="Q71" s="200"/>
      <c r="R71" s="200"/>
      <c r="S71" s="200"/>
      <c r="T71" s="200"/>
    </row>
    <row r="74" spans="10:20" x14ac:dyDescent="0.3">
      <c r="Q74" s="205"/>
      <c r="R74" s="205"/>
      <c r="S74" s="205"/>
      <c r="T74" s="205"/>
    </row>
    <row r="75" spans="10:20" x14ac:dyDescent="0.3">
      <c r="Q75" s="201"/>
      <c r="R75" s="201"/>
      <c r="S75" s="201"/>
      <c r="T75" s="201"/>
    </row>
    <row r="77" spans="10:20" x14ac:dyDescent="0.3">
      <c r="Q77" s="205"/>
      <c r="R77" s="205"/>
    </row>
    <row r="78" spans="10:20" x14ac:dyDescent="0.3">
      <c r="Q78" s="201"/>
      <c r="R78" s="201"/>
    </row>
    <row r="81" spans="17:18" x14ac:dyDescent="0.3">
      <c r="Q81" s="206"/>
      <c r="R81" s="207"/>
    </row>
    <row r="83" spans="17:18" x14ac:dyDescent="0.3">
      <c r="Q83" s="205"/>
      <c r="R83" s="200"/>
    </row>
    <row r="84" spans="17:18" x14ac:dyDescent="0.3">
      <c r="Q84" s="205"/>
      <c r="R84" s="200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601980</xdr:colOff>
                <xdr:row>7</xdr:row>
                <xdr:rowOff>7620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426720</xdr:colOff>
                <xdr:row>8</xdr:row>
                <xdr:rowOff>152400</xdr:rowOff>
              </from>
              <to>
                <xdr:col>11</xdr:col>
                <xdr:colOff>350520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opLeftCell="E8" zoomScale="40" zoomScaleNormal="40" workbookViewId="0">
      <selection activeCell="AA75" sqref="AA75"/>
    </sheetView>
  </sheetViews>
  <sheetFormatPr defaultColWidth="11.5546875" defaultRowHeight="14.4" x14ac:dyDescent="0.3"/>
  <sheetData>
    <row r="1" spans="13:27" x14ac:dyDescent="0.3"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3:27" x14ac:dyDescent="0.3"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3:27" x14ac:dyDescent="0.3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3:27" x14ac:dyDescent="0.3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3:27" x14ac:dyDescent="0.3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6" x14ac:dyDescent="0.3">
      <c r="M6" s="277"/>
      <c r="N6" s="11"/>
      <c r="O6" s="11"/>
      <c r="P6" s="11"/>
      <c r="Q6" s="11"/>
      <c r="R6" s="11"/>
      <c r="S6" s="11"/>
      <c r="T6" s="11"/>
      <c r="U6" s="340" t="s">
        <v>42</v>
      </c>
      <c r="V6" s="341"/>
      <c r="W6" s="341"/>
      <c r="X6" s="342"/>
      <c r="Y6" s="11"/>
      <c r="Z6" s="11"/>
      <c r="AA6" s="11"/>
    </row>
    <row r="7" spans="13:27" ht="15.6" x14ac:dyDescent="0.3">
      <c r="M7" s="277"/>
      <c r="N7" s="11"/>
      <c r="O7" s="348" t="s">
        <v>91</v>
      </c>
      <c r="P7" s="348"/>
      <c r="Q7" s="348"/>
      <c r="R7" s="173">
        <v>3</v>
      </c>
      <c r="S7" s="11"/>
      <c r="T7" s="11"/>
      <c r="U7" s="363" t="s">
        <v>44</v>
      </c>
      <c r="V7" s="363"/>
      <c r="W7" s="364" t="s">
        <v>43</v>
      </c>
      <c r="X7" s="364"/>
      <c r="Y7" s="11"/>
      <c r="Z7" s="11"/>
      <c r="AA7" s="11"/>
    </row>
    <row r="8" spans="13:27" x14ac:dyDescent="0.3">
      <c r="M8" s="277"/>
      <c r="N8" s="11"/>
      <c r="O8" s="11"/>
      <c r="P8" s="11"/>
      <c r="Q8" s="11"/>
      <c r="R8" s="175"/>
      <c r="S8" s="11"/>
      <c r="T8" s="11"/>
      <c r="U8" s="363" t="s">
        <v>45</v>
      </c>
      <c r="V8" s="363"/>
      <c r="W8" s="364" t="s">
        <v>43</v>
      </c>
      <c r="X8" s="364"/>
      <c r="Y8" s="11"/>
      <c r="Z8" s="11"/>
      <c r="AA8" s="11"/>
    </row>
    <row r="9" spans="13:27" x14ac:dyDescent="0.3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3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" x14ac:dyDescent="0.3">
      <c r="M11" s="277"/>
      <c r="N11" s="11"/>
      <c r="O11" s="365" t="s">
        <v>1</v>
      </c>
      <c r="P11" s="366"/>
      <c r="Q11" s="366"/>
      <c r="R11" s="367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28.8" x14ac:dyDescent="0.3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3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6" x14ac:dyDescent="0.3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3:27" ht="15.6" x14ac:dyDescent="0.3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8" t="s">
        <v>151</v>
      </c>
      <c r="V15" s="348"/>
      <c r="W15" s="348"/>
      <c r="X15" s="280" t="s">
        <v>256</v>
      </c>
      <c r="Y15" s="133"/>
      <c r="Z15" s="133"/>
      <c r="AA15" s="133"/>
    </row>
    <row r="16" spans="13:27" ht="15.6" x14ac:dyDescent="0.3">
      <c r="M16" s="277"/>
      <c r="N16" s="11"/>
      <c r="O16" s="114">
        <v>4</v>
      </c>
      <c r="P16" s="173"/>
      <c r="Q16" s="173"/>
      <c r="R16" s="173"/>
      <c r="S16" s="11"/>
      <c r="T16" s="11"/>
      <c r="U16" s="348" t="s">
        <v>152</v>
      </c>
      <c r="V16" s="348"/>
      <c r="W16" s="348"/>
      <c r="X16" s="280" t="s">
        <v>256</v>
      </c>
      <c r="Y16" s="133"/>
      <c r="Z16" s="133"/>
      <c r="AA16" s="133"/>
    </row>
    <row r="17" spans="2:27" x14ac:dyDescent="0.3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3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3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3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3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3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3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" x14ac:dyDescent="0.3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" x14ac:dyDescent="0.3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6.2" x14ac:dyDescent="0.3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6.2" x14ac:dyDescent="0.3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6.2" x14ac:dyDescent="0.3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3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3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3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3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62"/>
      <c r="AN41" s="362"/>
      <c r="AO41" s="362"/>
      <c r="AP41" s="362"/>
      <c r="AQ41" s="362"/>
      <c r="AR41" s="362"/>
    </row>
    <row r="42" spans="29:44" x14ac:dyDescent="0.3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3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3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3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3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3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3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3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3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3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3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3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6.2" x14ac:dyDescent="0.4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6.2" x14ac:dyDescent="0.4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6.2" x14ac:dyDescent="0.4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3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3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3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3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3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3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3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3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3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3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3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3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3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3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3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3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3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6" x14ac:dyDescent="0.3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3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6" x14ac:dyDescent="0.3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6" x14ac:dyDescent="0.3">
      <c r="A116" s="285"/>
      <c r="B116" s="292"/>
      <c r="C116" s="292"/>
      <c r="D116" s="292"/>
      <c r="E116" s="292"/>
      <c r="F116" s="292"/>
      <c r="G116" s="292"/>
      <c r="H116" s="292"/>
      <c r="I116" s="361" t="s">
        <v>251</v>
      </c>
      <c r="J116" s="361"/>
      <c r="K116" s="361"/>
      <c r="L116" s="361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" x14ac:dyDescent="0.3">
      <c r="A117" s="285"/>
      <c r="B117" s="292"/>
      <c r="C117" s="355" t="s">
        <v>91</v>
      </c>
      <c r="D117" s="355"/>
      <c r="E117" s="355"/>
      <c r="F117" s="178">
        <f>'Análisis Espectral'!F117</f>
        <v>0</v>
      </c>
      <c r="G117" s="292"/>
      <c r="H117" s="292"/>
      <c r="I117" s="363" t="s">
        <v>250</v>
      </c>
      <c r="J117" s="363"/>
      <c r="K117" s="364" t="s">
        <v>43</v>
      </c>
      <c r="L117" s="364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6" x14ac:dyDescent="0.3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6" x14ac:dyDescent="0.3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3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" x14ac:dyDescent="0.3">
      <c r="A121" s="285"/>
      <c r="B121" s="292"/>
      <c r="C121" s="368" t="s">
        <v>1</v>
      </c>
      <c r="D121" s="368"/>
      <c r="E121" s="368"/>
      <c r="F121" s="368"/>
      <c r="G121" s="369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28.8" x14ac:dyDescent="0.3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69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6" x14ac:dyDescent="0.3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6" x14ac:dyDescent="0.3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6" x14ac:dyDescent="0.3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55" t="s">
        <v>151</v>
      </c>
      <c r="J125" s="355"/>
      <c r="K125" s="355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6" x14ac:dyDescent="0.3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55" t="s">
        <v>152</v>
      </c>
      <c r="J126" s="355"/>
      <c r="K126" s="355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3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3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3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3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3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3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3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3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3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3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3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3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3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3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3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3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3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3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3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3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3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3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3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3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3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3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3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3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3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3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3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3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3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3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3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3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3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3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3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3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3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3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3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3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3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3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3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3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3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3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3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3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3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3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3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3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3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3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3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3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3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3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3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3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3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3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3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3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3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3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3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26:K126"/>
    <mergeCell ref="C117:E117"/>
    <mergeCell ref="I117:J117"/>
    <mergeCell ref="K117:L117"/>
    <mergeCell ref="C121:F121"/>
    <mergeCell ref="G121:G122"/>
    <mergeCell ref="I125:K125"/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AnalisisEspectral">
                <anchor moveWithCells="1" sizeWithCells="1">
                  <from>
                    <xdr:col>4</xdr:col>
                    <xdr:colOff>213360</xdr:colOff>
                    <xdr:row>8</xdr:row>
                    <xdr:rowOff>175260</xdr:rowOff>
                  </from>
                  <to>
                    <xdr:col>9</xdr:col>
                    <xdr:colOff>518160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144780</xdr:rowOff>
                  </from>
                  <to>
                    <xdr:col>23</xdr:col>
                    <xdr:colOff>274320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426720</xdr:colOff>
                    <xdr:row>118</xdr:row>
                    <xdr:rowOff>152400</xdr:rowOff>
                  </from>
                  <to>
                    <xdr:col>11</xdr:col>
                    <xdr:colOff>350520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abSelected="1" zoomScale="86" zoomScaleNormal="85" workbookViewId="0">
      <selection activeCell="M15" sqref="M15"/>
    </sheetView>
  </sheetViews>
  <sheetFormatPr defaultColWidth="11.5546875" defaultRowHeight="14.4" x14ac:dyDescent="0.3"/>
  <cols>
    <col min="2" max="2" width="19.6640625" customWidth="1"/>
    <col min="3" max="3" width="17.109375" customWidth="1"/>
    <col min="4" max="4" width="15.88671875" customWidth="1"/>
    <col min="5" max="5" width="18.33203125" customWidth="1"/>
    <col min="6" max="6" width="19.44140625" customWidth="1"/>
    <col min="7" max="7" width="16.88671875" customWidth="1"/>
    <col min="8" max="8" width="14.109375" customWidth="1"/>
    <col min="9" max="9" width="13.109375" customWidth="1"/>
    <col min="10" max="10" width="15.109375" customWidth="1"/>
    <col min="11" max="11" width="15.5546875" customWidth="1"/>
    <col min="12" max="12" width="17.5546875" customWidth="1"/>
    <col min="13" max="13" width="12.5546875" customWidth="1"/>
    <col min="14" max="14" width="14" customWidth="1"/>
    <col min="15" max="15" width="14.5546875" customWidth="1"/>
    <col min="16" max="21" width="11.44140625" hidden="1" customWidth="1"/>
    <col min="22" max="22" width="11.44140625" customWidth="1"/>
    <col min="26" max="28" width="0" hidden="1" customWidth="1"/>
    <col min="29" max="29" width="13.44140625" customWidth="1"/>
    <col min="30" max="30" width="15.109375" customWidth="1"/>
  </cols>
  <sheetData>
    <row r="1" spans="1:33" ht="13.5" customHeight="1" x14ac:dyDescent="0.3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3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3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/>
      <c r="K3" s="103"/>
      <c r="L3" s="103"/>
      <c r="M3" s="113"/>
      <c r="N3" s="113"/>
      <c r="O3" s="113"/>
      <c r="P3" s="113"/>
      <c r="Q3" s="113"/>
      <c r="R3" s="113"/>
      <c r="S3" s="113"/>
      <c r="T3" s="113"/>
      <c r="U3" s="113"/>
      <c r="V3" s="10"/>
      <c r="W3" s="10"/>
      <c r="X3" s="10"/>
      <c r="Y3" s="10"/>
      <c r="Z3" s="2"/>
      <c r="AA3" s="2"/>
      <c r="AB3" s="2"/>
      <c r="AC3" s="152"/>
      <c r="AD3" s="152"/>
      <c r="AE3" s="151"/>
      <c r="AF3" s="151"/>
    </row>
    <row r="4" spans="1:33" x14ac:dyDescent="0.3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/>
      <c r="K4" s="103"/>
      <c r="L4" s="10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0"/>
      <c r="X4" s="10"/>
      <c r="Y4" s="10"/>
      <c r="Z4" s="2"/>
      <c r="AA4" s="2"/>
      <c r="AB4" s="2"/>
      <c r="AC4" s="152"/>
      <c r="AD4" s="152"/>
    </row>
    <row r="5" spans="1:33" x14ac:dyDescent="0.3">
      <c r="G5" s="19"/>
      <c r="W5" s="112"/>
      <c r="X5" s="112"/>
      <c r="AD5" s="152"/>
      <c r="AF5" s="384"/>
      <c r="AG5" s="384"/>
    </row>
    <row r="6" spans="1:33" x14ac:dyDescent="0.3">
      <c r="J6" s="20">
        <v>246.51030745318153</v>
      </c>
      <c r="M6" s="113">
        <v>2.8718770969591038E-4</v>
      </c>
      <c r="AC6" s="152">
        <v>2.8718770969591038E-4</v>
      </c>
      <c r="AD6" s="152">
        <v>-1.5625462173688313E-4</v>
      </c>
      <c r="AF6" s="151"/>
      <c r="AG6" s="151"/>
    </row>
    <row r="7" spans="1:33" x14ac:dyDescent="0.3">
      <c r="J7" s="20">
        <v>48.822953784154095</v>
      </c>
      <c r="M7" s="113">
        <v>4.1059798962019749E-4</v>
      </c>
      <c r="AC7" s="152">
        <v>4.1059798962019749E-4</v>
      </c>
      <c r="AD7" s="152">
        <v>-1.6783722486327974E-4</v>
      </c>
      <c r="AF7" s="151"/>
      <c r="AG7" s="151"/>
    </row>
    <row r="9" spans="1:33" ht="16.2" x14ac:dyDescent="0.4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6.2" x14ac:dyDescent="0.4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6.2" x14ac:dyDescent="0.4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6.2" x14ac:dyDescent="0.4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3">
      <c r="H13" s="22"/>
      <c r="I13" s="22"/>
    </row>
    <row r="15" spans="1:33" x14ac:dyDescent="0.3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3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3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3">
      <c r="B18" s="93" t="s">
        <v>13</v>
      </c>
      <c r="C18" s="95"/>
      <c r="D18" s="95"/>
      <c r="E18" s="95"/>
      <c r="F18" s="95"/>
    </row>
    <row r="19" spans="2:9" x14ac:dyDescent="0.3">
      <c r="B19" s="93" t="s">
        <v>12</v>
      </c>
      <c r="C19" s="95"/>
      <c r="D19" s="95"/>
      <c r="E19" s="95"/>
      <c r="F19" s="95"/>
    </row>
    <row r="20" spans="2:9" x14ac:dyDescent="0.3">
      <c r="B20" s="93" t="s">
        <v>14</v>
      </c>
      <c r="C20" s="95"/>
      <c r="D20" s="95"/>
      <c r="E20" s="95"/>
      <c r="F20" s="95"/>
    </row>
    <row r="21" spans="2:9" x14ac:dyDescent="0.3">
      <c r="B21" s="93" t="s">
        <v>15</v>
      </c>
      <c r="C21" s="95"/>
      <c r="D21" s="95"/>
      <c r="E21" s="95"/>
      <c r="F21" s="95"/>
    </row>
    <row r="22" spans="2:9" x14ac:dyDescent="0.3">
      <c r="B22" s="93" t="s">
        <v>16</v>
      </c>
      <c r="C22" s="95"/>
      <c r="D22" s="95"/>
      <c r="E22" s="95"/>
      <c r="F22" s="95"/>
      <c r="I22" s="76"/>
    </row>
    <row r="23" spans="2:9" x14ac:dyDescent="0.3">
      <c r="B23" s="93" t="s">
        <v>17</v>
      </c>
      <c r="C23" s="95"/>
      <c r="D23" s="95"/>
      <c r="E23" s="95"/>
      <c r="F23" s="95"/>
      <c r="I23" s="124"/>
    </row>
    <row r="24" spans="2:9" x14ac:dyDescent="0.3">
      <c r="C24" s="19"/>
      <c r="D24" s="19"/>
      <c r="E24" s="19"/>
      <c r="F24" s="19"/>
      <c r="I24" s="124"/>
    </row>
    <row r="25" spans="2:9" x14ac:dyDescent="0.3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3">
      <c r="B26" s="93" t="s">
        <v>105</v>
      </c>
      <c r="C26" s="103"/>
      <c r="D26" s="2"/>
      <c r="E26" s="2"/>
      <c r="F26" s="2"/>
    </row>
    <row r="27" spans="2:9" x14ac:dyDescent="0.3">
      <c r="B27" s="93" t="s">
        <v>106</v>
      </c>
      <c r="C27" s="103"/>
      <c r="D27" s="2"/>
      <c r="E27" s="2"/>
      <c r="F27" s="2"/>
    </row>
    <row r="28" spans="2:9" x14ac:dyDescent="0.3">
      <c r="B28" s="93" t="s">
        <v>107</v>
      </c>
      <c r="C28" s="103"/>
      <c r="D28" s="2"/>
      <c r="E28" s="2"/>
      <c r="F28" s="2"/>
    </row>
    <row r="29" spans="2:9" x14ac:dyDescent="0.3">
      <c r="B29" s="93" t="s">
        <v>108</v>
      </c>
      <c r="C29" s="103"/>
      <c r="D29" s="2"/>
      <c r="E29" s="2"/>
      <c r="F29" s="2"/>
    </row>
    <row r="31" spans="2:9" x14ac:dyDescent="0.3">
      <c r="B31" s="93" t="s">
        <v>13</v>
      </c>
      <c r="C31" s="116"/>
      <c r="D31" s="116"/>
    </row>
    <row r="32" spans="2:9" x14ac:dyDescent="0.3">
      <c r="B32" s="93" t="s">
        <v>12</v>
      </c>
      <c r="C32" s="116"/>
      <c r="D32" s="116"/>
    </row>
    <row r="33" spans="2:9" x14ac:dyDescent="0.3">
      <c r="B33" s="93" t="s">
        <v>14</v>
      </c>
      <c r="C33" s="116"/>
      <c r="D33" s="116"/>
    </row>
    <row r="34" spans="2:9" x14ac:dyDescent="0.3">
      <c r="B34" s="93" t="s">
        <v>15</v>
      </c>
      <c r="C34" s="116"/>
      <c r="D34" s="116"/>
    </row>
    <row r="35" spans="2:9" x14ac:dyDescent="0.3">
      <c r="B35" s="93" t="s">
        <v>16</v>
      </c>
      <c r="C35" s="116"/>
      <c r="D35" s="116"/>
    </row>
    <row r="36" spans="2:9" x14ac:dyDescent="0.3">
      <c r="B36" s="93" t="s">
        <v>17</v>
      </c>
      <c r="C36" s="116"/>
      <c r="D36" s="116"/>
    </row>
    <row r="38" spans="2:9" ht="15" x14ac:dyDescent="0.3">
      <c r="B38" s="102"/>
      <c r="C38" s="385" t="s">
        <v>113</v>
      </c>
      <c r="D38" s="386"/>
      <c r="E38" s="385" t="s">
        <v>114</v>
      </c>
      <c r="F38" s="386"/>
    </row>
    <row r="39" spans="2:9" x14ac:dyDescent="0.3">
      <c r="B39" s="13"/>
      <c r="C39" s="385" t="s">
        <v>112</v>
      </c>
      <c r="D39" s="386"/>
      <c r="E39" s="385" t="s">
        <v>112</v>
      </c>
      <c r="F39" s="386"/>
    </row>
    <row r="40" spans="2:9" x14ac:dyDescent="0.3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3">
      <c r="B41" s="18">
        <v>1</v>
      </c>
      <c r="F41" s="85"/>
    </row>
    <row r="42" spans="2:9" x14ac:dyDescent="0.3">
      <c r="B42" s="18">
        <v>2</v>
      </c>
      <c r="F42" s="85"/>
    </row>
    <row r="43" spans="2:9" x14ac:dyDescent="0.3">
      <c r="B43" s="18">
        <v>3</v>
      </c>
      <c r="F43" s="85"/>
      <c r="G43" s="98"/>
      <c r="H43" s="98"/>
      <c r="I43" s="98"/>
    </row>
    <row r="44" spans="2:9" x14ac:dyDescent="0.3">
      <c r="B44" s="18">
        <v>4</v>
      </c>
      <c r="F44" s="85"/>
    </row>
    <row r="45" spans="2:9" x14ac:dyDescent="0.3">
      <c r="B45" s="18">
        <v>5</v>
      </c>
      <c r="F45" s="85"/>
    </row>
    <row r="46" spans="2:9" x14ac:dyDescent="0.3">
      <c r="B46" s="18">
        <v>6</v>
      </c>
      <c r="C46" s="96"/>
      <c r="D46" s="96"/>
      <c r="E46" s="96"/>
      <c r="F46" s="97"/>
    </row>
    <row r="48" spans="2:9" x14ac:dyDescent="0.3">
      <c r="B48" s="99" t="s">
        <v>148</v>
      </c>
      <c r="C48" s="128"/>
    </row>
    <row r="49" spans="2:5" x14ac:dyDescent="0.3">
      <c r="B49" s="93">
        <v>1</v>
      </c>
      <c r="C49" s="95">
        <v>18.001371637588178</v>
      </c>
      <c r="E49" s="111"/>
    </row>
    <row r="50" spans="2:5" x14ac:dyDescent="0.3">
      <c r="B50" s="93">
        <v>2</v>
      </c>
      <c r="C50" s="95">
        <v>84.316389452137187</v>
      </c>
    </row>
    <row r="51" spans="2:5" x14ac:dyDescent="0.3">
      <c r="B51" s="93">
        <v>3</v>
      </c>
      <c r="C51" s="95">
        <v>97.734962717092728</v>
      </c>
    </row>
    <row r="52" spans="2:5" x14ac:dyDescent="0.3">
      <c r="B52" s="93">
        <v>4</v>
      </c>
      <c r="C52" s="95">
        <v>97.962008553310937</v>
      </c>
    </row>
    <row r="53" spans="2:5" x14ac:dyDescent="0.3">
      <c r="B53" s="93">
        <v>5</v>
      </c>
      <c r="C53" s="95">
        <v>128.97762253051542</v>
      </c>
    </row>
    <row r="54" spans="2:5" ht="15" customHeight="1" x14ac:dyDescent="0.3">
      <c r="B54" s="93">
        <v>6</v>
      </c>
      <c r="C54" s="95"/>
    </row>
    <row r="75" spans="5:5" x14ac:dyDescent="0.3">
      <c r="E75" s="149"/>
    </row>
    <row r="76" spans="5:5" x14ac:dyDescent="0.3">
      <c r="E76" s="149"/>
    </row>
    <row r="77" spans="5:5" x14ac:dyDescent="0.3">
      <c r="E77" s="149"/>
    </row>
    <row r="78" spans="5:5" x14ac:dyDescent="0.3">
      <c r="E78" s="149"/>
    </row>
    <row r="79" spans="5:5" x14ac:dyDescent="0.3">
      <c r="E79" s="149"/>
    </row>
    <row r="80" spans="5:5" x14ac:dyDescent="0.3">
      <c r="E80" s="149"/>
    </row>
    <row r="81" spans="5:5" x14ac:dyDescent="0.3">
      <c r="E81" s="149"/>
    </row>
    <row r="82" spans="5:5" x14ac:dyDescent="0.3">
      <c r="E82" s="149"/>
    </row>
    <row r="83" spans="5:5" x14ac:dyDescent="0.3">
      <c r="E83" s="149"/>
    </row>
    <row r="84" spans="5:5" x14ac:dyDescent="0.3">
      <c r="E84" s="149"/>
    </row>
    <row r="85" spans="5:5" x14ac:dyDescent="0.3">
      <c r="E85" s="149"/>
    </row>
    <row r="86" spans="5:5" x14ac:dyDescent="0.3">
      <c r="E86" s="149"/>
    </row>
    <row r="87" spans="5:5" x14ac:dyDescent="0.3">
      <c r="E87" s="149"/>
    </row>
    <row r="88" spans="5:5" x14ac:dyDescent="0.3">
      <c r="E88" s="149"/>
    </row>
    <row r="89" spans="5:5" x14ac:dyDescent="0.3">
      <c r="E89" s="149"/>
    </row>
    <row r="90" spans="5:5" x14ac:dyDescent="0.3">
      <c r="E90" s="149"/>
    </row>
    <row r="91" spans="5:5" x14ac:dyDescent="0.3">
      <c r="E91" s="149"/>
    </row>
    <row r="92" spans="5:5" x14ac:dyDescent="0.3">
      <c r="E92" s="149"/>
    </row>
    <row r="93" spans="5:5" x14ac:dyDescent="0.3">
      <c r="E93" s="149"/>
    </row>
    <row r="94" spans="5:5" x14ac:dyDescent="0.3">
      <c r="E94" s="149"/>
    </row>
    <row r="95" spans="5:5" x14ac:dyDescent="0.3">
      <c r="E95" s="149"/>
    </row>
    <row r="96" spans="5:5" x14ac:dyDescent="0.3">
      <c r="E96" s="149"/>
    </row>
    <row r="97" spans="5:5" x14ac:dyDescent="0.3">
      <c r="E97" s="149"/>
    </row>
    <row r="98" spans="5:5" x14ac:dyDescent="0.3">
      <c r="E98" s="149"/>
    </row>
    <row r="99" spans="5:5" x14ac:dyDescent="0.3">
      <c r="E99" s="149"/>
    </row>
    <row r="100" spans="5:5" x14ac:dyDescent="0.3">
      <c r="E100" s="149"/>
    </row>
    <row r="101" spans="5:5" x14ac:dyDescent="0.3">
      <c r="E101" s="149"/>
    </row>
    <row r="102" spans="5:5" x14ac:dyDescent="0.3">
      <c r="E102" s="149"/>
    </row>
    <row r="103" spans="5:5" x14ac:dyDescent="0.3">
      <c r="E103" s="149"/>
    </row>
    <row r="104" spans="5:5" x14ac:dyDescent="0.3">
      <c r="E104" s="149"/>
    </row>
    <row r="105" spans="5:5" x14ac:dyDescent="0.3">
      <c r="E105" s="149"/>
    </row>
    <row r="106" spans="5:5" x14ac:dyDescent="0.3">
      <c r="E106" s="149"/>
    </row>
    <row r="107" spans="5:5" x14ac:dyDescent="0.3">
      <c r="E107" s="149"/>
    </row>
    <row r="108" spans="5:5" x14ac:dyDescent="0.3">
      <c r="E108" s="149"/>
    </row>
    <row r="109" spans="5:5" x14ac:dyDescent="0.3">
      <c r="E109" s="149"/>
    </row>
    <row r="110" spans="5:5" x14ac:dyDescent="0.3">
      <c r="E110" s="149"/>
    </row>
    <row r="111" spans="5:5" x14ac:dyDescent="0.3">
      <c r="E111" s="149"/>
    </row>
    <row r="112" spans="5:5" x14ac:dyDescent="0.3">
      <c r="E112" s="149"/>
    </row>
    <row r="113" spans="5:5" x14ac:dyDescent="0.3">
      <c r="E113" s="149"/>
    </row>
    <row r="114" spans="5:5" x14ac:dyDescent="0.3">
      <c r="E114" s="149"/>
    </row>
    <row r="115" spans="5:5" x14ac:dyDescent="0.3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J18" sqref="J18"/>
    </sheetView>
  </sheetViews>
  <sheetFormatPr defaultColWidth="11.5546875" defaultRowHeight="14.4" x14ac:dyDescent="0.3"/>
  <sheetData>
    <row r="1" spans="1:20" ht="16.5" customHeight="1" thickBot="1" x14ac:dyDescent="0.35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5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3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3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3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3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3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3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3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3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3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3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3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3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3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3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3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3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3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3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3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3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3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3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" thickBot="1" x14ac:dyDescent="0.35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x14ac:dyDescent="0.3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" thickBot="1" x14ac:dyDescent="0.35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" thickBot="1" x14ac:dyDescent="0.35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" thickBot="1" x14ac:dyDescent="0.35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" thickBot="1" x14ac:dyDescent="0.35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" thickBot="1" x14ac:dyDescent="0.35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" thickBot="1" x14ac:dyDescent="0.35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" thickBot="1" x14ac:dyDescent="0.35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" thickBot="1" x14ac:dyDescent="0.35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" thickBot="1" x14ac:dyDescent="0.35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" thickBot="1" x14ac:dyDescent="0.35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" thickBot="1" x14ac:dyDescent="0.35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" thickBot="1" x14ac:dyDescent="0.35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" thickBot="1" x14ac:dyDescent="0.35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" thickBot="1" x14ac:dyDescent="0.35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" thickBot="1" x14ac:dyDescent="0.35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" thickBot="1" x14ac:dyDescent="0.35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" thickBot="1" x14ac:dyDescent="0.35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" thickBot="1" x14ac:dyDescent="0.35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" thickBot="1" x14ac:dyDescent="0.35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" thickBot="1" x14ac:dyDescent="0.35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" thickBot="1" x14ac:dyDescent="0.35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" thickBot="1" x14ac:dyDescent="0.35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" thickBot="1" x14ac:dyDescent="0.35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" thickBot="1" x14ac:dyDescent="0.35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ht="20.399999999999999" thickBot="1" x14ac:dyDescent="0.35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399999999999999" thickBot="1" x14ac:dyDescent="0.35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" thickBot="1" x14ac:dyDescent="0.35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" thickBot="1" x14ac:dyDescent="0.35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" thickBot="1" x14ac:dyDescent="0.35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" thickBot="1" x14ac:dyDescent="0.35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" thickBot="1" x14ac:dyDescent="0.35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" thickBot="1" x14ac:dyDescent="0.35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" thickBot="1" x14ac:dyDescent="0.35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" thickBot="1" x14ac:dyDescent="0.35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" thickBot="1" x14ac:dyDescent="0.35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" thickBot="1" x14ac:dyDescent="0.35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" thickBot="1" x14ac:dyDescent="0.35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" thickBot="1" x14ac:dyDescent="0.35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" thickBot="1" x14ac:dyDescent="0.35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" thickBot="1" x14ac:dyDescent="0.35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" thickBot="1" x14ac:dyDescent="0.35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" thickBot="1" x14ac:dyDescent="0.35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" thickBot="1" x14ac:dyDescent="0.35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" thickBot="1" x14ac:dyDescent="0.35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" thickBot="1" x14ac:dyDescent="0.35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" thickBot="1" x14ac:dyDescent="0.35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" thickBot="1" x14ac:dyDescent="0.35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" thickBot="1" x14ac:dyDescent="0.35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" thickBot="1" x14ac:dyDescent="0.35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2025-05-27T23:39:29Z</dcterms:modified>
</cp:coreProperties>
</file>